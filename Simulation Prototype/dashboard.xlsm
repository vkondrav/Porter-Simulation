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italiy\Documents\GitHub\Porter-Simulation\Simulation Prototype\"/>
    </mc:Choice>
  </mc:AlternateContent>
  <bookViews>
    <workbookView xWindow="0" yWindow="0" windowWidth="16392" windowHeight="6456"/>
  </bookViews>
  <sheets>
    <sheet name="Sheet1" sheetId="1" r:id="rId1"/>
    <sheet name="Dates" sheetId="2" r:id="rId2"/>
    <sheet name="Day1" sheetId="3" r:id="rId3"/>
    <sheet name="Day2" sheetId="8" r:id="rId4"/>
    <sheet name="Day3" sheetId="9" r:id="rId5"/>
    <sheet name="Day4" sheetId="10" r:id="rId6"/>
    <sheet name="Day5" sheetId="11" r:id="rId7"/>
    <sheet name="Dashboard" sheetId="12" r:id="rId8"/>
  </sheets>
  <functionGroups builtInGroupCount="18"/>
  <calcPr calcId="152511" calcMode="manual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7" i="11" l="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26" i="11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26" i="10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26" i="9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26" i="8"/>
  <c r="B45" i="3" l="1"/>
  <c r="B46" i="3"/>
  <c r="B37" i="3"/>
  <c r="B38" i="3"/>
  <c r="B39" i="3"/>
  <c r="B40" i="3"/>
  <c r="B41" i="3"/>
  <c r="B42" i="3"/>
  <c r="B43" i="3"/>
  <c r="B44" i="3"/>
  <c r="B27" i="3" l="1"/>
  <c r="B28" i="3"/>
  <c r="B29" i="3"/>
  <c r="B30" i="3"/>
  <c r="B31" i="3"/>
  <c r="B32" i="3"/>
  <c r="B33" i="3"/>
  <c r="B34" i="3"/>
  <c r="B35" i="3"/>
  <c r="B36" i="3"/>
  <c r="B26" i="3"/>
  <c r="T5" i="2" l="1"/>
  <c r="E12" i="2"/>
  <c r="I12" i="2"/>
  <c r="M12" i="2"/>
  <c r="Q12" i="2"/>
  <c r="F13" i="2"/>
  <c r="J13" i="2"/>
  <c r="N13" i="2"/>
  <c r="R13" i="2"/>
  <c r="C13" i="2"/>
  <c r="E10" i="2"/>
  <c r="I10" i="2"/>
  <c r="M10" i="2"/>
  <c r="Q10" i="2"/>
  <c r="F11" i="2"/>
  <c r="J11" i="2"/>
  <c r="N11" i="2"/>
  <c r="R11" i="2"/>
  <c r="C11" i="2"/>
  <c r="T8" i="2"/>
  <c r="H8" i="2"/>
  <c r="L8" i="2"/>
  <c r="P8" i="2"/>
  <c r="E9" i="2"/>
  <c r="I9" i="2"/>
  <c r="M9" i="2"/>
  <c r="Q9" i="2"/>
  <c r="D8" i="2"/>
  <c r="C8" i="2"/>
  <c r="F6" i="2"/>
  <c r="J6" i="2"/>
  <c r="N6" i="2"/>
  <c r="R6" i="2"/>
  <c r="G7" i="2"/>
  <c r="K7" i="2"/>
  <c r="O7" i="2"/>
  <c r="C7" i="2"/>
  <c r="F12" i="2"/>
  <c r="J12" i="2"/>
  <c r="N12" i="2"/>
  <c r="R12" i="2"/>
  <c r="G13" i="2"/>
  <c r="K13" i="2"/>
  <c r="O13" i="2"/>
  <c r="S13" i="2"/>
  <c r="C12" i="2"/>
  <c r="F10" i="2"/>
  <c r="J10" i="2"/>
  <c r="N10" i="2"/>
  <c r="R10" i="2"/>
  <c r="G11" i="2"/>
  <c r="K11" i="2"/>
  <c r="O11" i="2"/>
  <c r="S11" i="2"/>
  <c r="C10" i="2"/>
  <c r="E8" i="2"/>
  <c r="I8" i="2"/>
  <c r="M8" i="2"/>
  <c r="Q8" i="2"/>
  <c r="F9" i="2"/>
  <c r="J9" i="2"/>
  <c r="N9" i="2"/>
  <c r="R9" i="2"/>
  <c r="D7" i="2"/>
  <c r="S7" i="2"/>
  <c r="G6" i="2"/>
  <c r="K6" i="2"/>
  <c r="O6" i="2"/>
  <c r="S6" i="2"/>
  <c r="H7" i="2"/>
  <c r="L7" i="2"/>
  <c r="P7" i="2"/>
  <c r="C6" i="2"/>
  <c r="T13" i="2"/>
  <c r="G12" i="2"/>
  <c r="K12" i="2"/>
  <c r="O12" i="2"/>
  <c r="S12" i="2"/>
  <c r="H13" i="2"/>
  <c r="L13" i="2"/>
  <c r="P13" i="2"/>
  <c r="D13" i="2"/>
  <c r="T11" i="2"/>
  <c r="G10" i="2"/>
  <c r="K10" i="2"/>
  <c r="O10" i="2"/>
  <c r="S10" i="2"/>
  <c r="H11" i="2"/>
  <c r="L11" i="2"/>
  <c r="P11" i="2"/>
  <c r="D11" i="2"/>
  <c r="T9" i="2"/>
  <c r="F8" i="2"/>
  <c r="J8" i="2"/>
  <c r="N8" i="2"/>
  <c r="R8" i="2"/>
  <c r="G9" i="2"/>
  <c r="K9" i="2"/>
  <c r="O9" i="2"/>
  <c r="S9" i="2"/>
  <c r="D6" i="2"/>
  <c r="T6" i="2"/>
  <c r="H6" i="2"/>
  <c r="L6" i="2"/>
  <c r="P6" i="2"/>
  <c r="E7" i="2"/>
  <c r="I7" i="2"/>
  <c r="M7" i="2"/>
  <c r="Q7" i="2"/>
  <c r="T12" i="2"/>
  <c r="H12" i="2"/>
  <c r="L12" i="2"/>
  <c r="P12" i="2"/>
  <c r="E13" i="2"/>
  <c r="I13" i="2"/>
  <c r="M13" i="2"/>
  <c r="Q13" i="2"/>
  <c r="D12" i="2"/>
  <c r="T10" i="2"/>
  <c r="H10" i="2"/>
  <c r="L10" i="2"/>
  <c r="P10" i="2"/>
  <c r="E11" i="2"/>
  <c r="I11" i="2"/>
  <c r="M11" i="2"/>
  <c r="Q11" i="2"/>
  <c r="D10" i="2"/>
  <c r="T7" i="2"/>
  <c r="G8" i="2"/>
  <c r="K8" i="2"/>
  <c r="O8" i="2"/>
  <c r="S8" i="2"/>
  <c r="H9" i="2"/>
  <c r="L9" i="2"/>
  <c r="P9" i="2"/>
  <c r="D9" i="2"/>
  <c r="C9" i="2"/>
  <c r="E6" i="2"/>
  <c r="I6" i="2"/>
  <c r="M6" i="2"/>
  <c r="Q6" i="2"/>
  <c r="F7" i="2"/>
  <c r="J7" i="2"/>
  <c r="N7" i="2"/>
  <c r="R7" i="2"/>
  <c r="C4" i="2"/>
  <c r="E5" i="2"/>
  <c r="G5" i="2"/>
  <c r="Q5" i="2"/>
  <c r="M5" i="2"/>
  <c r="I5" i="2"/>
  <c r="Q4" i="2"/>
  <c r="M4" i="2"/>
  <c r="I4" i="2"/>
  <c r="C5" i="2"/>
  <c r="E4" i="2"/>
  <c r="G4" i="2"/>
  <c r="P5" i="2"/>
  <c r="L5" i="2"/>
  <c r="H5" i="2"/>
  <c r="P4" i="2"/>
  <c r="L4" i="2"/>
  <c r="H4" i="2"/>
  <c r="D4" i="2"/>
  <c r="F5" i="2"/>
  <c r="S5" i="2"/>
  <c r="O5" i="2"/>
  <c r="K5" i="2"/>
  <c r="S4" i="2"/>
  <c r="O4" i="2"/>
  <c r="K4" i="2"/>
  <c r="T4" i="2"/>
  <c r="D5" i="2"/>
  <c r="F4" i="2"/>
  <c r="R5" i="2"/>
  <c r="N5" i="2"/>
  <c r="J5" i="2"/>
  <c r="R4" i="2"/>
  <c r="N4" i="2"/>
  <c r="J4" i="2"/>
  <c r="D2" i="3"/>
  <c r="E22" i="3"/>
  <c r="J35" i="11"/>
  <c r="P27" i="11"/>
  <c r="T3" i="10"/>
  <c r="K25" i="9"/>
  <c r="N3" i="10"/>
  <c r="G21" i="9"/>
  <c r="U28" i="10"/>
  <c r="G15" i="11"/>
  <c r="C8" i="10"/>
  <c r="E45" i="11"/>
  <c r="Q34" i="10"/>
  <c r="K38" i="9"/>
  <c r="R6" i="11"/>
  <c r="C18" i="11"/>
  <c r="R37" i="11"/>
  <c r="P2" i="11"/>
  <c r="T39" i="11"/>
  <c r="N30" i="10"/>
  <c r="N38" i="10"/>
  <c r="O25" i="3"/>
  <c r="S5" i="8"/>
  <c r="Q20" i="10"/>
  <c r="R17" i="10"/>
  <c r="J11" i="10"/>
  <c r="U38" i="11"/>
  <c r="N32" i="10"/>
  <c r="S15" i="11"/>
  <c r="I21" i="10"/>
  <c r="E4" i="10"/>
  <c r="R13" i="8"/>
  <c r="L31" i="8"/>
  <c r="K10" i="11"/>
  <c r="L4" i="10"/>
  <c r="M37" i="11"/>
  <c r="U18" i="11"/>
  <c r="U39" i="11"/>
  <c r="G30" i="9"/>
  <c r="H7" i="11"/>
  <c r="G32" i="10"/>
  <c r="J25" i="9"/>
  <c r="T25" i="11"/>
  <c r="Q31" i="9"/>
  <c r="T29" i="10"/>
  <c r="Q21" i="10"/>
  <c r="C14" i="11"/>
  <c r="D36" i="9"/>
  <c r="G22" i="11"/>
  <c r="R40" i="11"/>
  <c r="P23" i="11"/>
  <c r="T29" i="9"/>
  <c r="N6" i="10"/>
  <c r="L38" i="10"/>
  <c r="D33" i="11"/>
  <c r="G41" i="10"/>
  <c r="K25" i="11"/>
  <c r="D39" i="11"/>
  <c r="H33" i="10"/>
  <c r="R29" i="10"/>
  <c r="U41" i="11"/>
  <c r="O27" i="10"/>
  <c r="O4" i="11"/>
  <c r="H38" i="11"/>
  <c r="E2" i="9"/>
  <c r="Q2" i="8"/>
  <c r="R20" i="8"/>
  <c r="T45" i="9"/>
  <c r="R25" i="10"/>
  <c r="P18" i="10"/>
  <c r="J17" i="11"/>
  <c r="L39" i="10"/>
  <c r="H2" i="11"/>
  <c r="R34" i="11"/>
  <c r="L23" i="10"/>
  <c r="O30" i="10"/>
  <c r="C3" i="11"/>
  <c r="G34" i="9"/>
  <c r="E31" i="11"/>
  <c r="L8" i="10"/>
  <c r="G25" i="8"/>
  <c r="O12" i="10"/>
  <c r="E11" i="10"/>
  <c r="Q2" i="10"/>
  <c r="R43" i="11"/>
  <c r="P4" i="11"/>
  <c r="S30" i="11"/>
  <c r="R22" i="10"/>
  <c r="G5" i="11"/>
  <c r="O19" i="8"/>
  <c r="L10" i="10"/>
  <c r="S45" i="10"/>
  <c r="F20" i="8"/>
  <c r="O31" i="11"/>
  <c r="U26" i="8"/>
  <c r="I9" i="11"/>
  <c r="U31" i="11"/>
  <c r="I31" i="8"/>
  <c r="D25" i="10"/>
  <c r="E38" i="9"/>
  <c r="E46" i="11"/>
  <c r="D9" i="11"/>
  <c r="F40" i="11"/>
  <c r="O15" i="11"/>
  <c r="K13" i="11"/>
  <c r="Q40" i="10"/>
  <c r="E17" i="10"/>
  <c r="R35" i="10"/>
  <c r="M17" i="10"/>
  <c r="G28" i="10"/>
  <c r="S2" i="3"/>
  <c r="K37" i="10"/>
  <c r="E22" i="10"/>
  <c r="S25" i="8"/>
  <c r="I45" i="10"/>
  <c r="F18" i="10"/>
  <c r="R5" i="11"/>
  <c r="L12" i="10"/>
  <c r="H22" i="11"/>
  <c r="T6" i="11"/>
  <c r="E32" i="11"/>
  <c r="E36" i="11"/>
  <c r="F4" i="11"/>
  <c r="F25" i="9"/>
  <c r="G35" i="11"/>
  <c r="E16" i="10"/>
  <c r="D4" i="9"/>
  <c r="E29" i="11"/>
  <c r="F2" i="8"/>
  <c r="M14" i="11"/>
  <c r="U15" i="11"/>
  <c r="E3" i="11"/>
  <c r="H34" i="11"/>
  <c r="L7" i="11"/>
  <c r="H19" i="11"/>
  <c r="M36" i="10"/>
  <c r="O36" i="10"/>
  <c r="T31" i="11"/>
  <c r="D16" i="9"/>
  <c r="F9" i="3"/>
  <c r="L8" i="11"/>
  <c r="C12" i="10"/>
  <c r="L4" i="11"/>
  <c r="P26" i="11"/>
  <c r="P25" i="11"/>
  <c r="F25" i="3"/>
  <c r="L21" i="10"/>
  <c r="Q21" i="11"/>
  <c r="U21" i="9"/>
  <c r="G6" i="11"/>
  <c r="D17" i="10"/>
  <c r="T9" i="10"/>
  <c r="E34" i="11"/>
  <c r="T12" i="11"/>
  <c r="F2" i="3"/>
  <c r="F12" i="11"/>
  <c r="F8" i="10"/>
  <c r="F20" i="9"/>
  <c r="G8" i="10"/>
  <c r="O45" i="10"/>
  <c r="T18" i="11"/>
  <c r="C46" i="11"/>
  <c r="O16" i="9"/>
  <c r="K17" i="11"/>
  <c r="M40" i="10"/>
  <c r="E25" i="3"/>
  <c r="J2" i="11"/>
  <c r="T37" i="10"/>
  <c r="G17" i="11"/>
  <c r="C39" i="10"/>
  <c r="P22" i="9"/>
  <c r="R16" i="11"/>
  <c r="N41" i="11"/>
  <c r="P6" i="10"/>
  <c r="E10" i="10"/>
  <c r="P25" i="3"/>
  <c r="H21" i="8"/>
  <c r="G29" i="11"/>
  <c r="Q23" i="11"/>
  <c r="H11" i="11"/>
  <c r="C4" i="11"/>
  <c r="C3" i="8"/>
  <c r="F45" i="10"/>
  <c r="P11" i="11"/>
  <c r="H9" i="11"/>
  <c r="P30" i="11"/>
  <c r="M2" i="3"/>
  <c r="K2" i="3"/>
  <c r="T2" i="10"/>
  <c r="C39" i="9"/>
  <c r="L25" i="3"/>
  <c r="G41" i="11"/>
  <c r="C9" i="11"/>
  <c r="C41" i="10"/>
  <c r="R37" i="9"/>
  <c r="C7" i="10"/>
  <c r="P39" i="10"/>
  <c r="P12" i="11"/>
  <c r="S43" i="11"/>
  <c r="M38" i="10"/>
  <c r="C18" i="10"/>
  <c r="G42" i="10"/>
  <c r="S6" i="10"/>
  <c r="J34" i="11"/>
  <c r="K25" i="8"/>
  <c r="E15" i="9"/>
  <c r="U16" i="10"/>
  <c r="F15" i="8"/>
  <c r="I16" i="11"/>
  <c r="G38" i="10"/>
  <c r="K36" i="11"/>
  <c r="J29" i="11"/>
  <c r="N2" i="3"/>
  <c r="O38" i="11"/>
  <c r="J40" i="11"/>
  <c r="U13" i="10"/>
  <c r="L5" i="11"/>
  <c r="N25" i="9"/>
  <c r="T30" i="11"/>
  <c r="K35" i="9"/>
  <c r="D33" i="8"/>
  <c r="R11" i="11"/>
  <c r="N8" i="11"/>
  <c r="O11" i="11"/>
  <c r="Q39" i="11"/>
  <c r="G38" i="9"/>
  <c r="N33" i="10"/>
  <c r="E7" i="11"/>
  <c r="D18" i="10"/>
  <c r="F3" i="11"/>
  <c r="U40" i="10"/>
  <c r="E42" i="11"/>
  <c r="M35" i="10"/>
  <c r="P15" i="9"/>
  <c r="E6" i="11"/>
  <c r="D37" i="11"/>
  <c r="D18" i="11"/>
  <c r="F25" i="8"/>
  <c r="M4" i="10"/>
  <c r="O5" i="10"/>
  <c r="Q35" i="11"/>
  <c r="R19" i="10"/>
  <c r="L41" i="10"/>
  <c r="R45" i="11"/>
  <c r="L5" i="10"/>
  <c r="M15" i="9"/>
  <c r="G31" i="10"/>
  <c r="O39" i="10"/>
  <c r="E30" i="11"/>
  <c r="S18" i="10"/>
  <c r="N22" i="10"/>
  <c r="L3" i="10"/>
  <c r="K28" i="11"/>
  <c r="C2" i="3"/>
  <c r="I5" i="11"/>
  <c r="H12" i="10"/>
  <c r="G46" i="10"/>
  <c r="T42" i="11"/>
  <c r="S41" i="11"/>
  <c r="L20" i="9"/>
  <c r="R10" i="10"/>
  <c r="H30" i="9"/>
  <c r="O9" i="10"/>
  <c r="E46" i="10"/>
  <c r="P10" i="11"/>
  <c r="E2" i="3"/>
  <c r="M23" i="10"/>
  <c r="F9" i="11"/>
  <c r="P34" i="10"/>
  <c r="T25" i="3"/>
  <c r="R25" i="3"/>
  <c r="E21" i="10"/>
  <c r="Q2" i="3"/>
  <c r="T42" i="10"/>
  <c r="S13" i="11"/>
  <c r="S26" i="11"/>
  <c r="L25" i="10"/>
  <c r="M21" i="10"/>
  <c r="M9" i="9"/>
  <c r="S22" i="11"/>
  <c r="U2" i="8"/>
  <c r="E17" i="11"/>
  <c r="Q29" i="10"/>
  <c r="M11" i="11"/>
  <c r="T19" i="10"/>
  <c r="O39" i="11"/>
  <c r="H37" i="11"/>
  <c r="Q3" i="11"/>
  <c r="S17" i="10"/>
  <c r="U8" i="10"/>
  <c r="N17" i="10"/>
  <c r="G25" i="3"/>
  <c r="C25" i="11"/>
  <c r="D11" i="11"/>
  <c r="S38" i="10"/>
  <c r="L11" i="11"/>
  <c r="R16" i="10"/>
  <c r="N19" i="11"/>
  <c r="R9" i="11"/>
  <c r="P28" i="10"/>
  <c r="D45" i="11"/>
  <c r="L29" i="9"/>
  <c r="R4" i="11"/>
  <c r="I44" i="11"/>
  <c r="H29" i="11"/>
  <c r="R8" i="10"/>
  <c r="I9" i="10"/>
  <c r="O23" i="10"/>
  <c r="Q36" i="11"/>
  <c r="U8" i="11"/>
  <c r="T45" i="11"/>
  <c r="N5" i="10"/>
  <c r="R30" i="10"/>
  <c r="J2" i="3"/>
  <c r="Q37" i="8"/>
  <c r="R7" i="11"/>
  <c r="N42" i="11"/>
  <c r="T33" i="10"/>
  <c r="R36" i="10"/>
  <c r="M25" i="3"/>
  <c r="G12" i="11"/>
  <c r="L43" i="11"/>
  <c r="N26" i="10"/>
  <c r="C7" i="11"/>
  <c r="C5" i="10"/>
  <c r="H2" i="3"/>
  <c r="N46" i="10"/>
  <c r="P25" i="10"/>
  <c r="O35" i="10"/>
  <c r="R23" i="10"/>
  <c r="E6" i="10"/>
  <c r="F27" i="11"/>
  <c r="J22" i="11"/>
  <c r="G2" i="8"/>
  <c r="N29" i="10"/>
  <c r="D41" i="10"/>
  <c r="R32" i="9"/>
  <c r="N19" i="10"/>
  <c r="G30" i="11"/>
  <c r="G27" i="11"/>
  <c r="Q19" i="11"/>
  <c r="N3" i="11"/>
  <c r="E2" i="10"/>
  <c r="U25" i="9"/>
  <c r="L18" i="10"/>
  <c r="H14" i="10"/>
  <c r="T12" i="9"/>
  <c r="M7" i="8"/>
  <c r="U4" i="10"/>
  <c r="D27" i="10"/>
  <c r="J44" i="10"/>
  <c r="K34" i="10"/>
  <c r="F25" i="10"/>
  <c r="L25" i="11"/>
  <c r="J25" i="8"/>
  <c r="D45" i="10"/>
  <c r="R42" i="10"/>
  <c r="M19" i="11"/>
  <c r="F38" i="9"/>
  <c r="P9" i="11"/>
  <c r="R2" i="11"/>
  <c r="I29" i="10"/>
  <c r="T41" i="8"/>
  <c r="R13" i="10"/>
  <c r="L41" i="11"/>
  <c r="L11" i="10"/>
  <c r="F36" i="9"/>
  <c r="G3" i="10"/>
  <c r="O20" i="11"/>
  <c r="Q34" i="11"/>
  <c r="D13" i="8"/>
  <c r="I18" i="11"/>
  <c r="N25" i="11"/>
  <c r="P14" i="9"/>
  <c r="R46" i="8"/>
  <c r="S40" i="11"/>
  <c r="I25" i="9"/>
  <c r="P2" i="3"/>
  <c r="N9" i="10"/>
  <c r="E28" i="11"/>
  <c r="J27" i="10"/>
  <c r="U4" i="11"/>
  <c r="P3" i="11"/>
  <c r="I32" i="11"/>
  <c r="J30" i="10"/>
  <c r="S33" i="11"/>
  <c r="J16" i="11"/>
  <c r="S12" i="10"/>
  <c r="F23" i="11"/>
  <c r="F28" i="10"/>
  <c r="Q2" i="11"/>
  <c r="K45" i="11"/>
  <c r="E41" i="11"/>
  <c r="P37" i="10"/>
  <c r="P13" i="10"/>
  <c r="F10" i="10"/>
  <c r="O12" i="11"/>
  <c r="I22" i="9"/>
  <c r="C32" i="11"/>
  <c r="H32" i="10"/>
  <c r="Q13" i="11"/>
  <c r="Q8" i="10"/>
  <c r="R28" i="11"/>
  <c r="H30" i="11"/>
  <c r="Q13" i="10"/>
  <c r="T25" i="8"/>
  <c r="L2" i="8"/>
  <c r="N4" i="10"/>
  <c r="U21" i="10"/>
  <c r="H43" i="11"/>
  <c r="R33" i="11"/>
  <c r="G9" i="10"/>
  <c r="C27" i="11"/>
  <c r="G19" i="11"/>
  <c r="P2" i="10"/>
  <c r="L25" i="9"/>
  <c r="F38" i="11"/>
  <c r="Q29" i="11"/>
  <c r="O43" i="10"/>
  <c r="S44" i="10"/>
  <c r="R14" i="11"/>
  <c r="D40" i="11"/>
  <c r="S4" i="11"/>
  <c r="F44" i="11"/>
  <c r="I12" i="10"/>
  <c r="F6" i="11"/>
  <c r="E43" i="10"/>
  <c r="P33" i="10"/>
  <c r="D37" i="10"/>
  <c r="E42" i="10"/>
  <c r="M42" i="11"/>
  <c r="P39" i="11"/>
  <c r="O7" i="11"/>
  <c r="J32" i="10"/>
  <c r="C36" i="10"/>
  <c r="H40" i="11"/>
  <c r="H39" i="9"/>
  <c r="T3" i="11"/>
  <c r="R25" i="8"/>
  <c r="J27" i="9"/>
  <c r="D34" i="11"/>
  <c r="P45" i="10"/>
  <c r="S8" i="10"/>
  <c r="R18" i="11"/>
  <c r="I25" i="3"/>
  <c r="F31" i="11"/>
  <c r="F25" i="11"/>
  <c r="J16" i="10"/>
  <c r="O6" i="9"/>
  <c r="P33" i="11"/>
  <c r="C10" i="9"/>
  <c r="E33" i="3"/>
  <c r="Q44" i="11"/>
  <c r="E13" i="11"/>
  <c r="S34" i="10"/>
  <c r="D20" i="11"/>
  <c r="O42" i="3"/>
  <c r="U7" i="11"/>
  <c r="F16" i="10"/>
  <c r="D17" i="11"/>
  <c r="O6" i="10"/>
  <c r="N12" i="9"/>
  <c r="O45" i="11"/>
  <c r="P13" i="11"/>
  <c r="I8" i="10"/>
  <c r="M14" i="10"/>
  <c r="L34" i="8"/>
  <c r="S25" i="11"/>
  <c r="Q14" i="10"/>
  <c r="N36" i="10"/>
  <c r="O25" i="9"/>
  <c r="S23" i="11"/>
  <c r="L31" i="10"/>
  <c r="J19" i="9"/>
  <c r="T9" i="11"/>
  <c r="L36" i="11"/>
  <c r="I29" i="11"/>
  <c r="E43" i="9"/>
  <c r="Q6" i="10"/>
  <c r="N8" i="10"/>
  <c r="L20" i="11"/>
  <c r="G7" i="11"/>
  <c r="K4" i="10"/>
  <c r="Q31" i="10"/>
  <c r="H34" i="10"/>
  <c r="L38" i="11"/>
  <c r="G6" i="9"/>
  <c r="T4" i="10"/>
  <c r="F41" i="9"/>
  <c r="Q22" i="3"/>
  <c r="S5" i="11"/>
  <c r="P36" i="10"/>
  <c r="P31" i="10"/>
  <c r="H23" i="11"/>
  <c r="L8" i="9"/>
  <c r="L40" i="11"/>
  <c r="T2" i="9"/>
  <c r="T35" i="9"/>
  <c r="C18" i="8"/>
  <c r="C26" i="9"/>
  <c r="C4" i="10"/>
  <c r="E36" i="8"/>
  <c r="G7" i="10"/>
  <c r="F26" i="9"/>
  <c r="C35" i="10"/>
  <c r="H18" i="11"/>
  <c r="F32" i="10"/>
  <c r="D43" i="10"/>
  <c r="O14" i="10"/>
  <c r="G23" i="10"/>
  <c r="C17" i="11"/>
  <c r="F33" i="10"/>
  <c r="O19" i="9"/>
  <c r="P23" i="10"/>
  <c r="I33" i="11"/>
  <c r="Q38" i="10"/>
  <c r="F9" i="10"/>
  <c r="P45" i="11"/>
  <c r="F31" i="10"/>
  <c r="P31" i="11"/>
  <c r="O42" i="10"/>
  <c r="O21" i="10"/>
  <c r="N35" i="11"/>
  <c r="F21" i="10"/>
  <c r="D13" i="11"/>
  <c r="P36" i="11"/>
  <c r="U2" i="11"/>
  <c r="K9" i="9"/>
  <c r="D10" i="11"/>
  <c r="S44" i="11"/>
  <c r="R3" i="11"/>
  <c r="U25" i="11"/>
  <c r="U33" i="11"/>
  <c r="N7" i="11"/>
  <c r="N18" i="10"/>
  <c r="S16" i="11"/>
  <c r="S30" i="9"/>
  <c r="E26" i="11"/>
  <c r="K26" i="9"/>
  <c r="S37" i="10"/>
  <c r="K20" i="11"/>
  <c r="U22" i="3"/>
  <c r="M35" i="9"/>
  <c r="O9" i="9"/>
  <c r="D14" i="9"/>
  <c r="T20" i="11"/>
  <c r="G32" i="11"/>
  <c r="J2" i="8"/>
  <c r="M27" i="9"/>
  <c r="J40" i="10"/>
  <c r="O32" i="10"/>
  <c r="U29" i="11"/>
  <c r="K11" i="11"/>
  <c r="E39" i="11"/>
  <c r="N2" i="9"/>
  <c r="R35" i="9"/>
  <c r="N21" i="11"/>
  <c r="T14" i="11"/>
  <c r="Q15" i="11"/>
  <c r="I19" i="10"/>
  <c r="F3" i="8"/>
  <c r="Q30" i="9"/>
  <c r="T5" i="8"/>
  <c r="S34" i="8"/>
  <c r="F44" i="8"/>
  <c r="Q38" i="8"/>
  <c r="I13" i="11"/>
  <c r="E36" i="9"/>
  <c r="H20" i="11"/>
  <c r="G44" i="8"/>
  <c r="N43" i="10"/>
  <c r="U39" i="8"/>
  <c r="T22" i="11"/>
  <c r="D19" i="10"/>
  <c r="K44" i="10"/>
  <c r="L7" i="9"/>
  <c r="S27" i="11"/>
  <c r="R39" i="10"/>
  <c r="Q43" i="10"/>
  <c r="F19" i="10"/>
  <c r="N46" i="9"/>
  <c r="U20" i="11"/>
  <c r="J15" i="10"/>
  <c r="J7" i="11"/>
  <c r="S12" i="11"/>
  <c r="G16" i="11"/>
  <c r="D46" i="11"/>
  <c r="K40" i="11"/>
  <c r="P8" i="11"/>
  <c r="K19" i="10"/>
  <c r="M5" i="10"/>
  <c r="T13" i="11"/>
  <c r="D45" i="9"/>
  <c r="U34" i="11"/>
  <c r="U3" i="11"/>
  <c r="O18" i="10"/>
  <c r="N18" i="9"/>
  <c r="C30" i="9"/>
  <c r="L33" i="8"/>
  <c r="U28" i="9"/>
  <c r="U38" i="10"/>
  <c r="Q45" i="10"/>
  <c r="J2" i="9"/>
  <c r="E22" i="8"/>
  <c r="R29" i="9"/>
  <c r="F46" i="11"/>
  <c r="S39" i="10"/>
  <c r="D2" i="11"/>
  <c r="G10" i="11"/>
  <c r="N23" i="10"/>
  <c r="E29" i="10"/>
  <c r="S25" i="3"/>
  <c r="O32" i="8"/>
  <c r="D7" i="11"/>
  <c r="E9" i="11"/>
  <c r="C23" i="9"/>
  <c r="O25" i="10"/>
  <c r="I20" i="11"/>
  <c r="G35" i="10"/>
  <c r="R7" i="10"/>
  <c r="I10" i="9"/>
  <c r="M11" i="10"/>
  <c r="Q17" i="10"/>
  <c r="H28" i="10"/>
  <c r="R5" i="10"/>
  <c r="C25" i="10"/>
  <c r="U7" i="10"/>
  <c r="T36" i="10"/>
  <c r="I45" i="8"/>
  <c r="H4" i="11"/>
  <c r="H5" i="8"/>
  <c r="S42" i="8"/>
  <c r="Q33" i="9"/>
  <c r="D44" i="9"/>
  <c r="O39" i="9"/>
  <c r="G30" i="10"/>
  <c r="G15" i="9"/>
  <c r="U25" i="3"/>
  <c r="S38" i="11"/>
  <c r="H43" i="9"/>
  <c r="L32" i="9"/>
  <c r="H16" i="9"/>
  <c r="D26" i="11"/>
  <c r="S31" i="9"/>
  <c r="R19" i="8"/>
  <c r="K35" i="11"/>
  <c r="H25" i="3"/>
  <c r="L26" i="8"/>
  <c r="T22" i="3"/>
  <c r="Q28" i="11"/>
  <c r="H16" i="10"/>
  <c r="M41" i="9"/>
  <c r="J4" i="3"/>
  <c r="N46" i="11"/>
  <c r="P12" i="10"/>
  <c r="I29" i="8"/>
  <c r="U13" i="11"/>
  <c r="L13" i="11"/>
  <c r="N40" i="10"/>
  <c r="E33" i="11"/>
  <c r="I19" i="11"/>
  <c r="Q38" i="9"/>
  <c r="C32" i="10"/>
  <c r="Q32" i="10"/>
  <c r="T42" i="9"/>
  <c r="G38" i="8"/>
  <c r="T41" i="11"/>
  <c r="D15" i="10"/>
  <c r="P16" i="10"/>
  <c r="I3" i="11"/>
  <c r="R36" i="11"/>
  <c r="S25" i="10"/>
  <c r="O3" i="11"/>
  <c r="R3" i="10"/>
  <c r="T38" i="11"/>
  <c r="L16" i="10"/>
  <c r="R14" i="8"/>
  <c r="K35" i="10"/>
  <c r="T34" i="10"/>
  <c r="D36" i="3"/>
  <c r="F13" i="8"/>
  <c r="G17" i="9"/>
  <c r="U22" i="10"/>
  <c r="H5" i="10"/>
  <c r="D39" i="10"/>
  <c r="T41" i="10"/>
  <c r="Q26" i="3"/>
  <c r="H40" i="10"/>
  <c r="T23" i="10"/>
  <c r="Q23" i="9"/>
  <c r="L13" i="8"/>
  <c r="H46" i="10"/>
  <c r="Q35" i="10"/>
  <c r="E33" i="9"/>
  <c r="C9" i="9"/>
  <c r="R27" i="11"/>
  <c r="O5" i="9"/>
  <c r="R20" i="3"/>
  <c r="E40" i="11"/>
  <c r="O36" i="9"/>
  <c r="C15" i="11"/>
  <c r="L43" i="3"/>
  <c r="G3" i="9"/>
  <c r="I23" i="11"/>
  <c r="F30" i="10"/>
  <c r="R28" i="9"/>
  <c r="M37" i="9"/>
  <c r="T17" i="8"/>
  <c r="K2" i="11"/>
  <c r="K3" i="11"/>
  <c r="P6" i="11"/>
  <c r="G13" i="9"/>
  <c r="L34" i="10"/>
  <c r="L37" i="11"/>
  <c r="N28" i="9"/>
  <c r="F41" i="10"/>
  <c r="R13" i="11"/>
  <c r="S27" i="9"/>
  <c r="K28" i="10"/>
  <c r="S22" i="10"/>
  <c r="E16" i="11"/>
  <c r="S36" i="3"/>
  <c r="F4" i="8"/>
  <c r="Q37" i="10"/>
  <c r="H25" i="10"/>
  <c r="E28" i="10"/>
  <c r="R33" i="9"/>
  <c r="P9" i="10"/>
  <c r="Q25" i="3"/>
  <c r="M30" i="11"/>
  <c r="L22" i="10"/>
  <c r="J25" i="3"/>
  <c r="S37" i="11"/>
  <c r="G26" i="11"/>
  <c r="C41" i="9"/>
  <c r="F36" i="10"/>
  <c r="P19" i="10"/>
  <c r="R33" i="8"/>
  <c r="F43" i="11"/>
  <c r="S3" i="11"/>
  <c r="M10" i="10"/>
  <c r="H20" i="9"/>
  <c r="M7" i="9"/>
  <c r="N32" i="11"/>
  <c r="F16" i="11"/>
  <c r="K42" i="11"/>
  <c r="N23" i="9"/>
  <c r="I26" i="11"/>
  <c r="N2" i="8"/>
  <c r="Q5" i="8"/>
  <c r="H39" i="10"/>
  <c r="M18" i="9"/>
  <c r="N32" i="8"/>
  <c r="G3" i="3"/>
  <c r="I31" i="3"/>
  <c r="M3" i="10"/>
  <c r="J18" i="11"/>
  <c r="E9" i="9"/>
  <c r="R4" i="10"/>
  <c r="P15" i="11"/>
  <c r="S23" i="9"/>
  <c r="T26" i="11"/>
  <c r="R31" i="10"/>
  <c r="N19" i="9"/>
  <c r="T40" i="11"/>
  <c r="R21" i="10"/>
  <c r="L29" i="10"/>
  <c r="M39" i="10"/>
  <c r="R41" i="10"/>
  <c r="U35" i="9"/>
  <c r="F18" i="11"/>
  <c r="T35" i="11"/>
  <c r="G21" i="10"/>
  <c r="C2" i="10"/>
  <c r="J21" i="10"/>
  <c r="E20" i="11"/>
  <c r="H42" i="11"/>
  <c r="H27" i="11"/>
  <c r="Q30" i="10"/>
  <c r="D22" i="10"/>
  <c r="N39" i="10"/>
  <c r="M2" i="8"/>
  <c r="O7" i="10"/>
  <c r="Q32" i="11"/>
  <c r="T38" i="10"/>
  <c r="H25" i="8"/>
  <c r="K10" i="10"/>
  <c r="N7" i="9"/>
  <c r="S37" i="9"/>
  <c r="G27" i="9"/>
  <c r="O31" i="8"/>
  <c r="E18" i="11"/>
  <c r="Q36" i="9"/>
  <c r="O30" i="11"/>
  <c r="I43" i="8"/>
  <c r="U35" i="11"/>
  <c r="S42" i="11"/>
  <c r="E10" i="3"/>
  <c r="I2" i="10"/>
  <c r="L19" i="10"/>
  <c r="I2" i="11"/>
  <c r="C45" i="11"/>
  <c r="D10" i="9"/>
  <c r="L15" i="10"/>
  <c r="U28" i="11"/>
  <c r="L2" i="10"/>
  <c r="C44" i="11"/>
  <c r="G39" i="10"/>
  <c r="F40" i="10"/>
  <c r="Q23" i="10"/>
  <c r="P4" i="10"/>
  <c r="F37" i="11"/>
  <c r="J3" i="8"/>
  <c r="T13" i="8"/>
  <c r="R27" i="10"/>
  <c r="P35" i="10"/>
  <c r="H30" i="8"/>
  <c r="P43" i="11"/>
  <c r="T27" i="10"/>
  <c r="U26" i="10"/>
  <c r="F15" i="10"/>
  <c r="K3" i="10"/>
  <c r="I41" i="9"/>
  <c r="N43" i="9"/>
  <c r="G11" i="8"/>
  <c r="P29" i="11"/>
  <c r="K9" i="11"/>
  <c r="N2" i="10"/>
  <c r="F41" i="11"/>
  <c r="N16" i="10"/>
  <c r="L14" i="10"/>
  <c r="H2" i="8"/>
  <c r="S28" i="11"/>
  <c r="Q12" i="10"/>
  <c r="P46" i="11"/>
  <c r="L28" i="10"/>
  <c r="R2" i="3"/>
  <c r="N16" i="11"/>
  <c r="G33" i="10"/>
  <c r="S2" i="8"/>
  <c r="M7" i="11"/>
  <c r="S46" i="10"/>
  <c r="G38" i="11"/>
  <c r="M40" i="8"/>
  <c r="D46" i="10"/>
  <c r="J17" i="8"/>
  <c r="O3" i="8"/>
  <c r="U15" i="3"/>
  <c r="G14" i="9"/>
  <c r="U10" i="11"/>
  <c r="I39" i="11"/>
  <c r="I18" i="9"/>
  <c r="S9" i="8"/>
  <c r="K22" i="11"/>
  <c r="H29" i="10"/>
  <c r="C3" i="10"/>
  <c r="P20" i="11"/>
  <c r="P11" i="10"/>
  <c r="C2" i="8"/>
  <c r="M13" i="11"/>
  <c r="G21" i="11"/>
  <c r="I17" i="10"/>
  <c r="C9" i="10"/>
  <c r="S21" i="11"/>
  <c r="N14" i="10"/>
  <c r="S34" i="11"/>
  <c r="O3" i="10"/>
  <c r="G10" i="10"/>
  <c r="Q22" i="9"/>
  <c r="L6" i="10"/>
  <c r="G8" i="3"/>
  <c r="D44" i="11"/>
  <c r="N35" i="10"/>
  <c r="J41" i="9"/>
  <c r="L44" i="10"/>
  <c r="R38" i="8"/>
  <c r="H6" i="11"/>
  <c r="R15" i="9"/>
  <c r="T45" i="3"/>
  <c r="G10" i="3"/>
  <c r="I15" i="10"/>
  <c r="N45" i="10"/>
  <c r="J45" i="3"/>
  <c r="L2" i="9"/>
  <c r="R21" i="9"/>
  <c r="H45" i="9"/>
  <c r="N5" i="11"/>
  <c r="G19" i="10"/>
  <c r="H17" i="3"/>
  <c r="L41" i="9"/>
  <c r="C37" i="10"/>
  <c r="S13" i="9"/>
  <c r="N14" i="11"/>
  <c r="I39" i="10"/>
  <c r="T8" i="11"/>
  <c r="D43" i="3"/>
  <c r="K32" i="9"/>
  <c r="E5" i="10"/>
  <c r="P19" i="11"/>
  <c r="M13" i="10"/>
  <c r="Q10" i="11"/>
  <c r="E33" i="10"/>
  <c r="M44" i="8"/>
  <c r="S19" i="11"/>
  <c r="G43" i="11"/>
  <c r="T10" i="11"/>
  <c r="K32" i="11"/>
  <c r="T22" i="10"/>
  <c r="U22" i="11"/>
  <c r="Q38" i="11"/>
  <c r="L33" i="10"/>
  <c r="L27" i="10"/>
  <c r="O2" i="9"/>
  <c r="I23" i="10"/>
  <c r="U43" i="10"/>
  <c r="L42" i="10"/>
  <c r="P30" i="10"/>
  <c r="S35" i="11"/>
  <c r="M32" i="10"/>
  <c r="I19" i="9"/>
  <c r="I34" i="8"/>
  <c r="D22" i="11"/>
  <c r="Q11" i="11"/>
  <c r="Q33" i="10"/>
  <c r="U18" i="10"/>
  <c r="J19" i="3"/>
  <c r="H31" i="10"/>
  <c r="D30" i="10"/>
  <c r="J9" i="11"/>
  <c r="K6" i="11"/>
  <c r="T44" i="11"/>
  <c r="G17" i="10"/>
  <c r="E34" i="10"/>
  <c r="Q10" i="8"/>
  <c r="E16" i="9"/>
  <c r="R2" i="10"/>
  <c r="O28" i="10"/>
  <c r="G39" i="9"/>
  <c r="O15" i="9"/>
  <c r="G10" i="8"/>
  <c r="Q15" i="10"/>
  <c r="O10" i="8"/>
  <c r="E39" i="10"/>
  <c r="Q18" i="11"/>
  <c r="M43" i="10"/>
  <c r="N6" i="9"/>
  <c r="K25" i="3"/>
  <c r="D41" i="8"/>
  <c r="C4" i="3"/>
  <c r="P32" i="10"/>
  <c r="J25" i="10"/>
  <c r="L35" i="10"/>
  <c r="K13" i="8"/>
  <c r="K8" i="11"/>
  <c r="S3" i="9"/>
  <c r="T5" i="11"/>
  <c r="C8" i="11"/>
  <c r="E26" i="10"/>
  <c r="S19" i="8"/>
  <c r="S14" i="11"/>
  <c r="H16" i="11"/>
  <c r="Q5" i="11"/>
  <c r="U41" i="9"/>
  <c r="T19" i="11"/>
  <c r="R16" i="9"/>
  <c r="I25" i="10"/>
  <c r="E4" i="3"/>
  <c r="R32" i="10"/>
  <c r="M34" i="11"/>
  <c r="S7" i="8"/>
  <c r="C11" i="10"/>
  <c r="H11" i="10"/>
  <c r="C30" i="11"/>
  <c r="E7" i="10"/>
  <c r="E5" i="9"/>
  <c r="E8" i="8"/>
  <c r="D41" i="11"/>
  <c r="C38" i="11"/>
  <c r="H18" i="10"/>
  <c r="F10" i="8"/>
  <c r="P19" i="8"/>
  <c r="G5" i="10"/>
  <c r="E16" i="3"/>
  <c r="O25" i="11"/>
  <c r="J33" i="8"/>
  <c r="P40" i="10"/>
  <c r="N21" i="10"/>
  <c r="O46" i="8"/>
  <c r="J45" i="9"/>
  <c r="P11" i="8"/>
  <c r="R42" i="3"/>
  <c r="Q34" i="9"/>
  <c r="C8" i="8"/>
  <c r="U42" i="11"/>
  <c r="O40" i="10"/>
  <c r="M45" i="10"/>
  <c r="E17" i="8"/>
  <c r="T25" i="10"/>
  <c r="O11" i="10"/>
  <c r="O5" i="3"/>
  <c r="N45" i="9"/>
  <c r="S6" i="11"/>
  <c r="M45" i="3"/>
  <c r="T28" i="3"/>
  <c r="G42" i="3"/>
  <c r="R26" i="10"/>
  <c r="Q46" i="11"/>
  <c r="K27" i="11"/>
  <c r="C16" i="9"/>
  <c r="H45" i="10"/>
  <c r="N26" i="3"/>
  <c r="O34" i="3"/>
  <c r="N29" i="11"/>
  <c r="J33" i="11"/>
  <c r="J23" i="9"/>
  <c r="O13" i="11"/>
  <c r="R42" i="11"/>
  <c r="M25" i="10"/>
  <c r="K25" i="10"/>
  <c r="R18" i="10"/>
  <c r="Q9" i="11"/>
  <c r="J26" i="11"/>
  <c r="M27" i="10"/>
  <c r="H28" i="11"/>
  <c r="C35" i="11"/>
  <c r="F23" i="10"/>
  <c r="C19" i="9"/>
  <c r="R44" i="11"/>
  <c r="P5" i="11"/>
  <c r="C12" i="11"/>
  <c r="L13" i="10"/>
  <c r="K4" i="11"/>
  <c r="R35" i="11"/>
  <c r="L10" i="11"/>
  <c r="U45" i="10"/>
  <c r="L43" i="10"/>
  <c r="T2" i="3"/>
  <c r="P44" i="11"/>
  <c r="S11" i="11"/>
  <c r="P32" i="11"/>
  <c r="D42" i="11"/>
  <c r="Q9" i="10"/>
  <c r="S31" i="10"/>
  <c r="N25" i="8"/>
  <c r="N13" i="10"/>
  <c r="U19" i="10"/>
  <c r="M34" i="10"/>
  <c r="M17" i="11"/>
  <c r="E44" i="8"/>
  <c r="T17" i="11"/>
  <c r="U23" i="10"/>
  <c r="G2" i="9"/>
  <c r="L26" i="10"/>
  <c r="D19" i="11"/>
  <c r="K26" i="11"/>
  <c r="S43" i="10"/>
  <c r="S10" i="10"/>
  <c r="M7" i="10"/>
  <c r="U22" i="8"/>
  <c r="J11" i="11"/>
  <c r="S20" i="3"/>
  <c r="D7" i="10"/>
  <c r="L20" i="10"/>
  <c r="O9" i="11"/>
  <c r="K3" i="8"/>
  <c r="G43" i="8"/>
  <c r="E25" i="8"/>
  <c r="R21" i="8"/>
  <c r="G40" i="9"/>
  <c r="F35" i="9"/>
  <c r="D38" i="10"/>
  <c r="D23" i="10"/>
  <c r="D5" i="11"/>
  <c r="U9" i="3"/>
  <c r="K6" i="9"/>
  <c r="J12" i="11"/>
  <c r="C39" i="11"/>
  <c r="K17" i="10"/>
  <c r="Q7" i="11"/>
  <c r="E38" i="11"/>
  <c r="F32" i="11"/>
  <c r="C11" i="9"/>
  <c r="R39" i="11"/>
  <c r="C21" i="11"/>
  <c r="S23" i="10"/>
  <c r="F17" i="9"/>
  <c r="R11" i="10"/>
  <c r="F17" i="10"/>
  <c r="D11" i="10"/>
  <c r="F13" i="9"/>
  <c r="S44" i="8"/>
  <c r="F2" i="9"/>
  <c r="Q41" i="11"/>
  <c r="F2" i="11"/>
  <c r="R14" i="10"/>
  <c r="G45" i="10"/>
  <c r="U45" i="11"/>
  <c r="H17" i="9"/>
  <c r="P21" i="10"/>
  <c r="K41" i="9"/>
  <c r="J25" i="11"/>
  <c r="U32" i="11"/>
  <c r="C26" i="10"/>
  <c r="N10" i="11"/>
  <c r="I34" i="9"/>
  <c r="I41" i="8"/>
  <c r="O31" i="10"/>
  <c r="H17" i="11"/>
  <c r="O20" i="10"/>
  <c r="R45" i="10"/>
  <c r="R38" i="11"/>
  <c r="C34" i="11"/>
  <c r="H44" i="11"/>
  <c r="U46" i="11"/>
  <c r="F2" i="10"/>
  <c r="K2" i="9"/>
  <c r="I4" i="11"/>
  <c r="R31" i="9"/>
  <c r="E14" i="10"/>
  <c r="L46" i="3"/>
  <c r="Q19" i="10"/>
  <c r="S4" i="10"/>
  <c r="P8" i="10"/>
  <c r="C22" i="11"/>
  <c r="U15" i="10"/>
  <c r="C28" i="11"/>
  <c r="I28" i="10"/>
  <c r="O41" i="9"/>
  <c r="N26" i="9"/>
  <c r="L15" i="11"/>
  <c r="U12" i="11"/>
  <c r="K43" i="8"/>
  <c r="Q16" i="11"/>
  <c r="G26" i="10"/>
  <c r="O19" i="10"/>
  <c r="S30" i="10"/>
  <c r="E27" i="10"/>
  <c r="L2" i="3"/>
  <c r="F29" i="9"/>
  <c r="G11" i="11"/>
  <c r="F42" i="10"/>
  <c r="Q28" i="8"/>
  <c r="N31" i="10"/>
  <c r="H13" i="11"/>
  <c r="T44" i="10"/>
  <c r="M30" i="9"/>
  <c r="H23" i="10"/>
  <c r="O7" i="8"/>
  <c r="P7" i="9"/>
  <c r="J39" i="11"/>
  <c r="L14" i="9"/>
  <c r="S2" i="11"/>
  <c r="E25" i="10"/>
  <c r="L45" i="10"/>
  <c r="U35" i="10"/>
  <c r="O10" i="10"/>
  <c r="F7" i="10"/>
  <c r="E19" i="8"/>
  <c r="R23" i="11"/>
  <c r="N28" i="10"/>
  <c r="U34" i="10"/>
  <c r="S14" i="10"/>
  <c r="Q18" i="10"/>
  <c r="U6" i="9"/>
  <c r="L36" i="10"/>
  <c r="T27" i="8"/>
  <c r="K32" i="8"/>
  <c r="L19" i="9"/>
  <c r="D30" i="9"/>
  <c r="C20" i="9"/>
  <c r="C25" i="9"/>
  <c r="D12" i="11"/>
  <c r="J41" i="11"/>
  <c r="Q22" i="11"/>
  <c r="P40" i="11"/>
  <c r="M14" i="9"/>
  <c r="H23" i="9"/>
  <c r="I40" i="10"/>
  <c r="U5" i="10"/>
  <c r="T26" i="10"/>
  <c r="M37" i="10"/>
  <c r="H36" i="8"/>
  <c r="J17" i="10"/>
  <c r="U46" i="10"/>
  <c r="S20" i="10"/>
  <c r="R41" i="9"/>
  <c r="C37" i="11"/>
  <c r="T23" i="11"/>
  <c r="Q41" i="9"/>
  <c r="R46" i="10"/>
  <c r="T43" i="11"/>
  <c r="U21" i="11"/>
  <c r="T16" i="11"/>
  <c r="U2" i="3"/>
  <c r="G16" i="9"/>
  <c r="P7" i="11"/>
  <c r="S45" i="11"/>
  <c r="R21" i="11"/>
  <c r="S31" i="8"/>
  <c r="C31" i="11"/>
  <c r="J26" i="3"/>
  <c r="R38" i="10"/>
  <c r="Q14" i="3"/>
  <c r="I37" i="9"/>
  <c r="D12" i="10"/>
  <c r="S5" i="10"/>
  <c r="N13" i="11"/>
  <c r="E19" i="11"/>
  <c r="O37" i="11"/>
  <c r="L37" i="10"/>
  <c r="J13" i="11"/>
  <c r="J42" i="9"/>
  <c r="H29" i="8"/>
  <c r="I37" i="10"/>
  <c r="Q43" i="11"/>
  <c r="Q18" i="8"/>
  <c r="E25" i="11"/>
  <c r="T34" i="11"/>
  <c r="Q2" i="9"/>
  <c r="K33" i="8"/>
  <c r="C41" i="11"/>
  <c r="F38" i="10"/>
  <c r="J3" i="11"/>
  <c r="M42" i="10"/>
  <c r="T15" i="11"/>
  <c r="G2" i="3"/>
  <c r="H26" i="10"/>
  <c r="O4" i="10"/>
  <c r="T28" i="11"/>
  <c r="G39" i="11"/>
  <c r="O33" i="11"/>
  <c r="G46" i="9"/>
  <c r="L30" i="10"/>
  <c r="P29" i="10"/>
  <c r="I35" i="10"/>
  <c r="T4" i="9"/>
  <c r="J4" i="11"/>
  <c r="L3" i="11"/>
  <c r="H2" i="9"/>
  <c r="M38" i="11"/>
  <c r="Q10" i="10"/>
  <c r="U23" i="11"/>
  <c r="Q42" i="10"/>
  <c r="C43" i="10"/>
  <c r="R37" i="10"/>
  <c r="N37" i="10"/>
  <c r="G2" i="11"/>
  <c r="O37" i="10"/>
  <c r="I2" i="9"/>
  <c r="I38" i="11"/>
  <c r="E14" i="8"/>
  <c r="C40" i="10"/>
  <c r="F5" i="10"/>
  <c r="O16" i="10"/>
  <c r="R45" i="3"/>
  <c r="Q17" i="8"/>
  <c r="C12" i="3"/>
  <c r="T35" i="8"/>
  <c r="K37" i="11"/>
  <c r="N18" i="11"/>
  <c r="K11" i="3"/>
  <c r="L46" i="11"/>
  <c r="G23" i="9"/>
  <c r="D6" i="10"/>
  <c r="U44" i="8"/>
  <c r="R38" i="9"/>
  <c r="N17" i="11"/>
  <c r="Q37" i="11"/>
  <c r="D41" i="3"/>
  <c r="T46" i="9"/>
  <c r="Q39" i="10"/>
  <c r="Q46" i="9"/>
  <c r="J30" i="8"/>
  <c r="D5" i="9"/>
  <c r="E37" i="11"/>
  <c r="J37" i="8"/>
  <c r="U33" i="9"/>
  <c r="C29" i="11"/>
  <c r="J22" i="10"/>
  <c r="S45" i="9"/>
  <c r="F28" i="11"/>
  <c r="U23" i="9"/>
  <c r="G18" i="11"/>
  <c r="P46" i="10"/>
  <c r="S30" i="8"/>
  <c r="U16" i="9"/>
  <c r="P25" i="9"/>
  <c r="H46" i="9"/>
  <c r="Q30" i="3"/>
  <c r="O2" i="3"/>
  <c r="E8" i="11"/>
  <c r="R26" i="11"/>
  <c r="T35" i="10"/>
  <c r="I12" i="11"/>
  <c r="E36" i="10"/>
  <c r="T45" i="10"/>
  <c r="C15" i="9"/>
  <c r="I20" i="3"/>
  <c r="Q5" i="10"/>
  <c r="P15" i="8"/>
  <c r="C23" i="10"/>
  <c r="T8" i="10"/>
  <c r="P45" i="8"/>
  <c r="R46" i="3"/>
  <c r="M2" i="9"/>
  <c r="G44" i="9"/>
  <c r="I15" i="11"/>
  <c r="S45" i="8"/>
  <c r="F5" i="11"/>
  <c r="F19" i="11"/>
  <c r="L16" i="3"/>
  <c r="P16" i="9"/>
  <c r="U37" i="10"/>
  <c r="S26" i="10"/>
  <c r="O22" i="10"/>
  <c r="J19" i="10"/>
  <c r="R12" i="11"/>
  <c r="F3" i="10"/>
  <c r="K41" i="11"/>
  <c r="E30" i="10"/>
  <c r="K29" i="10"/>
  <c r="J33" i="9"/>
  <c r="S19" i="10"/>
  <c r="Q20" i="11"/>
  <c r="L39" i="11"/>
  <c r="J5" i="11"/>
  <c r="L31" i="9"/>
  <c r="H21" i="9"/>
  <c r="C44" i="8"/>
  <c r="F12" i="10"/>
  <c r="P38" i="10"/>
  <c r="C27" i="9"/>
  <c r="T37" i="11"/>
  <c r="C33" i="11"/>
  <c r="F35" i="10"/>
  <c r="I2" i="3"/>
  <c r="D3" i="11"/>
  <c r="E27" i="9"/>
  <c r="M29" i="10"/>
  <c r="M6" i="10"/>
  <c r="M20" i="11"/>
  <c r="Q18" i="9"/>
  <c r="S29" i="11"/>
  <c r="K2" i="8"/>
  <c r="P35" i="8"/>
  <c r="R17" i="11"/>
  <c r="C43" i="11"/>
  <c r="N8" i="9"/>
  <c r="S36" i="11"/>
  <c r="G44" i="11"/>
  <c r="U29" i="10"/>
  <c r="D23" i="11"/>
  <c r="L26" i="11"/>
  <c r="H25" i="9"/>
  <c r="O27" i="9"/>
  <c r="P16" i="11"/>
  <c r="H9" i="8"/>
  <c r="M29" i="8"/>
  <c r="P21" i="11"/>
  <c r="C27" i="10"/>
  <c r="J26" i="9"/>
  <c r="Q33" i="11"/>
  <c r="R4" i="3"/>
  <c r="T37" i="9"/>
  <c r="N7" i="10"/>
  <c r="G22" i="3"/>
  <c r="C14" i="9"/>
  <c r="J44" i="9"/>
  <c r="H27" i="10"/>
  <c r="R34" i="3"/>
  <c r="K7" i="9"/>
  <c r="C6" i="11"/>
  <c r="H21" i="10"/>
  <c r="M16" i="10"/>
  <c r="E32" i="10"/>
  <c r="U41" i="10"/>
  <c r="E6" i="3"/>
  <c r="I8" i="11"/>
  <c r="M31" i="10"/>
  <c r="L40" i="10"/>
  <c r="K44" i="9"/>
  <c r="J19" i="11"/>
  <c r="G4" i="9"/>
  <c r="D35" i="11"/>
  <c r="U35" i="8"/>
  <c r="L21" i="9"/>
  <c r="L28" i="11"/>
  <c r="T36" i="11"/>
  <c r="J42" i="10"/>
  <c r="E26" i="9"/>
  <c r="N44" i="10"/>
  <c r="J21" i="11"/>
  <c r="C34" i="8"/>
  <c r="P26" i="3"/>
  <c r="G34" i="11"/>
  <c r="C28" i="10"/>
  <c r="F34" i="8"/>
  <c r="D25" i="11"/>
  <c r="R32" i="8"/>
  <c r="T14" i="10"/>
  <c r="P9" i="3"/>
  <c r="J37" i="11"/>
  <c r="D2" i="8"/>
  <c r="G41" i="9"/>
  <c r="F23" i="8"/>
  <c r="J32" i="11"/>
  <c r="M38" i="3"/>
  <c r="C11" i="11"/>
  <c r="E26" i="3"/>
  <c r="R35" i="3"/>
  <c r="R34" i="8"/>
  <c r="K18" i="11"/>
  <c r="K14" i="10"/>
  <c r="N12" i="10"/>
  <c r="S11" i="3"/>
  <c r="O19" i="11"/>
  <c r="K41" i="10"/>
  <c r="R39" i="9"/>
  <c r="F10" i="3"/>
  <c r="C16" i="10"/>
  <c r="D21" i="10"/>
  <c r="O40" i="11"/>
  <c r="O22" i="11"/>
  <c r="D33" i="10"/>
  <c r="C42" i="11"/>
  <c r="H44" i="8"/>
  <c r="F26" i="11"/>
  <c r="T41" i="9"/>
  <c r="K5" i="9"/>
  <c r="E44" i="11"/>
  <c r="L33" i="11"/>
  <c r="I10" i="11"/>
  <c r="U11" i="11"/>
  <c r="C19" i="10"/>
  <c r="Q5" i="9"/>
  <c r="I19" i="3"/>
  <c r="Q20" i="9"/>
  <c r="D15" i="11"/>
  <c r="S13" i="10"/>
  <c r="P20" i="10"/>
  <c r="T16" i="10"/>
  <c r="J15" i="9"/>
  <c r="P17" i="9"/>
  <c r="R19" i="11"/>
  <c r="L12" i="11"/>
  <c r="J31" i="10"/>
  <c r="Q41" i="10"/>
  <c r="C25" i="8"/>
  <c r="U17" i="11"/>
  <c r="J17" i="9"/>
  <c r="K21" i="10"/>
  <c r="L25" i="8"/>
  <c r="T44" i="8"/>
  <c r="G37" i="11"/>
  <c r="N4" i="11"/>
  <c r="F39" i="11"/>
  <c r="G42" i="11"/>
  <c r="P22" i="11"/>
  <c r="F7" i="11"/>
  <c r="J16" i="3"/>
  <c r="T7" i="9"/>
  <c r="F30" i="11"/>
  <c r="N25" i="10"/>
  <c r="N40" i="3"/>
  <c r="G2" i="10"/>
  <c r="I6" i="11"/>
  <c r="I46" i="10"/>
  <c r="S20" i="11"/>
  <c r="M46" i="9"/>
  <c r="C41" i="3"/>
  <c r="I36" i="9"/>
  <c r="S9" i="11"/>
  <c r="G14" i="10"/>
  <c r="H11" i="9"/>
  <c r="O28" i="11"/>
  <c r="K14" i="8"/>
  <c r="Q46" i="10"/>
  <c r="N40" i="11"/>
  <c r="S42" i="9"/>
  <c r="T17" i="10"/>
  <c r="C42" i="10"/>
  <c r="K12" i="10"/>
  <c r="K37" i="9"/>
  <c r="K41" i="8"/>
  <c r="T17" i="9"/>
  <c r="J3" i="10"/>
  <c r="J34" i="8"/>
  <c r="S36" i="8"/>
  <c r="J3" i="9"/>
  <c r="G37" i="9"/>
  <c r="T11" i="10"/>
  <c r="J7" i="10"/>
  <c r="G15" i="10"/>
  <c r="E12" i="11"/>
  <c r="L31" i="11"/>
  <c r="L35" i="9"/>
  <c r="I46" i="3"/>
  <c r="K43" i="9"/>
  <c r="M20" i="9"/>
  <c r="O7" i="9"/>
  <c r="F6" i="10"/>
  <c r="D15" i="3"/>
  <c r="G8" i="11"/>
  <c r="T21" i="10"/>
  <c r="M23" i="9"/>
  <c r="U40" i="3"/>
  <c r="E18" i="9"/>
  <c r="Q28" i="9"/>
  <c r="Q41" i="8"/>
  <c r="P38" i="9"/>
  <c r="J12" i="10"/>
  <c r="R22" i="11"/>
  <c r="Q23" i="8"/>
  <c r="G4" i="11"/>
  <c r="P42" i="11"/>
  <c r="M16" i="11"/>
  <c r="K30" i="10"/>
  <c r="J21" i="3"/>
  <c r="P38" i="11"/>
  <c r="M18" i="3"/>
  <c r="R12" i="8"/>
  <c r="U36" i="10"/>
  <c r="P43" i="3"/>
  <c r="O14" i="9"/>
  <c r="C16" i="8"/>
  <c r="J46" i="11"/>
  <c r="H14" i="9"/>
  <c r="F33" i="9"/>
  <c r="F29" i="11"/>
  <c r="T15" i="9"/>
  <c r="T2" i="11"/>
  <c r="O26" i="11"/>
  <c r="J28" i="11"/>
  <c r="P46" i="3"/>
  <c r="E6" i="9"/>
  <c r="M31" i="11"/>
  <c r="O8" i="3"/>
  <c r="S5" i="3"/>
  <c r="K39" i="3"/>
  <c r="M12" i="10"/>
  <c r="T28" i="8"/>
  <c r="I6" i="10"/>
  <c r="S43" i="9"/>
  <c r="C45" i="3"/>
  <c r="I43" i="3"/>
  <c r="F16" i="3"/>
  <c r="L23" i="11"/>
  <c r="F38" i="8"/>
  <c r="G7" i="8"/>
  <c r="R14" i="3"/>
  <c r="G20" i="11"/>
  <c r="U34" i="3"/>
  <c r="K36" i="3"/>
  <c r="H15" i="3"/>
  <c r="I18" i="10"/>
  <c r="D3" i="8"/>
  <c r="M17" i="8"/>
  <c r="Q31" i="11"/>
  <c r="F22" i="11"/>
  <c r="N33" i="9"/>
  <c r="C34" i="3"/>
  <c r="M11" i="9"/>
  <c r="C7" i="3"/>
  <c r="M21" i="9"/>
  <c r="P27" i="3"/>
  <c r="I23" i="8"/>
  <c r="D14" i="11"/>
  <c r="O17" i="10"/>
  <c r="E3" i="8"/>
  <c r="T13" i="10"/>
  <c r="J23" i="8"/>
  <c r="T11" i="3"/>
  <c r="J12" i="3"/>
  <c r="E37" i="10"/>
  <c r="N22" i="11"/>
  <c r="L35" i="3"/>
  <c r="L23" i="9"/>
  <c r="H28" i="9"/>
  <c r="K21" i="11"/>
  <c r="U5" i="11"/>
  <c r="K6" i="10"/>
  <c r="M3" i="9"/>
  <c r="T43" i="3"/>
  <c r="H37" i="10"/>
  <c r="E10" i="11"/>
  <c r="L42" i="9"/>
  <c r="O29" i="11"/>
  <c r="T38" i="9"/>
  <c r="O33" i="9"/>
  <c r="N15" i="10"/>
  <c r="K22" i="10"/>
  <c r="T46" i="10"/>
  <c r="G43" i="10"/>
  <c r="R4" i="8"/>
  <c r="M44" i="3"/>
  <c r="G42" i="9"/>
  <c r="D31" i="10"/>
  <c r="J36" i="3"/>
  <c r="H19" i="9"/>
  <c r="L15" i="3"/>
  <c r="U14" i="10"/>
  <c r="I34" i="10"/>
  <c r="D7" i="8"/>
  <c r="R15" i="3"/>
  <c r="K42" i="10"/>
  <c r="U9" i="11"/>
  <c r="O18" i="9"/>
  <c r="S35" i="8"/>
  <c r="O11" i="9"/>
  <c r="H26" i="8"/>
  <c r="U43" i="3"/>
  <c r="S17" i="11"/>
  <c r="H34" i="9"/>
  <c r="G15" i="3"/>
  <c r="K33" i="3"/>
  <c r="C33" i="9"/>
  <c r="D18" i="9"/>
  <c r="T37" i="3"/>
  <c r="N16" i="9"/>
  <c r="M38" i="9"/>
  <c r="N16" i="8"/>
  <c r="S46" i="11"/>
  <c r="L30" i="11"/>
  <c r="J22" i="3"/>
  <c r="F6" i="8"/>
  <c r="O44" i="9"/>
  <c r="P33" i="3"/>
  <c r="F11" i="8"/>
  <c r="H41" i="9"/>
  <c r="J43" i="9"/>
  <c r="D12" i="3"/>
  <c r="J23" i="3"/>
  <c r="J45" i="8"/>
  <c r="H41" i="11"/>
  <c r="S40" i="8"/>
  <c r="O9" i="3"/>
  <c r="F45" i="9"/>
  <c r="E40" i="9"/>
  <c r="M31" i="3"/>
  <c r="D16" i="8"/>
  <c r="U15" i="9"/>
  <c r="I11" i="11"/>
  <c r="O35" i="3"/>
  <c r="H12" i="8"/>
  <c r="R28" i="3"/>
  <c r="N44" i="11"/>
  <c r="R27" i="9"/>
  <c r="D28" i="11"/>
  <c r="F11" i="10"/>
  <c r="U26" i="3"/>
  <c r="F40" i="9"/>
  <c r="F36" i="8"/>
  <c r="K21" i="3"/>
  <c r="O37" i="9"/>
  <c r="O18" i="3"/>
  <c r="O10" i="11"/>
  <c r="Q9" i="9"/>
  <c r="K7" i="10"/>
  <c r="M13" i="8"/>
  <c r="S19" i="3"/>
  <c r="L6" i="8"/>
  <c r="T17" i="3"/>
  <c r="M23" i="8"/>
  <c r="D42" i="8"/>
  <c r="M39" i="3"/>
  <c r="S21" i="8"/>
  <c r="L17" i="8"/>
  <c r="K40" i="10"/>
  <c r="H9" i="9"/>
  <c r="K34" i="3"/>
  <c r="E7" i="3"/>
  <c r="M8" i="10"/>
  <c r="R44" i="9"/>
  <c r="I28" i="3"/>
  <c r="L43" i="8"/>
  <c r="F42" i="9"/>
  <c r="P40" i="3"/>
  <c r="D38" i="3"/>
  <c r="T14" i="3"/>
  <c r="C36" i="3"/>
  <c r="H13" i="8"/>
  <c r="C41" i="8"/>
  <c r="K34" i="9"/>
  <c r="N9" i="11"/>
  <c r="H42" i="8"/>
  <c r="I12" i="8"/>
  <c r="H36" i="3"/>
  <c r="D34" i="10"/>
  <c r="Q12" i="8"/>
  <c r="K31" i="11"/>
  <c r="P6" i="9"/>
  <c r="E34" i="9"/>
  <c r="J27" i="8"/>
  <c r="T36" i="8"/>
  <c r="D9" i="9"/>
  <c r="K15" i="9"/>
  <c r="O38" i="10"/>
  <c r="Q14" i="9"/>
  <c r="G13" i="8"/>
  <c r="H37" i="9"/>
  <c r="I28" i="11"/>
  <c r="I12" i="9"/>
  <c r="R36" i="3"/>
  <c r="U16" i="11"/>
  <c r="F42" i="11"/>
  <c r="P14" i="10"/>
  <c r="Q30" i="11"/>
  <c r="U38" i="8"/>
  <c r="E38" i="8"/>
  <c r="R44" i="10"/>
  <c r="S31" i="11"/>
  <c r="R15" i="10"/>
  <c r="P14" i="11"/>
  <c r="R29" i="11"/>
  <c r="S16" i="8"/>
  <c r="D40" i="10"/>
  <c r="O8" i="10"/>
  <c r="N37" i="9"/>
  <c r="G12" i="10"/>
  <c r="H15" i="10"/>
  <c r="H31" i="3"/>
  <c r="F35" i="8"/>
  <c r="K30" i="11"/>
  <c r="O35" i="11"/>
  <c r="P41" i="10"/>
  <c r="T5" i="10"/>
  <c r="H12" i="11"/>
  <c r="N36" i="9"/>
  <c r="R25" i="11"/>
  <c r="T6" i="8"/>
  <c r="R9" i="10"/>
  <c r="O16" i="11"/>
  <c r="G9" i="9"/>
  <c r="I7" i="11"/>
  <c r="N41" i="10"/>
  <c r="G29" i="3"/>
  <c r="F4" i="10"/>
  <c r="G5" i="9"/>
  <c r="R43" i="10"/>
  <c r="I42" i="10"/>
  <c r="I23" i="9"/>
  <c r="D35" i="10"/>
  <c r="F36" i="11"/>
  <c r="J26" i="10"/>
  <c r="L46" i="10"/>
  <c r="G3" i="11"/>
  <c r="E35" i="11"/>
  <c r="P18" i="8"/>
  <c r="K20" i="10"/>
  <c r="K40" i="9"/>
  <c r="L2" i="11"/>
  <c r="D29" i="11"/>
  <c r="F44" i="10"/>
  <c r="J33" i="3"/>
  <c r="F17" i="3"/>
  <c r="D20" i="8"/>
  <c r="I27" i="11"/>
  <c r="P21" i="3"/>
  <c r="E41" i="10"/>
  <c r="L9" i="11"/>
  <c r="E20" i="8"/>
  <c r="S40" i="9"/>
  <c r="C34" i="9"/>
  <c r="U29" i="8"/>
  <c r="H10" i="9"/>
  <c r="I11" i="8"/>
  <c r="U31" i="3"/>
  <c r="O23" i="8"/>
  <c r="Q33" i="8"/>
  <c r="J41" i="3"/>
  <c r="I19" i="8"/>
  <c r="O23" i="11"/>
  <c r="S4" i="8"/>
  <c r="S37" i="3"/>
  <c r="P33" i="9"/>
  <c r="U5" i="3"/>
  <c r="G16" i="8"/>
  <c r="P34" i="8"/>
  <c r="J14" i="10"/>
  <c r="K44" i="8"/>
  <c r="K11" i="10"/>
  <c r="J5" i="8"/>
  <c r="M43" i="8"/>
  <c r="E7" i="8"/>
  <c r="K19" i="3"/>
  <c r="C6" i="3"/>
  <c r="F22" i="9"/>
  <c r="T8" i="8"/>
  <c r="J43" i="11"/>
  <c r="H25" i="11"/>
  <c r="R8" i="11"/>
  <c r="M31" i="8"/>
  <c r="H4" i="9"/>
  <c r="G29" i="9"/>
  <c r="C37" i="3"/>
  <c r="O43" i="11"/>
  <c r="F29" i="8"/>
  <c r="G29" i="8"/>
  <c r="G33" i="9"/>
  <c r="G36" i="3"/>
  <c r="L22" i="9"/>
  <c r="F11" i="3"/>
  <c r="Q33" i="3"/>
  <c r="N39" i="3"/>
  <c r="M35" i="8"/>
  <c r="U10" i="3"/>
  <c r="H39" i="3"/>
  <c r="L11" i="3"/>
  <c r="N35" i="8"/>
  <c r="J31" i="11"/>
  <c r="J35" i="9"/>
  <c r="S4" i="9"/>
  <c r="H26" i="9"/>
  <c r="H37" i="3"/>
  <c r="L22" i="3"/>
  <c r="U38" i="3"/>
  <c r="L16" i="9"/>
  <c r="I30" i="3"/>
  <c r="N39" i="8"/>
  <c r="R35" i="8"/>
  <c r="S11" i="9"/>
  <c r="D6" i="3"/>
  <c r="J31" i="9"/>
  <c r="O19" i="3"/>
  <c r="M44" i="9"/>
  <c r="L44" i="8"/>
  <c r="N44" i="9"/>
  <c r="G28" i="11"/>
  <c r="S16" i="3"/>
  <c r="F39" i="3"/>
  <c r="I41" i="10"/>
  <c r="O42" i="9"/>
  <c r="T12" i="10"/>
  <c r="T10" i="8"/>
  <c r="O36" i="8"/>
  <c r="U40" i="8"/>
  <c r="L38" i="9"/>
  <c r="N26" i="11"/>
  <c r="M22" i="10"/>
  <c r="U30" i="10"/>
  <c r="E4" i="11"/>
  <c r="H22" i="10"/>
  <c r="E15" i="10"/>
  <c r="T5" i="9"/>
  <c r="G8" i="9"/>
  <c r="J22" i="9"/>
  <c r="C27" i="8"/>
  <c r="I9" i="9"/>
  <c r="T33" i="9"/>
  <c r="C31" i="3"/>
  <c r="H14" i="8"/>
  <c r="N29" i="3"/>
  <c r="M18" i="11"/>
  <c r="T38" i="3"/>
  <c r="J6" i="3"/>
  <c r="D31" i="9"/>
  <c r="G6" i="8"/>
  <c r="J29" i="9"/>
  <c r="T42" i="8"/>
  <c r="K39" i="8"/>
  <c r="R15" i="11"/>
  <c r="Q16" i="3"/>
  <c r="C13" i="11"/>
  <c r="N35" i="9"/>
  <c r="O38" i="3"/>
  <c r="U29" i="3"/>
  <c r="R8" i="9"/>
  <c r="J32" i="9"/>
  <c r="U42" i="8"/>
  <c r="E26" i="8"/>
  <c r="O29" i="9"/>
  <c r="J15" i="8"/>
  <c r="P31" i="9"/>
  <c r="D29" i="3"/>
  <c r="M42" i="8"/>
  <c r="K37" i="8"/>
  <c r="T46" i="11"/>
  <c r="D8" i="11"/>
  <c r="U44" i="11"/>
  <c r="G37" i="10"/>
  <c r="T46" i="3"/>
  <c r="C3" i="3"/>
  <c r="M5" i="3"/>
  <c r="J9" i="10"/>
  <c r="Q4" i="8"/>
  <c r="I27" i="8"/>
  <c r="P5" i="9"/>
  <c r="G40" i="11"/>
  <c r="M33" i="3"/>
  <c r="U3" i="3"/>
  <c r="I2" i="8"/>
  <c r="I14" i="8"/>
  <c r="R27" i="8"/>
  <c r="S9" i="9"/>
  <c r="G6" i="3"/>
  <c r="O26" i="10"/>
  <c r="D28" i="3"/>
  <c r="L44" i="11"/>
  <c r="I29" i="3"/>
  <c r="I4" i="10"/>
  <c r="H43" i="10"/>
  <c r="H8" i="3"/>
  <c r="E35" i="10"/>
  <c r="I38" i="8"/>
  <c r="D32" i="3"/>
  <c r="P39" i="9"/>
  <c r="L8" i="8"/>
  <c r="I43" i="11"/>
  <c r="T29" i="8"/>
  <c r="K33" i="10"/>
  <c r="S40" i="3"/>
  <c r="O42" i="11"/>
  <c r="U31" i="9"/>
  <c r="D38" i="9"/>
  <c r="J4" i="9"/>
  <c r="N6" i="8"/>
  <c r="T14" i="8"/>
  <c r="C42" i="9"/>
  <c r="E13" i="10"/>
  <c r="H26" i="11"/>
  <c r="C10" i="3"/>
  <c r="J39" i="8"/>
  <c r="D43" i="11"/>
  <c r="K11" i="9"/>
  <c r="M39" i="11"/>
  <c r="R20" i="10"/>
  <c r="H9" i="3"/>
  <c r="I26" i="8"/>
  <c r="Q19" i="3"/>
  <c r="M26" i="3"/>
  <c r="I37" i="3"/>
  <c r="O17" i="11"/>
  <c r="L39" i="8"/>
  <c r="F8" i="9"/>
  <c r="K38" i="8"/>
  <c r="O21" i="9"/>
  <c r="M23" i="3"/>
  <c r="N14" i="8"/>
  <c r="Q3" i="10"/>
  <c r="F17" i="11"/>
  <c r="N39" i="11"/>
  <c r="U18" i="3"/>
  <c r="I36" i="10"/>
  <c r="R4" i="9"/>
  <c r="Q26" i="10"/>
  <c r="C29" i="9"/>
  <c r="T31" i="10"/>
  <c r="D30" i="3"/>
  <c r="Q29" i="9"/>
  <c r="I26" i="10"/>
  <c r="T23" i="8"/>
  <c r="G46" i="11"/>
  <c r="C13" i="10"/>
  <c r="E23" i="3"/>
  <c r="D6" i="11"/>
  <c r="F14" i="10"/>
  <c r="O30" i="9"/>
  <c r="G14" i="11"/>
  <c r="O20" i="3"/>
  <c r="M18" i="10"/>
  <c r="J28" i="9"/>
  <c r="H16" i="3"/>
  <c r="E15" i="8"/>
  <c r="M45" i="11"/>
  <c r="T33" i="8"/>
  <c r="F10" i="9"/>
  <c r="H38" i="10"/>
  <c r="O44" i="10"/>
  <c r="G22" i="9"/>
  <c r="T27" i="11"/>
  <c r="E30" i="9"/>
  <c r="C28" i="8"/>
  <c r="H3" i="10"/>
  <c r="R32" i="11"/>
  <c r="C38" i="9"/>
  <c r="K43" i="10"/>
  <c r="U4" i="3"/>
  <c r="P43" i="10"/>
  <c r="P26" i="10"/>
  <c r="C44" i="10"/>
  <c r="C17" i="9"/>
  <c r="K23" i="3"/>
  <c r="F43" i="10"/>
  <c r="I39" i="9"/>
  <c r="H44" i="10"/>
  <c r="H21" i="11"/>
  <c r="I38" i="10"/>
  <c r="Q39" i="8"/>
  <c r="K10" i="9"/>
  <c r="U37" i="11"/>
  <c r="D36" i="8"/>
  <c r="D35" i="8"/>
  <c r="F35" i="11"/>
  <c r="P2" i="9"/>
  <c r="Q6" i="11"/>
  <c r="P36" i="9"/>
  <c r="K46" i="10"/>
  <c r="T32" i="11"/>
  <c r="M20" i="10"/>
  <c r="Q25" i="10"/>
  <c r="L40" i="9"/>
  <c r="I8" i="9"/>
  <c r="H45" i="11"/>
  <c r="I14" i="9"/>
  <c r="K18" i="10"/>
  <c r="E5" i="11"/>
  <c r="H46" i="11"/>
  <c r="E37" i="3"/>
  <c r="K16" i="10"/>
  <c r="J8" i="3"/>
  <c r="G16" i="10"/>
  <c r="R40" i="8"/>
  <c r="G4" i="8"/>
  <c r="R39" i="3"/>
  <c r="L29" i="11"/>
  <c r="N31" i="11"/>
  <c r="K26" i="10"/>
  <c r="F31" i="3"/>
  <c r="T11" i="9"/>
  <c r="C15" i="8"/>
  <c r="I16" i="10"/>
  <c r="J40" i="8"/>
  <c r="K46" i="9"/>
  <c r="J34" i="9"/>
  <c r="N30" i="11"/>
  <c r="L32" i="11"/>
  <c r="U30" i="9"/>
  <c r="C30" i="10"/>
  <c r="U4" i="8"/>
  <c r="Q14" i="8"/>
  <c r="U32" i="10"/>
  <c r="O22" i="3"/>
  <c r="F19" i="3"/>
  <c r="S27" i="10"/>
  <c r="L15" i="9"/>
  <c r="R10" i="9"/>
  <c r="P28" i="11"/>
  <c r="J8" i="10"/>
  <c r="D12" i="8"/>
  <c r="M46" i="10"/>
  <c r="R41" i="8"/>
  <c r="D30" i="11"/>
  <c r="T31" i="3"/>
  <c r="S40" i="10"/>
  <c r="L6" i="9"/>
  <c r="M13" i="9"/>
  <c r="D21" i="9"/>
  <c r="I35" i="8"/>
  <c r="G28" i="9"/>
  <c r="N20" i="10"/>
  <c r="M22" i="11"/>
  <c r="Q42" i="11"/>
  <c r="M19" i="10"/>
  <c r="R46" i="9"/>
  <c r="R42" i="8"/>
  <c r="C29" i="8"/>
  <c r="J39" i="3"/>
  <c r="H3" i="8"/>
  <c r="S8" i="9"/>
  <c r="U37" i="3"/>
  <c r="C33" i="8"/>
  <c r="L32" i="3"/>
  <c r="Q21" i="3"/>
  <c r="T22" i="9"/>
  <c r="Q42" i="9"/>
  <c r="S7" i="10"/>
  <c r="U37" i="9"/>
  <c r="H10" i="11"/>
  <c r="D20" i="10"/>
  <c r="Q27" i="10"/>
  <c r="M34" i="8"/>
  <c r="P36" i="8"/>
  <c r="M28" i="10"/>
  <c r="T30" i="10"/>
  <c r="H8" i="10"/>
  <c r="E23" i="11"/>
  <c r="R38" i="3"/>
  <c r="U23" i="3"/>
  <c r="R2" i="8"/>
  <c r="U31" i="10"/>
  <c r="E21" i="9"/>
  <c r="S39" i="11"/>
  <c r="N6" i="11"/>
  <c r="I27" i="9"/>
  <c r="K5" i="11"/>
  <c r="M32" i="11"/>
  <c r="U6" i="11"/>
  <c r="H10" i="10"/>
  <c r="R17" i="9"/>
  <c r="N18" i="3"/>
  <c r="I45" i="11"/>
  <c r="U11" i="3"/>
  <c r="N34" i="11"/>
  <c r="Q16" i="8"/>
  <c r="H33" i="9"/>
  <c r="C45" i="10"/>
  <c r="O8" i="11"/>
  <c r="J20" i="9"/>
  <c r="D8" i="10"/>
  <c r="I22" i="11"/>
  <c r="K38" i="11"/>
  <c r="M4" i="11"/>
  <c r="M40" i="9"/>
  <c r="R41" i="3"/>
  <c r="D43" i="9"/>
  <c r="C7" i="8"/>
  <c r="F11" i="9"/>
  <c r="J3" i="3"/>
  <c r="Q13" i="9"/>
  <c r="C43" i="8"/>
  <c r="T16" i="9"/>
  <c r="N26" i="8"/>
  <c r="D18" i="8"/>
  <c r="F21" i="3"/>
  <c r="P34" i="11"/>
  <c r="U27" i="10"/>
  <c r="L38" i="8"/>
  <c r="C5" i="8"/>
  <c r="O4" i="8"/>
  <c r="S33" i="3"/>
  <c r="D17" i="3"/>
  <c r="U17" i="3"/>
  <c r="U40" i="9"/>
  <c r="M19" i="8"/>
  <c r="T4" i="11"/>
  <c r="E5" i="3"/>
  <c r="E29" i="9"/>
  <c r="F17" i="8"/>
  <c r="L14" i="8"/>
  <c r="G30" i="8"/>
  <c r="R2" i="9"/>
  <c r="K46" i="11"/>
  <c r="C34" i="10"/>
  <c r="Q8" i="9"/>
  <c r="K29" i="9"/>
  <c r="K20" i="8"/>
  <c r="C10" i="8"/>
  <c r="N30" i="9"/>
  <c r="R37" i="3"/>
  <c r="L17" i="3"/>
  <c r="Q32" i="9"/>
  <c r="T39" i="10"/>
  <c r="J10" i="9"/>
  <c r="K15" i="3"/>
  <c r="D38" i="11"/>
  <c r="U19" i="9"/>
  <c r="J29" i="8"/>
  <c r="G44" i="10"/>
  <c r="H8" i="11"/>
  <c r="N39" i="9"/>
  <c r="I22" i="10"/>
  <c r="O13" i="10"/>
  <c r="U27" i="11"/>
  <c r="O21" i="3"/>
  <c r="K16" i="8"/>
  <c r="T15" i="10"/>
  <c r="U27" i="9"/>
  <c r="Q45" i="8"/>
  <c r="Q25" i="8"/>
  <c r="G17" i="8"/>
  <c r="D8" i="3"/>
  <c r="O39" i="3"/>
  <c r="K12" i="9"/>
  <c r="S28" i="10"/>
  <c r="L37" i="3"/>
  <c r="M41" i="10"/>
  <c r="C9" i="8"/>
  <c r="I31" i="9"/>
  <c r="I6" i="3"/>
  <c r="K8" i="10"/>
  <c r="N40" i="9"/>
  <c r="N15" i="11"/>
  <c r="U28" i="3"/>
  <c r="H22" i="9"/>
  <c r="C40" i="9"/>
  <c r="R23" i="8"/>
  <c r="H43" i="3"/>
  <c r="P27" i="9"/>
  <c r="P44" i="10"/>
  <c r="U13" i="8"/>
  <c r="J46" i="3"/>
  <c r="H34" i="8"/>
  <c r="I32" i="8"/>
  <c r="D19" i="3"/>
  <c r="O20" i="8"/>
  <c r="T9" i="8"/>
  <c r="T9" i="9"/>
  <c r="Q27" i="8"/>
  <c r="I35" i="11"/>
  <c r="U23" i="8"/>
  <c r="F5" i="9"/>
  <c r="C11" i="8"/>
  <c r="F10" i="11"/>
  <c r="F13" i="10"/>
  <c r="D2" i="10"/>
  <c r="S10" i="11"/>
  <c r="R23" i="9"/>
  <c r="R20" i="11"/>
  <c r="N13" i="9"/>
  <c r="C36" i="11"/>
  <c r="C6" i="9"/>
  <c r="O32" i="11"/>
  <c r="O21" i="11"/>
  <c r="N43" i="8"/>
  <c r="H27" i="3"/>
  <c r="D26" i="3"/>
  <c r="T20" i="10"/>
  <c r="P5" i="10"/>
  <c r="K42" i="9"/>
  <c r="O2" i="10"/>
  <c r="D22" i="8"/>
  <c r="G9" i="11"/>
  <c r="N42" i="10"/>
  <c r="S33" i="10"/>
  <c r="L18" i="11"/>
  <c r="Q19" i="9"/>
  <c r="T18" i="9"/>
  <c r="U27" i="8"/>
  <c r="P42" i="10"/>
  <c r="S15" i="10"/>
  <c r="G12" i="9"/>
  <c r="T41" i="3"/>
  <c r="E12" i="3"/>
  <c r="C33" i="10"/>
  <c r="D25" i="8"/>
  <c r="F39" i="9"/>
  <c r="H42" i="9"/>
  <c r="D4" i="10"/>
  <c r="C29" i="10"/>
  <c r="J9" i="9"/>
  <c r="Q40" i="11"/>
  <c r="M33" i="8"/>
  <c r="L12" i="9"/>
  <c r="J18" i="3"/>
  <c r="E8" i="10"/>
  <c r="F16" i="9"/>
  <c r="C38" i="10"/>
  <c r="C13" i="8"/>
  <c r="H20" i="10"/>
  <c r="F31" i="8"/>
  <c r="E30" i="3"/>
  <c r="D45" i="8"/>
  <c r="N6" i="3"/>
  <c r="M15" i="10"/>
  <c r="G19" i="3"/>
  <c r="N22" i="9"/>
  <c r="T15" i="3"/>
  <c r="I38" i="3"/>
  <c r="I44" i="8"/>
  <c r="O33" i="8"/>
  <c r="K9" i="8"/>
  <c r="Q12" i="11"/>
  <c r="N28" i="8"/>
  <c r="G28" i="3"/>
  <c r="S16" i="10"/>
  <c r="D3" i="9"/>
  <c r="N20" i="8"/>
  <c r="H44" i="9"/>
  <c r="U5" i="9"/>
  <c r="E22" i="11"/>
  <c r="D25" i="9"/>
  <c r="O37" i="8"/>
  <c r="N18" i="8"/>
  <c r="T40" i="9"/>
  <c r="U19" i="3"/>
  <c r="E33" i="8"/>
  <c r="N30" i="8"/>
  <c r="U7" i="8"/>
  <c r="K44" i="3"/>
  <c r="H17" i="10"/>
  <c r="P13" i="9"/>
  <c r="H37" i="8"/>
  <c r="J45" i="10"/>
  <c r="S32" i="11"/>
  <c r="H5" i="11"/>
  <c r="E34" i="3"/>
  <c r="Q17" i="11"/>
  <c r="L17" i="9"/>
  <c r="S17" i="8"/>
  <c r="O46" i="9"/>
  <c r="G39" i="8"/>
  <c r="C15" i="10"/>
  <c r="P22" i="3"/>
  <c r="L30" i="9"/>
  <c r="K23" i="9"/>
  <c r="I6" i="8"/>
  <c r="P18" i="3"/>
  <c r="G27" i="8"/>
  <c r="S11" i="10"/>
  <c r="U25" i="8"/>
  <c r="S28" i="9"/>
  <c r="F11" i="11"/>
  <c r="F22" i="10"/>
  <c r="K39" i="11"/>
  <c r="E20" i="10"/>
  <c r="U19" i="8"/>
  <c r="O46" i="10"/>
  <c r="S42" i="10"/>
  <c r="S27" i="8"/>
  <c r="J20" i="11"/>
  <c r="H36" i="10"/>
  <c r="R22" i="8"/>
  <c r="U6" i="8"/>
  <c r="N23" i="8"/>
  <c r="R10" i="11"/>
  <c r="I6" i="9"/>
  <c r="J45" i="11"/>
  <c r="P32" i="8"/>
  <c r="R39" i="8"/>
  <c r="P22" i="10"/>
  <c r="I34" i="11"/>
  <c r="F26" i="8"/>
  <c r="K42" i="3"/>
  <c r="S32" i="9"/>
  <c r="D27" i="8"/>
  <c r="L13" i="9"/>
  <c r="P9" i="8"/>
  <c r="C21" i="10"/>
  <c r="U8" i="8"/>
  <c r="G14" i="8"/>
  <c r="Q40" i="9"/>
  <c r="S16" i="9"/>
  <c r="P29" i="9"/>
  <c r="F21" i="9"/>
  <c r="K5" i="8"/>
  <c r="T39" i="3"/>
  <c r="R44" i="8"/>
  <c r="O23" i="3"/>
  <c r="I3" i="3"/>
  <c r="I18" i="3"/>
  <c r="C43" i="3"/>
  <c r="S6" i="9"/>
  <c r="I16" i="8"/>
  <c r="N3" i="9"/>
  <c r="S34" i="9"/>
  <c r="J36" i="11"/>
  <c r="M11" i="3"/>
  <c r="I14" i="3"/>
  <c r="D22" i="3"/>
  <c r="S39" i="9"/>
  <c r="J14" i="11"/>
  <c r="S29" i="8"/>
  <c r="U41" i="3"/>
  <c r="N11" i="8"/>
  <c r="O4" i="3"/>
  <c r="Q17" i="3"/>
  <c r="Q34" i="3"/>
  <c r="G30" i="3"/>
  <c r="E11" i="11"/>
  <c r="E17" i="3"/>
  <c r="H13" i="10"/>
  <c r="N5" i="8"/>
  <c r="H38" i="3"/>
  <c r="U17" i="8"/>
  <c r="U18" i="8"/>
  <c r="N13" i="8"/>
  <c r="M23" i="11"/>
  <c r="U44" i="3"/>
  <c r="I21" i="8"/>
  <c r="J2" i="10"/>
  <c r="M27" i="8"/>
  <c r="L8" i="3"/>
  <c r="M19" i="9"/>
  <c r="L44" i="9"/>
  <c r="O13" i="3"/>
  <c r="R42" i="9"/>
  <c r="D16" i="3"/>
  <c r="S2" i="10"/>
  <c r="J23" i="10"/>
  <c r="P30" i="8"/>
  <c r="J6" i="10"/>
  <c r="Q19" i="8"/>
  <c r="S2" i="9"/>
  <c r="K16" i="3"/>
  <c r="G34" i="8"/>
  <c r="T13" i="9"/>
  <c r="L6" i="3"/>
  <c r="R8" i="3"/>
  <c r="J44" i="8"/>
  <c r="Q10" i="9"/>
  <c r="H21" i="3"/>
  <c r="T20" i="9"/>
  <c r="I3" i="10"/>
  <c r="N45" i="3"/>
  <c r="D11" i="8"/>
  <c r="I15" i="3"/>
  <c r="L15" i="8"/>
  <c r="L3" i="8"/>
  <c r="K15" i="8"/>
  <c r="H14" i="11"/>
  <c r="F45" i="8"/>
  <c r="N22" i="3"/>
  <c r="F33" i="11"/>
  <c r="P14" i="8"/>
  <c r="E20" i="3"/>
  <c r="K10" i="8"/>
  <c r="Q45" i="3"/>
  <c r="J30" i="3"/>
  <c r="R43" i="8"/>
  <c r="D10" i="3"/>
  <c r="S21" i="9"/>
  <c r="T21" i="3"/>
  <c r="T45" i="8"/>
  <c r="M4" i="9"/>
  <c r="T44" i="3"/>
  <c r="L41" i="3"/>
  <c r="L28" i="8"/>
  <c r="M13" i="3"/>
  <c r="P38" i="8"/>
  <c r="C8" i="9"/>
  <c r="U14" i="3"/>
  <c r="J11" i="3"/>
  <c r="D37" i="8"/>
  <c r="Q17" i="9"/>
  <c r="I16" i="9"/>
  <c r="Q45" i="9"/>
  <c r="L26" i="9"/>
  <c r="P21" i="8"/>
  <c r="N16" i="3"/>
  <c r="P34" i="3"/>
  <c r="D26" i="9"/>
  <c r="Q40" i="8"/>
  <c r="L9" i="3"/>
  <c r="Q28" i="10"/>
  <c r="U36" i="9"/>
  <c r="I14" i="10"/>
  <c r="G19" i="9"/>
  <c r="N11" i="10"/>
  <c r="L10" i="8"/>
  <c r="U29" i="9"/>
  <c r="F27" i="3"/>
  <c r="M8" i="8"/>
  <c r="G35" i="8"/>
  <c r="Q4" i="3"/>
  <c r="F18" i="9"/>
  <c r="I4" i="8"/>
  <c r="K29" i="3"/>
  <c r="P23" i="8"/>
  <c r="O39" i="8"/>
  <c r="M16" i="8"/>
  <c r="S26" i="9"/>
  <c r="D6" i="8"/>
  <c r="Q10" i="3"/>
  <c r="M10" i="9"/>
  <c r="H18" i="3"/>
  <c r="G20" i="8"/>
  <c r="F46" i="8"/>
  <c r="G8" i="8"/>
  <c r="F35" i="3"/>
  <c r="Q29" i="3"/>
  <c r="S8" i="11"/>
  <c r="O31" i="9"/>
  <c r="T2" i="8"/>
  <c r="P44" i="9"/>
  <c r="O2" i="8"/>
  <c r="H18" i="8"/>
  <c r="M21" i="3"/>
  <c r="E17" i="9"/>
  <c r="L16" i="11"/>
  <c r="P7" i="3"/>
  <c r="S46" i="8"/>
  <c r="M9" i="11"/>
  <c r="L41" i="8"/>
  <c r="D21" i="11"/>
  <c r="T40" i="10"/>
  <c r="T7" i="11"/>
  <c r="U12" i="8"/>
  <c r="P4" i="3"/>
  <c r="N23" i="3"/>
  <c r="M44" i="11"/>
  <c r="D3" i="10"/>
  <c r="S36" i="10"/>
  <c r="H27" i="9"/>
  <c r="O44" i="3"/>
  <c r="Q44" i="8"/>
  <c r="L13" i="3"/>
  <c r="D16" i="11"/>
  <c r="P15" i="10"/>
  <c r="M25" i="9"/>
  <c r="U20" i="3"/>
  <c r="D3" i="3"/>
  <c r="I7" i="9"/>
  <c r="F37" i="9"/>
  <c r="U34" i="9"/>
  <c r="N45" i="11"/>
  <c r="R28" i="10"/>
  <c r="N9" i="3"/>
  <c r="R6" i="3"/>
  <c r="O10" i="9"/>
  <c r="K28" i="3"/>
  <c r="M12" i="8"/>
  <c r="F7" i="9"/>
  <c r="R7" i="3"/>
  <c r="S9" i="10"/>
  <c r="K39" i="10"/>
  <c r="N41" i="9"/>
  <c r="O41" i="3"/>
  <c r="P37" i="11"/>
  <c r="I33" i="9"/>
  <c r="G37" i="8"/>
  <c r="R34" i="10"/>
  <c r="F13" i="11"/>
  <c r="M16" i="9"/>
  <c r="K35" i="3"/>
  <c r="R19" i="9"/>
  <c r="R6" i="8"/>
  <c r="D36" i="11"/>
  <c r="Q25" i="11"/>
  <c r="J6" i="11"/>
  <c r="M44" i="10"/>
  <c r="P8" i="8"/>
  <c r="I13" i="3"/>
  <c r="C33" i="3"/>
  <c r="M33" i="11"/>
  <c r="P45" i="9"/>
  <c r="O27" i="11"/>
  <c r="M30" i="10"/>
  <c r="D31" i="11"/>
  <c r="T27" i="3"/>
  <c r="U13" i="3"/>
  <c r="H16" i="8"/>
  <c r="M9" i="10"/>
  <c r="M41" i="11"/>
  <c r="E18" i="8"/>
  <c r="D17" i="9"/>
  <c r="I12" i="3"/>
  <c r="C17" i="8"/>
  <c r="K14" i="11"/>
  <c r="K26" i="8"/>
  <c r="M6" i="9"/>
  <c r="O8" i="9"/>
  <c r="C28" i="9"/>
  <c r="H41" i="8"/>
  <c r="L18" i="9"/>
  <c r="C37" i="8"/>
  <c r="M36" i="11"/>
  <c r="P35" i="9"/>
  <c r="J13" i="9"/>
  <c r="K4" i="3"/>
  <c r="T39" i="9"/>
  <c r="U43" i="9"/>
  <c r="K12" i="11"/>
  <c r="I46" i="9"/>
  <c r="I30" i="9"/>
  <c r="J43" i="10"/>
  <c r="M10" i="3"/>
  <c r="P46" i="9"/>
  <c r="J6" i="9"/>
  <c r="Q27" i="11"/>
  <c r="O13" i="9"/>
  <c r="P43" i="9"/>
  <c r="F3" i="3"/>
  <c r="T7" i="10"/>
  <c r="D14" i="10"/>
  <c r="C42" i="3"/>
  <c r="H4" i="8"/>
  <c r="D46" i="3"/>
  <c r="U36" i="11"/>
  <c r="U20" i="10"/>
  <c r="M33" i="10"/>
  <c r="U46" i="8"/>
  <c r="L42" i="8"/>
  <c r="K20" i="9"/>
  <c r="O40" i="8"/>
  <c r="F4" i="3"/>
  <c r="S29" i="3"/>
  <c r="E12" i="10"/>
  <c r="S17" i="3"/>
  <c r="H7" i="10"/>
  <c r="M7" i="3"/>
  <c r="N10" i="8"/>
  <c r="E19" i="9"/>
  <c r="J46" i="10"/>
  <c r="K16" i="11"/>
  <c r="F31" i="9"/>
  <c r="N27" i="11"/>
  <c r="Q3" i="8"/>
  <c r="E2" i="8"/>
  <c r="O33" i="3"/>
  <c r="K32" i="3"/>
  <c r="L23" i="8"/>
  <c r="D28" i="9"/>
  <c r="P10" i="9"/>
  <c r="O27" i="8"/>
  <c r="G38" i="3"/>
  <c r="R21" i="3"/>
  <c r="Q7" i="3"/>
  <c r="K27" i="9"/>
  <c r="C45" i="8"/>
  <c r="N10" i="10"/>
  <c r="J33" i="10"/>
  <c r="G33" i="8"/>
  <c r="R10" i="8"/>
  <c r="J44" i="3"/>
  <c r="S26" i="8"/>
  <c r="K33" i="9"/>
  <c r="U32" i="8"/>
  <c r="K45" i="8"/>
  <c r="T8" i="3"/>
  <c r="P35" i="3"/>
  <c r="H15" i="8"/>
  <c r="C38" i="3"/>
  <c r="Q15" i="9"/>
  <c r="H31" i="8"/>
  <c r="J43" i="3"/>
  <c r="U44" i="9"/>
  <c r="O26" i="3"/>
  <c r="H9" i="10"/>
  <c r="R37" i="8"/>
  <c r="T3" i="3"/>
  <c r="M15" i="11"/>
  <c r="N29" i="9"/>
  <c r="D29" i="8"/>
  <c r="S23" i="3"/>
  <c r="L23" i="3"/>
  <c r="K6" i="3"/>
  <c r="L27" i="3"/>
  <c r="G23" i="3"/>
  <c r="E31" i="8"/>
  <c r="S38" i="3"/>
  <c r="U32" i="3"/>
  <c r="E43" i="3"/>
  <c r="E34" i="8"/>
  <c r="C28" i="3"/>
  <c r="J42" i="8"/>
  <c r="N14" i="9"/>
  <c r="C21" i="3"/>
  <c r="S41" i="9"/>
  <c r="J38" i="9"/>
  <c r="O29" i="10"/>
  <c r="T30" i="8"/>
  <c r="F40" i="8"/>
  <c r="Q23" i="3"/>
  <c r="U20" i="8"/>
  <c r="M35" i="3"/>
  <c r="O35" i="8"/>
  <c r="M41" i="3"/>
  <c r="L7" i="8"/>
  <c r="E9" i="10"/>
  <c r="L4" i="9"/>
  <c r="N17" i="8"/>
  <c r="L16" i="8"/>
  <c r="I16" i="3"/>
  <c r="L37" i="9"/>
  <c r="P4" i="8"/>
  <c r="I29" i="9"/>
  <c r="J10" i="11"/>
  <c r="H13" i="3"/>
  <c r="G18" i="10"/>
  <c r="F20" i="11"/>
  <c r="L21" i="3"/>
  <c r="K31" i="9"/>
  <c r="H10" i="3"/>
  <c r="C9" i="3"/>
  <c r="Q42" i="8"/>
  <c r="G7" i="3"/>
  <c r="K2" i="10"/>
  <c r="T16" i="3"/>
  <c r="H45" i="8"/>
  <c r="N14" i="3"/>
  <c r="P12" i="8"/>
  <c r="G31" i="8"/>
  <c r="F9" i="8"/>
  <c r="F18" i="3"/>
  <c r="Q43" i="3"/>
  <c r="T28" i="9"/>
  <c r="C21" i="9"/>
  <c r="D37" i="3"/>
  <c r="I7" i="8"/>
  <c r="E45" i="3"/>
  <c r="J4" i="8"/>
  <c r="I42" i="8"/>
  <c r="N4" i="3"/>
  <c r="E19" i="10"/>
  <c r="E39" i="8"/>
  <c r="M8" i="11"/>
  <c r="G32" i="3"/>
  <c r="L32" i="8"/>
  <c r="R12" i="10"/>
  <c r="F8" i="11"/>
  <c r="D15" i="8"/>
  <c r="O45" i="9"/>
  <c r="G28" i="8"/>
  <c r="J38" i="3"/>
  <c r="E40" i="10"/>
  <c r="T3" i="9"/>
  <c r="O14" i="11"/>
  <c r="G15" i="8"/>
  <c r="D39" i="3"/>
  <c r="G11" i="9"/>
  <c r="U30" i="11"/>
  <c r="L33" i="3"/>
  <c r="C21" i="8"/>
  <c r="R19" i="3"/>
  <c r="N12" i="11"/>
  <c r="Q22" i="10"/>
  <c r="D33" i="9"/>
  <c r="Q27" i="9"/>
  <c r="E2" i="11"/>
  <c r="J46" i="8"/>
  <c r="Q6" i="8"/>
  <c r="H15" i="9"/>
  <c r="E15" i="3"/>
  <c r="R40" i="9"/>
  <c r="M2" i="11"/>
  <c r="N34" i="9"/>
  <c r="L9" i="8"/>
  <c r="M40" i="3"/>
  <c r="H35" i="10"/>
  <c r="L22" i="8"/>
  <c r="K4" i="8"/>
  <c r="I41" i="11"/>
  <c r="O43" i="9"/>
  <c r="F40" i="3"/>
  <c r="J31" i="3"/>
  <c r="I11" i="9"/>
  <c r="U33" i="10"/>
  <c r="E31" i="10"/>
  <c r="S41" i="10"/>
  <c r="S18" i="11"/>
  <c r="R30" i="11"/>
  <c r="H30" i="10"/>
  <c r="U45" i="3"/>
  <c r="K7" i="11"/>
  <c r="K22" i="8"/>
  <c r="G25" i="10"/>
  <c r="G32" i="9"/>
  <c r="J6" i="8"/>
  <c r="G13" i="11"/>
  <c r="G31" i="11"/>
  <c r="P32" i="9"/>
  <c r="D23" i="9"/>
  <c r="M26" i="8"/>
  <c r="Q14" i="11"/>
  <c r="I11" i="10"/>
  <c r="O34" i="10"/>
  <c r="M36" i="9"/>
  <c r="E46" i="9"/>
  <c r="J5" i="10"/>
  <c r="D5" i="8"/>
  <c r="S6" i="3"/>
  <c r="S25" i="9"/>
  <c r="D40" i="9"/>
  <c r="O38" i="8"/>
  <c r="U12" i="3"/>
  <c r="J16" i="9"/>
  <c r="J37" i="10"/>
  <c r="C23" i="11"/>
  <c r="H23" i="3"/>
  <c r="C20" i="10"/>
  <c r="U26" i="9"/>
  <c r="G39" i="3"/>
  <c r="M21" i="11"/>
  <c r="E14" i="9"/>
  <c r="K36" i="10"/>
  <c r="C17" i="10"/>
  <c r="E11" i="9"/>
  <c r="G26" i="9"/>
  <c r="M34" i="9"/>
  <c r="O7" i="3"/>
  <c r="H40" i="9"/>
  <c r="E44" i="10"/>
  <c r="G40" i="8"/>
  <c r="M5" i="11"/>
  <c r="D41" i="9"/>
  <c r="Q16" i="10"/>
  <c r="H17" i="8"/>
  <c r="H11" i="8"/>
  <c r="R43" i="3"/>
  <c r="R36" i="9"/>
  <c r="O14" i="3"/>
  <c r="U42" i="3"/>
  <c r="T25" i="9"/>
  <c r="H8" i="8"/>
  <c r="G31" i="3"/>
  <c r="J36" i="8"/>
  <c r="H45" i="3"/>
  <c r="M35" i="11"/>
  <c r="Q8" i="11"/>
  <c r="E10" i="9"/>
  <c r="N43" i="11"/>
  <c r="H8" i="9"/>
  <c r="I33" i="3"/>
  <c r="H20" i="8"/>
  <c r="S20" i="9"/>
  <c r="G21" i="8"/>
  <c r="J8" i="11"/>
  <c r="P27" i="10"/>
  <c r="D32" i="8"/>
  <c r="I20" i="9"/>
  <c r="T7" i="8"/>
  <c r="I17" i="8"/>
  <c r="F27" i="9"/>
  <c r="S17" i="9"/>
  <c r="M39" i="9"/>
  <c r="L32" i="10"/>
  <c r="J15" i="3"/>
  <c r="C5" i="9"/>
  <c r="D34" i="8"/>
  <c r="N36" i="3"/>
  <c r="D46" i="8"/>
  <c r="M43" i="9"/>
  <c r="P13" i="8"/>
  <c r="Q4" i="11"/>
  <c r="G11" i="3"/>
  <c r="I25" i="11"/>
  <c r="U14" i="8"/>
  <c r="I40" i="11"/>
  <c r="G11" i="10"/>
  <c r="I39" i="3"/>
  <c r="T30" i="3"/>
  <c r="G10" i="9"/>
  <c r="I9" i="8"/>
  <c r="S20" i="8"/>
  <c r="S14" i="8"/>
  <c r="U39" i="10"/>
  <c r="F42" i="3"/>
  <c r="F43" i="8"/>
  <c r="K34" i="8"/>
  <c r="I31" i="10"/>
  <c r="C20" i="3"/>
  <c r="N31" i="3"/>
  <c r="J15" i="11"/>
  <c r="M9" i="3"/>
  <c r="I33" i="8"/>
  <c r="R9" i="8"/>
  <c r="J42" i="11"/>
  <c r="R17" i="8"/>
  <c r="R6" i="9"/>
  <c r="U36" i="8"/>
  <c r="U9" i="8"/>
  <c r="I13" i="9"/>
  <c r="U6" i="3"/>
  <c r="G9" i="8"/>
  <c r="P20" i="8"/>
  <c r="M11" i="8"/>
  <c r="H28" i="3"/>
  <c r="O12" i="8"/>
  <c r="N28" i="11"/>
  <c r="N46" i="3"/>
  <c r="E22" i="9"/>
  <c r="Q29" i="8"/>
  <c r="R30" i="8"/>
  <c r="L42" i="3"/>
  <c r="S14" i="3"/>
  <c r="D10" i="8"/>
  <c r="C12" i="9"/>
  <c r="U13" i="9"/>
  <c r="N2" i="11"/>
  <c r="E21" i="11"/>
  <c r="H31" i="11"/>
  <c r="N37" i="3"/>
  <c r="O26" i="9"/>
  <c r="G32" i="8"/>
  <c r="M28" i="3"/>
  <c r="I42" i="9"/>
  <c r="E4" i="9"/>
  <c r="O20" i="9"/>
  <c r="O15" i="3"/>
  <c r="I35" i="9"/>
  <c r="D37" i="9"/>
  <c r="P27" i="8"/>
  <c r="L3" i="3"/>
  <c r="M12" i="9"/>
  <c r="J37" i="9"/>
  <c r="R22" i="9"/>
  <c r="O21" i="8"/>
  <c r="K23" i="8"/>
  <c r="G20" i="9"/>
  <c r="S43" i="3"/>
  <c r="S8" i="3"/>
  <c r="J37" i="3"/>
  <c r="N15" i="8"/>
  <c r="P5" i="3"/>
  <c r="E32" i="8"/>
  <c r="J21" i="9"/>
  <c r="M19" i="3"/>
  <c r="Q43" i="9"/>
  <c r="Q46" i="8"/>
  <c r="Q36" i="10"/>
  <c r="M21" i="8"/>
  <c r="Q15" i="8"/>
  <c r="S28" i="3"/>
  <c r="G41" i="8"/>
  <c r="C18" i="9"/>
  <c r="U19" i="11"/>
  <c r="R18" i="3"/>
  <c r="U21" i="3"/>
  <c r="H6" i="9"/>
  <c r="J8" i="8"/>
  <c r="O46" i="11"/>
  <c r="S12" i="3"/>
  <c r="H42" i="10"/>
  <c r="F15" i="3"/>
  <c r="M46" i="3"/>
  <c r="D33" i="3"/>
  <c r="R3" i="3"/>
  <c r="L28" i="3"/>
  <c r="D8" i="8"/>
  <c r="C31" i="9"/>
  <c r="Q43" i="8"/>
  <c r="E20" i="9"/>
  <c r="D2" i="9"/>
  <c r="N5" i="9"/>
  <c r="H4" i="10"/>
  <c r="N38" i="11"/>
  <c r="H5" i="9"/>
  <c r="S3" i="10"/>
  <c r="I10" i="8"/>
  <c r="K26" i="3"/>
  <c r="F23" i="3"/>
  <c r="J20" i="10"/>
  <c r="S38" i="8"/>
  <c r="P3" i="3"/>
  <c r="I33" i="10"/>
  <c r="F22" i="8"/>
  <c r="E28" i="9"/>
  <c r="I27" i="10"/>
  <c r="F7" i="8"/>
  <c r="L4" i="8"/>
  <c r="N41" i="3"/>
  <c r="K28" i="9"/>
  <c r="I44" i="9"/>
  <c r="S46" i="3"/>
  <c r="Q31" i="8"/>
  <c r="J31" i="8"/>
  <c r="U3" i="9"/>
  <c r="I31" i="11"/>
  <c r="J4" i="10"/>
  <c r="H46" i="3"/>
  <c r="D29" i="9"/>
  <c r="U35" i="3"/>
  <c r="G29" i="10"/>
  <c r="F46" i="9"/>
  <c r="K23" i="11"/>
  <c r="N19" i="3"/>
  <c r="E38" i="10"/>
  <c r="H35" i="8"/>
  <c r="J35" i="10"/>
  <c r="U20" i="9"/>
  <c r="G26" i="8"/>
  <c r="U46" i="3"/>
  <c r="D15" i="9"/>
  <c r="C46" i="9"/>
  <c r="G4" i="10"/>
  <c r="G25" i="9"/>
  <c r="S21" i="3"/>
  <c r="Q9" i="3"/>
  <c r="S15" i="9"/>
  <c r="P7" i="8"/>
  <c r="K17" i="3"/>
  <c r="E39" i="9"/>
  <c r="H3" i="9"/>
  <c r="P15" i="3"/>
  <c r="K21" i="8"/>
  <c r="M46" i="8"/>
  <c r="O17" i="9"/>
  <c r="U7" i="9"/>
  <c r="F42" i="8"/>
  <c r="O43" i="3"/>
  <c r="G27" i="10"/>
  <c r="E18" i="10"/>
  <c r="J44" i="11"/>
  <c r="P34" i="9"/>
  <c r="H32" i="11"/>
  <c r="F14" i="3"/>
  <c r="C10" i="11"/>
  <c r="I41" i="3"/>
  <c r="O28" i="3"/>
  <c r="S44" i="9"/>
  <c r="D27" i="11"/>
  <c r="E27" i="11"/>
  <c r="L9" i="10"/>
  <c r="L45" i="11"/>
  <c r="R26" i="3"/>
  <c r="S3" i="8"/>
  <c r="K27" i="10"/>
  <c r="P17" i="10"/>
  <c r="P38" i="3"/>
  <c r="U11" i="9"/>
  <c r="G20" i="10"/>
  <c r="E14" i="11"/>
  <c r="E9" i="3"/>
  <c r="Q27" i="3"/>
  <c r="Q34" i="8"/>
  <c r="T31" i="8"/>
  <c r="O8" i="8"/>
  <c r="C40" i="8"/>
  <c r="M26" i="11"/>
  <c r="D23" i="3"/>
  <c r="C19" i="8"/>
  <c r="F34" i="11"/>
  <c r="Q18" i="3"/>
  <c r="R41" i="11"/>
  <c r="G23" i="8"/>
  <c r="D20" i="9"/>
  <c r="C45" i="9"/>
  <c r="I4" i="3"/>
  <c r="F30" i="8"/>
  <c r="Q39" i="3"/>
  <c r="Q3" i="9"/>
  <c r="T20" i="3"/>
  <c r="H5" i="3"/>
  <c r="N10" i="9"/>
  <c r="Q26" i="9"/>
  <c r="H3" i="3"/>
  <c r="L43" i="9"/>
  <c r="R22" i="3"/>
  <c r="T37" i="8"/>
  <c r="I36" i="11"/>
  <c r="D35" i="3"/>
  <c r="E42" i="9"/>
  <c r="O15" i="10"/>
  <c r="G7" i="9"/>
  <c r="I28" i="8"/>
  <c r="Q26" i="11"/>
  <c r="E35" i="9"/>
  <c r="F33" i="8"/>
  <c r="P6" i="3"/>
  <c r="J10" i="10"/>
  <c r="F3" i="9"/>
  <c r="N28" i="3"/>
  <c r="T10" i="3"/>
  <c r="M29" i="3"/>
  <c r="O3" i="3"/>
  <c r="K28" i="8"/>
  <c r="C23" i="8"/>
  <c r="T4" i="8"/>
  <c r="J46" i="9"/>
  <c r="R10" i="3"/>
  <c r="S36" i="9"/>
  <c r="M12" i="3"/>
  <c r="K43" i="11"/>
  <c r="G36" i="10"/>
  <c r="P17" i="11"/>
  <c r="D26" i="8"/>
  <c r="U37" i="8"/>
  <c r="U33" i="8"/>
  <c r="L18" i="3"/>
  <c r="U18" i="9"/>
  <c r="O13" i="8"/>
  <c r="S31" i="3"/>
  <c r="P45" i="3"/>
  <c r="F29" i="3"/>
  <c r="M38" i="8"/>
  <c r="P11" i="9"/>
  <c r="D22" i="9"/>
  <c r="K30" i="9"/>
  <c r="D42" i="9"/>
  <c r="T27" i="9"/>
  <c r="Q35" i="3"/>
  <c r="H42" i="3"/>
  <c r="K35" i="8"/>
  <c r="R25" i="9"/>
  <c r="M42" i="3"/>
  <c r="P28" i="9"/>
  <c r="J29" i="10"/>
  <c r="O28" i="8"/>
  <c r="P30" i="3"/>
  <c r="T14" i="9"/>
  <c r="M25" i="11"/>
  <c r="R34" i="9"/>
  <c r="T40" i="3"/>
  <c r="I4" i="9"/>
  <c r="I45" i="9"/>
  <c r="D34" i="9"/>
  <c r="R5" i="3"/>
  <c r="F32" i="8"/>
  <c r="S7" i="9"/>
  <c r="S21" i="10"/>
  <c r="R36" i="8"/>
  <c r="N41" i="8"/>
  <c r="H26" i="3"/>
  <c r="J18" i="8"/>
  <c r="F27" i="8"/>
  <c r="L37" i="8"/>
  <c r="H2" i="10"/>
  <c r="N7" i="8"/>
  <c r="D13" i="9"/>
  <c r="K13" i="10"/>
  <c r="E41" i="9"/>
  <c r="C36" i="8"/>
  <c r="G14" i="3"/>
  <c r="N31" i="8"/>
  <c r="F6" i="3"/>
  <c r="L35" i="8"/>
  <c r="T30" i="9"/>
  <c r="Q45" i="11"/>
  <c r="R13" i="9"/>
  <c r="H6" i="3"/>
  <c r="T10" i="10"/>
  <c r="I20" i="10"/>
  <c r="Q4" i="10"/>
  <c r="L4" i="3"/>
  <c r="K6" i="8"/>
  <c r="T22" i="8"/>
  <c r="C32" i="8"/>
  <c r="M41" i="8"/>
  <c r="I17" i="3"/>
  <c r="U42" i="10"/>
  <c r="T44" i="9"/>
  <c r="E46" i="3"/>
  <c r="Q46" i="3"/>
  <c r="P8" i="9"/>
  <c r="E32" i="9"/>
  <c r="G37" i="3"/>
  <c r="R18" i="8"/>
  <c r="L5" i="8"/>
  <c r="G3" i="8"/>
  <c r="S23" i="8"/>
  <c r="K38" i="10"/>
  <c r="E37" i="9"/>
  <c r="K30" i="8"/>
  <c r="K19" i="9"/>
  <c r="K17" i="8"/>
  <c r="H38" i="8"/>
  <c r="H43" i="8"/>
  <c r="F26" i="10"/>
  <c r="Q9" i="8"/>
  <c r="P28" i="8"/>
  <c r="L34" i="9"/>
  <c r="Q4" i="9"/>
  <c r="E27" i="8"/>
  <c r="I39" i="8"/>
  <c r="E37" i="8"/>
  <c r="S15" i="3"/>
  <c r="I20" i="8"/>
  <c r="K15" i="10"/>
  <c r="E21" i="3"/>
  <c r="C44" i="3"/>
  <c r="M16" i="3"/>
  <c r="F12" i="9"/>
  <c r="L36" i="8"/>
  <c r="S6" i="8"/>
  <c r="E31" i="3"/>
  <c r="D19" i="9"/>
  <c r="H29" i="3"/>
  <c r="P35" i="11"/>
  <c r="F15" i="11"/>
  <c r="K20" i="3"/>
  <c r="L14" i="11"/>
  <c r="U17" i="10"/>
  <c r="T29" i="3"/>
  <c r="S14" i="9"/>
  <c r="I42" i="11"/>
  <c r="J19" i="8"/>
  <c r="S18" i="3"/>
  <c r="N9" i="8"/>
  <c r="P43" i="8"/>
  <c r="U36" i="3"/>
  <c r="O9" i="8"/>
  <c r="S42" i="3"/>
  <c r="K33" i="11"/>
  <c r="F15" i="9"/>
  <c r="S22" i="3"/>
  <c r="J34" i="3"/>
  <c r="I28" i="9"/>
  <c r="I40" i="3"/>
  <c r="H7" i="3"/>
  <c r="U28" i="8"/>
  <c r="O45" i="8"/>
  <c r="C46" i="8"/>
  <c r="H6" i="8"/>
  <c r="P7" i="10"/>
  <c r="F16" i="8"/>
  <c r="R7" i="8"/>
  <c r="O45" i="3"/>
  <c r="I44" i="3"/>
  <c r="N45" i="8"/>
  <c r="S9" i="3"/>
  <c r="K27" i="3"/>
  <c r="J40" i="9"/>
  <c r="F29" i="10"/>
  <c r="D42" i="10"/>
  <c r="E44" i="3"/>
  <c r="G27" i="3"/>
  <c r="F22" i="3"/>
  <c r="L30" i="3"/>
  <c r="K3" i="3"/>
  <c r="E30" i="8"/>
  <c r="M32" i="9"/>
  <c r="U3" i="10"/>
  <c r="N4" i="9"/>
  <c r="P42" i="3"/>
  <c r="G13" i="3"/>
  <c r="R7" i="9"/>
  <c r="H19" i="10"/>
  <c r="P10" i="10"/>
  <c r="S10" i="9"/>
  <c r="I26" i="9"/>
  <c r="J38" i="11"/>
  <c r="H33" i="11"/>
  <c r="S18" i="8"/>
  <c r="C4" i="8"/>
  <c r="D5" i="10"/>
  <c r="G45" i="8"/>
  <c r="O16" i="3"/>
  <c r="N43" i="3"/>
  <c r="T3" i="8"/>
  <c r="D44" i="3"/>
  <c r="K36" i="8"/>
  <c r="K41" i="3"/>
  <c r="F44" i="9"/>
  <c r="Q22" i="8"/>
  <c r="S45" i="3"/>
  <c r="T18" i="3"/>
  <c r="T18" i="8"/>
  <c r="U14" i="9"/>
  <c r="Q40" i="3"/>
  <c r="F30" i="9"/>
  <c r="Q12" i="3"/>
  <c r="J27" i="11"/>
  <c r="O6" i="8"/>
  <c r="F21" i="8"/>
  <c r="K13" i="3"/>
  <c r="O10" i="3"/>
  <c r="C18" i="3"/>
  <c r="E41" i="3"/>
  <c r="D31" i="3"/>
  <c r="T20" i="8"/>
  <c r="Q41" i="3"/>
  <c r="E15" i="11"/>
  <c r="C36" i="9"/>
  <c r="L10" i="9"/>
  <c r="D11" i="3"/>
  <c r="S41" i="8"/>
  <c r="T42" i="3"/>
  <c r="O41" i="11"/>
  <c r="N13" i="3"/>
  <c r="I21" i="9"/>
  <c r="R11" i="8"/>
  <c r="D4" i="8"/>
  <c r="F13" i="3"/>
  <c r="N9" i="9"/>
  <c r="E23" i="10"/>
  <c r="P19" i="3"/>
  <c r="T36" i="9"/>
  <c r="K7" i="3"/>
  <c r="Q32" i="8"/>
  <c r="G12" i="8"/>
  <c r="T43" i="9"/>
  <c r="G46" i="8"/>
  <c r="P25" i="8"/>
  <c r="U45" i="8"/>
  <c r="P33" i="8"/>
  <c r="D21" i="3"/>
  <c r="L46" i="8"/>
  <c r="R5" i="9"/>
  <c r="O35" i="9"/>
  <c r="K37" i="3"/>
  <c r="T21" i="9"/>
  <c r="I5" i="3"/>
  <c r="J14" i="9"/>
  <c r="S35" i="3"/>
  <c r="G33" i="11"/>
  <c r="T40" i="8"/>
  <c r="J38" i="8"/>
  <c r="R12" i="3"/>
  <c r="H19" i="8"/>
  <c r="O11" i="3"/>
  <c r="C20" i="11"/>
  <c r="K34" i="11"/>
  <c r="N21" i="3"/>
  <c r="R45" i="9"/>
  <c r="H7" i="9"/>
  <c r="H39" i="8"/>
  <c r="C14" i="10"/>
  <c r="T32" i="8"/>
  <c r="J23" i="11"/>
  <c r="S44" i="3"/>
  <c r="C43" i="9"/>
  <c r="R40" i="3"/>
  <c r="M4" i="3"/>
  <c r="J9" i="8"/>
  <c r="I36" i="8"/>
  <c r="I7" i="3"/>
  <c r="L30" i="8"/>
  <c r="N23" i="11"/>
  <c r="Q7" i="9"/>
  <c r="N38" i="8"/>
  <c r="J35" i="3"/>
  <c r="I5" i="10"/>
  <c r="L36" i="3"/>
  <c r="T10" i="9"/>
  <c r="T12" i="3"/>
  <c r="K42" i="8"/>
  <c r="P44" i="3"/>
  <c r="Q32" i="3"/>
  <c r="H13" i="9"/>
  <c r="K14" i="3"/>
  <c r="O29" i="3"/>
  <c r="O41" i="8"/>
  <c r="L42" i="11"/>
  <c r="I17" i="9"/>
  <c r="K31" i="8"/>
  <c r="U21" i="8"/>
  <c r="K7" i="8"/>
  <c r="P40" i="8"/>
  <c r="Q21" i="9"/>
  <c r="R6" i="10"/>
  <c r="J21" i="8"/>
  <c r="D19" i="8"/>
  <c r="M14" i="8"/>
  <c r="D4" i="3"/>
  <c r="E23" i="8"/>
  <c r="S19" i="9"/>
  <c r="I32" i="3"/>
  <c r="G46" i="3"/>
  <c r="J7" i="3"/>
  <c r="K14" i="9"/>
  <c r="T29" i="11"/>
  <c r="T46" i="8"/>
  <c r="E23" i="9"/>
  <c r="P10" i="8"/>
  <c r="U44" i="10"/>
  <c r="L45" i="8"/>
  <c r="M5" i="9"/>
  <c r="M36" i="8"/>
  <c r="N7" i="3"/>
  <c r="S22" i="9"/>
  <c r="F4" i="9"/>
  <c r="P41" i="11"/>
  <c r="F20" i="3"/>
  <c r="E13" i="3"/>
  <c r="M40" i="11"/>
  <c r="L45" i="3"/>
  <c r="N15" i="9"/>
  <c r="K10" i="3"/>
  <c r="G5" i="8"/>
  <c r="L12" i="8"/>
  <c r="Q5" i="3"/>
  <c r="I36" i="3"/>
  <c r="O17" i="8"/>
  <c r="N10" i="3"/>
  <c r="O30" i="8"/>
  <c r="T35" i="3"/>
  <c r="G13" i="10"/>
  <c r="O5" i="11"/>
  <c r="R30" i="3"/>
  <c r="P11" i="3"/>
  <c r="P23" i="9"/>
  <c r="L7" i="3"/>
  <c r="K23" i="10"/>
  <c r="G26" i="3"/>
  <c r="L27" i="11"/>
  <c r="K3" i="9"/>
  <c r="I15" i="9"/>
  <c r="R12" i="9"/>
  <c r="P22" i="8"/>
  <c r="O12" i="3"/>
  <c r="R3" i="9"/>
  <c r="P28" i="3"/>
  <c r="L9" i="9"/>
  <c r="K17" i="9"/>
  <c r="C2" i="11"/>
  <c r="R26" i="9"/>
  <c r="D28" i="8"/>
  <c r="T6" i="3"/>
  <c r="E45" i="8"/>
  <c r="K19" i="11"/>
  <c r="R31" i="11"/>
  <c r="K9" i="10"/>
  <c r="U8" i="3"/>
  <c r="N12" i="8"/>
  <c r="C40" i="3"/>
  <c r="G23" i="11"/>
  <c r="S34" i="3"/>
  <c r="F26" i="3"/>
  <c r="C35" i="3"/>
  <c r="N33" i="11"/>
  <c r="F6" i="9"/>
  <c r="P42" i="8"/>
  <c r="P20" i="9"/>
  <c r="P12" i="3"/>
  <c r="U27" i="3"/>
  <c r="O42" i="8"/>
  <c r="Q7" i="10"/>
  <c r="G4" i="3"/>
  <c r="L19" i="3"/>
  <c r="S26" i="3"/>
  <c r="O34" i="8"/>
  <c r="N27" i="8"/>
  <c r="K8" i="9"/>
  <c r="T6" i="10"/>
  <c r="U38" i="9"/>
  <c r="C39" i="3"/>
  <c r="S46" i="9"/>
  <c r="G5" i="3"/>
  <c r="E25" i="9"/>
  <c r="E41" i="8"/>
  <c r="P46" i="8"/>
  <c r="U14" i="11"/>
  <c r="E3" i="10"/>
  <c r="T43" i="8"/>
  <c r="N34" i="10"/>
  <c r="D32" i="11"/>
  <c r="E43" i="11"/>
  <c r="P3" i="9"/>
  <c r="L7" i="10"/>
  <c r="S35" i="9"/>
  <c r="L34" i="11"/>
  <c r="S39" i="8"/>
  <c r="H27" i="8"/>
  <c r="J41" i="10"/>
  <c r="I30" i="10"/>
  <c r="J38" i="10"/>
  <c r="E39" i="3"/>
  <c r="R5" i="8"/>
  <c r="F8" i="8"/>
  <c r="T31" i="9"/>
  <c r="I11" i="3"/>
  <c r="J12" i="9"/>
  <c r="F30" i="3"/>
  <c r="J30" i="9"/>
  <c r="N11" i="3"/>
  <c r="P17" i="3"/>
  <c r="S29" i="9"/>
  <c r="H35" i="3"/>
  <c r="K45" i="9"/>
  <c r="E3" i="3"/>
  <c r="F7" i="3"/>
  <c r="P41" i="8"/>
  <c r="L27" i="8"/>
  <c r="F23" i="9"/>
  <c r="O32" i="9"/>
  <c r="M6" i="8"/>
  <c r="O40" i="9"/>
  <c r="U39" i="3"/>
  <c r="T26" i="3"/>
  <c r="G35" i="9"/>
  <c r="C30" i="3"/>
  <c r="S43" i="8"/>
  <c r="I18" i="8"/>
  <c r="R11" i="3"/>
  <c r="K32" i="10"/>
  <c r="M25" i="8"/>
  <c r="R31" i="8"/>
  <c r="D11" i="9"/>
  <c r="T8" i="9"/>
  <c r="L18" i="8"/>
  <c r="E31" i="9"/>
  <c r="F39" i="8"/>
  <c r="F21" i="11"/>
  <c r="E40" i="8"/>
  <c r="S11" i="8"/>
  <c r="I10" i="3"/>
  <c r="E11" i="8"/>
  <c r="Q7" i="8"/>
  <c r="D46" i="9"/>
  <c r="N38" i="9"/>
  <c r="L11" i="9"/>
  <c r="L21" i="11"/>
  <c r="M4" i="8"/>
  <c r="H34" i="3"/>
  <c r="P37" i="3"/>
  <c r="M3" i="3"/>
  <c r="E46" i="8"/>
  <c r="S38" i="9"/>
  <c r="F19" i="8"/>
  <c r="M28" i="8"/>
  <c r="U11" i="8"/>
  <c r="D7" i="3"/>
  <c r="N42" i="3"/>
  <c r="N27" i="10"/>
  <c r="J39" i="10"/>
  <c r="P18" i="11"/>
  <c r="P12" i="9"/>
  <c r="O28" i="9"/>
  <c r="O40" i="3"/>
  <c r="M34" i="3"/>
  <c r="D40" i="8"/>
  <c r="N32" i="3"/>
  <c r="H22" i="8"/>
  <c r="D31" i="8"/>
  <c r="L33" i="9"/>
  <c r="T32" i="9"/>
  <c r="U9" i="9"/>
  <c r="H4" i="3"/>
  <c r="C46" i="10"/>
  <c r="H32" i="8"/>
  <c r="L36" i="9"/>
  <c r="F45" i="3"/>
  <c r="H40" i="8"/>
  <c r="N5" i="3"/>
  <c r="D39" i="8"/>
  <c r="M27" i="11"/>
  <c r="J8" i="9"/>
  <c r="U12" i="9"/>
  <c r="U16" i="8"/>
  <c r="F8" i="3"/>
  <c r="R33" i="3"/>
  <c r="M43" i="3"/>
  <c r="C6" i="10"/>
  <c r="Q36" i="3"/>
  <c r="U43" i="8"/>
  <c r="U31" i="8"/>
  <c r="R9" i="3"/>
  <c r="C8" i="3"/>
  <c r="R46" i="11"/>
  <c r="P37" i="9"/>
  <c r="N32" i="9"/>
  <c r="N30" i="3"/>
  <c r="T36" i="3"/>
  <c r="O16" i="8"/>
  <c r="I3" i="8"/>
  <c r="O29" i="8"/>
  <c r="N8" i="8"/>
  <c r="E45" i="9"/>
  <c r="P26" i="9"/>
  <c r="L44" i="3"/>
  <c r="S22" i="8"/>
  <c r="P31" i="3"/>
  <c r="I35" i="3"/>
  <c r="S12" i="9"/>
  <c r="H33" i="8"/>
  <c r="R16" i="8"/>
  <c r="K40" i="3"/>
  <c r="S15" i="8"/>
  <c r="I44" i="10"/>
  <c r="D27" i="3"/>
  <c r="J7" i="8"/>
  <c r="L20" i="3"/>
  <c r="U46" i="9"/>
  <c r="T4" i="3"/>
  <c r="N29" i="8"/>
  <c r="I17" i="11"/>
  <c r="F39" i="10"/>
  <c r="G22" i="10"/>
  <c r="G18" i="9"/>
  <c r="H35" i="9"/>
  <c r="D28" i="10"/>
  <c r="M32" i="3"/>
  <c r="N21" i="8"/>
  <c r="C30" i="8"/>
  <c r="T34" i="9"/>
  <c r="Q11" i="3"/>
  <c r="N12" i="3"/>
  <c r="D13" i="3"/>
  <c r="C38" i="8"/>
  <c r="E6" i="8"/>
  <c r="M26" i="9"/>
  <c r="R3" i="8"/>
  <c r="C32" i="9"/>
  <c r="M45" i="9"/>
  <c r="I46" i="8"/>
  <c r="S35" i="10"/>
  <c r="T19" i="3"/>
  <c r="H31" i="9"/>
  <c r="K27" i="8"/>
  <c r="J39" i="9"/>
  <c r="S8" i="8"/>
  <c r="K8" i="3"/>
  <c r="L40" i="3"/>
  <c r="C37" i="9"/>
  <c r="I30" i="11"/>
  <c r="E9" i="8"/>
  <c r="O32" i="3"/>
  <c r="J5" i="3"/>
  <c r="D12" i="9"/>
  <c r="O44" i="8"/>
  <c r="I30" i="8"/>
  <c r="D8" i="9"/>
  <c r="I38" i="9"/>
  <c r="U30" i="8"/>
  <c r="H10" i="8"/>
  <c r="G22" i="8"/>
  <c r="F27" i="10"/>
  <c r="C16" i="11"/>
  <c r="H35" i="11"/>
  <c r="U7" i="3"/>
  <c r="I15" i="8"/>
  <c r="N27" i="9"/>
  <c r="D42" i="3"/>
  <c r="N17" i="9"/>
  <c r="K30" i="3"/>
  <c r="O34" i="11"/>
  <c r="Q8" i="8"/>
  <c r="Q30" i="8"/>
  <c r="P23" i="3"/>
  <c r="F34" i="10"/>
  <c r="L14" i="3"/>
  <c r="J28" i="3"/>
  <c r="D32" i="9"/>
  <c r="S13" i="8"/>
  <c r="C26" i="8"/>
  <c r="O11" i="8"/>
  <c r="K22" i="9"/>
  <c r="N8" i="3"/>
  <c r="K46" i="8"/>
  <c r="D30" i="8"/>
  <c r="O4" i="9"/>
  <c r="N4" i="8"/>
  <c r="K19" i="8"/>
  <c r="Q44" i="3"/>
  <c r="L26" i="3"/>
  <c r="G41" i="3"/>
  <c r="T11" i="8"/>
  <c r="M28" i="9"/>
  <c r="S39" i="3"/>
  <c r="P17" i="8"/>
  <c r="D9" i="8"/>
  <c r="R9" i="9"/>
  <c r="P30" i="9"/>
  <c r="J16" i="8"/>
  <c r="S4" i="3"/>
  <c r="J18" i="10"/>
  <c r="C26" i="3"/>
  <c r="O25" i="8"/>
  <c r="D10" i="10"/>
  <c r="K31" i="3"/>
  <c r="L19" i="8"/>
  <c r="E35" i="8"/>
  <c r="Q13" i="8"/>
  <c r="M3" i="11"/>
  <c r="G45" i="3"/>
  <c r="O3" i="9"/>
  <c r="P5" i="8"/>
  <c r="M30" i="8"/>
  <c r="I23" i="3"/>
  <c r="T19" i="8"/>
  <c r="P14" i="3"/>
  <c r="R20" i="9"/>
  <c r="O22" i="8"/>
  <c r="M17" i="3"/>
  <c r="C16" i="3"/>
  <c r="O34" i="9"/>
  <c r="E43" i="8"/>
  <c r="E21" i="8"/>
  <c r="F5" i="3"/>
  <c r="O33" i="10"/>
  <c r="Q11" i="8"/>
  <c r="I10" i="10"/>
  <c r="O18" i="11"/>
  <c r="O30" i="3"/>
  <c r="J26" i="8"/>
  <c r="U41" i="8"/>
  <c r="N38" i="3"/>
  <c r="O22" i="9"/>
  <c r="I45" i="3"/>
  <c r="N37" i="8"/>
  <c r="P2" i="8"/>
  <c r="H41" i="10"/>
  <c r="E7" i="9"/>
  <c r="K43" i="3"/>
  <c r="D36" i="10"/>
  <c r="N3" i="8"/>
  <c r="I14" i="11"/>
  <c r="P42" i="9"/>
  <c r="G18" i="3"/>
  <c r="F36" i="3"/>
  <c r="H28" i="8"/>
  <c r="Q31" i="3"/>
  <c r="E3" i="9"/>
  <c r="G35" i="3"/>
  <c r="N21" i="9"/>
  <c r="O37" i="3"/>
  <c r="O5" i="8"/>
  <c r="M22" i="9"/>
  <c r="K29" i="8"/>
  <c r="S32" i="3"/>
  <c r="C31" i="10"/>
  <c r="T21" i="8"/>
  <c r="U12" i="10"/>
  <c r="Q6" i="3"/>
  <c r="E19" i="3"/>
  <c r="K29" i="11"/>
  <c r="U25" i="10"/>
  <c r="C5" i="11"/>
  <c r="G20" i="3"/>
  <c r="U10" i="10"/>
  <c r="C4" i="9"/>
  <c r="Q42" i="3"/>
  <c r="J10" i="3"/>
  <c r="R28" i="8"/>
  <c r="I26" i="3"/>
  <c r="T23" i="3"/>
  <c r="P31" i="8"/>
  <c r="D14" i="3"/>
  <c r="U10" i="9"/>
  <c r="C7" i="9"/>
  <c r="D44" i="10"/>
  <c r="K44" i="11"/>
  <c r="H38" i="9"/>
  <c r="U2" i="9"/>
  <c r="E4" i="8"/>
  <c r="S18" i="9"/>
  <c r="R32" i="3"/>
  <c r="H15" i="11"/>
  <c r="T21" i="11"/>
  <c r="H32" i="3"/>
  <c r="G40" i="10"/>
  <c r="U26" i="11"/>
  <c r="D44" i="8"/>
  <c r="S41" i="3"/>
  <c r="F14" i="9"/>
  <c r="C42" i="8"/>
  <c r="C15" i="3"/>
  <c r="S32" i="8"/>
  <c r="E12" i="9"/>
  <c r="J13" i="10"/>
  <c r="K11" i="8"/>
  <c r="M8" i="9"/>
  <c r="R33" i="10"/>
  <c r="I43" i="10"/>
  <c r="E44" i="9"/>
  <c r="C29" i="3"/>
  <c r="F12" i="3"/>
  <c r="T19" i="9"/>
  <c r="Q25" i="9"/>
  <c r="E13" i="9"/>
  <c r="T32" i="10"/>
  <c r="G42" i="8"/>
  <c r="J7" i="9"/>
  <c r="R31" i="3"/>
  <c r="P40" i="9"/>
  <c r="U8" i="9"/>
  <c r="E5" i="8"/>
  <c r="E10" i="8"/>
  <c r="G17" i="3"/>
  <c r="D5" i="3"/>
  <c r="C13" i="3"/>
  <c r="N25" i="3"/>
  <c r="N17" i="3"/>
  <c r="J36" i="9"/>
  <c r="E8" i="9"/>
  <c r="N31" i="9"/>
  <c r="M8" i="3"/>
  <c r="G34" i="3"/>
  <c r="R26" i="8"/>
  <c r="M5" i="8"/>
  <c r="U45" i="9"/>
  <c r="U5" i="8"/>
  <c r="J42" i="3"/>
  <c r="H20" i="3"/>
  <c r="T15" i="8"/>
  <c r="I34" i="3"/>
  <c r="K40" i="8"/>
  <c r="T6" i="9"/>
  <c r="F28" i="8"/>
  <c r="I22" i="3"/>
  <c r="M42" i="9"/>
  <c r="U11" i="10"/>
  <c r="L39" i="9"/>
  <c r="F44" i="3"/>
  <c r="G6" i="10"/>
  <c r="T34" i="8"/>
  <c r="N15" i="3"/>
  <c r="H40" i="3"/>
  <c r="Q20" i="8"/>
  <c r="S33" i="8"/>
  <c r="H29" i="9"/>
  <c r="P36" i="3"/>
  <c r="P19" i="9"/>
  <c r="C22" i="3"/>
  <c r="T11" i="11"/>
  <c r="E14" i="3"/>
  <c r="F43" i="9"/>
  <c r="G43" i="3"/>
  <c r="C17" i="3"/>
  <c r="J35" i="8"/>
  <c r="K21" i="9"/>
  <c r="U39" i="9"/>
  <c r="I8" i="3"/>
  <c r="Q37" i="3"/>
  <c r="H30" i="3"/>
  <c r="C35" i="9"/>
  <c r="Q37" i="9"/>
  <c r="K45" i="3"/>
  <c r="G18" i="8"/>
  <c r="C39" i="8"/>
  <c r="G40" i="3"/>
  <c r="M36" i="3"/>
  <c r="K4" i="9"/>
  <c r="D17" i="8"/>
  <c r="T9" i="3"/>
  <c r="S5" i="9"/>
  <c r="N37" i="11"/>
  <c r="F14" i="8"/>
  <c r="Q11" i="9"/>
  <c r="N42" i="8"/>
  <c r="J11" i="9"/>
  <c r="H23" i="8"/>
  <c r="U43" i="11"/>
  <c r="D29" i="10"/>
  <c r="C46" i="3"/>
  <c r="L19" i="11"/>
  <c r="P16" i="3"/>
  <c r="D39" i="9"/>
  <c r="M6" i="3"/>
  <c r="T39" i="8"/>
  <c r="G36" i="8"/>
  <c r="Q6" i="9"/>
  <c r="Q38" i="3"/>
  <c r="D23" i="8"/>
  <c r="Q44" i="10"/>
  <c r="O2" i="11"/>
  <c r="U10" i="8"/>
  <c r="M6" i="11"/>
  <c r="U40" i="11"/>
  <c r="H36" i="11"/>
  <c r="I21" i="3"/>
  <c r="E11" i="3"/>
  <c r="S29" i="10"/>
  <c r="C19" i="11"/>
  <c r="K12" i="8"/>
  <c r="D9" i="10"/>
  <c r="M37" i="8"/>
  <c r="I37" i="8"/>
  <c r="F12" i="8"/>
  <c r="P20" i="3"/>
  <c r="H12" i="3"/>
  <c r="E35" i="3"/>
  <c r="H32" i="9"/>
  <c r="F14" i="11"/>
  <c r="H41" i="3"/>
  <c r="J28" i="8"/>
  <c r="J5" i="9"/>
  <c r="H6" i="10"/>
  <c r="M29" i="11"/>
  <c r="T43" i="10"/>
  <c r="C11" i="3"/>
  <c r="H36" i="9"/>
  <c r="E45" i="10"/>
  <c r="C22" i="8"/>
  <c r="R29" i="8"/>
  <c r="L11" i="8"/>
  <c r="G9" i="3"/>
  <c r="J13" i="3"/>
  <c r="L35" i="11"/>
  <c r="C12" i="8"/>
  <c r="J36" i="10"/>
  <c r="D16" i="10"/>
  <c r="R44" i="3"/>
  <c r="Q20" i="3"/>
  <c r="D18" i="3"/>
  <c r="I32" i="9"/>
  <c r="G45" i="11"/>
  <c r="C20" i="8"/>
  <c r="F41" i="3"/>
  <c r="E16" i="8"/>
  <c r="I22" i="8"/>
  <c r="G45" i="9"/>
  <c r="J40" i="3"/>
  <c r="D6" i="9"/>
  <c r="F32" i="3"/>
  <c r="T28" i="10"/>
  <c r="C26" i="11"/>
  <c r="L5" i="9"/>
  <c r="P26" i="8"/>
  <c r="N36" i="8"/>
  <c r="T34" i="3"/>
  <c r="L3" i="9"/>
  <c r="Q39" i="9"/>
  <c r="F43" i="3"/>
  <c r="I9" i="3"/>
  <c r="G21" i="3"/>
  <c r="J12" i="8"/>
  <c r="N33" i="8"/>
  <c r="C6" i="8"/>
  <c r="P13" i="3"/>
  <c r="S27" i="3"/>
  <c r="C14" i="8"/>
  <c r="H12" i="9"/>
  <c r="F9" i="9"/>
  <c r="U2" i="10"/>
  <c r="S32" i="10"/>
  <c r="K16" i="9"/>
  <c r="J34" i="10"/>
  <c r="H33" i="3"/>
  <c r="I27" i="3"/>
  <c r="G43" i="9"/>
  <c r="S13" i="3"/>
  <c r="N40" i="8"/>
  <c r="M22" i="3"/>
  <c r="O26" i="8"/>
  <c r="O18" i="8"/>
  <c r="J32" i="8"/>
  <c r="R11" i="9"/>
  <c r="J27" i="3"/>
  <c r="J20" i="8"/>
  <c r="R27" i="3"/>
  <c r="L40" i="8"/>
  <c r="F18" i="8"/>
  <c r="J28" i="10"/>
  <c r="D45" i="3"/>
  <c r="Q44" i="9"/>
  <c r="M9" i="8"/>
  <c r="F41" i="8"/>
  <c r="M12" i="11"/>
  <c r="C22" i="9"/>
  <c r="N35" i="3"/>
  <c r="N33" i="3"/>
  <c r="E29" i="8"/>
  <c r="J13" i="8"/>
  <c r="I13" i="8"/>
  <c r="P6" i="8"/>
  <c r="R40" i="10"/>
  <c r="G34" i="10"/>
  <c r="J29" i="3"/>
  <c r="C5" i="3"/>
  <c r="P9" i="9"/>
  <c r="E40" i="3"/>
  <c r="T33" i="11"/>
  <c r="G25" i="11"/>
  <c r="H14" i="3"/>
  <c r="O44" i="11"/>
  <c r="D4" i="11"/>
  <c r="R8" i="8"/>
  <c r="D34" i="3"/>
  <c r="F34" i="3"/>
  <c r="L17" i="10"/>
  <c r="N34" i="3"/>
  <c r="D32" i="10"/>
  <c r="D9" i="3"/>
  <c r="U4" i="9"/>
  <c r="G33" i="3"/>
  <c r="T18" i="10"/>
  <c r="K46" i="3"/>
  <c r="U3" i="8"/>
  <c r="P39" i="8"/>
  <c r="Q35" i="8"/>
  <c r="R45" i="8"/>
  <c r="J14" i="8"/>
  <c r="K13" i="9"/>
  <c r="U16" i="3"/>
  <c r="C40" i="11"/>
  <c r="Q3" i="3"/>
  <c r="H44" i="3"/>
  <c r="I40" i="9"/>
  <c r="L6" i="11"/>
  <c r="E18" i="3"/>
  <c r="K45" i="10"/>
  <c r="E27" i="3"/>
  <c r="T5" i="3"/>
  <c r="O6" i="11"/>
  <c r="P32" i="3"/>
  <c r="O43" i="8"/>
  <c r="J17" i="3"/>
  <c r="U15" i="8"/>
  <c r="S33" i="9"/>
  <c r="O15" i="8"/>
  <c r="S10" i="8"/>
  <c r="Q26" i="8"/>
  <c r="F19" i="9"/>
  <c r="L21" i="8"/>
  <c r="M33" i="9"/>
  <c r="O31" i="3"/>
  <c r="C19" i="3"/>
  <c r="R30" i="9"/>
  <c r="I43" i="9"/>
  <c r="U22" i="9"/>
  <c r="I7" i="10"/>
  <c r="G44" i="3"/>
  <c r="N19" i="8"/>
  <c r="S28" i="8"/>
  <c r="J43" i="8"/>
  <c r="K5" i="3"/>
  <c r="C13" i="9"/>
  <c r="Q8" i="3"/>
  <c r="E29" i="3"/>
  <c r="J11" i="8"/>
  <c r="S37" i="8"/>
  <c r="L46" i="9"/>
  <c r="I3" i="9"/>
  <c r="L20" i="8"/>
  <c r="F37" i="10"/>
  <c r="P39" i="3"/>
  <c r="J10" i="8"/>
  <c r="J9" i="3"/>
  <c r="K15" i="11"/>
  <c r="R18" i="9"/>
  <c r="I42" i="3"/>
  <c r="K5" i="10"/>
  <c r="M32" i="8"/>
  <c r="D40" i="3"/>
  <c r="J20" i="3"/>
  <c r="D26" i="10"/>
  <c r="E13" i="8"/>
  <c r="H3" i="11"/>
  <c r="C23" i="3"/>
  <c r="L12" i="3"/>
  <c r="C27" i="3"/>
  <c r="H18" i="9"/>
  <c r="D21" i="8"/>
  <c r="Q28" i="3"/>
  <c r="F38" i="3"/>
  <c r="C31" i="8"/>
  <c r="S10" i="3"/>
  <c r="M27" i="3"/>
  <c r="P10" i="3"/>
  <c r="U34" i="8"/>
  <c r="E28" i="8"/>
  <c r="E28" i="3"/>
  <c r="F37" i="3"/>
  <c r="C3" i="9"/>
  <c r="L10" i="3"/>
  <c r="P3" i="10"/>
  <c r="S3" i="3"/>
  <c r="L39" i="3"/>
  <c r="K8" i="8"/>
  <c r="S12" i="8"/>
  <c r="O36" i="3"/>
  <c r="L28" i="9"/>
  <c r="R23" i="3"/>
  <c r="E42" i="8"/>
  <c r="L31" i="3"/>
  <c r="M14" i="3"/>
  <c r="P41" i="9"/>
  <c r="I8" i="8"/>
  <c r="T13" i="3"/>
  <c r="K22" i="3"/>
  <c r="U17" i="9"/>
  <c r="K12" i="3"/>
  <c r="C32" i="3"/>
  <c r="R29" i="3"/>
  <c r="F37" i="8"/>
  <c r="J14" i="3"/>
  <c r="D7" i="9"/>
  <c r="D27" i="9"/>
  <c r="K18" i="8"/>
  <c r="O46" i="3"/>
  <c r="F34" i="9"/>
  <c r="D35" i="9"/>
  <c r="C10" i="10"/>
  <c r="F5" i="8"/>
  <c r="O23" i="9"/>
  <c r="M15" i="8"/>
  <c r="T16" i="8"/>
  <c r="F33" i="3"/>
  <c r="T23" i="9"/>
  <c r="N36" i="11"/>
  <c r="P4" i="9"/>
  <c r="I13" i="10"/>
  <c r="N46" i="8"/>
  <c r="M10" i="11"/>
  <c r="Q36" i="8"/>
  <c r="L29" i="8"/>
  <c r="M20" i="8"/>
  <c r="C44" i="9"/>
  <c r="M10" i="8"/>
  <c r="I25" i="8"/>
  <c r="M15" i="3"/>
  <c r="P41" i="3"/>
  <c r="O6" i="3"/>
  <c r="M18" i="8"/>
  <c r="I46" i="11"/>
  <c r="U30" i="3"/>
  <c r="U42" i="9"/>
  <c r="T12" i="8"/>
  <c r="K9" i="3"/>
  <c r="J22" i="8"/>
  <c r="K31" i="10"/>
  <c r="L29" i="3"/>
  <c r="O12" i="9"/>
  <c r="M17" i="9"/>
  <c r="Q15" i="3"/>
  <c r="N20" i="9"/>
  <c r="J18" i="9"/>
  <c r="T38" i="8"/>
  <c r="D20" i="3"/>
  <c r="R16" i="3"/>
  <c r="D14" i="8"/>
  <c r="G36" i="9"/>
  <c r="E12" i="8"/>
  <c r="H39" i="11"/>
  <c r="H46" i="8"/>
  <c r="O17" i="3"/>
  <c r="N27" i="3"/>
  <c r="C25" i="3"/>
  <c r="M30" i="3"/>
  <c r="K18" i="9"/>
  <c r="J32" i="3"/>
  <c r="R17" i="3"/>
  <c r="I5" i="8"/>
  <c r="M39" i="8"/>
  <c r="P18" i="9"/>
  <c r="C35" i="8"/>
  <c r="M22" i="8"/>
  <c r="N44" i="3"/>
  <c r="F28" i="3"/>
  <c r="R13" i="3"/>
  <c r="D43" i="8"/>
  <c r="C14" i="3"/>
  <c r="M26" i="10"/>
  <c r="F46" i="10"/>
  <c r="G36" i="11"/>
  <c r="D25" i="3"/>
  <c r="T33" i="3"/>
  <c r="H19" i="3"/>
  <c r="F28" i="9"/>
  <c r="N34" i="8"/>
  <c r="L17" i="11"/>
  <c r="O38" i="9"/>
  <c r="N22" i="8"/>
  <c r="I40" i="8"/>
  <c r="T32" i="3"/>
  <c r="R14" i="9"/>
  <c r="M2" i="10"/>
  <c r="N11" i="9"/>
  <c r="O27" i="3"/>
  <c r="T26" i="8"/>
  <c r="G16" i="3"/>
  <c r="L27" i="9"/>
  <c r="M43" i="11"/>
  <c r="H22" i="3"/>
  <c r="P3" i="8"/>
  <c r="E32" i="3"/>
  <c r="F45" i="11"/>
  <c r="E42" i="3"/>
  <c r="I5" i="9"/>
  <c r="G19" i="8"/>
  <c r="N3" i="3"/>
  <c r="Q11" i="10"/>
  <c r="D38" i="8"/>
  <c r="P29" i="3"/>
  <c r="S30" i="3"/>
  <c r="T26" i="9"/>
  <c r="U32" i="9"/>
  <c r="M31" i="9"/>
  <c r="Q16" i="9"/>
  <c r="P29" i="8"/>
  <c r="L45" i="9"/>
  <c r="N11" i="11"/>
  <c r="Q21" i="8"/>
  <c r="Q13" i="3"/>
  <c r="P16" i="8"/>
  <c r="L38" i="3"/>
  <c r="U6" i="10"/>
  <c r="J41" i="8"/>
  <c r="G31" i="9"/>
  <c r="M37" i="3"/>
  <c r="N42" i="9"/>
  <c r="R43" i="9"/>
  <c r="M3" i="8"/>
  <c r="K36" i="9"/>
  <c r="P21" i="9"/>
  <c r="F32" i="9"/>
  <c r="P44" i="8"/>
  <c r="D13" i="10"/>
  <c r="O36" i="11"/>
  <c r="O41" i="10"/>
  <c r="M46" i="11"/>
  <c r="E38" i="3"/>
  <c r="C2" i="9"/>
  <c r="Q35" i="9"/>
  <c r="M29" i="9"/>
  <c r="S7" i="3"/>
  <c r="T7" i="3"/>
  <c r="N44" i="8"/>
  <c r="K39" i="9"/>
  <c r="J30" i="11"/>
  <c r="M45" i="8"/>
  <c r="H11" i="3"/>
  <c r="I37" i="11"/>
  <c r="M20" i="3"/>
  <c r="P37" i="8"/>
  <c r="F20" i="10"/>
  <c r="I21" i="11"/>
  <c r="Q12" i="9"/>
  <c r="E36" i="3"/>
  <c r="R15" i="8"/>
  <c r="K38" i="3"/>
  <c r="I32" i="10"/>
  <c r="U9" i="10"/>
  <c r="P8" i="3"/>
  <c r="E8" i="3"/>
  <c r="S7" i="11"/>
  <c r="U33" i="3"/>
  <c r="N20" i="11"/>
  <c r="N20" i="3"/>
  <c r="H7" i="8"/>
  <c r="L22" i="11"/>
  <c r="K18" i="3"/>
  <c r="M28" i="11"/>
  <c r="O14" i="8"/>
  <c r="F46" i="3"/>
  <c r="G12" i="3"/>
  <c r="C22" i="10"/>
  <c r="L5" i="3"/>
  <c r="L34" i="3"/>
  <c r="K4" i="12" l="1"/>
  <c r="K3" i="12"/>
  <c r="I4" i="12"/>
  <c r="J3" i="12"/>
  <c r="H4" i="12"/>
  <c r="J4" i="12"/>
  <c r="H3" i="12"/>
  <c r="L4" i="12"/>
  <c r="I3" i="12"/>
  <c r="L3" i="12"/>
</calcChain>
</file>

<file path=xl/sharedStrings.xml><?xml version="1.0" encoding="utf-8"?>
<sst xmlns="http://schemas.openxmlformats.org/spreadsheetml/2006/main" count="166" uniqueCount="51">
  <si>
    <t>Start Time</t>
  </si>
  <si>
    <t>Day Origin</t>
  </si>
  <si>
    <t>0-6</t>
  </si>
  <si>
    <t>End Time</t>
  </si>
  <si>
    <t>Day 1</t>
  </si>
  <si>
    <t>Porter IDs</t>
  </si>
  <si>
    <t>Average Transaction Time (min)</t>
  </si>
  <si>
    <t>Day 2</t>
  </si>
  <si>
    <t>Day 3</t>
  </si>
  <si>
    <t>Day 4</t>
  </si>
  <si>
    <t>Day 5</t>
  </si>
  <si>
    <t>Total</t>
  </si>
  <si>
    <t>Average Response Time (min)</t>
  </si>
  <si>
    <t>NA14</t>
  </si>
  <si>
    <t>NA15</t>
  </si>
  <si>
    <t>NA16</t>
  </si>
  <si>
    <t>NA17</t>
  </si>
  <si>
    <t>NA18</t>
  </si>
  <si>
    <t>NA19</t>
  </si>
  <si>
    <t>NA20</t>
  </si>
  <si>
    <t>NA21</t>
  </si>
  <si>
    <t>NA22</t>
  </si>
  <si>
    <t>NA23</t>
  </si>
  <si>
    <t>DAY 1</t>
  </si>
  <si>
    <t>Day</t>
  </si>
  <si>
    <t>Average Transaction Time</t>
  </si>
  <si>
    <t>Average Response Time</t>
  </si>
  <si>
    <t>5 Day Average</t>
  </si>
  <si>
    <t>NA4</t>
  </si>
  <si>
    <t>NA5</t>
  </si>
  <si>
    <t>NA6</t>
  </si>
  <si>
    <t>NA7</t>
  </si>
  <si>
    <t>NA8</t>
  </si>
  <si>
    <t>NA9</t>
  </si>
  <si>
    <t>NA10</t>
  </si>
  <si>
    <t>NA11</t>
  </si>
  <si>
    <t>NA12</t>
  </si>
  <si>
    <t>NA13</t>
  </si>
  <si>
    <t>Creation Time</t>
  </si>
  <si>
    <t>In Progress Time</t>
  </si>
  <si>
    <t>Complete Time</t>
  </si>
  <si>
    <t>Origin</t>
  </si>
  <si>
    <t>Destination</t>
  </si>
  <si>
    <t>Job Start Time</t>
  </si>
  <si>
    <t>Job Completion Time</t>
  </si>
  <si>
    <t>Completion Time</t>
  </si>
  <si>
    <t>Priority</t>
  </si>
  <si>
    <t>Appoinment</t>
  </si>
  <si>
    <t>Auto Process</t>
  </si>
  <si>
    <t>Job ID</t>
  </si>
  <si>
    <t>Completed by Porter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</si>
</sst>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0"/>
      <name val="Arial"/>
      <charset val="1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 applyFill="1" applyBorder="1" applyAlignment="1" applyProtection="1"/>
    <xf numFmtId="22" fontId="0" fillId="0" borderId="0" xfId="0" applyNumberFormat="1"/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applyFont="1"/>
    <xf numFmtId="2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0" fontId="4" fillId="0" borderId="4" xfId="0" applyFont="1" applyBorder="1"/>
    <xf numFmtId="2" fontId="4" fillId="0" borderId="4" xfId="0" applyNumberFormat="1" applyFont="1" applyBorder="1"/>
    <xf numFmtId="0" fontId="2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Per Porter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'Day1'!$B$3</c:f>
              <c:strCache>
                <c:ptCount val="1"/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'Day1'!$C$3:$T$3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'Day1'!$B$4</c:f>
              <c:strCache>
                <c:ptCount val="1"/>
                <c:pt idx="0">
                  <c:v>NA4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'Day1'!$C$4:$T$4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'Day1'!$B$5</c:f>
              <c:strCache>
                <c:ptCount val="1"/>
                <c:pt idx="0">
                  <c:v>NA5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'Day1'!$C$5:$T$5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'Day1'!$B$6</c:f>
              <c:strCache>
                <c:ptCount val="1"/>
                <c:pt idx="0">
                  <c:v>NA6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'Day1'!$C$6:$T$6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'Day1'!$B$7</c:f>
              <c:strCache>
                <c:ptCount val="1"/>
                <c:pt idx="0">
                  <c:v>NA7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'Day1'!$C$7:$T$7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'Day1'!$B$8</c:f>
              <c:strCache>
                <c:ptCount val="1"/>
                <c:pt idx="0">
                  <c:v>NA8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'Day1'!$C$8:$T$8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'Day1'!$B$9</c:f>
              <c:strCache>
                <c:ptCount val="1"/>
                <c:pt idx="0">
                  <c:v>NA9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'Day1'!$C$9:$T$9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'Day1'!$B$10</c:f>
              <c:strCache>
                <c:ptCount val="1"/>
                <c:pt idx="0">
                  <c:v>NA10</c:v>
                </c:pt>
              </c:strCache>
            </c:strRef>
          </c:tx>
          <c:spPr>
            <a:ln w="34925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'Day1'!$B$11</c:f>
              <c:strCache>
                <c:ptCount val="1"/>
                <c:pt idx="0">
                  <c:v>NA11</c:v>
                </c:pt>
              </c:strCache>
            </c:strRef>
          </c:tx>
          <c:spPr>
            <a:ln w="34925" cap="rnd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'Day1'!$C$11:$T$11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'Day1'!$B$12</c:f>
              <c:strCache>
                <c:ptCount val="1"/>
                <c:pt idx="0">
                  <c:v>NA12</c:v>
                </c:pt>
              </c:strCache>
            </c:strRef>
          </c:tx>
          <c:spPr>
            <a:ln w="34925" cap="rnd">
              <a:solidFill>
                <a:schemeClr val="accent4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'Day1'!$C$12:$T$12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'Day1'!$B$13</c:f>
              <c:strCache>
                <c:ptCount val="1"/>
                <c:pt idx="0">
                  <c:v>NA13</c:v>
                </c:pt>
              </c:strCache>
            </c:strRef>
          </c:tx>
          <c:spPr>
            <a:ln w="34925" cap="rnd">
              <a:solidFill>
                <a:schemeClr val="accent5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'Day1'!$C$13:$T$13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'Day1'!$B$14</c:f>
              <c:strCache>
                <c:ptCount val="1"/>
                <c:pt idx="0">
                  <c:v>NA14</c:v>
                </c:pt>
              </c:strCache>
            </c:strRef>
          </c:tx>
          <c:spPr>
            <a:ln w="34925" cap="rnd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'Day1'!$C$14:$T$14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'Day1'!$B$15</c:f>
              <c:strCache>
                <c:ptCount val="1"/>
                <c:pt idx="0">
                  <c:v>NA15</c:v>
                </c:pt>
              </c:strCache>
            </c:strRef>
          </c:tx>
          <c:spPr>
            <a:ln w="349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'Day1'!$C$15:$T$15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'Day1'!$B$16</c:f>
              <c:strCache>
                <c:ptCount val="1"/>
                <c:pt idx="0">
                  <c:v>NA16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'Day1'!$C$16:$T$16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'Day1'!$B$17</c:f>
              <c:strCache>
                <c:ptCount val="1"/>
                <c:pt idx="0">
                  <c:v>NA17</c:v>
                </c:pt>
              </c:strCache>
            </c:strRef>
          </c:tx>
          <c:spPr>
            <a:ln w="349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'Day1'!$C$17:$T$17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'Day1'!$B$18</c:f>
              <c:strCache>
                <c:ptCount val="1"/>
                <c:pt idx="0">
                  <c:v>NA18</c:v>
                </c:pt>
              </c:strCache>
            </c:strRef>
          </c:tx>
          <c:spPr>
            <a:ln w="349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'Day1'!$C$18:$T$18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'Day1'!$B$19</c:f>
              <c:strCache>
                <c:ptCount val="1"/>
                <c:pt idx="0">
                  <c:v>NA19</c:v>
                </c:pt>
              </c:strCache>
            </c:strRef>
          </c:tx>
          <c:spPr>
            <a:ln w="349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'Day1'!$C$19:$T$19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'Day1'!$B$20</c:f>
              <c:strCache>
                <c:ptCount val="1"/>
                <c:pt idx="0">
                  <c:v>NA20</c:v>
                </c:pt>
              </c:strCache>
            </c:strRef>
          </c:tx>
          <c:spPr>
            <a:ln w="349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'Day1'!$C$20:$T$20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'Day1'!$B$21</c:f>
              <c:strCache>
                <c:ptCount val="1"/>
                <c:pt idx="0">
                  <c:v>NA21</c:v>
                </c:pt>
              </c:strCache>
            </c:strRef>
          </c:tx>
          <c:spPr>
            <a:ln w="34925" cap="rnd">
              <a:solidFill>
                <a:schemeClr val="accent1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'Day1'!$C$21:$T$21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'Day1'!$B$22</c:f>
              <c:strCache>
                <c:ptCount val="1"/>
                <c:pt idx="0">
                  <c:v>NA22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'Day1'!$C$22:$T$22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'Day1'!$B$23</c:f>
              <c:strCache>
                <c:ptCount val="1"/>
                <c:pt idx="0">
                  <c:v>NA23</c:v>
                </c:pt>
              </c:strCache>
            </c:strRef>
          </c:tx>
          <c:spPr>
            <a:ln w="34925" cap="rnd">
              <a:solidFill>
                <a:schemeClr val="accent3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'Day1'!$C$23:$T$23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2962544"/>
        <c:axId val="902954928"/>
      </c:lineChart>
      <c:catAx>
        <c:axId val="90296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2954928"/>
        <c:crosses val="autoZero"/>
        <c:auto val="1"/>
        <c:lblAlgn val="ctr"/>
        <c:lblOffset val="100"/>
        <c:noMultiLvlLbl val="0"/>
      </c:catAx>
      <c:valAx>
        <c:axId val="902954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296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'Day1'!$C$2:$T$2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2948400"/>
        <c:axId val="902958192"/>
      </c:lineChart>
      <c:catAx>
        <c:axId val="902948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2958192"/>
        <c:crosses val="autoZero"/>
        <c:auto val="1"/>
        <c:lblAlgn val="ctr"/>
        <c:lblOffset val="100"/>
        <c:noMultiLvlLbl val="0"/>
      </c:catAx>
      <c:valAx>
        <c:axId val="902958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294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</c:v>
                </c:pt>
                <c:pt idx="2">
                  <c:v>8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18</c:v>
                </c:pt>
                <c:pt idx="13">
                  <c:v>19</c:v>
                </c:pt>
                <c:pt idx="14">
                  <c:v>20</c:v>
                </c:pt>
                <c:pt idx="15">
                  <c:v>21</c:v>
                </c:pt>
                <c:pt idx="16">
                  <c:v>22</c:v>
                </c:pt>
                <c:pt idx="17">
                  <c:v>23</c:v>
                </c:pt>
              </c:strCache>
            </c:strRef>
          </c:cat>
          <c:val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2957648"/>
        <c:axId val="902955472"/>
      </c:lineChart>
      <c:catAx>
        <c:axId val="902957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2955472"/>
        <c:crosses val="autoZero"/>
        <c:auto val="1"/>
        <c:lblAlgn val="ctr"/>
        <c:lblOffset val="100"/>
        <c:noMultiLvlLbl val="0"/>
      </c:catAx>
      <c:valAx>
        <c:axId val="90295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2957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</a:t>
            </a:r>
            <a:r>
              <a:rPr lang="en-CA" baseline="0"/>
              <a:t> Per porter (min)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'Day1'!$B$26</c:f>
              <c:strCache>
                <c:ptCount val="1"/>
                <c:pt idx="0">
                  <c:v>0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'Day1'!$C$26:$T$26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'Day1'!$B$27</c:f>
              <c:strCache>
                <c:ptCount val="1"/>
                <c:pt idx="0">
                  <c:v>NA4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'Day1'!$C$27:$T$27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'Day1'!$B$28</c:f>
              <c:strCache>
                <c:ptCount val="1"/>
                <c:pt idx="0">
                  <c:v>NA5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'Day1'!$C$28:$T$28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'Day1'!$B$29</c:f>
              <c:strCache>
                <c:ptCount val="1"/>
                <c:pt idx="0">
                  <c:v>NA6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'Day1'!$C$29:$T$29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'Day1'!$B$30</c:f>
              <c:strCache>
                <c:ptCount val="1"/>
                <c:pt idx="0">
                  <c:v>NA7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'Day1'!$C$30:$T$30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'Day1'!$B$31</c:f>
              <c:strCache>
                <c:ptCount val="1"/>
                <c:pt idx="0">
                  <c:v>NA8</c:v>
                </c:pt>
              </c:strCache>
            </c:strRef>
          </c:tx>
          <c:spPr>
            <a:ln w="34925" cap="rnd">
              <a:solidFill>
                <a:schemeClr val="accent6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'Day1'!$C$31:$T$31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'Day1'!$B$32</c:f>
              <c:strCache>
                <c:ptCount val="1"/>
                <c:pt idx="0">
                  <c:v>NA9</c:v>
                </c:pt>
              </c:strCache>
            </c:strRef>
          </c:tx>
          <c:spPr>
            <a:ln w="3492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'Day1'!$C$32:$T$32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'Day1'!$B$33</c:f>
              <c:strCache>
                <c:ptCount val="1"/>
                <c:pt idx="0">
                  <c:v>NA10</c:v>
                </c:pt>
              </c:strCache>
            </c:strRef>
          </c:tx>
          <c:spPr>
            <a:ln w="34925" cap="rnd">
              <a:solidFill>
                <a:schemeClr val="accent2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'Day1'!$C$33:$T$33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'Day1'!$B$34</c:f>
              <c:strCache>
                <c:ptCount val="1"/>
                <c:pt idx="0">
                  <c:v>NA11</c:v>
                </c:pt>
              </c:strCache>
            </c:strRef>
          </c:tx>
          <c:spPr>
            <a:ln w="34925" cap="rnd">
              <a:solidFill>
                <a:schemeClr val="accent3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'Day1'!$C$34:$T$34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'Day1'!$B$35</c:f>
              <c:strCache>
                <c:ptCount val="1"/>
                <c:pt idx="0">
                  <c:v>NA12</c:v>
                </c:pt>
              </c:strCache>
            </c:strRef>
          </c:tx>
          <c:spPr>
            <a:ln w="34925" cap="rnd">
              <a:solidFill>
                <a:schemeClr val="accent4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'Day1'!$C$35:$T$35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'Day1'!$B$36</c:f>
              <c:strCache>
                <c:ptCount val="1"/>
                <c:pt idx="0">
                  <c:v>NA13</c:v>
                </c:pt>
              </c:strCache>
            </c:strRef>
          </c:tx>
          <c:spPr>
            <a:ln w="34925" cap="rnd">
              <a:solidFill>
                <a:schemeClr val="accent5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'Day1'!$C$36:$T$36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'Day1'!$B$37</c:f>
              <c:strCache>
                <c:ptCount val="1"/>
                <c:pt idx="0">
                  <c:v>NA14</c:v>
                </c:pt>
              </c:strCache>
            </c:strRef>
          </c:tx>
          <c:spPr>
            <a:ln w="34925" cap="rnd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'Day1'!$C$37:$T$37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'Day1'!$B$38</c:f>
              <c:strCache>
                <c:ptCount val="1"/>
                <c:pt idx="0">
                  <c:v>NA15</c:v>
                </c:pt>
              </c:strCache>
            </c:strRef>
          </c:tx>
          <c:spPr>
            <a:ln w="3492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'Day1'!$C$38:$T$38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'Day1'!$B$39</c:f>
              <c:strCache>
                <c:ptCount val="1"/>
                <c:pt idx="0">
                  <c:v>NA16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'Day1'!$C$39:$T$39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'Day1'!$B$40</c:f>
              <c:strCache>
                <c:ptCount val="1"/>
                <c:pt idx="0">
                  <c:v>NA17</c:v>
                </c:pt>
              </c:strCache>
            </c:strRef>
          </c:tx>
          <c:spPr>
            <a:ln w="3492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'Day1'!$C$40:$T$40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'Day1'!$B$41</c:f>
              <c:strCache>
                <c:ptCount val="1"/>
                <c:pt idx="0">
                  <c:v>NA18</c:v>
                </c:pt>
              </c:strCache>
            </c:strRef>
          </c:tx>
          <c:spPr>
            <a:ln w="3492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'Day1'!$C$41:$T$41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'Day1'!$B$42</c:f>
              <c:strCache>
                <c:ptCount val="1"/>
                <c:pt idx="0">
                  <c:v>NA19</c:v>
                </c:pt>
              </c:strCache>
            </c:strRef>
          </c:tx>
          <c:spPr>
            <a:ln w="3492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'Day1'!$C$42:$T$42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'Day1'!$B$43</c:f>
              <c:strCache>
                <c:ptCount val="1"/>
                <c:pt idx="0">
                  <c:v>NA20</c:v>
                </c:pt>
              </c:strCache>
            </c:strRef>
          </c:tx>
          <c:spPr>
            <a:ln w="3492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'Day1'!$C$43:$T$43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'Day1'!$B$44</c:f>
              <c:strCache>
                <c:ptCount val="1"/>
                <c:pt idx="0">
                  <c:v>NA21</c:v>
                </c:pt>
              </c:strCache>
            </c:strRef>
          </c:tx>
          <c:spPr>
            <a:ln w="34925" cap="rnd">
              <a:solidFill>
                <a:schemeClr val="accent1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'Day1'!$C$44:$T$44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'Day1'!$B$45</c:f>
              <c:strCache>
                <c:ptCount val="1"/>
                <c:pt idx="0">
                  <c:v>NA22</c:v>
                </c:pt>
              </c:strCache>
            </c:strRef>
          </c:tx>
          <c:spPr>
            <a:ln w="34925" cap="rnd">
              <a:solidFill>
                <a:schemeClr val="accent2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'Day1'!$C$45:$T$45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'Day1'!$B$46</c:f>
              <c:strCache>
                <c:ptCount val="1"/>
                <c:pt idx="0">
                  <c:v>NA23</c:v>
                </c:pt>
              </c:strCache>
            </c:strRef>
          </c:tx>
          <c:spPr>
            <a:ln w="34925" cap="rnd">
              <a:solidFill>
                <a:schemeClr val="accent3">
                  <a:lumMod val="80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'Day1'!$C$25:$T$25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'Day1'!$C$46:$T$46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2960368"/>
        <c:axId val="902953840"/>
      </c:lineChart>
      <c:catAx>
        <c:axId val="902960368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2953840"/>
        <c:crosses val="autoZero"/>
        <c:auto val="1"/>
        <c:lblAlgn val="ctr"/>
        <c:lblOffset val="100"/>
        <c:noMultiLvlLbl val="0"/>
      </c:catAx>
      <c:valAx>
        <c:axId val="90295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2960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165735</xdr:colOff>
      <xdr:row>6</xdr:row>
      <xdr:rowOff>55245</xdr:rowOff>
    </xdr:from>
    <xdr:to>
      <xdr:col>19</xdr:col>
      <xdr:colOff>594360</xdr:colOff>
      <xdr:row>27</xdr:row>
      <xdr:rowOff>153353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171450</xdr:colOff>
      <xdr:row>28</xdr:row>
      <xdr:rowOff>57149</xdr:rowOff>
    </xdr:from>
    <xdr:to>
      <xdr:col>19</xdr:col>
      <xdr:colOff>590550</xdr:colOff>
      <xdr:row>49</xdr:row>
      <xdr:rowOff>57149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171450</xdr:colOff>
      <xdr:row>75</xdr:row>
      <xdr:rowOff>47625</xdr:rowOff>
    </xdr:from>
    <xdr:to>
      <xdr:col>19</xdr:col>
      <xdr:colOff>581025</xdr:colOff>
      <xdr:row>94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171449</xdr:colOff>
      <xdr:row>49</xdr:row>
      <xdr:rowOff>123825</xdr:rowOff>
    </xdr:from>
    <xdr:to>
      <xdr:col>19</xdr:col>
      <xdr:colOff>561974</xdr:colOff>
      <xdr:row>74</xdr:row>
      <xdr:rowOff>171450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"/>
  <sheetViews>
    <sheetView tabSelected="1" workbookViewId="0">
      <selection activeCell="G2" sqref="G2"/>
    </sheetView>
  </sheetViews>
  <sheetFormatPr defaultRowHeight="14.4" x14ac:dyDescent="0.3"/>
  <sheetData>
    <row r="1" spans="1:14" x14ac:dyDescent="0.3">
      <c r="A1" s="1" t="s">
        <v>38</v>
      </c>
      <c r="B1" t="s">
        <v>39</v>
      </c>
      <c r="C1" t="s">
        <v>40</v>
      </c>
      <c r="D1" t="s">
        <v>41</v>
      </c>
      <c r="E1" t="s">
        <v>42</v>
      </c>
      <c r="F1" t="s">
        <v>43</v>
      </c>
      <c r="G1" t="s">
        <v>44</v>
      </c>
      <c r="H1" t="s">
        <v>0</v>
      </c>
      <c r="I1" t="s">
        <v>45</v>
      </c>
      <c r="J1" t="s">
        <v>46</v>
      </c>
      <c r="K1" t="s">
        <v>47</v>
      </c>
      <c r="L1" t="s">
        <v>48</v>
      </c>
      <c r="M1" t="s">
        <v>49</v>
      </c>
      <c r="N1" t="s">
        <v>50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14"/>
  <sheetViews>
    <sheetView zoomScaleNormal="100" workbookViewId="0">
      <selection activeCell="B2" sqref="B2"/>
    </sheetView>
  </sheetViews>
  <sheetFormatPr defaultRowHeight="14.4" x14ac:dyDescent="0.3"/>
  <cols>
    <col min="2" max="2" width="10.44140625" customWidth="1"/>
    <col min="3" max="5" width="14.44140625" bestFit="1" customWidth="1"/>
    <col min="6" max="20" width="15.44140625" bestFit="1" customWidth="1"/>
  </cols>
  <sheetData>
    <row r="1" spans="1:20" x14ac:dyDescent="0.3">
      <c r="A1" t="s">
        <v>1</v>
      </c>
      <c r="B1" s="3">
        <v>41640</v>
      </c>
    </row>
    <row r="3" spans="1:20" x14ac:dyDescent="0.3">
      <c r="C3" s="4" t="s">
        <v>2</v>
      </c>
      <c r="D3" s="5">
        <v>7</v>
      </c>
      <c r="E3" s="5">
        <v>8</v>
      </c>
      <c r="F3" s="5">
        <v>9</v>
      </c>
      <c r="G3" s="5">
        <v>10</v>
      </c>
      <c r="H3" s="5">
        <v>11</v>
      </c>
      <c r="I3" s="5">
        <v>12</v>
      </c>
      <c r="J3" s="5">
        <v>13</v>
      </c>
      <c r="K3" s="5">
        <v>14</v>
      </c>
      <c r="L3" s="5">
        <v>15</v>
      </c>
      <c r="M3" s="5">
        <v>16</v>
      </c>
      <c r="N3" s="5">
        <v>17</v>
      </c>
      <c r="O3" s="5">
        <v>18</v>
      </c>
      <c r="P3" s="5">
        <v>19</v>
      </c>
      <c r="Q3" s="5">
        <v>20</v>
      </c>
      <c r="R3" s="5">
        <v>21</v>
      </c>
      <c r="S3" s="5">
        <v>22</v>
      </c>
      <c r="T3" s="5">
        <v>23</v>
      </c>
    </row>
    <row r="4" spans="1:20" x14ac:dyDescent="0.3">
      <c r="A4" s="12" t="s">
        <v>4</v>
      </c>
      <c r="B4" t="s">
        <v>0</v>
      </c>
      <c r="C4" s="2">
        <f>$B$1+TIME(HOUR($B$1) + 0,MINUTE($B$1) + 0,SECOND($B$1) + 0)</f>
        <v>41640</v>
      </c>
      <c r="D4" s="2">
        <f t="shared" ref="D4:T4" si="0">$B$1+TIME(HOUR($B$1) + D3,MINUTE($B$1) + 0,SECOND($B$1) + 0)</f>
        <v>41640.291666666664</v>
      </c>
      <c r="E4" s="2">
        <f t="shared" si="0"/>
        <v>41640.333333333336</v>
      </c>
      <c r="F4" s="2">
        <f t="shared" si="0"/>
        <v>41640.375</v>
      </c>
      <c r="G4" s="2">
        <f t="shared" si="0"/>
        <v>41640.416666666664</v>
      </c>
      <c r="H4" s="2">
        <f t="shared" si="0"/>
        <v>41640.458333333336</v>
      </c>
      <c r="I4" s="2">
        <f t="shared" si="0"/>
        <v>41640.5</v>
      </c>
      <c r="J4" s="2">
        <f t="shared" si="0"/>
        <v>41640.541666666664</v>
      </c>
      <c r="K4" s="2">
        <f t="shared" si="0"/>
        <v>41640.583333333336</v>
      </c>
      <c r="L4" s="2">
        <f t="shared" si="0"/>
        <v>41640.625</v>
      </c>
      <c r="M4" s="2">
        <f t="shared" si="0"/>
        <v>41640.666666666664</v>
      </c>
      <c r="N4" s="2">
        <f t="shared" si="0"/>
        <v>41640.708333333336</v>
      </c>
      <c r="O4" s="2">
        <f t="shared" si="0"/>
        <v>41640.75</v>
      </c>
      <c r="P4" s="2">
        <f t="shared" si="0"/>
        <v>41640.791666666664</v>
      </c>
      <c r="Q4" s="2">
        <f t="shared" si="0"/>
        <v>41640.833333333336</v>
      </c>
      <c r="R4" s="2">
        <f t="shared" si="0"/>
        <v>41640.875</v>
      </c>
      <c r="S4" s="2">
        <f t="shared" si="0"/>
        <v>41640.916666666664</v>
      </c>
      <c r="T4" s="2">
        <f t="shared" si="0"/>
        <v>41640.958333333336</v>
      </c>
    </row>
    <row r="5" spans="1:20" x14ac:dyDescent="0.3">
      <c r="A5" s="12"/>
      <c r="B5" t="s">
        <v>3</v>
      </c>
      <c r="C5" s="2">
        <f>$B$1+TIME(HOUR($B$1) + 6,MINUTE($B$1) + 0,SECOND($B$1) + 0)</f>
        <v>41640.25</v>
      </c>
      <c r="D5" s="2">
        <f t="shared" ref="D5:S5" si="1">$B$1+TIME(HOUR($B$1) + E3,MINUTE($B$1) + 0,SECOND($B$1) + 0)</f>
        <v>41640.333333333336</v>
      </c>
      <c r="E5" s="2">
        <f t="shared" si="1"/>
        <v>41640.375</v>
      </c>
      <c r="F5" s="2">
        <f t="shared" si="1"/>
        <v>41640.416666666664</v>
      </c>
      <c r="G5" s="2">
        <f t="shared" si="1"/>
        <v>41640.458333333336</v>
      </c>
      <c r="H5" s="2">
        <f t="shared" si="1"/>
        <v>41640.5</v>
      </c>
      <c r="I5" s="2">
        <f t="shared" si="1"/>
        <v>41640.541666666664</v>
      </c>
      <c r="J5" s="2">
        <f t="shared" si="1"/>
        <v>41640.583333333336</v>
      </c>
      <c r="K5" s="2">
        <f t="shared" si="1"/>
        <v>41640.625</v>
      </c>
      <c r="L5" s="2">
        <f t="shared" si="1"/>
        <v>41640.666666666664</v>
      </c>
      <c r="M5" s="2">
        <f t="shared" si="1"/>
        <v>41640.708333333336</v>
      </c>
      <c r="N5" s="2">
        <f t="shared" si="1"/>
        <v>41640.75</v>
      </c>
      <c r="O5" s="2">
        <f t="shared" si="1"/>
        <v>41640.791666666664</v>
      </c>
      <c r="P5" s="2">
        <f t="shared" si="1"/>
        <v>41640.833333333336</v>
      </c>
      <c r="Q5" s="2">
        <f t="shared" si="1"/>
        <v>41640.875</v>
      </c>
      <c r="R5" s="2">
        <f t="shared" si="1"/>
        <v>41640.916666666664</v>
      </c>
      <c r="S5" s="2">
        <f t="shared" si="1"/>
        <v>41640.958333333336</v>
      </c>
      <c r="T5" s="2">
        <f>$B$1+TIME(HOUR($B$1) + 23,MINUTE($B$1) + 59,SECOND($B$1) + 59)</f>
        <v>41640.999988425923</v>
      </c>
    </row>
    <row r="6" spans="1:20" x14ac:dyDescent="0.3">
      <c r="A6" s="12" t="s">
        <v>7</v>
      </c>
      <c r="B6" t="s">
        <v>0</v>
      </c>
      <c r="C6" s="2">
        <f>DATE(YEAR($B$1),MONTH($B$1),DAY($B$1)+1) + TIME(HOUR($B$1) + 0,MINUTE($B$1) + 0,SECOND($B$1) + 0)</f>
        <v>41641</v>
      </c>
      <c r="D6" s="2">
        <f>DATE(YEAR($B$1),MONTH($B$1),DAY($B$1)+1) + TIME(HOUR($B$1) + D$3,MINUTE($B$1) + 0,SECOND($B$1) + 0)</f>
        <v>41641.291666666664</v>
      </c>
      <c r="E6" s="2">
        <f t="shared" ref="E6:T6" si="2">DATE(YEAR($B$1),MONTH($B$1),DAY($B$1)+1) + TIME(HOUR($B$1) + E3,MINUTE($B$1) + 0,SECOND($B$1) + 0)</f>
        <v>41641.333333333336</v>
      </c>
      <c r="F6" s="2">
        <f t="shared" si="2"/>
        <v>41641.375</v>
      </c>
      <c r="G6" s="2">
        <f t="shared" si="2"/>
        <v>41641.416666666664</v>
      </c>
      <c r="H6" s="2">
        <f t="shared" si="2"/>
        <v>41641.458333333336</v>
      </c>
      <c r="I6" s="2">
        <f t="shared" si="2"/>
        <v>41641.5</v>
      </c>
      <c r="J6" s="2">
        <f t="shared" si="2"/>
        <v>41641.541666666664</v>
      </c>
      <c r="K6" s="2">
        <f t="shared" si="2"/>
        <v>41641.583333333336</v>
      </c>
      <c r="L6" s="2">
        <f t="shared" si="2"/>
        <v>41641.625</v>
      </c>
      <c r="M6" s="2">
        <f t="shared" si="2"/>
        <v>41641.666666666664</v>
      </c>
      <c r="N6" s="2">
        <f t="shared" si="2"/>
        <v>41641.708333333336</v>
      </c>
      <c r="O6" s="2">
        <f t="shared" si="2"/>
        <v>41641.75</v>
      </c>
      <c r="P6" s="2">
        <f t="shared" si="2"/>
        <v>41641.791666666664</v>
      </c>
      <c r="Q6" s="2">
        <f t="shared" si="2"/>
        <v>41641.833333333336</v>
      </c>
      <c r="R6" s="2">
        <f t="shared" si="2"/>
        <v>41641.875</v>
      </c>
      <c r="S6" s="2">
        <f t="shared" si="2"/>
        <v>41641.916666666664</v>
      </c>
      <c r="T6" s="2">
        <f t="shared" si="2"/>
        <v>41641.958333333336</v>
      </c>
    </row>
    <row r="7" spans="1:20" x14ac:dyDescent="0.3">
      <c r="A7" s="12"/>
      <c r="B7" t="s">
        <v>3</v>
      </c>
      <c r="C7" s="2">
        <f>DATE(YEAR($B$1),MONTH($B$1),DAY($B$1)+1) + TIME(HOUR($B$1) + 6,MINUTE($B$1) + 0,SECOND($B$1) + 0)</f>
        <v>41641.25</v>
      </c>
      <c r="D7" s="2">
        <f>DATE(YEAR($B$1),MONTH($B$1),DAY($B$1)+1) + TIME(HOUR($B$1) + E$3,MINUTE($B$1) + 0,SECOND($B$1) + 0)</f>
        <v>41641.333333333336</v>
      </c>
      <c r="E7" s="2">
        <f t="shared" ref="E7:S7" si="3">DATE(YEAR($B$1),MONTH($B$1),DAY($B$1)+1) + TIME(HOUR($B$1) + F3,MINUTE($B$1) + 0,SECOND($B$1) + 0)</f>
        <v>41641.375</v>
      </c>
      <c r="F7" s="2">
        <f t="shared" si="3"/>
        <v>41641.416666666664</v>
      </c>
      <c r="G7" s="2">
        <f t="shared" si="3"/>
        <v>41641.458333333336</v>
      </c>
      <c r="H7" s="2">
        <f t="shared" si="3"/>
        <v>41641.5</v>
      </c>
      <c r="I7" s="2">
        <f t="shared" si="3"/>
        <v>41641.541666666664</v>
      </c>
      <c r="J7" s="2">
        <f t="shared" si="3"/>
        <v>41641.583333333336</v>
      </c>
      <c r="K7" s="2">
        <f t="shared" si="3"/>
        <v>41641.625</v>
      </c>
      <c r="L7" s="2">
        <f t="shared" si="3"/>
        <v>41641.666666666664</v>
      </c>
      <c r="M7" s="2">
        <f t="shared" si="3"/>
        <v>41641.708333333336</v>
      </c>
      <c r="N7" s="2">
        <f t="shared" si="3"/>
        <v>41641.75</v>
      </c>
      <c r="O7" s="2">
        <f t="shared" si="3"/>
        <v>41641.791666666664</v>
      </c>
      <c r="P7" s="2">
        <f t="shared" si="3"/>
        <v>41641.833333333336</v>
      </c>
      <c r="Q7" s="2">
        <f t="shared" si="3"/>
        <v>41641.875</v>
      </c>
      <c r="R7" s="2">
        <f t="shared" si="3"/>
        <v>41641.916666666664</v>
      </c>
      <c r="S7" s="2">
        <f t="shared" si="3"/>
        <v>41641.958333333336</v>
      </c>
      <c r="T7" s="2">
        <f>DATE(YEAR($B$1),MONTH($B$1),DAY($B$1)+1) + TIME(HOUR($B$1) + 23,MINUTE($B$1) + 59,SECOND($B$1) + 59)</f>
        <v>41641.999988425923</v>
      </c>
    </row>
    <row r="8" spans="1:20" x14ac:dyDescent="0.3">
      <c r="A8" s="12" t="s">
        <v>8</v>
      </c>
      <c r="B8" t="s">
        <v>0</v>
      </c>
      <c r="C8" s="2">
        <f>DATE(YEAR($B$1),MONTH($B$1),DAY($B$1)+2) + TIME(HOUR($B$1) + 0,MINUTE($B$1) + 0,SECOND($B$1) + 0)</f>
        <v>41642</v>
      </c>
      <c r="D8" s="2">
        <f>DATE(YEAR($B$1),MONTH($B$1),DAY($B$1)+2) + TIME(HOUR($B$1) + D$3,MINUTE($B$1) + 0,SECOND($B$1) + 0)</f>
        <v>41642.291666666664</v>
      </c>
      <c r="E8" s="2">
        <f t="shared" ref="E8:T8" si="4">DATE(YEAR($B$1),MONTH($B$1),DAY($B$1)+2) + TIME(HOUR($B$1) + E$3,MINUTE($B$1) + 0,SECOND($B$1) + 0)</f>
        <v>41642.333333333336</v>
      </c>
      <c r="F8" s="2">
        <f t="shared" si="4"/>
        <v>41642.375</v>
      </c>
      <c r="G8" s="2">
        <f t="shared" si="4"/>
        <v>41642.416666666664</v>
      </c>
      <c r="H8" s="2">
        <f t="shared" si="4"/>
        <v>41642.458333333336</v>
      </c>
      <c r="I8" s="2">
        <f t="shared" si="4"/>
        <v>41642.5</v>
      </c>
      <c r="J8" s="2">
        <f t="shared" si="4"/>
        <v>41642.541666666664</v>
      </c>
      <c r="K8" s="2">
        <f t="shared" si="4"/>
        <v>41642.583333333336</v>
      </c>
      <c r="L8" s="2">
        <f t="shared" si="4"/>
        <v>41642.625</v>
      </c>
      <c r="M8" s="2">
        <f t="shared" si="4"/>
        <v>41642.666666666664</v>
      </c>
      <c r="N8" s="2">
        <f t="shared" si="4"/>
        <v>41642.708333333336</v>
      </c>
      <c r="O8" s="2">
        <f t="shared" si="4"/>
        <v>41642.75</v>
      </c>
      <c r="P8" s="2">
        <f t="shared" si="4"/>
        <v>41642.791666666664</v>
      </c>
      <c r="Q8" s="2">
        <f t="shared" si="4"/>
        <v>41642.833333333336</v>
      </c>
      <c r="R8" s="2">
        <f t="shared" si="4"/>
        <v>41642.875</v>
      </c>
      <c r="S8" s="2">
        <f t="shared" si="4"/>
        <v>41642.916666666664</v>
      </c>
      <c r="T8" s="2">
        <f t="shared" si="4"/>
        <v>41642.958333333336</v>
      </c>
    </row>
    <row r="9" spans="1:20" x14ac:dyDescent="0.3">
      <c r="A9" s="12"/>
      <c r="B9" t="s">
        <v>3</v>
      </c>
      <c r="C9" s="2">
        <f>DATE(YEAR($B$1),MONTH($B$1),DAY($B$1)+2) + TIME(HOUR($B$1) + 6,MINUTE($B$1) + 0,SECOND($B$1) + 0)</f>
        <v>41642.25</v>
      </c>
      <c r="D9" s="2">
        <f>DATE(YEAR($B$1),MONTH($B$1),DAY($B$1)+2) + TIME(HOUR($B$1) + E$3,MINUTE($B$1) + 0,SECOND($B$1) + 0)</f>
        <v>41642.333333333336</v>
      </c>
      <c r="E9" s="2">
        <f t="shared" ref="E9:S9" si="5">DATE(YEAR($B$1),MONTH($B$1),DAY($B$1)+2) + TIME(HOUR($B$1) + F$3,MINUTE($B$1) + 0,SECOND($B$1) + 0)</f>
        <v>41642.375</v>
      </c>
      <c r="F9" s="2">
        <f t="shared" si="5"/>
        <v>41642.416666666664</v>
      </c>
      <c r="G9" s="2">
        <f t="shared" si="5"/>
        <v>41642.458333333336</v>
      </c>
      <c r="H9" s="2">
        <f t="shared" si="5"/>
        <v>41642.5</v>
      </c>
      <c r="I9" s="2">
        <f t="shared" si="5"/>
        <v>41642.541666666664</v>
      </c>
      <c r="J9" s="2">
        <f t="shared" si="5"/>
        <v>41642.583333333336</v>
      </c>
      <c r="K9" s="2">
        <f t="shared" si="5"/>
        <v>41642.625</v>
      </c>
      <c r="L9" s="2">
        <f t="shared" si="5"/>
        <v>41642.666666666664</v>
      </c>
      <c r="M9" s="2">
        <f t="shared" si="5"/>
        <v>41642.708333333336</v>
      </c>
      <c r="N9" s="2">
        <f t="shared" si="5"/>
        <v>41642.75</v>
      </c>
      <c r="O9" s="2">
        <f t="shared" si="5"/>
        <v>41642.791666666664</v>
      </c>
      <c r="P9" s="2">
        <f t="shared" si="5"/>
        <v>41642.833333333336</v>
      </c>
      <c r="Q9" s="2">
        <f t="shared" si="5"/>
        <v>41642.875</v>
      </c>
      <c r="R9" s="2">
        <f t="shared" si="5"/>
        <v>41642.916666666664</v>
      </c>
      <c r="S9" s="2">
        <f t="shared" si="5"/>
        <v>41642.958333333336</v>
      </c>
      <c r="T9" s="2">
        <f>DATE(YEAR($B$1),MONTH($B$1),DAY($B$1)+2) + TIME(HOUR($B$1) + 23,MINUTE($B$1) + 59,SECOND($B$1) + 59)</f>
        <v>41642.999988425923</v>
      </c>
    </row>
    <row r="10" spans="1:20" x14ac:dyDescent="0.3">
      <c r="A10" s="12" t="s">
        <v>9</v>
      </c>
      <c r="B10" t="s">
        <v>0</v>
      </c>
      <c r="C10" s="2">
        <f>DATE(YEAR($B$1),MONTH($B$1),DAY($B$1)+3) + TIME(HOUR($B$1) + 0,MINUTE($B$1) + 0,SECOND($B$1) + 0)</f>
        <v>41643</v>
      </c>
      <c r="D10" s="2">
        <f>DATE(YEAR($B$1),MONTH($B$1),DAY($B$1)+3) + TIME(HOUR($B$1) + D$3,MINUTE($B$1) + 0,SECOND($B$1) + 0)</f>
        <v>41643.291666666664</v>
      </c>
      <c r="E10" s="2">
        <f t="shared" ref="E10:T10" si="6">DATE(YEAR($B$1),MONTH($B$1),DAY($B$1)+3) + TIME(HOUR($B$1) + E$3,MINUTE($B$1) + 0,SECOND($B$1) + 0)</f>
        <v>41643.333333333336</v>
      </c>
      <c r="F10" s="2">
        <f t="shared" si="6"/>
        <v>41643.375</v>
      </c>
      <c r="G10" s="2">
        <f t="shared" si="6"/>
        <v>41643.416666666664</v>
      </c>
      <c r="H10" s="2">
        <f t="shared" si="6"/>
        <v>41643.458333333336</v>
      </c>
      <c r="I10" s="2">
        <f t="shared" si="6"/>
        <v>41643.5</v>
      </c>
      <c r="J10" s="2">
        <f t="shared" si="6"/>
        <v>41643.541666666664</v>
      </c>
      <c r="K10" s="2">
        <f t="shared" si="6"/>
        <v>41643.583333333336</v>
      </c>
      <c r="L10" s="2">
        <f t="shared" si="6"/>
        <v>41643.625</v>
      </c>
      <c r="M10" s="2">
        <f t="shared" si="6"/>
        <v>41643.666666666664</v>
      </c>
      <c r="N10" s="2">
        <f t="shared" si="6"/>
        <v>41643.708333333336</v>
      </c>
      <c r="O10" s="2">
        <f t="shared" si="6"/>
        <v>41643.75</v>
      </c>
      <c r="P10" s="2">
        <f t="shared" si="6"/>
        <v>41643.791666666664</v>
      </c>
      <c r="Q10" s="2">
        <f t="shared" si="6"/>
        <v>41643.833333333336</v>
      </c>
      <c r="R10" s="2">
        <f t="shared" si="6"/>
        <v>41643.875</v>
      </c>
      <c r="S10" s="2">
        <f t="shared" si="6"/>
        <v>41643.916666666664</v>
      </c>
      <c r="T10" s="2">
        <f t="shared" si="6"/>
        <v>41643.958333333336</v>
      </c>
    </row>
    <row r="11" spans="1:20" x14ac:dyDescent="0.3">
      <c r="A11" s="12"/>
      <c r="B11" t="s">
        <v>3</v>
      </c>
      <c r="C11" s="2">
        <f>DATE(YEAR($B$1),MONTH($B$1),DAY($B$1)+3) + TIME(HOUR($B$1) + 6,MINUTE($B$1) + 0,SECOND($B$1) + 0)</f>
        <v>41643.25</v>
      </c>
      <c r="D11" s="2">
        <f>DATE(YEAR($B$1),MONTH($B$1),DAY($B$1)+3) + TIME(HOUR($B$1) + E$3,MINUTE($B$1) + 0,SECOND($B$1) + 0)</f>
        <v>41643.333333333336</v>
      </c>
      <c r="E11" s="2">
        <f t="shared" ref="E11:S11" si="7">DATE(YEAR($B$1),MONTH($B$1),DAY($B$1)+3) + TIME(HOUR($B$1) + F$3,MINUTE($B$1) + 0,SECOND($B$1) + 0)</f>
        <v>41643.375</v>
      </c>
      <c r="F11" s="2">
        <f t="shared" si="7"/>
        <v>41643.416666666664</v>
      </c>
      <c r="G11" s="2">
        <f t="shared" si="7"/>
        <v>41643.458333333336</v>
      </c>
      <c r="H11" s="2">
        <f t="shared" si="7"/>
        <v>41643.5</v>
      </c>
      <c r="I11" s="2">
        <f t="shared" si="7"/>
        <v>41643.541666666664</v>
      </c>
      <c r="J11" s="2">
        <f t="shared" si="7"/>
        <v>41643.583333333336</v>
      </c>
      <c r="K11" s="2">
        <f t="shared" si="7"/>
        <v>41643.625</v>
      </c>
      <c r="L11" s="2">
        <f t="shared" si="7"/>
        <v>41643.666666666664</v>
      </c>
      <c r="M11" s="2">
        <f t="shared" si="7"/>
        <v>41643.708333333336</v>
      </c>
      <c r="N11" s="2">
        <f t="shared" si="7"/>
        <v>41643.75</v>
      </c>
      <c r="O11" s="2">
        <f t="shared" si="7"/>
        <v>41643.791666666664</v>
      </c>
      <c r="P11" s="2">
        <f t="shared" si="7"/>
        <v>41643.833333333336</v>
      </c>
      <c r="Q11" s="2">
        <f t="shared" si="7"/>
        <v>41643.875</v>
      </c>
      <c r="R11" s="2">
        <f t="shared" si="7"/>
        <v>41643.916666666664</v>
      </c>
      <c r="S11" s="2">
        <f t="shared" si="7"/>
        <v>41643.958333333336</v>
      </c>
      <c r="T11" s="2">
        <f>DATE(YEAR($B$1),MONTH($B$1),DAY($B$1)+3) + TIME(HOUR($B$1) + 23,MINUTE($B$1) + 59,SECOND($B$1) + 59)</f>
        <v>41643.999988425923</v>
      </c>
    </row>
    <row r="12" spans="1:20" x14ac:dyDescent="0.3">
      <c r="A12" s="12" t="s">
        <v>10</v>
      </c>
      <c r="B12" t="s">
        <v>0</v>
      </c>
      <c r="C12" s="2">
        <f>DATE(YEAR($B$1),MONTH($B$1),DAY($B$1)+4) + TIME(HOUR($B$1) + 0,MINUTE($B$1) + 0,SECOND($B$1) + 0)</f>
        <v>41644</v>
      </c>
      <c r="D12" s="2">
        <f>DATE(YEAR($B$1),MONTH($B$1),DAY($B$1)+4) + TIME(HOUR($B$1) + D$3,MINUTE($B$1) + 0,SECOND($B$1) + 0)</f>
        <v>41644.291666666664</v>
      </c>
      <c r="E12" s="2">
        <f t="shared" ref="E12:T12" si="8">DATE(YEAR($B$1),MONTH($B$1),DAY($B$1)+4) + TIME(HOUR($B$1) + E$3,MINUTE($B$1) + 0,SECOND($B$1) + 0)</f>
        <v>41644.333333333336</v>
      </c>
      <c r="F12" s="2">
        <f t="shared" si="8"/>
        <v>41644.375</v>
      </c>
      <c r="G12" s="2">
        <f t="shared" si="8"/>
        <v>41644.416666666664</v>
      </c>
      <c r="H12" s="2">
        <f t="shared" si="8"/>
        <v>41644.458333333336</v>
      </c>
      <c r="I12" s="2">
        <f t="shared" si="8"/>
        <v>41644.5</v>
      </c>
      <c r="J12" s="2">
        <f t="shared" si="8"/>
        <v>41644.541666666664</v>
      </c>
      <c r="K12" s="2">
        <f t="shared" si="8"/>
        <v>41644.583333333336</v>
      </c>
      <c r="L12" s="2">
        <f t="shared" si="8"/>
        <v>41644.625</v>
      </c>
      <c r="M12" s="2">
        <f t="shared" si="8"/>
        <v>41644.666666666664</v>
      </c>
      <c r="N12" s="2">
        <f t="shared" si="8"/>
        <v>41644.708333333336</v>
      </c>
      <c r="O12" s="2">
        <f t="shared" si="8"/>
        <v>41644.75</v>
      </c>
      <c r="P12" s="2">
        <f t="shared" si="8"/>
        <v>41644.791666666664</v>
      </c>
      <c r="Q12" s="2">
        <f t="shared" si="8"/>
        <v>41644.833333333336</v>
      </c>
      <c r="R12" s="2">
        <f t="shared" si="8"/>
        <v>41644.875</v>
      </c>
      <c r="S12" s="2">
        <f t="shared" si="8"/>
        <v>41644.916666666664</v>
      </c>
      <c r="T12" s="2">
        <f t="shared" si="8"/>
        <v>41644.958333333336</v>
      </c>
    </row>
    <row r="13" spans="1:20" x14ac:dyDescent="0.3">
      <c r="A13" s="12"/>
      <c r="B13" t="s">
        <v>3</v>
      </c>
      <c r="C13" s="2">
        <f>DATE(YEAR($B$1),MONTH($B$1),DAY($B$1)+4) + TIME(HOUR($B$1) + 6,MINUTE($B$1) + 0,SECOND($B$1) + 0)</f>
        <v>41644.25</v>
      </c>
      <c r="D13" s="2">
        <f>DATE(YEAR($B$1),MONTH($B$1),DAY($B$1)+4) + TIME(HOUR($B$1) + E$3,MINUTE($B$1) + 0,SECOND($B$1) + 0)</f>
        <v>41644.333333333336</v>
      </c>
      <c r="E13" s="2">
        <f t="shared" ref="E13:S13" si="9">DATE(YEAR($B$1),MONTH($B$1),DAY($B$1)+4) + TIME(HOUR($B$1) + F$3,MINUTE($B$1) + 0,SECOND($B$1) + 0)</f>
        <v>41644.375</v>
      </c>
      <c r="F13" s="2">
        <f t="shared" si="9"/>
        <v>41644.416666666664</v>
      </c>
      <c r="G13" s="2">
        <f t="shared" si="9"/>
        <v>41644.458333333336</v>
      </c>
      <c r="H13" s="2">
        <f t="shared" si="9"/>
        <v>41644.5</v>
      </c>
      <c r="I13" s="2">
        <f t="shared" si="9"/>
        <v>41644.541666666664</v>
      </c>
      <c r="J13" s="2">
        <f t="shared" si="9"/>
        <v>41644.583333333336</v>
      </c>
      <c r="K13" s="2">
        <f t="shared" si="9"/>
        <v>41644.625</v>
      </c>
      <c r="L13" s="2">
        <f t="shared" si="9"/>
        <v>41644.666666666664</v>
      </c>
      <c r="M13" s="2">
        <f t="shared" si="9"/>
        <v>41644.708333333336</v>
      </c>
      <c r="N13" s="2">
        <f t="shared" si="9"/>
        <v>41644.75</v>
      </c>
      <c r="O13" s="2">
        <f t="shared" si="9"/>
        <v>41644.791666666664</v>
      </c>
      <c r="P13" s="2">
        <f t="shared" si="9"/>
        <v>41644.833333333336</v>
      </c>
      <c r="Q13" s="2">
        <f t="shared" si="9"/>
        <v>41644.875</v>
      </c>
      <c r="R13" s="2">
        <f t="shared" si="9"/>
        <v>41644.916666666664</v>
      </c>
      <c r="S13" s="2">
        <f t="shared" si="9"/>
        <v>41644.958333333336</v>
      </c>
      <c r="T13" s="2">
        <f>DATE(YEAR($B$1),MONTH($B$1),DAY($B$1)+3) + TIME(HOUR($B$1) + 23,MINUTE($B$1) + 59,SECOND($B$1) + 59)</f>
        <v>41643.999988425923</v>
      </c>
    </row>
    <row r="14" spans="1:20" x14ac:dyDescent="0.3"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</sheetData>
  <mergeCells count="5">
    <mergeCell ref="A4:A5"/>
    <mergeCell ref="A6:A7"/>
    <mergeCell ref="A8:A9"/>
    <mergeCell ref="A10:A11"/>
    <mergeCell ref="A12:A13"/>
  </mergeCells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46"/>
  <sheetViews>
    <sheetView zoomScale="80" zoomScaleNormal="80" workbookViewId="0">
      <selection activeCell="C3" sqref="C3"/>
    </sheetView>
  </sheetViews>
  <sheetFormatPr defaultRowHeight="14.4" x14ac:dyDescent="0.3"/>
  <cols>
    <col min="2" max="2" width="27.21875" style="8" customWidth="1"/>
    <col min="7" max="7" width="10.21875" customWidth="1"/>
  </cols>
  <sheetData>
    <row r="1" spans="1:21" x14ac:dyDescent="0.3">
      <c r="C1" s="4" t="s">
        <v>2</v>
      </c>
      <c r="D1" s="5">
        <v>7</v>
      </c>
      <c r="E1" s="5">
        <v>8</v>
      </c>
      <c r="F1" s="5">
        <v>9</v>
      </c>
      <c r="G1" s="5">
        <v>10</v>
      </c>
      <c r="H1" s="5">
        <v>11</v>
      </c>
      <c r="I1" s="5">
        <v>12</v>
      </c>
      <c r="J1" s="5">
        <v>13</v>
      </c>
      <c r="K1" s="5">
        <v>14</v>
      </c>
      <c r="L1" s="5">
        <v>15</v>
      </c>
      <c r="M1" s="5">
        <v>16</v>
      </c>
      <c r="N1" s="5">
        <v>17</v>
      </c>
      <c r="O1" s="5">
        <v>18</v>
      </c>
      <c r="P1" s="5">
        <v>19</v>
      </c>
      <c r="Q1" s="5">
        <v>20</v>
      </c>
      <c r="R1" s="5">
        <v>21</v>
      </c>
      <c r="S1" s="5">
        <v>22</v>
      </c>
      <c r="T1" s="5">
        <v>23</v>
      </c>
      <c r="U1" s="5" t="s">
        <v>11</v>
      </c>
    </row>
    <row r="2" spans="1:21" x14ac:dyDescent="0.3">
      <c r="A2" t="s">
        <v>4</v>
      </c>
      <c r="B2" s="8" t="s">
        <v>6</v>
      </c>
      <c r="C2" s="6">
        <f>averageCompletionTime(Dates!C4,Dates!C5)</f>
        <v>0</v>
      </c>
      <c r="D2" s="6">
        <f>averageCompletionTime(Dates!D4,Dates!D5)</f>
        <v>0</v>
      </c>
      <c r="E2" s="6">
        <f>averageCompletionTime(Dates!E4,Dates!E5)</f>
        <v>0</v>
      </c>
      <c r="F2" s="6">
        <f>averageCompletionTime(Dates!F4,Dates!F5)</f>
        <v>0</v>
      </c>
      <c r="G2" s="6">
        <f>averageCompletionTime(Dates!G4,Dates!G5)</f>
        <v>0</v>
      </c>
      <c r="H2" s="6">
        <f>averageCompletionTime(Dates!H4,Dates!H5)</f>
        <v>0</v>
      </c>
      <c r="I2" s="6">
        <f>averageCompletionTime(Dates!I4,Dates!I5)</f>
        <v>0</v>
      </c>
      <c r="J2" s="6">
        <f>averageCompletionTime(Dates!J4,Dates!J5)</f>
        <v>0</v>
      </c>
      <c r="K2" s="6">
        <f>averageCompletionTime(Dates!K4,Dates!K5)</f>
        <v>0</v>
      </c>
      <c r="L2" s="6">
        <f>averageCompletionTime(Dates!L4,Dates!L5)</f>
        <v>0</v>
      </c>
      <c r="M2" s="6">
        <f>averageCompletionTime(Dates!M4,Dates!M5)</f>
        <v>0</v>
      </c>
      <c r="N2" s="6">
        <f>averageCompletionTime(Dates!N4,Dates!N5)</f>
        <v>0</v>
      </c>
      <c r="O2" s="6">
        <f>averageCompletionTime(Dates!O4,Dates!O5)</f>
        <v>0</v>
      </c>
      <c r="P2" s="6">
        <f>averageCompletionTime(Dates!P4,Dates!P5)</f>
        <v>0</v>
      </c>
      <c r="Q2" s="6">
        <f>averageCompletionTime(Dates!Q4,Dates!Q5)</f>
        <v>0</v>
      </c>
      <c r="R2" s="6">
        <f>averageCompletionTime(Dates!R4,Dates!R5)</f>
        <v>0</v>
      </c>
      <c r="S2" s="6">
        <f>averageCompletionTime(Dates!S4,Dates!S5)</f>
        <v>0</v>
      </c>
      <c r="T2" s="6">
        <f>averageCompletionTime(Dates!T4,Dates!T5)</f>
        <v>0</v>
      </c>
      <c r="U2" s="6">
        <f>averageCompletionTime(Dates!C4,Dates!T5)</f>
        <v>0</v>
      </c>
    </row>
    <row r="3" spans="1:21" x14ac:dyDescent="0.3">
      <c r="A3" s="7" t="s">
        <v>5</v>
      </c>
      <c r="B3" s="9"/>
      <c r="C3" s="6">
        <f>averageCompletionTimePorter(Dates!C$4,Dates!C$5,'Day1'!$B3)</f>
        <v>0</v>
      </c>
      <c r="D3" s="6">
        <f>averageCompletionTimePorter(Dates!D$4,Dates!D$5,'Day1'!$B3)</f>
        <v>0</v>
      </c>
      <c r="E3" s="6">
        <f>averageCompletionTimePorter(Dates!E$4,Dates!E$5,'Day1'!$B3)</f>
        <v>0</v>
      </c>
      <c r="F3" s="6">
        <f>averageCompletionTimePorter(Dates!F$4,Dates!F$5,'Day1'!$B3)</f>
        <v>0</v>
      </c>
      <c r="G3" s="6">
        <f>averageCompletionTimePorter(Dates!G$4,Dates!G$5,'Day1'!$B3)</f>
        <v>0</v>
      </c>
      <c r="H3" s="6">
        <f>averageCompletionTimePorter(Dates!H$4,Dates!H$5,'Day1'!$B3)</f>
        <v>0</v>
      </c>
      <c r="I3" s="6">
        <f>averageCompletionTimePorter(Dates!I$4,Dates!I$5,'Day1'!$B3)</f>
        <v>0</v>
      </c>
      <c r="J3" s="6">
        <f>averageCompletionTimePorter(Dates!J$4,Dates!J$5,'Day1'!$B3)</f>
        <v>0</v>
      </c>
      <c r="K3" s="6">
        <f>averageCompletionTimePorter(Dates!K$4,Dates!K$5,'Day1'!$B3)</f>
        <v>0</v>
      </c>
      <c r="L3" s="6">
        <f>averageCompletionTimePorter(Dates!L$4,Dates!L$5,'Day1'!$B3)</f>
        <v>0</v>
      </c>
      <c r="M3" s="6">
        <f>averageCompletionTimePorter(Dates!M$4,Dates!M$5,'Day1'!$B3)</f>
        <v>0</v>
      </c>
      <c r="N3" s="6">
        <f>averageCompletionTimePorter(Dates!N$4,Dates!N$5,'Day1'!$B3)</f>
        <v>0</v>
      </c>
      <c r="O3" s="6">
        <f>averageCompletionTimePorter(Dates!O$4,Dates!O$5,'Day1'!$B3)</f>
        <v>0</v>
      </c>
      <c r="P3" s="6">
        <f>averageCompletionTimePorter(Dates!P$4,Dates!P$5,'Day1'!$B3)</f>
        <v>0</v>
      </c>
      <c r="Q3" s="6">
        <f>averageCompletionTimePorter(Dates!Q$4,Dates!Q$5,'Day1'!$B3)</f>
        <v>0</v>
      </c>
      <c r="R3" s="6">
        <f>averageCompletionTimePorter(Dates!R$4,Dates!R$5,'Day1'!$B3)</f>
        <v>0</v>
      </c>
      <c r="S3" s="6">
        <f>averageCompletionTimePorter(Dates!S$4,Dates!S$5,'Day1'!$B3)</f>
        <v>0</v>
      </c>
      <c r="T3" s="6">
        <f>averageCompletionTimePorter(Dates!T$4,Dates!T$5,'Day1'!$B3)</f>
        <v>0</v>
      </c>
      <c r="U3" s="6">
        <f>averageCompletionTimePorter(Dates!$C$4,Dates!$T$5,'Day1'!$B3)</f>
        <v>0</v>
      </c>
    </row>
    <row r="4" spans="1:21" x14ac:dyDescent="0.3">
      <c r="A4" s="7"/>
      <c r="B4" s="9" t="s">
        <v>28</v>
      </c>
      <c r="C4" s="6">
        <f>averageCompletionTimePorter(Dates!C$4,Dates!C$5,'Day1'!$B4)</f>
        <v>0</v>
      </c>
      <c r="D4" s="6">
        <f>averageCompletionTimePorter(Dates!D$4,Dates!D$5,'Day1'!$B4)</f>
        <v>0</v>
      </c>
      <c r="E4" s="6">
        <f>averageCompletionTimePorter(Dates!E$4,Dates!E$5,'Day1'!$B4)</f>
        <v>0</v>
      </c>
      <c r="F4" s="6">
        <f>averageCompletionTimePorter(Dates!F$4,Dates!F$5,'Day1'!$B4)</f>
        <v>0</v>
      </c>
      <c r="G4" s="6">
        <f>averageCompletionTimePorter(Dates!G$4,Dates!G$5,'Day1'!$B4)</f>
        <v>0</v>
      </c>
      <c r="H4" s="6">
        <f>averageCompletionTimePorter(Dates!H$4,Dates!H$5,'Day1'!$B4)</f>
        <v>0</v>
      </c>
      <c r="I4" s="6">
        <f>averageCompletionTimePorter(Dates!I$4,Dates!I$5,'Day1'!$B4)</f>
        <v>0</v>
      </c>
      <c r="J4" s="6">
        <f>averageCompletionTimePorter(Dates!J$4,Dates!J$5,'Day1'!$B4)</f>
        <v>0</v>
      </c>
      <c r="K4" s="6">
        <f>averageCompletionTimePorter(Dates!K$4,Dates!K$5,'Day1'!$B4)</f>
        <v>0</v>
      </c>
      <c r="L4" s="6">
        <f>averageCompletionTimePorter(Dates!L$4,Dates!L$5,'Day1'!$B4)</f>
        <v>0</v>
      </c>
      <c r="M4" s="6">
        <f>averageCompletionTimePorter(Dates!M$4,Dates!M$5,'Day1'!$B4)</f>
        <v>0</v>
      </c>
      <c r="N4" s="6">
        <f>averageCompletionTimePorter(Dates!N$4,Dates!N$5,'Day1'!$B4)</f>
        <v>0</v>
      </c>
      <c r="O4" s="6">
        <f>averageCompletionTimePorter(Dates!O$4,Dates!O$5,'Day1'!$B4)</f>
        <v>0</v>
      </c>
      <c r="P4" s="6">
        <f>averageCompletionTimePorter(Dates!P$4,Dates!P$5,'Day1'!$B4)</f>
        <v>0</v>
      </c>
      <c r="Q4" s="6">
        <f>averageCompletionTimePorter(Dates!Q$4,Dates!Q$5,'Day1'!$B4)</f>
        <v>0</v>
      </c>
      <c r="R4" s="6">
        <f>averageCompletionTimePorter(Dates!R$4,Dates!R$5,'Day1'!$B4)</f>
        <v>0</v>
      </c>
      <c r="S4" s="6">
        <f>averageCompletionTimePorter(Dates!S$4,Dates!S$5,'Day1'!$B4)</f>
        <v>0</v>
      </c>
      <c r="T4" s="6">
        <f>averageCompletionTimePorter(Dates!T$4,Dates!T$5,'Day1'!$B4)</f>
        <v>0</v>
      </c>
      <c r="U4" s="6">
        <f>averageCompletionTimePorter(Dates!$C$4,Dates!$T$5,'Day1'!$B4)</f>
        <v>0</v>
      </c>
    </row>
    <row r="5" spans="1:21" x14ac:dyDescent="0.3">
      <c r="A5" s="7"/>
      <c r="B5" s="9" t="s">
        <v>29</v>
      </c>
      <c r="C5" s="6">
        <f>averageCompletionTimePorter(Dates!C$4,Dates!C$5,'Day1'!$B5)</f>
        <v>0</v>
      </c>
      <c r="D5" s="6">
        <f>averageCompletionTimePorter(Dates!D$4,Dates!D$5,'Day1'!$B5)</f>
        <v>0</v>
      </c>
      <c r="E5" s="6">
        <f>averageCompletionTimePorter(Dates!E$4,Dates!E$5,'Day1'!$B5)</f>
        <v>0</v>
      </c>
      <c r="F5" s="6">
        <f>averageCompletionTimePorter(Dates!F$4,Dates!F$5,'Day1'!$B5)</f>
        <v>0</v>
      </c>
      <c r="G5" s="6">
        <f>averageCompletionTimePorter(Dates!G$4,Dates!G$5,'Day1'!$B5)</f>
        <v>0</v>
      </c>
      <c r="H5" s="6">
        <f>averageCompletionTimePorter(Dates!H$4,Dates!H$5,'Day1'!$B5)</f>
        <v>0</v>
      </c>
      <c r="I5" s="6">
        <f>averageCompletionTimePorter(Dates!I$4,Dates!I$5,'Day1'!$B5)</f>
        <v>0</v>
      </c>
      <c r="J5" s="6">
        <f>averageCompletionTimePorter(Dates!J$4,Dates!J$5,'Day1'!$B5)</f>
        <v>0</v>
      </c>
      <c r="K5" s="6">
        <f>averageCompletionTimePorter(Dates!K$4,Dates!K$5,'Day1'!$B5)</f>
        <v>0</v>
      </c>
      <c r="L5" s="6">
        <f>averageCompletionTimePorter(Dates!L$4,Dates!L$5,'Day1'!$B5)</f>
        <v>0</v>
      </c>
      <c r="M5" s="6">
        <f>averageCompletionTimePorter(Dates!M$4,Dates!M$5,'Day1'!$B5)</f>
        <v>0</v>
      </c>
      <c r="N5" s="6">
        <f>averageCompletionTimePorter(Dates!N$4,Dates!N$5,'Day1'!$B5)</f>
        <v>0</v>
      </c>
      <c r="O5" s="6">
        <f>averageCompletionTimePorter(Dates!O$4,Dates!O$5,'Day1'!$B5)</f>
        <v>0</v>
      </c>
      <c r="P5" s="6">
        <f>averageCompletionTimePorter(Dates!P$4,Dates!P$5,'Day1'!$B5)</f>
        <v>0</v>
      </c>
      <c r="Q5" s="6">
        <f>averageCompletionTimePorter(Dates!Q$4,Dates!Q$5,'Day1'!$B5)</f>
        <v>0</v>
      </c>
      <c r="R5" s="6">
        <f>averageCompletionTimePorter(Dates!R$4,Dates!R$5,'Day1'!$B5)</f>
        <v>0</v>
      </c>
      <c r="S5" s="6">
        <f>averageCompletionTimePorter(Dates!S$4,Dates!S$5,'Day1'!$B5)</f>
        <v>0</v>
      </c>
      <c r="T5" s="6">
        <f>averageCompletionTimePorter(Dates!T$4,Dates!T$5,'Day1'!$B5)</f>
        <v>0</v>
      </c>
      <c r="U5" s="6">
        <f>averageCompletionTimePorter(Dates!$C$4,Dates!$T$5,'Day1'!$B5)</f>
        <v>0</v>
      </c>
    </row>
    <row r="6" spans="1:21" x14ac:dyDescent="0.3">
      <c r="A6" s="7"/>
      <c r="B6" s="9" t="s">
        <v>30</v>
      </c>
      <c r="C6" s="6">
        <f>averageCompletionTimePorter(Dates!C$4,Dates!C$5,'Day1'!$B6)</f>
        <v>0</v>
      </c>
      <c r="D6" s="6">
        <f>averageCompletionTimePorter(Dates!D$4,Dates!D$5,'Day1'!$B6)</f>
        <v>0</v>
      </c>
      <c r="E6" s="6">
        <f>averageCompletionTimePorter(Dates!E$4,Dates!E$5,'Day1'!$B6)</f>
        <v>0</v>
      </c>
      <c r="F6" s="6">
        <f>averageCompletionTimePorter(Dates!F$4,Dates!F$5,'Day1'!$B6)</f>
        <v>0</v>
      </c>
      <c r="G6" s="6">
        <f>averageCompletionTimePorter(Dates!G$4,Dates!G$5,'Day1'!$B6)</f>
        <v>0</v>
      </c>
      <c r="H6" s="6">
        <f>averageCompletionTimePorter(Dates!H$4,Dates!H$5,'Day1'!$B6)</f>
        <v>0</v>
      </c>
      <c r="I6" s="6">
        <f>averageCompletionTimePorter(Dates!I$4,Dates!I$5,'Day1'!$B6)</f>
        <v>0</v>
      </c>
      <c r="J6" s="6">
        <f>averageCompletionTimePorter(Dates!J$4,Dates!J$5,'Day1'!$B6)</f>
        <v>0</v>
      </c>
      <c r="K6" s="6">
        <f>averageCompletionTimePorter(Dates!K$4,Dates!K$5,'Day1'!$B6)</f>
        <v>0</v>
      </c>
      <c r="L6" s="6">
        <f>averageCompletionTimePorter(Dates!L$4,Dates!L$5,'Day1'!$B6)</f>
        <v>0</v>
      </c>
      <c r="M6" s="6">
        <f>averageCompletionTimePorter(Dates!M$4,Dates!M$5,'Day1'!$B6)</f>
        <v>0</v>
      </c>
      <c r="N6" s="6">
        <f>averageCompletionTimePorter(Dates!N$4,Dates!N$5,'Day1'!$B6)</f>
        <v>0</v>
      </c>
      <c r="O6" s="6">
        <f>averageCompletionTimePorter(Dates!O$4,Dates!O$5,'Day1'!$B6)</f>
        <v>0</v>
      </c>
      <c r="P6" s="6">
        <f>averageCompletionTimePorter(Dates!P$4,Dates!P$5,'Day1'!$B6)</f>
        <v>0</v>
      </c>
      <c r="Q6" s="6">
        <f>averageCompletionTimePorter(Dates!Q$4,Dates!Q$5,'Day1'!$B6)</f>
        <v>0</v>
      </c>
      <c r="R6" s="6">
        <f>averageCompletionTimePorter(Dates!R$4,Dates!R$5,'Day1'!$B6)</f>
        <v>0</v>
      </c>
      <c r="S6" s="6">
        <f>averageCompletionTimePorter(Dates!S$4,Dates!S$5,'Day1'!$B6)</f>
        <v>0</v>
      </c>
      <c r="T6" s="6">
        <f>averageCompletionTimePorter(Dates!T$4,Dates!T$5,'Day1'!$B6)</f>
        <v>0</v>
      </c>
      <c r="U6" s="6">
        <f>averageCompletionTimePorter(Dates!$C$4,Dates!$T$5,'Day1'!$B6)</f>
        <v>0</v>
      </c>
    </row>
    <row r="7" spans="1:21" x14ac:dyDescent="0.3">
      <c r="A7" s="7"/>
      <c r="B7" s="9" t="s">
        <v>31</v>
      </c>
      <c r="C7" s="6">
        <f>averageCompletionTimePorter(Dates!C$4,Dates!C$5,'Day1'!$B7)</f>
        <v>0</v>
      </c>
      <c r="D7" s="6">
        <f>averageCompletionTimePorter(Dates!D$4,Dates!D$5,'Day1'!$B7)</f>
        <v>0</v>
      </c>
      <c r="E7" s="6">
        <f>averageCompletionTimePorter(Dates!E$4,Dates!E$5,'Day1'!$B7)</f>
        <v>0</v>
      </c>
      <c r="F7" s="6">
        <f>averageCompletionTimePorter(Dates!F$4,Dates!F$5,'Day1'!$B7)</f>
        <v>0</v>
      </c>
      <c r="G7" s="6">
        <f>averageCompletionTimePorter(Dates!G$4,Dates!G$5,'Day1'!$B7)</f>
        <v>0</v>
      </c>
      <c r="H7" s="6">
        <f>averageCompletionTimePorter(Dates!H$4,Dates!H$5,'Day1'!$B7)</f>
        <v>0</v>
      </c>
      <c r="I7" s="6">
        <f>averageCompletionTimePorter(Dates!I$4,Dates!I$5,'Day1'!$B7)</f>
        <v>0</v>
      </c>
      <c r="J7" s="6">
        <f>averageCompletionTimePorter(Dates!J$4,Dates!J$5,'Day1'!$B7)</f>
        <v>0</v>
      </c>
      <c r="K7" s="6">
        <f>averageCompletionTimePorter(Dates!K$4,Dates!K$5,'Day1'!$B7)</f>
        <v>0</v>
      </c>
      <c r="L7" s="6">
        <f>averageCompletionTimePorter(Dates!L$4,Dates!L$5,'Day1'!$B7)</f>
        <v>0</v>
      </c>
      <c r="M7" s="6">
        <f>averageCompletionTimePorter(Dates!M$4,Dates!M$5,'Day1'!$B7)</f>
        <v>0</v>
      </c>
      <c r="N7" s="6">
        <f>averageCompletionTimePorter(Dates!N$4,Dates!N$5,'Day1'!$B7)</f>
        <v>0</v>
      </c>
      <c r="O7" s="6">
        <f>averageCompletionTimePorter(Dates!O$4,Dates!O$5,'Day1'!$B7)</f>
        <v>0</v>
      </c>
      <c r="P7" s="6">
        <f>averageCompletionTimePorter(Dates!P$4,Dates!P$5,'Day1'!$B7)</f>
        <v>0</v>
      </c>
      <c r="Q7" s="6">
        <f>averageCompletionTimePorter(Dates!Q$4,Dates!Q$5,'Day1'!$B7)</f>
        <v>0</v>
      </c>
      <c r="R7" s="6">
        <f>averageCompletionTimePorter(Dates!R$4,Dates!R$5,'Day1'!$B7)</f>
        <v>0</v>
      </c>
      <c r="S7" s="6">
        <f>averageCompletionTimePorter(Dates!S$4,Dates!S$5,'Day1'!$B7)</f>
        <v>0</v>
      </c>
      <c r="T7" s="6">
        <f>averageCompletionTimePorter(Dates!T$4,Dates!T$5,'Day1'!$B7)</f>
        <v>0</v>
      </c>
      <c r="U7" s="6">
        <f>averageCompletionTimePorter(Dates!$C$4,Dates!$T$5,'Day1'!$B7)</f>
        <v>0</v>
      </c>
    </row>
    <row r="8" spans="1:21" x14ac:dyDescent="0.3">
      <c r="A8" s="7"/>
      <c r="B8" s="9" t="s">
        <v>32</v>
      </c>
      <c r="C8" s="6">
        <f>averageCompletionTimePorter(Dates!C$4,Dates!C$5,'Day1'!$B8)</f>
        <v>0</v>
      </c>
      <c r="D8" s="6">
        <f>averageCompletionTimePorter(Dates!D$4,Dates!D$5,'Day1'!$B8)</f>
        <v>0</v>
      </c>
      <c r="E8" s="6">
        <f>averageCompletionTimePorter(Dates!E$4,Dates!E$5,'Day1'!$B8)</f>
        <v>0</v>
      </c>
      <c r="F8" s="6">
        <f>averageCompletionTimePorter(Dates!F$4,Dates!F$5,'Day1'!$B8)</f>
        <v>0</v>
      </c>
      <c r="G8" s="6">
        <f>averageCompletionTimePorter(Dates!G$4,Dates!G$5,'Day1'!$B8)</f>
        <v>0</v>
      </c>
      <c r="H8" s="6">
        <f>averageCompletionTimePorter(Dates!H$4,Dates!H$5,'Day1'!$B8)</f>
        <v>0</v>
      </c>
      <c r="I8" s="6">
        <f>averageCompletionTimePorter(Dates!I$4,Dates!I$5,'Day1'!$B8)</f>
        <v>0</v>
      </c>
      <c r="J8" s="6">
        <f>averageCompletionTimePorter(Dates!J$4,Dates!J$5,'Day1'!$B8)</f>
        <v>0</v>
      </c>
      <c r="K8" s="6">
        <f>averageCompletionTimePorter(Dates!K$4,Dates!K$5,'Day1'!$B8)</f>
        <v>0</v>
      </c>
      <c r="L8" s="6">
        <f>averageCompletionTimePorter(Dates!L$4,Dates!L$5,'Day1'!$B8)</f>
        <v>0</v>
      </c>
      <c r="M8" s="6">
        <f>averageCompletionTimePorter(Dates!M$4,Dates!M$5,'Day1'!$B8)</f>
        <v>0</v>
      </c>
      <c r="N8" s="6">
        <f>averageCompletionTimePorter(Dates!N$4,Dates!N$5,'Day1'!$B8)</f>
        <v>0</v>
      </c>
      <c r="O8" s="6">
        <f>averageCompletionTimePorter(Dates!O$4,Dates!O$5,'Day1'!$B8)</f>
        <v>0</v>
      </c>
      <c r="P8" s="6">
        <f>averageCompletionTimePorter(Dates!P$4,Dates!P$5,'Day1'!$B8)</f>
        <v>0</v>
      </c>
      <c r="Q8" s="6">
        <f>averageCompletionTimePorter(Dates!Q$4,Dates!Q$5,'Day1'!$B8)</f>
        <v>0</v>
      </c>
      <c r="R8" s="6">
        <f>averageCompletionTimePorter(Dates!R$4,Dates!R$5,'Day1'!$B8)</f>
        <v>0</v>
      </c>
      <c r="S8" s="6">
        <f>averageCompletionTimePorter(Dates!S$4,Dates!S$5,'Day1'!$B8)</f>
        <v>0</v>
      </c>
      <c r="T8" s="6">
        <f>averageCompletionTimePorter(Dates!T$4,Dates!T$5,'Day1'!$B8)</f>
        <v>0</v>
      </c>
      <c r="U8" s="6">
        <f>averageCompletionTimePorter(Dates!$C$4,Dates!$T$5,'Day1'!$B8)</f>
        <v>0</v>
      </c>
    </row>
    <row r="9" spans="1:21" x14ac:dyDescent="0.3">
      <c r="A9" s="7"/>
      <c r="B9" s="9" t="s">
        <v>33</v>
      </c>
      <c r="C9" s="6">
        <f>averageCompletionTimePorter(Dates!C$4,Dates!C$5,'Day1'!$B9)</f>
        <v>0</v>
      </c>
      <c r="D9" s="6">
        <f>averageCompletionTimePorter(Dates!D$4,Dates!D$5,'Day1'!$B9)</f>
        <v>0</v>
      </c>
      <c r="E9" s="6">
        <f>averageCompletionTimePorter(Dates!E$4,Dates!E$5,'Day1'!$B9)</f>
        <v>0</v>
      </c>
      <c r="F9" s="6">
        <f>averageCompletionTimePorter(Dates!F$4,Dates!F$5,'Day1'!$B9)</f>
        <v>0</v>
      </c>
      <c r="G9" s="6">
        <f>averageCompletionTimePorter(Dates!G$4,Dates!G$5,'Day1'!$B9)</f>
        <v>0</v>
      </c>
      <c r="H9" s="6">
        <f>averageCompletionTimePorter(Dates!H$4,Dates!H$5,'Day1'!$B9)</f>
        <v>0</v>
      </c>
      <c r="I9" s="6">
        <f>averageCompletionTimePorter(Dates!I$4,Dates!I$5,'Day1'!$B9)</f>
        <v>0</v>
      </c>
      <c r="J9" s="6">
        <f>averageCompletionTimePorter(Dates!J$4,Dates!J$5,'Day1'!$B9)</f>
        <v>0</v>
      </c>
      <c r="K9" s="6">
        <f>averageCompletionTimePorter(Dates!K$4,Dates!K$5,'Day1'!$B9)</f>
        <v>0</v>
      </c>
      <c r="L9" s="6">
        <f>averageCompletionTimePorter(Dates!L$4,Dates!L$5,'Day1'!$B9)</f>
        <v>0</v>
      </c>
      <c r="M9" s="6">
        <f>averageCompletionTimePorter(Dates!M$4,Dates!M$5,'Day1'!$B9)</f>
        <v>0</v>
      </c>
      <c r="N9" s="6">
        <f>averageCompletionTimePorter(Dates!N$4,Dates!N$5,'Day1'!$B9)</f>
        <v>0</v>
      </c>
      <c r="O9" s="6">
        <f>averageCompletionTimePorter(Dates!O$4,Dates!O$5,'Day1'!$B9)</f>
        <v>0</v>
      </c>
      <c r="P9" s="6">
        <f>averageCompletionTimePorter(Dates!P$4,Dates!P$5,'Day1'!$B9)</f>
        <v>0</v>
      </c>
      <c r="Q9" s="6">
        <f>averageCompletionTimePorter(Dates!Q$4,Dates!Q$5,'Day1'!$B9)</f>
        <v>0</v>
      </c>
      <c r="R9" s="6">
        <f>averageCompletionTimePorter(Dates!R$4,Dates!R$5,'Day1'!$B9)</f>
        <v>0</v>
      </c>
      <c r="S9" s="6">
        <f>averageCompletionTimePorter(Dates!S$4,Dates!S$5,'Day1'!$B9)</f>
        <v>0</v>
      </c>
      <c r="T9" s="6">
        <f>averageCompletionTimePorter(Dates!T$4,Dates!T$5,'Day1'!$B9)</f>
        <v>0</v>
      </c>
      <c r="U9" s="6">
        <f>averageCompletionTimePorter(Dates!$C$4,Dates!$T$5,'Day1'!$B9)</f>
        <v>0</v>
      </c>
    </row>
    <row r="10" spans="1:21" x14ac:dyDescent="0.3">
      <c r="A10" s="7"/>
      <c r="B10" s="9" t="s">
        <v>34</v>
      </c>
      <c r="C10" s="6">
        <f>averageCompletionTimePorter(Dates!C$4,Dates!C$5,'Day1'!$B10)</f>
        <v>0</v>
      </c>
      <c r="D10" s="6">
        <f>averageCompletionTimePorter(Dates!D$4,Dates!D$5,'Day1'!$B10)</f>
        <v>0</v>
      </c>
      <c r="E10" s="6">
        <f>averageCompletionTimePorter(Dates!E$4,Dates!E$5,'Day1'!$B10)</f>
        <v>0</v>
      </c>
      <c r="F10" s="6">
        <f>averageCompletionTimePorter(Dates!F$4,Dates!F$5,'Day1'!$B10)</f>
        <v>0</v>
      </c>
      <c r="G10" s="6">
        <f>averageCompletionTimePorter(Dates!G$4,Dates!G$5,'Day1'!$B10)</f>
        <v>0</v>
      </c>
      <c r="H10" s="6">
        <f>averageCompletionTimePorter(Dates!H$4,Dates!H$5,'Day1'!$B10)</f>
        <v>0</v>
      </c>
      <c r="I10" s="6">
        <f>averageCompletionTimePorter(Dates!I$4,Dates!I$5,'Day1'!$B10)</f>
        <v>0</v>
      </c>
      <c r="J10" s="6">
        <f>averageCompletionTimePorter(Dates!J$4,Dates!J$5,'Day1'!$B10)</f>
        <v>0</v>
      </c>
      <c r="K10" s="6">
        <f>averageCompletionTimePorter(Dates!K$4,Dates!K$5,'Day1'!$B10)</f>
        <v>0</v>
      </c>
      <c r="L10" s="6">
        <f>averageCompletionTimePorter(Dates!L$4,Dates!L$5,'Day1'!$B10)</f>
        <v>0</v>
      </c>
      <c r="M10" s="6">
        <f>averageCompletionTimePorter(Dates!M$4,Dates!M$5,'Day1'!$B10)</f>
        <v>0</v>
      </c>
      <c r="N10" s="6">
        <f>averageCompletionTimePorter(Dates!N$4,Dates!N$5,'Day1'!$B10)</f>
        <v>0</v>
      </c>
      <c r="O10" s="6">
        <f>averageCompletionTimePorter(Dates!O$4,Dates!O$5,'Day1'!$B10)</f>
        <v>0</v>
      </c>
      <c r="P10" s="6">
        <f>averageCompletionTimePorter(Dates!P$4,Dates!P$5,'Day1'!$B10)</f>
        <v>0</v>
      </c>
      <c r="Q10" s="6">
        <f>averageCompletionTimePorter(Dates!Q$4,Dates!Q$5,'Day1'!$B10)</f>
        <v>0</v>
      </c>
      <c r="R10" s="6">
        <f>averageCompletionTimePorter(Dates!R$4,Dates!R$5,'Day1'!$B10)</f>
        <v>0</v>
      </c>
      <c r="S10" s="6">
        <f>averageCompletionTimePorter(Dates!S$4,Dates!S$5,'Day1'!$B10)</f>
        <v>0</v>
      </c>
      <c r="T10" s="6">
        <f>averageCompletionTimePorter(Dates!T$4,Dates!T$5,'Day1'!$B10)</f>
        <v>0</v>
      </c>
      <c r="U10" s="6">
        <f>averageCompletionTimePorter(Dates!$C$4,Dates!$T$5,'Day1'!$B10)</f>
        <v>0</v>
      </c>
    </row>
    <row r="11" spans="1:21" x14ac:dyDescent="0.3">
      <c r="A11" s="7"/>
      <c r="B11" s="9" t="s">
        <v>35</v>
      </c>
      <c r="C11" s="6">
        <f>averageCompletionTimePorter(Dates!C$4,Dates!C$5,'Day1'!$B11)</f>
        <v>0</v>
      </c>
      <c r="D11" s="6">
        <f>averageCompletionTimePorter(Dates!D$4,Dates!D$5,'Day1'!$B11)</f>
        <v>0</v>
      </c>
      <c r="E11" s="6">
        <f>averageCompletionTimePorter(Dates!E$4,Dates!E$5,'Day1'!$B11)</f>
        <v>0</v>
      </c>
      <c r="F11" s="6">
        <f>averageCompletionTimePorter(Dates!F$4,Dates!F$5,'Day1'!$B11)</f>
        <v>0</v>
      </c>
      <c r="G11" s="6">
        <f>averageCompletionTimePorter(Dates!G$4,Dates!G$5,'Day1'!$B11)</f>
        <v>0</v>
      </c>
      <c r="H11" s="6">
        <f>averageCompletionTimePorter(Dates!H$4,Dates!H$5,'Day1'!$B11)</f>
        <v>0</v>
      </c>
      <c r="I11" s="6">
        <f>averageCompletionTimePorter(Dates!I$4,Dates!I$5,'Day1'!$B11)</f>
        <v>0</v>
      </c>
      <c r="J11" s="6">
        <f>averageCompletionTimePorter(Dates!J$4,Dates!J$5,'Day1'!$B11)</f>
        <v>0</v>
      </c>
      <c r="K11" s="6">
        <f>averageCompletionTimePorter(Dates!K$4,Dates!K$5,'Day1'!$B11)</f>
        <v>0</v>
      </c>
      <c r="L11" s="6">
        <f>averageCompletionTimePorter(Dates!L$4,Dates!L$5,'Day1'!$B11)</f>
        <v>0</v>
      </c>
      <c r="M11" s="6">
        <f>averageCompletionTimePorter(Dates!M$4,Dates!M$5,'Day1'!$B11)</f>
        <v>0</v>
      </c>
      <c r="N11" s="6">
        <f>averageCompletionTimePorter(Dates!N$4,Dates!N$5,'Day1'!$B11)</f>
        <v>0</v>
      </c>
      <c r="O11" s="6">
        <f>averageCompletionTimePorter(Dates!O$4,Dates!O$5,'Day1'!$B11)</f>
        <v>0</v>
      </c>
      <c r="P11" s="6">
        <f>averageCompletionTimePorter(Dates!P$4,Dates!P$5,'Day1'!$B11)</f>
        <v>0</v>
      </c>
      <c r="Q11" s="6">
        <f>averageCompletionTimePorter(Dates!Q$4,Dates!Q$5,'Day1'!$B11)</f>
        <v>0</v>
      </c>
      <c r="R11" s="6">
        <f>averageCompletionTimePorter(Dates!R$4,Dates!R$5,'Day1'!$B11)</f>
        <v>0</v>
      </c>
      <c r="S11" s="6">
        <f>averageCompletionTimePorter(Dates!S$4,Dates!S$5,'Day1'!$B11)</f>
        <v>0</v>
      </c>
      <c r="T11" s="6">
        <f>averageCompletionTimePorter(Dates!T$4,Dates!T$5,'Day1'!$B11)</f>
        <v>0</v>
      </c>
      <c r="U11" s="6">
        <f>averageCompletionTimePorter(Dates!$C$4,Dates!$T$5,'Day1'!$B11)</f>
        <v>0</v>
      </c>
    </row>
    <row r="12" spans="1:21" x14ac:dyDescent="0.3">
      <c r="A12" s="7"/>
      <c r="B12" s="9" t="s">
        <v>36</v>
      </c>
      <c r="C12" s="6">
        <f>averageCompletionTimePorter(Dates!C$4,Dates!C$5,'Day1'!$B12)</f>
        <v>0</v>
      </c>
      <c r="D12" s="6">
        <f>averageCompletionTimePorter(Dates!D$4,Dates!D$5,'Day1'!$B12)</f>
        <v>0</v>
      </c>
      <c r="E12" s="6">
        <f>averageCompletionTimePorter(Dates!E$4,Dates!E$5,'Day1'!$B12)</f>
        <v>0</v>
      </c>
      <c r="F12" s="6">
        <f>averageCompletionTimePorter(Dates!F$4,Dates!F$5,'Day1'!$B12)</f>
        <v>0</v>
      </c>
      <c r="G12" s="6">
        <f>averageCompletionTimePorter(Dates!G$4,Dates!G$5,'Day1'!$B12)</f>
        <v>0</v>
      </c>
      <c r="H12" s="6">
        <f>averageCompletionTimePorter(Dates!H$4,Dates!H$5,'Day1'!$B12)</f>
        <v>0</v>
      </c>
      <c r="I12" s="6">
        <f>averageCompletionTimePorter(Dates!I$4,Dates!I$5,'Day1'!$B12)</f>
        <v>0</v>
      </c>
      <c r="J12" s="6">
        <f>averageCompletionTimePorter(Dates!J$4,Dates!J$5,'Day1'!$B12)</f>
        <v>0</v>
      </c>
      <c r="K12" s="6">
        <f>averageCompletionTimePorter(Dates!K$4,Dates!K$5,'Day1'!$B12)</f>
        <v>0</v>
      </c>
      <c r="L12" s="6">
        <f>averageCompletionTimePorter(Dates!L$4,Dates!L$5,'Day1'!$B12)</f>
        <v>0</v>
      </c>
      <c r="M12" s="6">
        <f>averageCompletionTimePorter(Dates!M$4,Dates!M$5,'Day1'!$B12)</f>
        <v>0</v>
      </c>
      <c r="N12" s="6">
        <f>averageCompletionTimePorter(Dates!N$4,Dates!N$5,'Day1'!$B12)</f>
        <v>0</v>
      </c>
      <c r="O12" s="6">
        <f>averageCompletionTimePorter(Dates!O$4,Dates!O$5,'Day1'!$B12)</f>
        <v>0</v>
      </c>
      <c r="P12" s="6">
        <f>averageCompletionTimePorter(Dates!P$4,Dates!P$5,'Day1'!$B12)</f>
        <v>0</v>
      </c>
      <c r="Q12" s="6">
        <f>averageCompletionTimePorter(Dates!Q$4,Dates!Q$5,'Day1'!$B12)</f>
        <v>0</v>
      </c>
      <c r="R12" s="6">
        <f>averageCompletionTimePorter(Dates!R$4,Dates!R$5,'Day1'!$B12)</f>
        <v>0</v>
      </c>
      <c r="S12" s="6">
        <f>averageCompletionTimePorter(Dates!S$4,Dates!S$5,'Day1'!$B12)</f>
        <v>0</v>
      </c>
      <c r="T12" s="6">
        <f>averageCompletionTimePorter(Dates!T$4,Dates!T$5,'Day1'!$B12)</f>
        <v>0</v>
      </c>
      <c r="U12" s="6">
        <f>averageCompletionTimePorter(Dates!$C$4,Dates!$T$5,'Day1'!$B12)</f>
        <v>0</v>
      </c>
    </row>
    <row r="13" spans="1:21" x14ac:dyDescent="0.3">
      <c r="A13" s="7"/>
      <c r="B13" s="9" t="s">
        <v>37</v>
      </c>
      <c r="C13" s="6">
        <f>averageCompletionTimePorter(Dates!C$4,Dates!C$5,'Day1'!$B13)</f>
        <v>0</v>
      </c>
      <c r="D13" s="6">
        <f>averageCompletionTimePorter(Dates!D$4,Dates!D$5,'Day1'!$B13)</f>
        <v>0</v>
      </c>
      <c r="E13" s="6">
        <f>averageCompletionTimePorter(Dates!E$4,Dates!E$5,'Day1'!$B13)</f>
        <v>0</v>
      </c>
      <c r="F13" s="6">
        <f>averageCompletionTimePorter(Dates!F$4,Dates!F$5,'Day1'!$B13)</f>
        <v>0</v>
      </c>
      <c r="G13" s="6">
        <f>averageCompletionTimePorter(Dates!G$4,Dates!G$5,'Day1'!$B13)</f>
        <v>0</v>
      </c>
      <c r="H13" s="6">
        <f>averageCompletionTimePorter(Dates!H$4,Dates!H$5,'Day1'!$B13)</f>
        <v>0</v>
      </c>
      <c r="I13" s="6">
        <f>averageCompletionTimePorter(Dates!I$4,Dates!I$5,'Day1'!$B13)</f>
        <v>0</v>
      </c>
      <c r="J13" s="6">
        <f>averageCompletionTimePorter(Dates!J$4,Dates!J$5,'Day1'!$B13)</f>
        <v>0</v>
      </c>
      <c r="K13" s="6">
        <f>averageCompletionTimePorter(Dates!K$4,Dates!K$5,'Day1'!$B13)</f>
        <v>0</v>
      </c>
      <c r="L13" s="6">
        <f>averageCompletionTimePorter(Dates!L$4,Dates!L$5,'Day1'!$B13)</f>
        <v>0</v>
      </c>
      <c r="M13" s="6">
        <f>averageCompletionTimePorter(Dates!M$4,Dates!M$5,'Day1'!$B13)</f>
        <v>0</v>
      </c>
      <c r="N13" s="6">
        <f>averageCompletionTimePorter(Dates!N$4,Dates!N$5,'Day1'!$B13)</f>
        <v>0</v>
      </c>
      <c r="O13" s="6">
        <f>averageCompletionTimePorter(Dates!O$4,Dates!O$5,'Day1'!$B13)</f>
        <v>0</v>
      </c>
      <c r="P13" s="6">
        <f>averageCompletionTimePorter(Dates!P$4,Dates!P$5,'Day1'!$B13)</f>
        <v>0</v>
      </c>
      <c r="Q13" s="6">
        <f>averageCompletionTimePorter(Dates!Q$4,Dates!Q$5,'Day1'!$B13)</f>
        <v>0</v>
      </c>
      <c r="R13" s="6">
        <f>averageCompletionTimePorter(Dates!R$4,Dates!R$5,'Day1'!$B13)</f>
        <v>0</v>
      </c>
      <c r="S13" s="6">
        <f>averageCompletionTimePorter(Dates!S$4,Dates!S$5,'Day1'!$B13)</f>
        <v>0</v>
      </c>
      <c r="T13" s="6">
        <f>averageCompletionTimePorter(Dates!T$4,Dates!T$5,'Day1'!$B13)</f>
        <v>0</v>
      </c>
      <c r="U13" s="6">
        <f>averageCompletionTimePorter(Dates!$C$4,Dates!$T$5,'Day1'!$B13)</f>
        <v>0</v>
      </c>
    </row>
    <row r="14" spans="1:21" x14ac:dyDescent="0.3">
      <c r="B14" s="9" t="s">
        <v>13</v>
      </c>
      <c r="C14" s="6">
        <f>averageCompletionTimePorter(Dates!C$4,Dates!C$5,'Day1'!$B14)</f>
        <v>0</v>
      </c>
      <c r="D14" s="6">
        <f>averageCompletionTimePorter(Dates!D$4,Dates!D$5,'Day1'!$B14)</f>
        <v>0</v>
      </c>
      <c r="E14" s="6">
        <f>averageCompletionTimePorter(Dates!E$4,Dates!E$5,'Day1'!$B14)</f>
        <v>0</v>
      </c>
      <c r="F14" s="6">
        <f>averageCompletionTimePorter(Dates!F$4,Dates!F$5,'Day1'!$B14)</f>
        <v>0</v>
      </c>
      <c r="G14" s="6">
        <f>averageCompletionTimePorter(Dates!G$4,Dates!G$5,'Day1'!$B14)</f>
        <v>0</v>
      </c>
      <c r="H14" s="6">
        <f>averageCompletionTimePorter(Dates!H$4,Dates!H$5,'Day1'!$B14)</f>
        <v>0</v>
      </c>
      <c r="I14" s="6">
        <f>averageCompletionTimePorter(Dates!I$4,Dates!I$5,'Day1'!$B14)</f>
        <v>0</v>
      </c>
      <c r="J14" s="6">
        <f>averageCompletionTimePorter(Dates!J$4,Dates!J$5,'Day1'!$B14)</f>
        <v>0</v>
      </c>
      <c r="K14" s="6">
        <f>averageCompletionTimePorter(Dates!K$4,Dates!K$5,'Day1'!$B14)</f>
        <v>0</v>
      </c>
      <c r="L14" s="6">
        <f>averageCompletionTimePorter(Dates!L$4,Dates!L$5,'Day1'!$B14)</f>
        <v>0</v>
      </c>
      <c r="M14" s="6">
        <f>averageCompletionTimePorter(Dates!M$4,Dates!M$5,'Day1'!$B14)</f>
        <v>0</v>
      </c>
      <c r="N14" s="6">
        <f>averageCompletionTimePorter(Dates!N$4,Dates!N$5,'Day1'!$B14)</f>
        <v>0</v>
      </c>
      <c r="O14" s="6">
        <f>averageCompletionTimePorter(Dates!O$4,Dates!O$5,'Day1'!$B14)</f>
        <v>0</v>
      </c>
      <c r="P14" s="6">
        <f>averageCompletionTimePorter(Dates!P$4,Dates!P$5,'Day1'!$B14)</f>
        <v>0</v>
      </c>
      <c r="Q14" s="6">
        <f>averageCompletionTimePorter(Dates!Q$4,Dates!Q$5,'Day1'!$B14)</f>
        <v>0</v>
      </c>
      <c r="R14" s="6">
        <f>averageCompletionTimePorter(Dates!R$4,Dates!R$5,'Day1'!$B14)</f>
        <v>0</v>
      </c>
      <c r="S14" s="6">
        <f>averageCompletionTimePorter(Dates!S$4,Dates!S$5,'Day1'!$B14)</f>
        <v>0</v>
      </c>
      <c r="T14" s="6">
        <f>averageCompletionTimePorter(Dates!T$4,Dates!T$5,'Day1'!$B14)</f>
        <v>0</v>
      </c>
      <c r="U14" s="6">
        <f>averageCompletionTimePorter(Dates!$C$4,Dates!$T$5,'Day1'!$B14)</f>
        <v>0</v>
      </c>
    </row>
    <row r="15" spans="1:21" x14ac:dyDescent="0.3">
      <c r="B15" s="9" t="s">
        <v>14</v>
      </c>
      <c r="C15" s="6">
        <f>averageCompletionTimePorter(Dates!C$4,Dates!C$5,'Day1'!$B15)</f>
        <v>0</v>
      </c>
      <c r="D15" s="6">
        <f>averageCompletionTimePorter(Dates!D$4,Dates!D$5,'Day1'!$B15)</f>
        <v>0</v>
      </c>
      <c r="E15" s="6">
        <f>averageCompletionTimePorter(Dates!E$4,Dates!E$5,'Day1'!$B15)</f>
        <v>0</v>
      </c>
      <c r="F15" s="6">
        <f>averageCompletionTimePorter(Dates!F$4,Dates!F$5,'Day1'!$B15)</f>
        <v>0</v>
      </c>
      <c r="G15" s="6">
        <f>averageCompletionTimePorter(Dates!G$4,Dates!G$5,'Day1'!$B15)</f>
        <v>0</v>
      </c>
      <c r="H15" s="6">
        <f>averageCompletionTimePorter(Dates!H$4,Dates!H$5,'Day1'!$B15)</f>
        <v>0</v>
      </c>
      <c r="I15" s="6">
        <f>averageCompletionTimePorter(Dates!I$4,Dates!I$5,'Day1'!$B15)</f>
        <v>0</v>
      </c>
      <c r="J15" s="6">
        <f>averageCompletionTimePorter(Dates!J$4,Dates!J$5,'Day1'!$B15)</f>
        <v>0</v>
      </c>
      <c r="K15" s="6">
        <f>averageCompletionTimePorter(Dates!K$4,Dates!K$5,'Day1'!$B15)</f>
        <v>0</v>
      </c>
      <c r="L15" s="6">
        <f>averageCompletionTimePorter(Dates!L$4,Dates!L$5,'Day1'!$B15)</f>
        <v>0</v>
      </c>
      <c r="M15" s="6">
        <f>averageCompletionTimePorter(Dates!M$4,Dates!M$5,'Day1'!$B15)</f>
        <v>0</v>
      </c>
      <c r="N15" s="6">
        <f>averageCompletionTimePorter(Dates!N$4,Dates!N$5,'Day1'!$B15)</f>
        <v>0</v>
      </c>
      <c r="O15" s="6">
        <f>averageCompletionTimePorter(Dates!O$4,Dates!O$5,'Day1'!$B15)</f>
        <v>0</v>
      </c>
      <c r="P15" s="6">
        <f>averageCompletionTimePorter(Dates!P$4,Dates!P$5,'Day1'!$B15)</f>
        <v>0</v>
      </c>
      <c r="Q15" s="6">
        <f>averageCompletionTimePorter(Dates!Q$4,Dates!Q$5,'Day1'!$B15)</f>
        <v>0</v>
      </c>
      <c r="R15" s="6">
        <f>averageCompletionTimePorter(Dates!R$4,Dates!R$5,'Day1'!$B15)</f>
        <v>0</v>
      </c>
      <c r="S15" s="6">
        <f>averageCompletionTimePorter(Dates!S$4,Dates!S$5,'Day1'!$B15)</f>
        <v>0</v>
      </c>
      <c r="T15" s="6">
        <f>averageCompletionTimePorter(Dates!T$4,Dates!T$5,'Day1'!$B15)</f>
        <v>0</v>
      </c>
      <c r="U15" s="6">
        <f>averageCompletionTimePorter(Dates!$C$4,Dates!$T$5,'Day1'!$B15)</f>
        <v>0</v>
      </c>
    </row>
    <row r="16" spans="1:21" x14ac:dyDescent="0.3">
      <c r="B16" s="9" t="s">
        <v>15</v>
      </c>
      <c r="C16" s="6">
        <f>averageCompletionTimePorter(Dates!C$4,Dates!C$5,'Day1'!$B16)</f>
        <v>0</v>
      </c>
      <c r="D16" s="6">
        <f>averageCompletionTimePorter(Dates!D$4,Dates!D$5,'Day1'!$B16)</f>
        <v>0</v>
      </c>
      <c r="E16" s="6">
        <f>averageCompletionTimePorter(Dates!E$4,Dates!E$5,'Day1'!$B16)</f>
        <v>0</v>
      </c>
      <c r="F16" s="6">
        <f>averageCompletionTimePorter(Dates!F$4,Dates!F$5,'Day1'!$B16)</f>
        <v>0</v>
      </c>
      <c r="G16" s="6">
        <f>averageCompletionTimePorter(Dates!G$4,Dates!G$5,'Day1'!$B16)</f>
        <v>0</v>
      </c>
      <c r="H16" s="6">
        <f>averageCompletionTimePorter(Dates!H$4,Dates!H$5,'Day1'!$B16)</f>
        <v>0</v>
      </c>
      <c r="I16" s="6">
        <f>averageCompletionTimePorter(Dates!I$4,Dates!I$5,'Day1'!$B16)</f>
        <v>0</v>
      </c>
      <c r="J16" s="6">
        <f>averageCompletionTimePorter(Dates!J$4,Dates!J$5,'Day1'!$B16)</f>
        <v>0</v>
      </c>
      <c r="K16" s="6">
        <f>averageCompletionTimePorter(Dates!K$4,Dates!K$5,'Day1'!$B16)</f>
        <v>0</v>
      </c>
      <c r="L16" s="6">
        <f>averageCompletionTimePorter(Dates!L$4,Dates!L$5,'Day1'!$B16)</f>
        <v>0</v>
      </c>
      <c r="M16" s="6">
        <f>averageCompletionTimePorter(Dates!M$4,Dates!M$5,'Day1'!$B16)</f>
        <v>0</v>
      </c>
      <c r="N16" s="6">
        <f>averageCompletionTimePorter(Dates!N$4,Dates!N$5,'Day1'!$B16)</f>
        <v>0</v>
      </c>
      <c r="O16" s="6">
        <f>averageCompletionTimePorter(Dates!O$4,Dates!O$5,'Day1'!$B16)</f>
        <v>0</v>
      </c>
      <c r="P16" s="6">
        <f>averageCompletionTimePorter(Dates!P$4,Dates!P$5,'Day1'!$B16)</f>
        <v>0</v>
      </c>
      <c r="Q16" s="6">
        <f>averageCompletionTimePorter(Dates!Q$4,Dates!Q$5,'Day1'!$B16)</f>
        <v>0</v>
      </c>
      <c r="R16" s="6">
        <f>averageCompletionTimePorter(Dates!R$4,Dates!R$5,'Day1'!$B16)</f>
        <v>0</v>
      </c>
      <c r="S16" s="6">
        <f>averageCompletionTimePorter(Dates!S$4,Dates!S$5,'Day1'!$B16)</f>
        <v>0</v>
      </c>
      <c r="T16" s="6">
        <f>averageCompletionTimePorter(Dates!T$4,Dates!T$5,'Day1'!$B16)</f>
        <v>0</v>
      </c>
      <c r="U16" s="6">
        <f>averageCompletionTimePorter(Dates!$C$4,Dates!$T$5,'Day1'!$B16)</f>
        <v>0</v>
      </c>
    </row>
    <row r="17" spans="2:21" x14ac:dyDescent="0.3">
      <c r="B17" s="9" t="s">
        <v>16</v>
      </c>
      <c r="C17" s="6">
        <f>averageCompletionTimePorter(Dates!C$4,Dates!C$5,'Day1'!$B17)</f>
        <v>0</v>
      </c>
      <c r="D17" s="6">
        <f>averageCompletionTimePorter(Dates!D$4,Dates!D$5,'Day1'!$B17)</f>
        <v>0</v>
      </c>
      <c r="E17" s="6">
        <f>averageCompletionTimePorter(Dates!E$4,Dates!E$5,'Day1'!$B17)</f>
        <v>0</v>
      </c>
      <c r="F17" s="6">
        <f>averageCompletionTimePorter(Dates!F$4,Dates!F$5,'Day1'!$B17)</f>
        <v>0</v>
      </c>
      <c r="G17" s="6">
        <f>averageCompletionTimePorter(Dates!G$4,Dates!G$5,'Day1'!$B17)</f>
        <v>0</v>
      </c>
      <c r="H17" s="6">
        <f>averageCompletionTimePorter(Dates!H$4,Dates!H$5,'Day1'!$B17)</f>
        <v>0</v>
      </c>
      <c r="I17" s="6">
        <f>averageCompletionTimePorter(Dates!I$4,Dates!I$5,'Day1'!$B17)</f>
        <v>0</v>
      </c>
      <c r="J17" s="6">
        <f>averageCompletionTimePorter(Dates!J$4,Dates!J$5,'Day1'!$B17)</f>
        <v>0</v>
      </c>
      <c r="K17" s="6">
        <f>averageCompletionTimePorter(Dates!K$4,Dates!K$5,'Day1'!$B17)</f>
        <v>0</v>
      </c>
      <c r="L17" s="6">
        <f>averageCompletionTimePorter(Dates!L$4,Dates!L$5,'Day1'!$B17)</f>
        <v>0</v>
      </c>
      <c r="M17" s="6">
        <f>averageCompletionTimePorter(Dates!M$4,Dates!M$5,'Day1'!$B17)</f>
        <v>0</v>
      </c>
      <c r="N17" s="6">
        <f>averageCompletionTimePorter(Dates!N$4,Dates!N$5,'Day1'!$B17)</f>
        <v>0</v>
      </c>
      <c r="O17" s="6">
        <f>averageCompletionTimePorter(Dates!O$4,Dates!O$5,'Day1'!$B17)</f>
        <v>0</v>
      </c>
      <c r="P17" s="6">
        <f>averageCompletionTimePorter(Dates!P$4,Dates!P$5,'Day1'!$B17)</f>
        <v>0</v>
      </c>
      <c r="Q17" s="6">
        <f>averageCompletionTimePorter(Dates!Q$4,Dates!Q$5,'Day1'!$B17)</f>
        <v>0</v>
      </c>
      <c r="R17" s="6">
        <f>averageCompletionTimePorter(Dates!R$4,Dates!R$5,'Day1'!$B17)</f>
        <v>0</v>
      </c>
      <c r="S17" s="6">
        <f>averageCompletionTimePorter(Dates!S$4,Dates!S$5,'Day1'!$B17)</f>
        <v>0</v>
      </c>
      <c r="T17" s="6">
        <f>averageCompletionTimePorter(Dates!T$4,Dates!T$5,'Day1'!$B17)</f>
        <v>0</v>
      </c>
      <c r="U17" s="6">
        <f>averageCompletionTimePorter(Dates!$C$4,Dates!$T$5,'Day1'!$B17)</f>
        <v>0</v>
      </c>
    </row>
    <row r="18" spans="2:21" x14ac:dyDescent="0.3">
      <c r="B18" s="9" t="s">
        <v>17</v>
      </c>
      <c r="C18" s="6">
        <f>averageCompletionTimePorter(Dates!C$4,Dates!C$5,'Day1'!$B18)</f>
        <v>0</v>
      </c>
      <c r="D18" s="6">
        <f>averageCompletionTimePorter(Dates!D$4,Dates!D$5,'Day1'!$B18)</f>
        <v>0</v>
      </c>
      <c r="E18" s="6">
        <f>averageCompletionTimePorter(Dates!E$4,Dates!E$5,'Day1'!$B18)</f>
        <v>0</v>
      </c>
      <c r="F18" s="6">
        <f>averageCompletionTimePorter(Dates!F$4,Dates!F$5,'Day1'!$B18)</f>
        <v>0</v>
      </c>
      <c r="G18" s="6">
        <f>averageCompletionTimePorter(Dates!G$4,Dates!G$5,'Day1'!$B18)</f>
        <v>0</v>
      </c>
      <c r="H18" s="6">
        <f>averageCompletionTimePorter(Dates!H$4,Dates!H$5,'Day1'!$B18)</f>
        <v>0</v>
      </c>
      <c r="I18" s="6">
        <f>averageCompletionTimePorter(Dates!I$4,Dates!I$5,'Day1'!$B18)</f>
        <v>0</v>
      </c>
      <c r="J18" s="6">
        <f>averageCompletionTimePorter(Dates!J$4,Dates!J$5,'Day1'!$B18)</f>
        <v>0</v>
      </c>
      <c r="K18" s="6">
        <f>averageCompletionTimePorter(Dates!K$4,Dates!K$5,'Day1'!$B18)</f>
        <v>0</v>
      </c>
      <c r="L18" s="6">
        <f>averageCompletionTimePorter(Dates!L$4,Dates!L$5,'Day1'!$B18)</f>
        <v>0</v>
      </c>
      <c r="M18" s="6">
        <f>averageCompletionTimePorter(Dates!M$4,Dates!M$5,'Day1'!$B18)</f>
        <v>0</v>
      </c>
      <c r="N18" s="6">
        <f>averageCompletionTimePorter(Dates!N$4,Dates!N$5,'Day1'!$B18)</f>
        <v>0</v>
      </c>
      <c r="O18" s="6">
        <f>averageCompletionTimePorter(Dates!O$4,Dates!O$5,'Day1'!$B18)</f>
        <v>0</v>
      </c>
      <c r="P18" s="6">
        <f>averageCompletionTimePorter(Dates!P$4,Dates!P$5,'Day1'!$B18)</f>
        <v>0</v>
      </c>
      <c r="Q18" s="6">
        <f>averageCompletionTimePorter(Dates!Q$4,Dates!Q$5,'Day1'!$B18)</f>
        <v>0</v>
      </c>
      <c r="R18" s="6">
        <f>averageCompletionTimePorter(Dates!R$4,Dates!R$5,'Day1'!$B18)</f>
        <v>0</v>
      </c>
      <c r="S18" s="6">
        <f>averageCompletionTimePorter(Dates!S$4,Dates!S$5,'Day1'!$B18)</f>
        <v>0</v>
      </c>
      <c r="T18" s="6">
        <f>averageCompletionTimePorter(Dates!T$4,Dates!T$5,'Day1'!$B18)</f>
        <v>0</v>
      </c>
      <c r="U18" s="6">
        <f>averageCompletionTimePorter(Dates!$C$4,Dates!$T$5,'Day1'!$B18)</f>
        <v>0</v>
      </c>
    </row>
    <row r="19" spans="2:21" x14ac:dyDescent="0.3">
      <c r="B19" s="9" t="s">
        <v>18</v>
      </c>
      <c r="C19" s="6">
        <f>averageCompletionTimePorter(Dates!C$4,Dates!C$5,'Day1'!$B19)</f>
        <v>0</v>
      </c>
      <c r="D19" s="6">
        <f>averageCompletionTimePorter(Dates!D$4,Dates!D$5,'Day1'!$B19)</f>
        <v>0</v>
      </c>
      <c r="E19" s="6">
        <f>averageCompletionTimePorter(Dates!E$4,Dates!E$5,'Day1'!$B19)</f>
        <v>0</v>
      </c>
      <c r="F19" s="6">
        <f>averageCompletionTimePorter(Dates!F$4,Dates!F$5,'Day1'!$B19)</f>
        <v>0</v>
      </c>
      <c r="G19" s="6">
        <f>averageCompletionTimePorter(Dates!G$4,Dates!G$5,'Day1'!$B19)</f>
        <v>0</v>
      </c>
      <c r="H19" s="6">
        <f>averageCompletionTimePorter(Dates!H$4,Dates!H$5,'Day1'!$B19)</f>
        <v>0</v>
      </c>
      <c r="I19" s="6">
        <f>averageCompletionTimePorter(Dates!I$4,Dates!I$5,'Day1'!$B19)</f>
        <v>0</v>
      </c>
      <c r="J19" s="6">
        <f>averageCompletionTimePorter(Dates!J$4,Dates!J$5,'Day1'!$B19)</f>
        <v>0</v>
      </c>
      <c r="K19" s="6">
        <f>averageCompletionTimePorter(Dates!K$4,Dates!K$5,'Day1'!$B19)</f>
        <v>0</v>
      </c>
      <c r="L19" s="6">
        <f>averageCompletionTimePorter(Dates!L$4,Dates!L$5,'Day1'!$B19)</f>
        <v>0</v>
      </c>
      <c r="M19" s="6">
        <f>averageCompletionTimePorter(Dates!M$4,Dates!M$5,'Day1'!$B19)</f>
        <v>0</v>
      </c>
      <c r="N19" s="6">
        <f>averageCompletionTimePorter(Dates!N$4,Dates!N$5,'Day1'!$B19)</f>
        <v>0</v>
      </c>
      <c r="O19" s="6">
        <f>averageCompletionTimePorter(Dates!O$4,Dates!O$5,'Day1'!$B19)</f>
        <v>0</v>
      </c>
      <c r="P19" s="6">
        <f>averageCompletionTimePorter(Dates!P$4,Dates!P$5,'Day1'!$B19)</f>
        <v>0</v>
      </c>
      <c r="Q19" s="6">
        <f>averageCompletionTimePorter(Dates!Q$4,Dates!Q$5,'Day1'!$B19)</f>
        <v>0</v>
      </c>
      <c r="R19" s="6">
        <f>averageCompletionTimePorter(Dates!R$4,Dates!R$5,'Day1'!$B19)</f>
        <v>0</v>
      </c>
      <c r="S19" s="6">
        <f>averageCompletionTimePorter(Dates!S$4,Dates!S$5,'Day1'!$B19)</f>
        <v>0</v>
      </c>
      <c r="T19" s="6">
        <f>averageCompletionTimePorter(Dates!T$4,Dates!T$5,'Day1'!$B19)</f>
        <v>0</v>
      </c>
      <c r="U19" s="6">
        <f>averageCompletionTimePorter(Dates!$C$4,Dates!$T$5,'Day1'!$B19)</f>
        <v>0</v>
      </c>
    </row>
    <row r="20" spans="2:21" x14ac:dyDescent="0.3">
      <c r="B20" s="9" t="s">
        <v>19</v>
      </c>
      <c r="C20" s="6">
        <f>averageCompletionTimePorter(Dates!C$4,Dates!C$5,'Day1'!$B20)</f>
        <v>0</v>
      </c>
      <c r="D20" s="6">
        <f>averageCompletionTimePorter(Dates!D$4,Dates!D$5,'Day1'!$B20)</f>
        <v>0</v>
      </c>
      <c r="E20" s="6">
        <f>averageCompletionTimePorter(Dates!E$4,Dates!E$5,'Day1'!$B20)</f>
        <v>0</v>
      </c>
      <c r="F20" s="6">
        <f>averageCompletionTimePorter(Dates!F$4,Dates!F$5,'Day1'!$B20)</f>
        <v>0</v>
      </c>
      <c r="G20" s="6">
        <f>averageCompletionTimePorter(Dates!G$4,Dates!G$5,'Day1'!$B20)</f>
        <v>0</v>
      </c>
      <c r="H20" s="6">
        <f>averageCompletionTimePorter(Dates!H$4,Dates!H$5,'Day1'!$B20)</f>
        <v>0</v>
      </c>
      <c r="I20" s="6">
        <f>averageCompletionTimePorter(Dates!I$4,Dates!I$5,'Day1'!$B20)</f>
        <v>0</v>
      </c>
      <c r="J20" s="6">
        <f>averageCompletionTimePorter(Dates!J$4,Dates!J$5,'Day1'!$B20)</f>
        <v>0</v>
      </c>
      <c r="K20" s="6">
        <f>averageCompletionTimePorter(Dates!K$4,Dates!K$5,'Day1'!$B20)</f>
        <v>0</v>
      </c>
      <c r="L20" s="6">
        <f>averageCompletionTimePorter(Dates!L$4,Dates!L$5,'Day1'!$B20)</f>
        <v>0</v>
      </c>
      <c r="M20" s="6">
        <f>averageCompletionTimePorter(Dates!M$4,Dates!M$5,'Day1'!$B20)</f>
        <v>0</v>
      </c>
      <c r="N20" s="6">
        <f>averageCompletionTimePorter(Dates!N$4,Dates!N$5,'Day1'!$B20)</f>
        <v>0</v>
      </c>
      <c r="O20" s="6">
        <f>averageCompletionTimePorter(Dates!O$4,Dates!O$5,'Day1'!$B20)</f>
        <v>0</v>
      </c>
      <c r="P20" s="6">
        <f>averageCompletionTimePorter(Dates!P$4,Dates!P$5,'Day1'!$B20)</f>
        <v>0</v>
      </c>
      <c r="Q20" s="6">
        <f>averageCompletionTimePorter(Dates!Q$4,Dates!Q$5,'Day1'!$B20)</f>
        <v>0</v>
      </c>
      <c r="R20" s="6">
        <f>averageCompletionTimePorter(Dates!R$4,Dates!R$5,'Day1'!$B20)</f>
        <v>0</v>
      </c>
      <c r="S20" s="6">
        <f>averageCompletionTimePorter(Dates!S$4,Dates!S$5,'Day1'!$B20)</f>
        <v>0</v>
      </c>
      <c r="T20" s="6">
        <f>averageCompletionTimePorter(Dates!T$4,Dates!T$5,'Day1'!$B20)</f>
        <v>0</v>
      </c>
      <c r="U20" s="6">
        <f>averageCompletionTimePorter(Dates!$C$4,Dates!$T$5,'Day1'!$B20)</f>
        <v>0</v>
      </c>
    </row>
    <row r="21" spans="2:21" x14ac:dyDescent="0.3">
      <c r="B21" s="9" t="s">
        <v>20</v>
      </c>
      <c r="C21" s="6">
        <f>averageCompletionTimePorter(Dates!C$4,Dates!C$5,'Day1'!$B21)</f>
        <v>0</v>
      </c>
      <c r="D21" s="6">
        <f>averageCompletionTimePorter(Dates!D$4,Dates!D$5,'Day1'!$B21)</f>
        <v>0</v>
      </c>
      <c r="E21" s="6">
        <f>averageCompletionTimePorter(Dates!E$4,Dates!E$5,'Day1'!$B21)</f>
        <v>0</v>
      </c>
      <c r="F21" s="6">
        <f>averageCompletionTimePorter(Dates!F$4,Dates!F$5,'Day1'!$B21)</f>
        <v>0</v>
      </c>
      <c r="G21" s="6">
        <f>averageCompletionTimePorter(Dates!G$4,Dates!G$5,'Day1'!$B21)</f>
        <v>0</v>
      </c>
      <c r="H21" s="6">
        <f>averageCompletionTimePorter(Dates!H$4,Dates!H$5,'Day1'!$B21)</f>
        <v>0</v>
      </c>
      <c r="I21" s="6">
        <f>averageCompletionTimePorter(Dates!I$4,Dates!I$5,'Day1'!$B21)</f>
        <v>0</v>
      </c>
      <c r="J21" s="6">
        <f>averageCompletionTimePorter(Dates!J$4,Dates!J$5,'Day1'!$B21)</f>
        <v>0</v>
      </c>
      <c r="K21" s="6">
        <f>averageCompletionTimePorter(Dates!K$4,Dates!K$5,'Day1'!$B21)</f>
        <v>0</v>
      </c>
      <c r="L21" s="6">
        <f>averageCompletionTimePorter(Dates!L$4,Dates!L$5,'Day1'!$B21)</f>
        <v>0</v>
      </c>
      <c r="M21" s="6">
        <f>averageCompletionTimePorter(Dates!M$4,Dates!M$5,'Day1'!$B21)</f>
        <v>0</v>
      </c>
      <c r="N21" s="6">
        <f>averageCompletionTimePorter(Dates!N$4,Dates!N$5,'Day1'!$B21)</f>
        <v>0</v>
      </c>
      <c r="O21" s="6">
        <f>averageCompletionTimePorter(Dates!O$4,Dates!O$5,'Day1'!$B21)</f>
        <v>0</v>
      </c>
      <c r="P21" s="6">
        <f>averageCompletionTimePorter(Dates!P$4,Dates!P$5,'Day1'!$B21)</f>
        <v>0</v>
      </c>
      <c r="Q21" s="6">
        <f>averageCompletionTimePorter(Dates!Q$4,Dates!Q$5,'Day1'!$B21)</f>
        <v>0</v>
      </c>
      <c r="R21" s="6">
        <f>averageCompletionTimePorter(Dates!R$4,Dates!R$5,'Day1'!$B21)</f>
        <v>0</v>
      </c>
      <c r="S21" s="6">
        <f>averageCompletionTimePorter(Dates!S$4,Dates!S$5,'Day1'!$B21)</f>
        <v>0</v>
      </c>
      <c r="T21" s="6">
        <f>averageCompletionTimePorter(Dates!T$4,Dates!T$5,'Day1'!$B21)</f>
        <v>0</v>
      </c>
      <c r="U21" s="6">
        <f>averageCompletionTimePorter(Dates!$C$4,Dates!$T$5,'Day1'!$B21)</f>
        <v>0</v>
      </c>
    </row>
    <row r="22" spans="2:21" x14ac:dyDescent="0.3">
      <c r="B22" s="9" t="s">
        <v>21</v>
      </c>
      <c r="C22" s="6">
        <f>averageCompletionTimePorter(Dates!C$4,Dates!C$5,'Day1'!$B22)</f>
        <v>0</v>
      </c>
      <c r="D22" s="6">
        <f>averageCompletionTimePorter(Dates!D$4,Dates!D$5,'Day1'!$B22)</f>
        <v>0</v>
      </c>
      <c r="E22" s="6">
        <f>averageCompletionTimePorter(Dates!E$4,Dates!E$5,'Day1'!$B22)</f>
        <v>0</v>
      </c>
      <c r="F22" s="6">
        <f>averageCompletionTimePorter(Dates!F$4,Dates!F$5,'Day1'!$B22)</f>
        <v>0</v>
      </c>
      <c r="G22" s="6">
        <f>averageCompletionTimePorter(Dates!G$4,Dates!G$5,'Day1'!$B22)</f>
        <v>0</v>
      </c>
      <c r="H22" s="6">
        <f>averageCompletionTimePorter(Dates!H$4,Dates!H$5,'Day1'!$B22)</f>
        <v>0</v>
      </c>
      <c r="I22" s="6">
        <f>averageCompletionTimePorter(Dates!I$4,Dates!I$5,'Day1'!$B22)</f>
        <v>0</v>
      </c>
      <c r="J22" s="6">
        <f>averageCompletionTimePorter(Dates!J$4,Dates!J$5,'Day1'!$B22)</f>
        <v>0</v>
      </c>
      <c r="K22" s="6">
        <f>averageCompletionTimePorter(Dates!K$4,Dates!K$5,'Day1'!$B22)</f>
        <v>0</v>
      </c>
      <c r="L22" s="6">
        <f>averageCompletionTimePorter(Dates!L$4,Dates!L$5,'Day1'!$B22)</f>
        <v>0</v>
      </c>
      <c r="M22" s="6">
        <f>averageCompletionTimePorter(Dates!M$4,Dates!M$5,'Day1'!$B22)</f>
        <v>0</v>
      </c>
      <c r="N22" s="6">
        <f>averageCompletionTimePorter(Dates!N$4,Dates!N$5,'Day1'!$B22)</f>
        <v>0</v>
      </c>
      <c r="O22" s="6">
        <f>averageCompletionTimePorter(Dates!O$4,Dates!O$5,'Day1'!$B22)</f>
        <v>0</v>
      </c>
      <c r="P22" s="6">
        <f>averageCompletionTimePorter(Dates!P$4,Dates!P$5,'Day1'!$B22)</f>
        <v>0</v>
      </c>
      <c r="Q22" s="6">
        <f>averageCompletionTimePorter(Dates!Q$4,Dates!Q$5,'Day1'!$B22)</f>
        <v>0</v>
      </c>
      <c r="R22" s="6">
        <f>averageCompletionTimePorter(Dates!R$4,Dates!R$5,'Day1'!$B22)</f>
        <v>0</v>
      </c>
      <c r="S22" s="6">
        <f>averageCompletionTimePorter(Dates!S$4,Dates!S$5,'Day1'!$B22)</f>
        <v>0</v>
      </c>
      <c r="T22" s="6">
        <f>averageCompletionTimePorter(Dates!T$4,Dates!T$5,'Day1'!$B22)</f>
        <v>0</v>
      </c>
      <c r="U22" s="6">
        <f>averageCompletionTimePorter(Dates!$C$4,Dates!$T$5,'Day1'!$B22)</f>
        <v>0</v>
      </c>
    </row>
    <row r="23" spans="2:21" x14ac:dyDescent="0.3">
      <c r="B23" s="9" t="s">
        <v>22</v>
      </c>
      <c r="C23" s="6">
        <f>averageCompletionTimePorter(Dates!C$4,Dates!C$5,'Day1'!$B23)</f>
        <v>0</v>
      </c>
      <c r="D23" s="6">
        <f>averageCompletionTimePorter(Dates!D$4,Dates!D$5,'Day1'!$B23)</f>
        <v>0</v>
      </c>
      <c r="E23" s="6">
        <f>averageCompletionTimePorter(Dates!E$4,Dates!E$5,'Day1'!$B23)</f>
        <v>0</v>
      </c>
      <c r="F23" s="6">
        <f>averageCompletionTimePorter(Dates!F$4,Dates!F$5,'Day1'!$B23)</f>
        <v>0</v>
      </c>
      <c r="G23" s="6">
        <f>averageCompletionTimePorter(Dates!G$4,Dates!G$5,'Day1'!$B23)</f>
        <v>0</v>
      </c>
      <c r="H23" s="6">
        <f>averageCompletionTimePorter(Dates!H$4,Dates!H$5,'Day1'!$B23)</f>
        <v>0</v>
      </c>
      <c r="I23" s="6">
        <f>averageCompletionTimePorter(Dates!I$4,Dates!I$5,'Day1'!$B23)</f>
        <v>0</v>
      </c>
      <c r="J23" s="6">
        <f>averageCompletionTimePorter(Dates!J$4,Dates!J$5,'Day1'!$B23)</f>
        <v>0</v>
      </c>
      <c r="K23" s="6">
        <f>averageCompletionTimePorter(Dates!K$4,Dates!K$5,'Day1'!$B23)</f>
        <v>0</v>
      </c>
      <c r="L23" s="6">
        <f>averageCompletionTimePorter(Dates!L$4,Dates!L$5,'Day1'!$B23)</f>
        <v>0</v>
      </c>
      <c r="M23" s="6">
        <f>averageCompletionTimePorter(Dates!M$4,Dates!M$5,'Day1'!$B23)</f>
        <v>0</v>
      </c>
      <c r="N23" s="6">
        <f>averageCompletionTimePorter(Dates!N$4,Dates!N$5,'Day1'!$B23)</f>
        <v>0</v>
      </c>
      <c r="O23" s="6">
        <f>averageCompletionTimePorter(Dates!O$4,Dates!O$5,'Day1'!$B23)</f>
        <v>0</v>
      </c>
      <c r="P23" s="6">
        <f>averageCompletionTimePorter(Dates!P$4,Dates!P$5,'Day1'!$B23)</f>
        <v>0</v>
      </c>
      <c r="Q23" s="6">
        <f>averageCompletionTimePorter(Dates!Q$4,Dates!Q$5,'Day1'!$B23)</f>
        <v>0</v>
      </c>
      <c r="R23" s="6">
        <f>averageCompletionTimePorter(Dates!R$4,Dates!R$5,'Day1'!$B23)</f>
        <v>0</v>
      </c>
      <c r="S23" s="6">
        <f>averageCompletionTimePorter(Dates!S$4,Dates!S$5,'Day1'!$B23)</f>
        <v>0</v>
      </c>
      <c r="T23" s="6">
        <f>averageCompletionTimePorter(Dates!T$4,Dates!T$5,'Day1'!$B23)</f>
        <v>0</v>
      </c>
      <c r="U23" s="6">
        <f>averageCompletionTimePorter(Dates!$C$4,Dates!$T$5,'Day1'!$B23)</f>
        <v>0</v>
      </c>
    </row>
    <row r="25" spans="2:21" x14ac:dyDescent="0.3">
      <c r="B25" s="8" t="s">
        <v>12</v>
      </c>
      <c r="C25" s="6">
        <f>averageResponseTime(Dates!C4,Dates!C5)</f>
        <v>0</v>
      </c>
      <c r="D25" s="6">
        <f>averageResponseTime(Dates!D4,Dates!D5)</f>
        <v>0</v>
      </c>
      <c r="E25" s="6">
        <f>averageResponseTime(Dates!E4,Dates!E5)</f>
        <v>0</v>
      </c>
      <c r="F25" s="6">
        <f>averageResponseTime(Dates!F4,Dates!F5)</f>
        <v>0</v>
      </c>
      <c r="G25" s="6">
        <f>averageResponseTime(Dates!G4,Dates!G5)</f>
        <v>0</v>
      </c>
      <c r="H25" s="6">
        <f>averageResponseTime(Dates!H4,Dates!H5)</f>
        <v>0</v>
      </c>
      <c r="I25" s="6">
        <f>averageResponseTime(Dates!I4,Dates!I5)</f>
        <v>0</v>
      </c>
      <c r="J25" s="6">
        <f>averageResponseTime(Dates!J4,Dates!J5)</f>
        <v>0</v>
      </c>
      <c r="K25" s="6">
        <f>averageResponseTime(Dates!K4,Dates!K5)</f>
        <v>0</v>
      </c>
      <c r="L25" s="6">
        <f>averageResponseTime(Dates!L4,Dates!L5)</f>
        <v>0</v>
      </c>
      <c r="M25" s="6">
        <f>averageResponseTime(Dates!M4,Dates!M5)</f>
        <v>0</v>
      </c>
      <c r="N25" s="6">
        <f>averageResponseTime(Dates!N4,Dates!N5)</f>
        <v>0</v>
      </c>
      <c r="O25" s="6">
        <f>averageResponseTime(Dates!O4,Dates!O5)</f>
        <v>0</v>
      </c>
      <c r="P25" s="6">
        <f>averageResponseTime(Dates!P4,Dates!P5)</f>
        <v>0</v>
      </c>
      <c r="Q25" s="6">
        <f>averageResponseTime(Dates!Q4,Dates!Q5)</f>
        <v>0</v>
      </c>
      <c r="R25" s="6">
        <f>averageResponseTime(Dates!R4,Dates!R5)</f>
        <v>0</v>
      </c>
      <c r="S25" s="6">
        <f>averageResponseTime(Dates!S4,Dates!S5)</f>
        <v>0</v>
      </c>
      <c r="T25" s="6">
        <f>averageResponseTime(Dates!T4,Dates!T5)</f>
        <v>0</v>
      </c>
      <c r="U25" s="6">
        <f>averageResponseTime(Dates!C4,Dates!T5)</f>
        <v>0</v>
      </c>
    </row>
    <row r="26" spans="2:21" x14ac:dyDescent="0.3">
      <c r="B26" s="8">
        <f t="shared" ref="B26:B36" si="0">B3</f>
        <v>0</v>
      </c>
      <c r="C26" s="6">
        <f>averageResponseTimePorter(Dates!C$4,Dates!C$5,'Day1'!$B26)</f>
        <v>0</v>
      </c>
      <c r="D26" s="6">
        <f>averageResponseTimePorter(Dates!D$4,Dates!D$5,'Day1'!$B26)</f>
        <v>0</v>
      </c>
      <c r="E26" s="6">
        <f>averageResponseTimePorter(Dates!E$4,Dates!E$5,'Day1'!$B26)</f>
        <v>0</v>
      </c>
      <c r="F26" s="6">
        <f>averageResponseTimePorter(Dates!F$4,Dates!F$5,'Day1'!$B26)</f>
        <v>0</v>
      </c>
      <c r="G26" s="6">
        <f>averageResponseTimePorter(Dates!G$4,Dates!G$5,'Day1'!$B26)</f>
        <v>0</v>
      </c>
      <c r="H26" s="6">
        <f>averageResponseTimePorter(Dates!H$4,Dates!H$5,'Day1'!$B26)</f>
        <v>0</v>
      </c>
      <c r="I26" s="6">
        <f>averageResponseTimePorter(Dates!I$4,Dates!I$5,'Day1'!$B26)</f>
        <v>0</v>
      </c>
      <c r="J26" s="6">
        <f>averageResponseTimePorter(Dates!J$4,Dates!J$5,'Day1'!$B26)</f>
        <v>0</v>
      </c>
      <c r="K26" s="6">
        <f>averageResponseTimePorter(Dates!K$4,Dates!K$5,'Day1'!$B26)</f>
        <v>0</v>
      </c>
      <c r="L26" s="6">
        <f>averageResponseTimePorter(Dates!L$4,Dates!L$5,'Day1'!$B26)</f>
        <v>0</v>
      </c>
      <c r="M26" s="6">
        <f>averageResponseTimePorter(Dates!M$4,Dates!M$5,'Day1'!$B26)</f>
        <v>0</v>
      </c>
      <c r="N26" s="6">
        <f>averageResponseTimePorter(Dates!N$4,Dates!N$5,'Day1'!$B26)</f>
        <v>0</v>
      </c>
      <c r="O26" s="6">
        <f>averageResponseTimePorter(Dates!O$4,Dates!O$5,'Day1'!$B26)</f>
        <v>0</v>
      </c>
      <c r="P26" s="6">
        <f>averageResponseTimePorter(Dates!P$4,Dates!P$5,'Day1'!$B26)</f>
        <v>0</v>
      </c>
      <c r="Q26" s="6">
        <f>averageResponseTimePorter(Dates!Q$4,Dates!Q$5,'Day1'!$B26)</f>
        <v>0</v>
      </c>
      <c r="R26" s="6">
        <f>averageResponseTimePorter(Dates!R$4,Dates!R$5,'Day1'!$B26)</f>
        <v>0</v>
      </c>
      <c r="S26" s="6">
        <f>averageResponseTimePorter(Dates!S$4,Dates!S$5,'Day1'!$B26)</f>
        <v>0</v>
      </c>
      <c r="T26" s="6">
        <f>averageResponseTimePorter(Dates!T$4,Dates!T$5,'Day1'!$B26)</f>
        <v>0</v>
      </c>
      <c r="U26" s="6">
        <f>averageResponseTimePorter(Dates!$C$4,Dates!$T$5,'Day1'!$B3)</f>
        <v>0</v>
      </c>
    </row>
    <row r="27" spans="2:21" x14ac:dyDescent="0.3">
      <c r="B27" s="8" t="str">
        <f t="shared" si="0"/>
        <v>NA4</v>
      </c>
      <c r="C27" s="6">
        <f>averageResponseTimePorter(Dates!C$4,Dates!C$5,'Day1'!$B27)</f>
        <v>0</v>
      </c>
      <c r="D27" s="6">
        <f>averageResponseTimePorter(Dates!D$4,Dates!D$5,'Day1'!$B27)</f>
        <v>0</v>
      </c>
      <c r="E27" s="6">
        <f>averageResponseTimePorter(Dates!E$4,Dates!E$5,'Day1'!$B27)</f>
        <v>0</v>
      </c>
      <c r="F27" s="6">
        <f>averageResponseTimePorter(Dates!F$4,Dates!F$5,'Day1'!$B27)</f>
        <v>0</v>
      </c>
      <c r="G27" s="6">
        <f>averageResponseTimePorter(Dates!G$4,Dates!G$5,'Day1'!$B27)</f>
        <v>0</v>
      </c>
      <c r="H27" s="6">
        <f>averageResponseTimePorter(Dates!H$4,Dates!H$5,'Day1'!$B27)</f>
        <v>0</v>
      </c>
      <c r="I27" s="6">
        <f>averageResponseTimePorter(Dates!I$4,Dates!I$5,'Day1'!$B27)</f>
        <v>0</v>
      </c>
      <c r="J27" s="6">
        <f>averageResponseTimePorter(Dates!J$4,Dates!J$5,'Day1'!$B27)</f>
        <v>0</v>
      </c>
      <c r="K27" s="6">
        <f>averageResponseTimePorter(Dates!K$4,Dates!K$5,'Day1'!$B27)</f>
        <v>0</v>
      </c>
      <c r="L27" s="6">
        <f>averageResponseTimePorter(Dates!L$4,Dates!L$5,'Day1'!$B27)</f>
        <v>0</v>
      </c>
      <c r="M27" s="6">
        <f>averageResponseTimePorter(Dates!M$4,Dates!M$5,'Day1'!$B27)</f>
        <v>0</v>
      </c>
      <c r="N27" s="6">
        <f>averageResponseTimePorter(Dates!N$4,Dates!N$5,'Day1'!$B27)</f>
        <v>0</v>
      </c>
      <c r="O27" s="6">
        <f>averageResponseTimePorter(Dates!O$4,Dates!O$5,'Day1'!$B27)</f>
        <v>0</v>
      </c>
      <c r="P27" s="6">
        <f>averageResponseTimePorter(Dates!P$4,Dates!P$5,'Day1'!$B27)</f>
        <v>0</v>
      </c>
      <c r="Q27" s="6">
        <f>averageResponseTimePorter(Dates!Q$4,Dates!Q$5,'Day1'!$B27)</f>
        <v>0</v>
      </c>
      <c r="R27" s="6">
        <f>averageResponseTimePorter(Dates!R$4,Dates!R$5,'Day1'!$B27)</f>
        <v>0</v>
      </c>
      <c r="S27" s="6">
        <f>averageResponseTimePorter(Dates!S$4,Dates!S$5,'Day1'!$B27)</f>
        <v>0</v>
      </c>
      <c r="T27" s="6">
        <f>averageResponseTimePorter(Dates!T$4,Dates!T$5,'Day1'!$B27)</f>
        <v>0</v>
      </c>
      <c r="U27" s="6">
        <f>averageResponseTimePorter(Dates!$C$4,Dates!$T$5,'Day1'!$B4)</f>
        <v>0</v>
      </c>
    </row>
    <row r="28" spans="2:21" x14ac:dyDescent="0.3">
      <c r="B28" s="8" t="str">
        <f t="shared" si="0"/>
        <v>NA5</v>
      </c>
      <c r="C28" s="6">
        <f>averageResponseTimePorter(Dates!C$4,Dates!C$5,'Day1'!$B28)</f>
        <v>0</v>
      </c>
      <c r="D28" s="6">
        <f>averageResponseTimePorter(Dates!D$4,Dates!D$5,'Day1'!$B28)</f>
        <v>0</v>
      </c>
      <c r="E28" s="6">
        <f>averageResponseTimePorter(Dates!E$4,Dates!E$5,'Day1'!$B28)</f>
        <v>0</v>
      </c>
      <c r="F28" s="6">
        <f>averageResponseTimePorter(Dates!F$4,Dates!F$5,'Day1'!$B28)</f>
        <v>0</v>
      </c>
      <c r="G28" s="6">
        <f>averageResponseTimePorter(Dates!G$4,Dates!G$5,'Day1'!$B28)</f>
        <v>0</v>
      </c>
      <c r="H28" s="6">
        <f>averageResponseTimePorter(Dates!H$4,Dates!H$5,'Day1'!$B28)</f>
        <v>0</v>
      </c>
      <c r="I28" s="6">
        <f>averageResponseTimePorter(Dates!I$4,Dates!I$5,'Day1'!$B28)</f>
        <v>0</v>
      </c>
      <c r="J28" s="6">
        <f>averageResponseTimePorter(Dates!J$4,Dates!J$5,'Day1'!$B28)</f>
        <v>0</v>
      </c>
      <c r="K28" s="6">
        <f>averageResponseTimePorter(Dates!K$4,Dates!K$5,'Day1'!$B28)</f>
        <v>0</v>
      </c>
      <c r="L28" s="6">
        <f>averageResponseTimePorter(Dates!L$4,Dates!L$5,'Day1'!$B28)</f>
        <v>0</v>
      </c>
      <c r="M28" s="6">
        <f>averageResponseTimePorter(Dates!M$4,Dates!M$5,'Day1'!$B28)</f>
        <v>0</v>
      </c>
      <c r="N28" s="6">
        <f>averageResponseTimePorter(Dates!N$4,Dates!N$5,'Day1'!$B28)</f>
        <v>0</v>
      </c>
      <c r="O28" s="6">
        <f>averageResponseTimePorter(Dates!O$4,Dates!O$5,'Day1'!$B28)</f>
        <v>0</v>
      </c>
      <c r="P28" s="6">
        <f>averageResponseTimePorter(Dates!P$4,Dates!P$5,'Day1'!$B28)</f>
        <v>0</v>
      </c>
      <c r="Q28" s="6">
        <f>averageResponseTimePorter(Dates!Q$4,Dates!Q$5,'Day1'!$B28)</f>
        <v>0</v>
      </c>
      <c r="R28" s="6">
        <f>averageResponseTimePorter(Dates!R$4,Dates!R$5,'Day1'!$B28)</f>
        <v>0</v>
      </c>
      <c r="S28" s="6">
        <f>averageResponseTimePorter(Dates!S$4,Dates!S$5,'Day1'!$B28)</f>
        <v>0</v>
      </c>
      <c r="T28" s="6">
        <f>averageResponseTimePorter(Dates!T$4,Dates!T$5,'Day1'!$B28)</f>
        <v>0</v>
      </c>
      <c r="U28" s="6">
        <f>averageResponseTimePorter(Dates!$C$4,Dates!$T$5,'Day1'!$B5)</f>
        <v>0</v>
      </c>
    </row>
    <row r="29" spans="2:21" x14ac:dyDescent="0.3">
      <c r="B29" s="8" t="str">
        <f t="shared" si="0"/>
        <v>NA6</v>
      </c>
      <c r="C29" s="6">
        <f>averageResponseTimePorter(Dates!C$4,Dates!C$5,'Day1'!$B29)</f>
        <v>0</v>
      </c>
      <c r="D29" s="6">
        <f>averageResponseTimePorter(Dates!D$4,Dates!D$5,'Day1'!$B29)</f>
        <v>0</v>
      </c>
      <c r="E29" s="6">
        <f>averageResponseTimePorter(Dates!E$4,Dates!E$5,'Day1'!$B29)</f>
        <v>0</v>
      </c>
      <c r="F29" s="6">
        <f>averageResponseTimePorter(Dates!F$4,Dates!F$5,'Day1'!$B29)</f>
        <v>0</v>
      </c>
      <c r="G29" s="6">
        <f>averageResponseTimePorter(Dates!G$4,Dates!G$5,'Day1'!$B29)</f>
        <v>0</v>
      </c>
      <c r="H29" s="6">
        <f>averageResponseTimePorter(Dates!H$4,Dates!H$5,'Day1'!$B29)</f>
        <v>0</v>
      </c>
      <c r="I29" s="6">
        <f>averageResponseTimePorter(Dates!I$4,Dates!I$5,'Day1'!$B29)</f>
        <v>0</v>
      </c>
      <c r="J29" s="6">
        <f>averageResponseTimePorter(Dates!J$4,Dates!J$5,'Day1'!$B29)</f>
        <v>0</v>
      </c>
      <c r="K29" s="6">
        <f>averageResponseTimePorter(Dates!K$4,Dates!K$5,'Day1'!$B29)</f>
        <v>0</v>
      </c>
      <c r="L29" s="6">
        <f>averageResponseTimePorter(Dates!L$4,Dates!L$5,'Day1'!$B29)</f>
        <v>0</v>
      </c>
      <c r="M29" s="6">
        <f>averageResponseTimePorter(Dates!M$4,Dates!M$5,'Day1'!$B29)</f>
        <v>0</v>
      </c>
      <c r="N29" s="6">
        <f>averageResponseTimePorter(Dates!N$4,Dates!N$5,'Day1'!$B29)</f>
        <v>0</v>
      </c>
      <c r="O29" s="6">
        <f>averageResponseTimePorter(Dates!O$4,Dates!O$5,'Day1'!$B29)</f>
        <v>0</v>
      </c>
      <c r="P29" s="6">
        <f>averageResponseTimePorter(Dates!P$4,Dates!P$5,'Day1'!$B29)</f>
        <v>0</v>
      </c>
      <c r="Q29" s="6">
        <f>averageResponseTimePorter(Dates!Q$4,Dates!Q$5,'Day1'!$B29)</f>
        <v>0</v>
      </c>
      <c r="R29" s="6">
        <f>averageResponseTimePorter(Dates!R$4,Dates!R$5,'Day1'!$B29)</f>
        <v>0</v>
      </c>
      <c r="S29" s="6">
        <f>averageResponseTimePorter(Dates!S$4,Dates!S$5,'Day1'!$B29)</f>
        <v>0</v>
      </c>
      <c r="T29" s="6">
        <f>averageResponseTimePorter(Dates!T$4,Dates!T$5,'Day1'!$B29)</f>
        <v>0</v>
      </c>
      <c r="U29" s="6">
        <f>averageResponseTimePorter(Dates!$C$4,Dates!$T$5,'Day1'!$B6)</f>
        <v>0</v>
      </c>
    </row>
    <row r="30" spans="2:21" x14ac:dyDescent="0.3">
      <c r="B30" s="8" t="str">
        <f t="shared" si="0"/>
        <v>NA7</v>
      </c>
      <c r="C30" s="6">
        <f>averageResponseTimePorter(Dates!C$4,Dates!C$5,'Day1'!$B30)</f>
        <v>0</v>
      </c>
      <c r="D30" s="6">
        <f>averageResponseTimePorter(Dates!D$4,Dates!D$5,'Day1'!$B30)</f>
        <v>0</v>
      </c>
      <c r="E30" s="6">
        <f>averageResponseTimePorter(Dates!E$4,Dates!E$5,'Day1'!$B30)</f>
        <v>0</v>
      </c>
      <c r="F30" s="6">
        <f>averageResponseTimePorter(Dates!F$4,Dates!F$5,'Day1'!$B30)</f>
        <v>0</v>
      </c>
      <c r="G30" s="6">
        <f>averageResponseTimePorter(Dates!G$4,Dates!G$5,'Day1'!$B30)</f>
        <v>0</v>
      </c>
      <c r="H30" s="6">
        <f>averageResponseTimePorter(Dates!H$4,Dates!H$5,'Day1'!$B30)</f>
        <v>0</v>
      </c>
      <c r="I30" s="6">
        <f>averageResponseTimePorter(Dates!I$4,Dates!I$5,'Day1'!$B30)</f>
        <v>0</v>
      </c>
      <c r="J30" s="6">
        <f>averageResponseTimePorter(Dates!J$4,Dates!J$5,'Day1'!$B30)</f>
        <v>0</v>
      </c>
      <c r="K30" s="6">
        <f>averageResponseTimePorter(Dates!K$4,Dates!K$5,'Day1'!$B30)</f>
        <v>0</v>
      </c>
      <c r="L30" s="6">
        <f>averageResponseTimePorter(Dates!L$4,Dates!L$5,'Day1'!$B30)</f>
        <v>0</v>
      </c>
      <c r="M30" s="6">
        <f>averageResponseTimePorter(Dates!M$4,Dates!M$5,'Day1'!$B30)</f>
        <v>0</v>
      </c>
      <c r="N30" s="6">
        <f>averageResponseTimePorter(Dates!N$4,Dates!N$5,'Day1'!$B30)</f>
        <v>0</v>
      </c>
      <c r="O30" s="6">
        <f>averageResponseTimePorter(Dates!O$4,Dates!O$5,'Day1'!$B30)</f>
        <v>0</v>
      </c>
      <c r="P30" s="6">
        <f>averageResponseTimePorter(Dates!P$4,Dates!P$5,'Day1'!$B30)</f>
        <v>0</v>
      </c>
      <c r="Q30" s="6">
        <f>averageResponseTimePorter(Dates!Q$4,Dates!Q$5,'Day1'!$B30)</f>
        <v>0</v>
      </c>
      <c r="R30" s="6">
        <f>averageResponseTimePorter(Dates!R$4,Dates!R$5,'Day1'!$B30)</f>
        <v>0</v>
      </c>
      <c r="S30" s="6">
        <f>averageResponseTimePorter(Dates!S$4,Dates!S$5,'Day1'!$B30)</f>
        <v>0</v>
      </c>
      <c r="T30" s="6">
        <f>averageResponseTimePorter(Dates!T$4,Dates!T$5,'Day1'!$B30)</f>
        <v>0</v>
      </c>
      <c r="U30" s="6">
        <f>averageResponseTimePorter(Dates!$C$4,Dates!$T$5,'Day1'!$B7)</f>
        <v>0</v>
      </c>
    </row>
    <row r="31" spans="2:21" x14ac:dyDescent="0.3">
      <c r="B31" s="8" t="str">
        <f t="shared" si="0"/>
        <v>NA8</v>
      </c>
      <c r="C31" s="6">
        <f>averageResponseTimePorter(Dates!C$4,Dates!C$5,'Day1'!$B31)</f>
        <v>0</v>
      </c>
      <c r="D31" s="6">
        <f>averageResponseTimePorter(Dates!D$4,Dates!D$5,'Day1'!$B31)</f>
        <v>0</v>
      </c>
      <c r="E31" s="6">
        <f>averageResponseTimePorter(Dates!E$4,Dates!E$5,'Day1'!$B31)</f>
        <v>0</v>
      </c>
      <c r="F31" s="6">
        <f>averageResponseTimePorter(Dates!F$4,Dates!F$5,'Day1'!$B31)</f>
        <v>0</v>
      </c>
      <c r="G31" s="6">
        <f>averageResponseTimePorter(Dates!G$4,Dates!G$5,'Day1'!$B31)</f>
        <v>0</v>
      </c>
      <c r="H31" s="6">
        <f>averageResponseTimePorter(Dates!H$4,Dates!H$5,'Day1'!$B31)</f>
        <v>0</v>
      </c>
      <c r="I31" s="6">
        <f>averageResponseTimePorter(Dates!I$4,Dates!I$5,'Day1'!$B31)</f>
        <v>0</v>
      </c>
      <c r="J31" s="6">
        <f>averageResponseTimePorter(Dates!J$4,Dates!J$5,'Day1'!$B31)</f>
        <v>0</v>
      </c>
      <c r="K31" s="6">
        <f>averageResponseTimePorter(Dates!K$4,Dates!K$5,'Day1'!$B31)</f>
        <v>0</v>
      </c>
      <c r="L31" s="6">
        <f>averageResponseTimePorter(Dates!L$4,Dates!L$5,'Day1'!$B31)</f>
        <v>0</v>
      </c>
      <c r="M31" s="6">
        <f>averageResponseTimePorter(Dates!M$4,Dates!M$5,'Day1'!$B31)</f>
        <v>0</v>
      </c>
      <c r="N31" s="6">
        <f>averageResponseTimePorter(Dates!N$4,Dates!N$5,'Day1'!$B31)</f>
        <v>0</v>
      </c>
      <c r="O31" s="6">
        <f>averageResponseTimePorter(Dates!O$4,Dates!O$5,'Day1'!$B31)</f>
        <v>0</v>
      </c>
      <c r="P31" s="6">
        <f>averageResponseTimePorter(Dates!P$4,Dates!P$5,'Day1'!$B31)</f>
        <v>0</v>
      </c>
      <c r="Q31" s="6">
        <f>averageResponseTimePorter(Dates!Q$4,Dates!Q$5,'Day1'!$B31)</f>
        <v>0</v>
      </c>
      <c r="R31" s="6">
        <f>averageResponseTimePorter(Dates!R$4,Dates!R$5,'Day1'!$B31)</f>
        <v>0</v>
      </c>
      <c r="S31" s="6">
        <f>averageResponseTimePorter(Dates!S$4,Dates!S$5,'Day1'!$B31)</f>
        <v>0</v>
      </c>
      <c r="T31" s="6">
        <f>averageResponseTimePorter(Dates!T$4,Dates!T$5,'Day1'!$B31)</f>
        <v>0</v>
      </c>
      <c r="U31" s="6">
        <f>averageResponseTimePorter(Dates!$C$4,Dates!$T$5,'Day1'!$B8)</f>
        <v>0</v>
      </c>
    </row>
    <row r="32" spans="2:21" x14ac:dyDescent="0.3">
      <c r="B32" s="8" t="str">
        <f t="shared" si="0"/>
        <v>NA9</v>
      </c>
      <c r="C32" s="6">
        <f>averageResponseTimePorter(Dates!C$4,Dates!C$5,'Day1'!$B32)</f>
        <v>0</v>
      </c>
      <c r="D32" s="6">
        <f>averageResponseTimePorter(Dates!D$4,Dates!D$5,'Day1'!$B32)</f>
        <v>0</v>
      </c>
      <c r="E32" s="6">
        <f>averageResponseTimePorter(Dates!E$4,Dates!E$5,'Day1'!$B32)</f>
        <v>0</v>
      </c>
      <c r="F32" s="6">
        <f>averageResponseTimePorter(Dates!F$4,Dates!F$5,'Day1'!$B32)</f>
        <v>0</v>
      </c>
      <c r="G32" s="6">
        <f>averageResponseTimePorter(Dates!G$4,Dates!G$5,'Day1'!$B32)</f>
        <v>0</v>
      </c>
      <c r="H32" s="6">
        <f>averageResponseTimePorter(Dates!H$4,Dates!H$5,'Day1'!$B32)</f>
        <v>0</v>
      </c>
      <c r="I32" s="6">
        <f>averageResponseTimePorter(Dates!I$4,Dates!I$5,'Day1'!$B32)</f>
        <v>0</v>
      </c>
      <c r="J32" s="6">
        <f>averageResponseTimePorter(Dates!J$4,Dates!J$5,'Day1'!$B32)</f>
        <v>0</v>
      </c>
      <c r="K32" s="6">
        <f>averageResponseTimePorter(Dates!K$4,Dates!K$5,'Day1'!$B32)</f>
        <v>0</v>
      </c>
      <c r="L32" s="6">
        <f>averageResponseTimePorter(Dates!L$4,Dates!L$5,'Day1'!$B32)</f>
        <v>0</v>
      </c>
      <c r="M32" s="6">
        <f>averageResponseTimePorter(Dates!M$4,Dates!M$5,'Day1'!$B32)</f>
        <v>0</v>
      </c>
      <c r="N32" s="6">
        <f>averageResponseTimePorter(Dates!N$4,Dates!N$5,'Day1'!$B32)</f>
        <v>0</v>
      </c>
      <c r="O32" s="6">
        <f>averageResponseTimePorter(Dates!O$4,Dates!O$5,'Day1'!$B32)</f>
        <v>0</v>
      </c>
      <c r="P32" s="6">
        <f>averageResponseTimePorter(Dates!P$4,Dates!P$5,'Day1'!$B32)</f>
        <v>0</v>
      </c>
      <c r="Q32" s="6">
        <f>averageResponseTimePorter(Dates!Q$4,Dates!Q$5,'Day1'!$B32)</f>
        <v>0</v>
      </c>
      <c r="R32" s="6">
        <f>averageResponseTimePorter(Dates!R$4,Dates!R$5,'Day1'!$B32)</f>
        <v>0</v>
      </c>
      <c r="S32" s="6">
        <f>averageResponseTimePorter(Dates!S$4,Dates!S$5,'Day1'!$B32)</f>
        <v>0</v>
      </c>
      <c r="T32" s="6">
        <f>averageResponseTimePorter(Dates!T$4,Dates!T$5,'Day1'!$B32)</f>
        <v>0</v>
      </c>
      <c r="U32" s="6">
        <f>averageResponseTimePorter(Dates!$C$4,Dates!$T$5,'Day1'!$B9)</f>
        <v>0</v>
      </c>
    </row>
    <row r="33" spans="2:21" x14ac:dyDescent="0.3">
      <c r="B33" s="8" t="str">
        <f t="shared" si="0"/>
        <v>NA10</v>
      </c>
      <c r="C33" s="6">
        <f>averageResponseTimePorter(Dates!C$4,Dates!C$5,'Day1'!$B33)</f>
        <v>0</v>
      </c>
      <c r="D33" s="6">
        <f>averageResponseTimePorter(Dates!D$4,Dates!D$5,'Day1'!$B33)</f>
        <v>0</v>
      </c>
      <c r="E33" s="6">
        <f>averageResponseTimePorter(Dates!E$4,Dates!E$5,'Day1'!$B33)</f>
        <v>0</v>
      </c>
      <c r="F33" s="6">
        <f>averageResponseTimePorter(Dates!F$4,Dates!F$5,'Day1'!$B33)</f>
        <v>0</v>
      </c>
      <c r="G33" s="6">
        <f>averageResponseTimePorter(Dates!G$4,Dates!G$5,'Day1'!$B33)</f>
        <v>0</v>
      </c>
      <c r="H33" s="6">
        <f>averageResponseTimePorter(Dates!H$4,Dates!H$5,'Day1'!$B33)</f>
        <v>0</v>
      </c>
      <c r="I33" s="6">
        <f>averageResponseTimePorter(Dates!I$4,Dates!I$5,'Day1'!$B33)</f>
        <v>0</v>
      </c>
      <c r="J33" s="6">
        <f>averageResponseTimePorter(Dates!J$4,Dates!J$5,'Day1'!$B33)</f>
        <v>0</v>
      </c>
      <c r="K33" s="6">
        <f>averageResponseTimePorter(Dates!K$4,Dates!K$5,'Day1'!$B33)</f>
        <v>0</v>
      </c>
      <c r="L33" s="6">
        <f>averageResponseTimePorter(Dates!L$4,Dates!L$5,'Day1'!$B33)</f>
        <v>0</v>
      </c>
      <c r="M33" s="6">
        <f>averageResponseTimePorter(Dates!M$4,Dates!M$5,'Day1'!$B33)</f>
        <v>0</v>
      </c>
      <c r="N33" s="6">
        <f>averageResponseTimePorter(Dates!N$4,Dates!N$5,'Day1'!$B33)</f>
        <v>0</v>
      </c>
      <c r="O33" s="6">
        <f>averageResponseTimePorter(Dates!O$4,Dates!O$5,'Day1'!$B33)</f>
        <v>0</v>
      </c>
      <c r="P33" s="6">
        <f>averageResponseTimePorter(Dates!P$4,Dates!P$5,'Day1'!$B33)</f>
        <v>0</v>
      </c>
      <c r="Q33" s="6">
        <f>averageResponseTimePorter(Dates!Q$4,Dates!Q$5,'Day1'!$B33)</f>
        <v>0</v>
      </c>
      <c r="R33" s="6">
        <f>averageResponseTimePorter(Dates!R$4,Dates!R$5,'Day1'!$B33)</f>
        <v>0</v>
      </c>
      <c r="S33" s="6">
        <f>averageResponseTimePorter(Dates!S$4,Dates!S$5,'Day1'!$B33)</f>
        <v>0</v>
      </c>
      <c r="T33" s="6">
        <f>averageResponseTimePorter(Dates!T$4,Dates!T$5,'Day1'!$B33)</f>
        <v>0</v>
      </c>
      <c r="U33" s="6">
        <f>averageResponseTimePorter(Dates!$C$4,Dates!$T$5,'Day1'!$B10)</f>
        <v>0</v>
      </c>
    </row>
    <row r="34" spans="2:21" x14ac:dyDescent="0.3">
      <c r="B34" s="8" t="str">
        <f t="shared" si="0"/>
        <v>NA11</v>
      </c>
      <c r="C34" s="6">
        <f>averageResponseTimePorter(Dates!C$4,Dates!C$5,'Day1'!$B34)</f>
        <v>0</v>
      </c>
      <c r="D34" s="6">
        <f>averageResponseTimePorter(Dates!D$4,Dates!D$5,'Day1'!$B34)</f>
        <v>0</v>
      </c>
      <c r="E34" s="6">
        <f>averageResponseTimePorter(Dates!E$4,Dates!E$5,'Day1'!$B34)</f>
        <v>0</v>
      </c>
      <c r="F34" s="6">
        <f>averageResponseTimePorter(Dates!F$4,Dates!F$5,'Day1'!$B34)</f>
        <v>0</v>
      </c>
      <c r="G34" s="6">
        <f>averageResponseTimePorter(Dates!G$4,Dates!G$5,'Day1'!$B34)</f>
        <v>0</v>
      </c>
      <c r="H34" s="6">
        <f>averageResponseTimePorter(Dates!H$4,Dates!H$5,'Day1'!$B34)</f>
        <v>0</v>
      </c>
      <c r="I34" s="6">
        <f>averageResponseTimePorter(Dates!I$4,Dates!I$5,'Day1'!$B34)</f>
        <v>0</v>
      </c>
      <c r="J34" s="6">
        <f>averageResponseTimePorter(Dates!J$4,Dates!J$5,'Day1'!$B34)</f>
        <v>0</v>
      </c>
      <c r="K34" s="6">
        <f>averageResponseTimePorter(Dates!K$4,Dates!K$5,'Day1'!$B34)</f>
        <v>0</v>
      </c>
      <c r="L34" s="6">
        <f>averageResponseTimePorter(Dates!L$4,Dates!L$5,'Day1'!$B34)</f>
        <v>0</v>
      </c>
      <c r="M34" s="6">
        <f>averageResponseTimePorter(Dates!M$4,Dates!M$5,'Day1'!$B34)</f>
        <v>0</v>
      </c>
      <c r="N34" s="6">
        <f>averageResponseTimePorter(Dates!N$4,Dates!N$5,'Day1'!$B34)</f>
        <v>0</v>
      </c>
      <c r="O34" s="6">
        <f>averageResponseTimePorter(Dates!O$4,Dates!O$5,'Day1'!$B34)</f>
        <v>0</v>
      </c>
      <c r="P34" s="6">
        <f>averageResponseTimePorter(Dates!P$4,Dates!P$5,'Day1'!$B34)</f>
        <v>0</v>
      </c>
      <c r="Q34" s="6">
        <f>averageResponseTimePorter(Dates!Q$4,Dates!Q$5,'Day1'!$B34)</f>
        <v>0</v>
      </c>
      <c r="R34" s="6">
        <f>averageResponseTimePorter(Dates!R$4,Dates!R$5,'Day1'!$B34)</f>
        <v>0</v>
      </c>
      <c r="S34" s="6">
        <f>averageResponseTimePorter(Dates!S$4,Dates!S$5,'Day1'!$B34)</f>
        <v>0</v>
      </c>
      <c r="T34" s="6">
        <f>averageResponseTimePorter(Dates!T$4,Dates!T$5,'Day1'!$B34)</f>
        <v>0</v>
      </c>
      <c r="U34" s="6">
        <f>averageResponseTimePorter(Dates!$C$4,Dates!$T$5,'Day1'!$B11)</f>
        <v>0</v>
      </c>
    </row>
    <row r="35" spans="2:21" x14ac:dyDescent="0.3">
      <c r="B35" s="8" t="str">
        <f t="shared" si="0"/>
        <v>NA12</v>
      </c>
      <c r="C35" s="6">
        <f>averageResponseTimePorter(Dates!C$4,Dates!C$5,'Day1'!$B35)</f>
        <v>0</v>
      </c>
      <c r="D35" s="6">
        <f>averageResponseTimePorter(Dates!D$4,Dates!D$5,'Day1'!$B35)</f>
        <v>0</v>
      </c>
      <c r="E35" s="6">
        <f>averageResponseTimePorter(Dates!E$4,Dates!E$5,'Day1'!$B35)</f>
        <v>0</v>
      </c>
      <c r="F35" s="6">
        <f>averageResponseTimePorter(Dates!F$4,Dates!F$5,'Day1'!$B35)</f>
        <v>0</v>
      </c>
      <c r="G35" s="6">
        <f>averageResponseTimePorter(Dates!G$4,Dates!G$5,'Day1'!$B35)</f>
        <v>0</v>
      </c>
      <c r="H35" s="6">
        <f>averageResponseTimePorter(Dates!H$4,Dates!H$5,'Day1'!$B35)</f>
        <v>0</v>
      </c>
      <c r="I35" s="6">
        <f>averageResponseTimePorter(Dates!I$4,Dates!I$5,'Day1'!$B35)</f>
        <v>0</v>
      </c>
      <c r="J35" s="6">
        <f>averageResponseTimePorter(Dates!J$4,Dates!J$5,'Day1'!$B35)</f>
        <v>0</v>
      </c>
      <c r="K35" s="6">
        <f>averageResponseTimePorter(Dates!K$4,Dates!K$5,'Day1'!$B35)</f>
        <v>0</v>
      </c>
      <c r="L35" s="6">
        <f>averageResponseTimePorter(Dates!L$4,Dates!L$5,'Day1'!$B35)</f>
        <v>0</v>
      </c>
      <c r="M35" s="6">
        <f>averageResponseTimePorter(Dates!M$4,Dates!M$5,'Day1'!$B35)</f>
        <v>0</v>
      </c>
      <c r="N35" s="6">
        <f>averageResponseTimePorter(Dates!N$4,Dates!N$5,'Day1'!$B35)</f>
        <v>0</v>
      </c>
      <c r="O35" s="6">
        <f>averageResponseTimePorter(Dates!O$4,Dates!O$5,'Day1'!$B35)</f>
        <v>0</v>
      </c>
      <c r="P35" s="6">
        <f>averageResponseTimePorter(Dates!P$4,Dates!P$5,'Day1'!$B35)</f>
        <v>0</v>
      </c>
      <c r="Q35" s="6">
        <f>averageResponseTimePorter(Dates!Q$4,Dates!Q$5,'Day1'!$B35)</f>
        <v>0</v>
      </c>
      <c r="R35" s="6">
        <f>averageResponseTimePorter(Dates!R$4,Dates!R$5,'Day1'!$B35)</f>
        <v>0</v>
      </c>
      <c r="S35" s="6">
        <f>averageResponseTimePorter(Dates!S$4,Dates!S$5,'Day1'!$B35)</f>
        <v>0</v>
      </c>
      <c r="T35" s="6">
        <f>averageResponseTimePorter(Dates!T$4,Dates!T$5,'Day1'!$B35)</f>
        <v>0</v>
      </c>
      <c r="U35" s="6">
        <f>averageResponseTimePorter(Dates!$C$4,Dates!$T$5,'Day1'!$B12)</f>
        <v>0</v>
      </c>
    </row>
    <row r="36" spans="2:21" x14ac:dyDescent="0.3">
      <c r="B36" s="8" t="str">
        <f t="shared" si="0"/>
        <v>NA13</v>
      </c>
      <c r="C36" s="6">
        <f>averageResponseTimePorter(Dates!C$4,Dates!C$5,'Day1'!$B36)</f>
        <v>0</v>
      </c>
      <c r="D36" s="6">
        <f>averageResponseTimePorter(Dates!D$4,Dates!D$5,'Day1'!$B36)</f>
        <v>0</v>
      </c>
      <c r="E36" s="6">
        <f>averageResponseTimePorter(Dates!E$4,Dates!E$5,'Day1'!$B36)</f>
        <v>0</v>
      </c>
      <c r="F36" s="6">
        <f>averageResponseTimePorter(Dates!F$4,Dates!F$5,'Day1'!$B36)</f>
        <v>0</v>
      </c>
      <c r="G36" s="6">
        <f>averageResponseTimePorter(Dates!G$4,Dates!G$5,'Day1'!$B36)</f>
        <v>0</v>
      </c>
      <c r="H36" s="6">
        <f>averageResponseTimePorter(Dates!H$4,Dates!H$5,'Day1'!$B36)</f>
        <v>0</v>
      </c>
      <c r="I36" s="6">
        <f>averageResponseTimePorter(Dates!I$4,Dates!I$5,'Day1'!$B36)</f>
        <v>0</v>
      </c>
      <c r="J36" s="6">
        <f>averageResponseTimePorter(Dates!J$4,Dates!J$5,'Day1'!$B36)</f>
        <v>0</v>
      </c>
      <c r="K36" s="6">
        <f>averageResponseTimePorter(Dates!K$4,Dates!K$5,'Day1'!$B36)</f>
        <v>0</v>
      </c>
      <c r="L36" s="6">
        <f>averageResponseTimePorter(Dates!L$4,Dates!L$5,'Day1'!$B36)</f>
        <v>0</v>
      </c>
      <c r="M36" s="6">
        <f>averageResponseTimePorter(Dates!M$4,Dates!M$5,'Day1'!$B36)</f>
        <v>0</v>
      </c>
      <c r="N36" s="6">
        <f>averageResponseTimePorter(Dates!N$4,Dates!N$5,'Day1'!$B36)</f>
        <v>0</v>
      </c>
      <c r="O36" s="6">
        <f>averageResponseTimePorter(Dates!O$4,Dates!O$5,'Day1'!$B36)</f>
        <v>0</v>
      </c>
      <c r="P36" s="6">
        <f>averageResponseTimePorter(Dates!P$4,Dates!P$5,'Day1'!$B36)</f>
        <v>0</v>
      </c>
      <c r="Q36" s="6">
        <f>averageResponseTimePorter(Dates!Q$4,Dates!Q$5,'Day1'!$B36)</f>
        <v>0</v>
      </c>
      <c r="R36" s="6">
        <f>averageResponseTimePorter(Dates!R$4,Dates!R$5,'Day1'!$B36)</f>
        <v>0</v>
      </c>
      <c r="S36" s="6">
        <f>averageResponseTimePorter(Dates!S$4,Dates!S$5,'Day1'!$B36)</f>
        <v>0</v>
      </c>
      <c r="T36" s="6">
        <f>averageResponseTimePorter(Dates!T$4,Dates!T$5,'Day1'!$B36)</f>
        <v>0</v>
      </c>
      <c r="U36" s="6">
        <f>averageResponseTimePorter(Dates!$C$4,Dates!$T$5,'Day1'!$B13)</f>
        <v>0</v>
      </c>
    </row>
    <row r="37" spans="2:21" x14ac:dyDescent="0.3">
      <c r="B37" s="8" t="str">
        <f t="shared" ref="B37:B46" si="1">B14</f>
        <v>NA14</v>
      </c>
      <c r="C37" s="6">
        <f>averageResponseTimePorter(Dates!C$4,Dates!C$5,'Day1'!$B37)</f>
        <v>0</v>
      </c>
      <c r="D37" s="6">
        <f>averageResponseTimePorter(Dates!D$4,Dates!D$5,'Day1'!$B37)</f>
        <v>0</v>
      </c>
      <c r="E37" s="6">
        <f>averageResponseTimePorter(Dates!E$4,Dates!E$5,'Day1'!$B37)</f>
        <v>0</v>
      </c>
      <c r="F37" s="6">
        <f>averageResponseTimePorter(Dates!F$4,Dates!F$5,'Day1'!$B37)</f>
        <v>0</v>
      </c>
      <c r="G37" s="6">
        <f>averageResponseTimePorter(Dates!G$4,Dates!G$5,'Day1'!$B37)</f>
        <v>0</v>
      </c>
      <c r="H37" s="6">
        <f>averageResponseTimePorter(Dates!H$4,Dates!H$5,'Day1'!$B37)</f>
        <v>0</v>
      </c>
      <c r="I37" s="6">
        <f>averageResponseTimePorter(Dates!I$4,Dates!I$5,'Day1'!$B37)</f>
        <v>0</v>
      </c>
      <c r="J37" s="6">
        <f>averageResponseTimePorter(Dates!J$4,Dates!J$5,'Day1'!$B37)</f>
        <v>0</v>
      </c>
      <c r="K37" s="6">
        <f>averageResponseTimePorter(Dates!K$4,Dates!K$5,'Day1'!$B37)</f>
        <v>0</v>
      </c>
      <c r="L37" s="6">
        <f>averageResponseTimePorter(Dates!L$4,Dates!L$5,'Day1'!$B37)</f>
        <v>0</v>
      </c>
      <c r="M37" s="6">
        <f>averageResponseTimePorter(Dates!M$4,Dates!M$5,'Day1'!$B37)</f>
        <v>0</v>
      </c>
      <c r="N37" s="6">
        <f>averageResponseTimePorter(Dates!N$4,Dates!N$5,'Day1'!$B37)</f>
        <v>0</v>
      </c>
      <c r="O37" s="6">
        <f>averageResponseTimePorter(Dates!O$4,Dates!O$5,'Day1'!$B37)</f>
        <v>0</v>
      </c>
      <c r="P37" s="6">
        <f>averageResponseTimePorter(Dates!P$4,Dates!P$5,'Day1'!$B37)</f>
        <v>0</v>
      </c>
      <c r="Q37" s="6">
        <f>averageResponseTimePorter(Dates!Q$4,Dates!Q$5,'Day1'!$B37)</f>
        <v>0</v>
      </c>
      <c r="R37" s="6">
        <f>averageResponseTimePorter(Dates!R$4,Dates!R$5,'Day1'!$B37)</f>
        <v>0</v>
      </c>
      <c r="S37" s="6">
        <f>averageResponseTimePorter(Dates!S$4,Dates!S$5,'Day1'!$B37)</f>
        <v>0</v>
      </c>
      <c r="T37" s="6">
        <f>averageResponseTimePorter(Dates!T$4,Dates!T$5,'Day1'!$B37)</f>
        <v>0</v>
      </c>
      <c r="U37" s="6">
        <f>averageResponseTimePorter(Dates!$C$4,Dates!$T$5,'Day1'!$B14)</f>
        <v>0</v>
      </c>
    </row>
    <row r="38" spans="2:21" x14ac:dyDescent="0.3">
      <c r="B38" s="8" t="str">
        <f t="shared" si="1"/>
        <v>NA15</v>
      </c>
      <c r="C38" s="6">
        <f>averageResponseTimePorter(Dates!C$4,Dates!C$5,'Day1'!$B38)</f>
        <v>0</v>
      </c>
      <c r="D38" s="6">
        <f>averageResponseTimePorter(Dates!D$4,Dates!D$5,'Day1'!$B38)</f>
        <v>0</v>
      </c>
      <c r="E38" s="6">
        <f>averageResponseTimePorter(Dates!E$4,Dates!E$5,'Day1'!$B38)</f>
        <v>0</v>
      </c>
      <c r="F38" s="6">
        <f>averageResponseTimePorter(Dates!F$4,Dates!F$5,'Day1'!$B38)</f>
        <v>0</v>
      </c>
      <c r="G38" s="6">
        <f>averageResponseTimePorter(Dates!G$4,Dates!G$5,'Day1'!$B38)</f>
        <v>0</v>
      </c>
      <c r="H38" s="6">
        <f>averageResponseTimePorter(Dates!H$4,Dates!H$5,'Day1'!$B38)</f>
        <v>0</v>
      </c>
      <c r="I38" s="6">
        <f>averageResponseTimePorter(Dates!I$4,Dates!I$5,'Day1'!$B38)</f>
        <v>0</v>
      </c>
      <c r="J38" s="6">
        <f>averageResponseTimePorter(Dates!J$4,Dates!J$5,'Day1'!$B38)</f>
        <v>0</v>
      </c>
      <c r="K38" s="6">
        <f>averageResponseTimePorter(Dates!K$4,Dates!K$5,'Day1'!$B38)</f>
        <v>0</v>
      </c>
      <c r="L38" s="6">
        <f>averageResponseTimePorter(Dates!L$4,Dates!L$5,'Day1'!$B38)</f>
        <v>0</v>
      </c>
      <c r="M38" s="6">
        <f>averageResponseTimePorter(Dates!M$4,Dates!M$5,'Day1'!$B38)</f>
        <v>0</v>
      </c>
      <c r="N38" s="6">
        <f>averageResponseTimePorter(Dates!N$4,Dates!N$5,'Day1'!$B38)</f>
        <v>0</v>
      </c>
      <c r="O38" s="6">
        <f>averageResponseTimePorter(Dates!O$4,Dates!O$5,'Day1'!$B38)</f>
        <v>0</v>
      </c>
      <c r="P38" s="6">
        <f>averageResponseTimePorter(Dates!P$4,Dates!P$5,'Day1'!$B38)</f>
        <v>0</v>
      </c>
      <c r="Q38" s="6">
        <f>averageResponseTimePorter(Dates!Q$4,Dates!Q$5,'Day1'!$B38)</f>
        <v>0</v>
      </c>
      <c r="R38" s="6">
        <f>averageResponseTimePorter(Dates!R$4,Dates!R$5,'Day1'!$B38)</f>
        <v>0</v>
      </c>
      <c r="S38" s="6">
        <f>averageResponseTimePorter(Dates!S$4,Dates!S$5,'Day1'!$B38)</f>
        <v>0</v>
      </c>
      <c r="T38" s="6">
        <f>averageResponseTimePorter(Dates!T$4,Dates!T$5,'Day1'!$B38)</f>
        <v>0</v>
      </c>
      <c r="U38" s="6">
        <f>averageResponseTimePorter(Dates!$C$4,Dates!$T$5,'Day1'!$B15)</f>
        <v>0</v>
      </c>
    </row>
    <row r="39" spans="2:21" x14ac:dyDescent="0.3">
      <c r="B39" s="8" t="str">
        <f t="shared" si="1"/>
        <v>NA16</v>
      </c>
      <c r="C39" s="6">
        <f>averageResponseTimePorter(Dates!C$4,Dates!C$5,'Day1'!$B39)</f>
        <v>0</v>
      </c>
      <c r="D39" s="6">
        <f>averageResponseTimePorter(Dates!D$4,Dates!D$5,'Day1'!$B39)</f>
        <v>0</v>
      </c>
      <c r="E39" s="6">
        <f>averageResponseTimePorter(Dates!E$4,Dates!E$5,'Day1'!$B39)</f>
        <v>0</v>
      </c>
      <c r="F39" s="6">
        <f>averageResponseTimePorter(Dates!F$4,Dates!F$5,'Day1'!$B39)</f>
        <v>0</v>
      </c>
      <c r="G39" s="6">
        <f>averageResponseTimePorter(Dates!G$4,Dates!G$5,'Day1'!$B39)</f>
        <v>0</v>
      </c>
      <c r="H39" s="6">
        <f>averageResponseTimePorter(Dates!H$4,Dates!H$5,'Day1'!$B39)</f>
        <v>0</v>
      </c>
      <c r="I39" s="6">
        <f>averageResponseTimePorter(Dates!I$4,Dates!I$5,'Day1'!$B39)</f>
        <v>0</v>
      </c>
      <c r="J39" s="6">
        <f>averageResponseTimePorter(Dates!J$4,Dates!J$5,'Day1'!$B39)</f>
        <v>0</v>
      </c>
      <c r="K39" s="6">
        <f>averageResponseTimePorter(Dates!K$4,Dates!K$5,'Day1'!$B39)</f>
        <v>0</v>
      </c>
      <c r="L39" s="6">
        <f>averageResponseTimePorter(Dates!L$4,Dates!L$5,'Day1'!$B39)</f>
        <v>0</v>
      </c>
      <c r="M39" s="6">
        <f>averageResponseTimePorter(Dates!M$4,Dates!M$5,'Day1'!$B39)</f>
        <v>0</v>
      </c>
      <c r="N39" s="6">
        <f>averageResponseTimePorter(Dates!N$4,Dates!N$5,'Day1'!$B39)</f>
        <v>0</v>
      </c>
      <c r="O39" s="6">
        <f>averageResponseTimePorter(Dates!O$4,Dates!O$5,'Day1'!$B39)</f>
        <v>0</v>
      </c>
      <c r="P39" s="6">
        <f>averageResponseTimePorter(Dates!P$4,Dates!P$5,'Day1'!$B39)</f>
        <v>0</v>
      </c>
      <c r="Q39" s="6">
        <f>averageResponseTimePorter(Dates!Q$4,Dates!Q$5,'Day1'!$B39)</f>
        <v>0</v>
      </c>
      <c r="R39" s="6">
        <f>averageResponseTimePorter(Dates!R$4,Dates!R$5,'Day1'!$B39)</f>
        <v>0</v>
      </c>
      <c r="S39" s="6">
        <f>averageResponseTimePorter(Dates!S$4,Dates!S$5,'Day1'!$B39)</f>
        <v>0</v>
      </c>
      <c r="T39" s="6">
        <f>averageResponseTimePorter(Dates!T$4,Dates!T$5,'Day1'!$B39)</f>
        <v>0</v>
      </c>
      <c r="U39" s="6">
        <f>averageResponseTimePorter(Dates!$C$4,Dates!$T$5,'Day1'!$B16)</f>
        <v>0</v>
      </c>
    </row>
    <row r="40" spans="2:21" x14ac:dyDescent="0.3">
      <c r="B40" s="8" t="str">
        <f t="shared" si="1"/>
        <v>NA17</v>
      </c>
      <c r="C40" s="6">
        <f>averageResponseTimePorter(Dates!C$4,Dates!C$5,'Day1'!$B40)</f>
        <v>0</v>
      </c>
      <c r="D40" s="6">
        <f>averageResponseTimePorter(Dates!D$4,Dates!D$5,'Day1'!$B40)</f>
        <v>0</v>
      </c>
      <c r="E40" s="6">
        <f>averageResponseTimePorter(Dates!E$4,Dates!E$5,'Day1'!$B40)</f>
        <v>0</v>
      </c>
      <c r="F40" s="6">
        <f>averageResponseTimePorter(Dates!F$4,Dates!F$5,'Day1'!$B40)</f>
        <v>0</v>
      </c>
      <c r="G40" s="6">
        <f>averageResponseTimePorter(Dates!G$4,Dates!G$5,'Day1'!$B40)</f>
        <v>0</v>
      </c>
      <c r="H40" s="6">
        <f>averageResponseTimePorter(Dates!H$4,Dates!H$5,'Day1'!$B40)</f>
        <v>0</v>
      </c>
      <c r="I40" s="6">
        <f>averageResponseTimePorter(Dates!I$4,Dates!I$5,'Day1'!$B40)</f>
        <v>0</v>
      </c>
      <c r="J40" s="6">
        <f>averageResponseTimePorter(Dates!J$4,Dates!J$5,'Day1'!$B40)</f>
        <v>0</v>
      </c>
      <c r="K40" s="6">
        <f>averageResponseTimePorter(Dates!K$4,Dates!K$5,'Day1'!$B40)</f>
        <v>0</v>
      </c>
      <c r="L40" s="6">
        <f>averageResponseTimePorter(Dates!L$4,Dates!L$5,'Day1'!$B40)</f>
        <v>0</v>
      </c>
      <c r="M40" s="6">
        <f>averageResponseTimePorter(Dates!M$4,Dates!M$5,'Day1'!$B40)</f>
        <v>0</v>
      </c>
      <c r="N40" s="6">
        <f>averageResponseTimePorter(Dates!N$4,Dates!N$5,'Day1'!$B40)</f>
        <v>0</v>
      </c>
      <c r="O40" s="6">
        <f>averageResponseTimePorter(Dates!O$4,Dates!O$5,'Day1'!$B40)</f>
        <v>0</v>
      </c>
      <c r="P40" s="6">
        <f>averageResponseTimePorter(Dates!P$4,Dates!P$5,'Day1'!$B40)</f>
        <v>0</v>
      </c>
      <c r="Q40" s="6">
        <f>averageResponseTimePorter(Dates!Q$4,Dates!Q$5,'Day1'!$B40)</f>
        <v>0</v>
      </c>
      <c r="R40" s="6">
        <f>averageResponseTimePorter(Dates!R$4,Dates!R$5,'Day1'!$B40)</f>
        <v>0</v>
      </c>
      <c r="S40" s="6">
        <f>averageResponseTimePorter(Dates!S$4,Dates!S$5,'Day1'!$B40)</f>
        <v>0</v>
      </c>
      <c r="T40" s="6">
        <f>averageResponseTimePorter(Dates!T$4,Dates!T$5,'Day1'!$B40)</f>
        <v>0</v>
      </c>
      <c r="U40" s="6">
        <f>averageResponseTimePorter(Dates!$C$4,Dates!$T$5,'Day1'!$B17)</f>
        <v>0</v>
      </c>
    </row>
    <row r="41" spans="2:21" x14ac:dyDescent="0.3">
      <c r="B41" s="8" t="str">
        <f t="shared" si="1"/>
        <v>NA18</v>
      </c>
      <c r="C41" s="6">
        <f>averageResponseTimePorter(Dates!C$4,Dates!C$5,'Day1'!$B41)</f>
        <v>0</v>
      </c>
      <c r="D41" s="6">
        <f>averageResponseTimePorter(Dates!D$4,Dates!D$5,'Day1'!$B41)</f>
        <v>0</v>
      </c>
      <c r="E41" s="6">
        <f>averageResponseTimePorter(Dates!E$4,Dates!E$5,'Day1'!$B41)</f>
        <v>0</v>
      </c>
      <c r="F41" s="6">
        <f>averageResponseTimePorter(Dates!F$4,Dates!F$5,'Day1'!$B41)</f>
        <v>0</v>
      </c>
      <c r="G41" s="6">
        <f>averageResponseTimePorter(Dates!G$4,Dates!G$5,'Day1'!$B41)</f>
        <v>0</v>
      </c>
      <c r="H41" s="6">
        <f>averageResponseTimePorter(Dates!H$4,Dates!H$5,'Day1'!$B41)</f>
        <v>0</v>
      </c>
      <c r="I41" s="6">
        <f>averageResponseTimePorter(Dates!I$4,Dates!I$5,'Day1'!$B41)</f>
        <v>0</v>
      </c>
      <c r="J41" s="6">
        <f>averageResponseTimePorter(Dates!J$4,Dates!J$5,'Day1'!$B41)</f>
        <v>0</v>
      </c>
      <c r="K41" s="6">
        <f>averageResponseTimePorter(Dates!K$4,Dates!K$5,'Day1'!$B41)</f>
        <v>0</v>
      </c>
      <c r="L41" s="6">
        <f>averageResponseTimePorter(Dates!L$4,Dates!L$5,'Day1'!$B41)</f>
        <v>0</v>
      </c>
      <c r="M41" s="6">
        <f>averageResponseTimePorter(Dates!M$4,Dates!M$5,'Day1'!$B41)</f>
        <v>0</v>
      </c>
      <c r="N41" s="6">
        <f>averageResponseTimePorter(Dates!N$4,Dates!N$5,'Day1'!$B41)</f>
        <v>0</v>
      </c>
      <c r="O41" s="6">
        <f>averageResponseTimePorter(Dates!O$4,Dates!O$5,'Day1'!$B41)</f>
        <v>0</v>
      </c>
      <c r="P41" s="6">
        <f>averageResponseTimePorter(Dates!P$4,Dates!P$5,'Day1'!$B41)</f>
        <v>0</v>
      </c>
      <c r="Q41" s="6">
        <f>averageResponseTimePorter(Dates!Q$4,Dates!Q$5,'Day1'!$B41)</f>
        <v>0</v>
      </c>
      <c r="R41" s="6">
        <f>averageResponseTimePorter(Dates!R$4,Dates!R$5,'Day1'!$B41)</f>
        <v>0</v>
      </c>
      <c r="S41" s="6">
        <f>averageResponseTimePorter(Dates!S$4,Dates!S$5,'Day1'!$B41)</f>
        <v>0</v>
      </c>
      <c r="T41" s="6">
        <f>averageResponseTimePorter(Dates!T$4,Dates!T$5,'Day1'!$B41)</f>
        <v>0</v>
      </c>
      <c r="U41" s="6">
        <f>averageResponseTimePorter(Dates!$C$4,Dates!$T$5,'Day1'!$B18)</f>
        <v>0</v>
      </c>
    </row>
    <row r="42" spans="2:21" x14ac:dyDescent="0.3">
      <c r="B42" s="8" t="str">
        <f t="shared" si="1"/>
        <v>NA19</v>
      </c>
      <c r="C42" s="6">
        <f>averageResponseTimePorter(Dates!C$4,Dates!C$5,'Day1'!$B42)</f>
        <v>0</v>
      </c>
      <c r="D42" s="6">
        <f>averageResponseTimePorter(Dates!D$4,Dates!D$5,'Day1'!$B42)</f>
        <v>0</v>
      </c>
      <c r="E42" s="6">
        <f>averageResponseTimePorter(Dates!E$4,Dates!E$5,'Day1'!$B42)</f>
        <v>0</v>
      </c>
      <c r="F42" s="6">
        <f>averageResponseTimePorter(Dates!F$4,Dates!F$5,'Day1'!$B42)</f>
        <v>0</v>
      </c>
      <c r="G42" s="6">
        <f>averageResponseTimePorter(Dates!G$4,Dates!G$5,'Day1'!$B42)</f>
        <v>0</v>
      </c>
      <c r="H42" s="6">
        <f>averageResponseTimePorter(Dates!H$4,Dates!H$5,'Day1'!$B42)</f>
        <v>0</v>
      </c>
      <c r="I42" s="6">
        <f>averageResponseTimePorter(Dates!I$4,Dates!I$5,'Day1'!$B42)</f>
        <v>0</v>
      </c>
      <c r="J42" s="6">
        <f>averageResponseTimePorter(Dates!J$4,Dates!J$5,'Day1'!$B42)</f>
        <v>0</v>
      </c>
      <c r="K42" s="6">
        <f>averageResponseTimePorter(Dates!K$4,Dates!K$5,'Day1'!$B42)</f>
        <v>0</v>
      </c>
      <c r="L42" s="6">
        <f>averageResponseTimePorter(Dates!L$4,Dates!L$5,'Day1'!$B42)</f>
        <v>0</v>
      </c>
      <c r="M42" s="6">
        <f>averageResponseTimePorter(Dates!M$4,Dates!M$5,'Day1'!$B42)</f>
        <v>0</v>
      </c>
      <c r="N42" s="6">
        <f>averageResponseTimePorter(Dates!N$4,Dates!N$5,'Day1'!$B42)</f>
        <v>0</v>
      </c>
      <c r="O42" s="6">
        <f>averageResponseTimePorter(Dates!O$4,Dates!O$5,'Day1'!$B42)</f>
        <v>0</v>
      </c>
      <c r="P42" s="6">
        <f>averageResponseTimePorter(Dates!P$4,Dates!P$5,'Day1'!$B42)</f>
        <v>0</v>
      </c>
      <c r="Q42" s="6">
        <f>averageResponseTimePorter(Dates!Q$4,Dates!Q$5,'Day1'!$B42)</f>
        <v>0</v>
      </c>
      <c r="R42" s="6">
        <f>averageResponseTimePorter(Dates!R$4,Dates!R$5,'Day1'!$B42)</f>
        <v>0</v>
      </c>
      <c r="S42" s="6">
        <f>averageResponseTimePorter(Dates!S$4,Dates!S$5,'Day1'!$B42)</f>
        <v>0</v>
      </c>
      <c r="T42" s="6">
        <f>averageResponseTimePorter(Dates!T$4,Dates!T$5,'Day1'!$B42)</f>
        <v>0</v>
      </c>
      <c r="U42" s="6">
        <f>averageResponseTimePorter(Dates!$C$4,Dates!$T$5,'Day1'!$B19)</f>
        <v>0</v>
      </c>
    </row>
    <row r="43" spans="2:21" x14ac:dyDescent="0.3">
      <c r="B43" s="8" t="str">
        <f t="shared" si="1"/>
        <v>NA20</v>
      </c>
      <c r="C43" s="6">
        <f>averageResponseTimePorter(Dates!C$4,Dates!C$5,'Day1'!$B43)</f>
        <v>0</v>
      </c>
      <c r="D43" s="6">
        <f>averageResponseTimePorter(Dates!D$4,Dates!D$5,'Day1'!$B43)</f>
        <v>0</v>
      </c>
      <c r="E43" s="6">
        <f>averageResponseTimePorter(Dates!E$4,Dates!E$5,'Day1'!$B43)</f>
        <v>0</v>
      </c>
      <c r="F43" s="6">
        <f>averageResponseTimePorter(Dates!F$4,Dates!F$5,'Day1'!$B43)</f>
        <v>0</v>
      </c>
      <c r="G43" s="6">
        <f>averageResponseTimePorter(Dates!G$4,Dates!G$5,'Day1'!$B43)</f>
        <v>0</v>
      </c>
      <c r="H43" s="6">
        <f>averageResponseTimePorter(Dates!H$4,Dates!H$5,'Day1'!$B43)</f>
        <v>0</v>
      </c>
      <c r="I43" s="6">
        <f>averageResponseTimePorter(Dates!I$4,Dates!I$5,'Day1'!$B43)</f>
        <v>0</v>
      </c>
      <c r="J43" s="6">
        <f>averageResponseTimePorter(Dates!J$4,Dates!J$5,'Day1'!$B43)</f>
        <v>0</v>
      </c>
      <c r="K43" s="6">
        <f>averageResponseTimePorter(Dates!K$4,Dates!K$5,'Day1'!$B43)</f>
        <v>0</v>
      </c>
      <c r="L43" s="6">
        <f>averageResponseTimePorter(Dates!L$4,Dates!L$5,'Day1'!$B43)</f>
        <v>0</v>
      </c>
      <c r="M43" s="6">
        <f>averageResponseTimePorter(Dates!M$4,Dates!M$5,'Day1'!$B43)</f>
        <v>0</v>
      </c>
      <c r="N43" s="6">
        <f>averageResponseTimePorter(Dates!N$4,Dates!N$5,'Day1'!$B43)</f>
        <v>0</v>
      </c>
      <c r="O43" s="6">
        <f>averageResponseTimePorter(Dates!O$4,Dates!O$5,'Day1'!$B43)</f>
        <v>0</v>
      </c>
      <c r="P43" s="6">
        <f>averageResponseTimePorter(Dates!P$4,Dates!P$5,'Day1'!$B43)</f>
        <v>0</v>
      </c>
      <c r="Q43" s="6">
        <f>averageResponseTimePorter(Dates!Q$4,Dates!Q$5,'Day1'!$B43)</f>
        <v>0</v>
      </c>
      <c r="R43" s="6">
        <f>averageResponseTimePorter(Dates!R$4,Dates!R$5,'Day1'!$B43)</f>
        <v>0</v>
      </c>
      <c r="S43" s="6">
        <f>averageResponseTimePorter(Dates!S$4,Dates!S$5,'Day1'!$B43)</f>
        <v>0</v>
      </c>
      <c r="T43" s="6">
        <f>averageResponseTimePorter(Dates!T$4,Dates!T$5,'Day1'!$B43)</f>
        <v>0</v>
      </c>
      <c r="U43" s="6">
        <f>averageResponseTimePorter(Dates!$C$4,Dates!$T$5,'Day1'!$B20)</f>
        <v>0</v>
      </c>
    </row>
    <row r="44" spans="2:21" x14ac:dyDescent="0.3">
      <c r="B44" s="8" t="str">
        <f t="shared" si="1"/>
        <v>NA21</v>
      </c>
      <c r="C44" s="6">
        <f>averageResponseTimePorter(Dates!C$4,Dates!C$5,'Day1'!$B44)</f>
        <v>0</v>
      </c>
      <c r="D44" s="6">
        <f>averageResponseTimePorter(Dates!D$4,Dates!D$5,'Day1'!$B44)</f>
        <v>0</v>
      </c>
      <c r="E44" s="6">
        <f>averageResponseTimePorter(Dates!E$4,Dates!E$5,'Day1'!$B44)</f>
        <v>0</v>
      </c>
      <c r="F44" s="6">
        <f>averageResponseTimePorter(Dates!F$4,Dates!F$5,'Day1'!$B44)</f>
        <v>0</v>
      </c>
      <c r="G44" s="6">
        <f>averageResponseTimePorter(Dates!G$4,Dates!G$5,'Day1'!$B44)</f>
        <v>0</v>
      </c>
      <c r="H44" s="6">
        <f>averageResponseTimePorter(Dates!H$4,Dates!H$5,'Day1'!$B44)</f>
        <v>0</v>
      </c>
      <c r="I44" s="6">
        <f>averageResponseTimePorter(Dates!I$4,Dates!I$5,'Day1'!$B44)</f>
        <v>0</v>
      </c>
      <c r="J44" s="6">
        <f>averageResponseTimePorter(Dates!J$4,Dates!J$5,'Day1'!$B44)</f>
        <v>0</v>
      </c>
      <c r="K44" s="6">
        <f>averageResponseTimePorter(Dates!K$4,Dates!K$5,'Day1'!$B44)</f>
        <v>0</v>
      </c>
      <c r="L44" s="6">
        <f>averageResponseTimePorter(Dates!L$4,Dates!L$5,'Day1'!$B44)</f>
        <v>0</v>
      </c>
      <c r="M44" s="6">
        <f>averageResponseTimePorter(Dates!M$4,Dates!M$5,'Day1'!$B44)</f>
        <v>0</v>
      </c>
      <c r="N44" s="6">
        <f>averageResponseTimePorter(Dates!N$4,Dates!N$5,'Day1'!$B44)</f>
        <v>0</v>
      </c>
      <c r="O44" s="6">
        <f>averageResponseTimePorter(Dates!O$4,Dates!O$5,'Day1'!$B44)</f>
        <v>0</v>
      </c>
      <c r="P44" s="6">
        <f>averageResponseTimePorter(Dates!P$4,Dates!P$5,'Day1'!$B44)</f>
        <v>0</v>
      </c>
      <c r="Q44" s="6">
        <f>averageResponseTimePorter(Dates!Q$4,Dates!Q$5,'Day1'!$B44)</f>
        <v>0</v>
      </c>
      <c r="R44" s="6">
        <f>averageResponseTimePorter(Dates!R$4,Dates!R$5,'Day1'!$B44)</f>
        <v>0</v>
      </c>
      <c r="S44" s="6">
        <f>averageResponseTimePorter(Dates!S$4,Dates!S$5,'Day1'!$B44)</f>
        <v>0</v>
      </c>
      <c r="T44" s="6">
        <f>averageResponseTimePorter(Dates!T$4,Dates!T$5,'Day1'!$B44)</f>
        <v>0</v>
      </c>
      <c r="U44" s="6">
        <f>averageResponseTimePorter(Dates!$C$4,Dates!$T$5,'Day1'!$B21)</f>
        <v>0</v>
      </c>
    </row>
    <row r="45" spans="2:21" x14ac:dyDescent="0.3">
      <c r="B45" s="8" t="str">
        <f t="shared" si="1"/>
        <v>NA22</v>
      </c>
      <c r="C45" s="6">
        <f>averageResponseTimePorter(Dates!C$4,Dates!C$5,'Day1'!$B45)</f>
        <v>0</v>
      </c>
      <c r="D45" s="6">
        <f>averageResponseTimePorter(Dates!D$4,Dates!D$5,'Day1'!$B45)</f>
        <v>0</v>
      </c>
      <c r="E45" s="6">
        <f>averageResponseTimePorter(Dates!E$4,Dates!E$5,'Day1'!$B45)</f>
        <v>0</v>
      </c>
      <c r="F45" s="6">
        <f>averageResponseTimePorter(Dates!F$4,Dates!F$5,'Day1'!$B45)</f>
        <v>0</v>
      </c>
      <c r="G45" s="6">
        <f>averageResponseTimePorter(Dates!G$4,Dates!G$5,'Day1'!$B45)</f>
        <v>0</v>
      </c>
      <c r="H45" s="6">
        <f>averageResponseTimePorter(Dates!H$4,Dates!H$5,'Day1'!$B45)</f>
        <v>0</v>
      </c>
      <c r="I45" s="6">
        <f>averageResponseTimePorter(Dates!I$4,Dates!I$5,'Day1'!$B45)</f>
        <v>0</v>
      </c>
      <c r="J45" s="6">
        <f>averageResponseTimePorter(Dates!J$4,Dates!J$5,'Day1'!$B45)</f>
        <v>0</v>
      </c>
      <c r="K45" s="6">
        <f>averageResponseTimePorter(Dates!K$4,Dates!K$5,'Day1'!$B45)</f>
        <v>0</v>
      </c>
      <c r="L45" s="6">
        <f>averageResponseTimePorter(Dates!L$4,Dates!L$5,'Day1'!$B45)</f>
        <v>0</v>
      </c>
      <c r="M45" s="6">
        <f>averageResponseTimePorter(Dates!M$4,Dates!M$5,'Day1'!$B45)</f>
        <v>0</v>
      </c>
      <c r="N45" s="6">
        <f>averageResponseTimePorter(Dates!N$4,Dates!N$5,'Day1'!$B45)</f>
        <v>0</v>
      </c>
      <c r="O45" s="6">
        <f>averageResponseTimePorter(Dates!O$4,Dates!O$5,'Day1'!$B45)</f>
        <v>0</v>
      </c>
      <c r="P45" s="6">
        <f>averageResponseTimePorter(Dates!P$4,Dates!P$5,'Day1'!$B45)</f>
        <v>0</v>
      </c>
      <c r="Q45" s="6">
        <f>averageResponseTimePorter(Dates!Q$4,Dates!Q$5,'Day1'!$B45)</f>
        <v>0</v>
      </c>
      <c r="R45" s="6">
        <f>averageResponseTimePorter(Dates!R$4,Dates!R$5,'Day1'!$B45)</f>
        <v>0</v>
      </c>
      <c r="S45" s="6">
        <f>averageResponseTimePorter(Dates!S$4,Dates!S$5,'Day1'!$B45)</f>
        <v>0</v>
      </c>
      <c r="T45" s="6">
        <f>averageResponseTimePorter(Dates!T$4,Dates!T$5,'Day1'!$B45)</f>
        <v>0</v>
      </c>
      <c r="U45" s="6">
        <f>averageResponseTimePorter(Dates!$C$4,Dates!$T$5,'Day1'!$B22)</f>
        <v>0</v>
      </c>
    </row>
    <row r="46" spans="2:21" x14ac:dyDescent="0.3">
      <c r="B46" s="8" t="str">
        <f t="shared" si="1"/>
        <v>NA23</v>
      </c>
      <c r="C46" s="6">
        <f>averageResponseTimePorter(Dates!C$4,Dates!C$5,'Day1'!$B46)</f>
        <v>0</v>
      </c>
      <c r="D46" s="6">
        <f>averageResponseTimePorter(Dates!D$4,Dates!D$5,'Day1'!$B46)</f>
        <v>0</v>
      </c>
      <c r="E46" s="6">
        <f>averageResponseTimePorter(Dates!E$4,Dates!E$5,'Day1'!$B46)</f>
        <v>0</v>
      </c>
      <c r="F46" s="6">
        <f>averageResponseTimePorter(Dates!F$4,Dates!F$5,'Day1'!$B46)</f>
        <v>0</v>
      </c>
      <c r="G46" s="6">
        <f>averageResponseTimePorter(Dates!G$4,Dates!G$5,'Day1'!$B46)</f>
        <v>0</v>
      </c>
      <c r="H46" s="6">
        <f>averageResponseTimePorter(Dates!H$4,Dates!H$5,'Day1'!$B46)</f>
        <v>0</v>
      </c>
      <c r="I46" s="6">
        <f>averageResponseTimePorter(Dates!I$4,Dates!I$5,'Day1'!$B46)</f>
        <v>0</v>
      </c>
      <c r="J46" s="6">
        <f>averageResponseTimePorter(Dates!J$4,Dates!J$5,'Day1'!$B46)</f>
        <v>0</v>
      </c>
      <c r="K46" s="6">
        <f>averageResponseTimePorter(Dates!K$4,Dates!K$5,'Day1'!$B46)</f>
        <v>0</v>
      </c>
      <c r="L46" s="6">
        <f>averageResponseTimePorter(Dates!L$4,Dates!L$5,'Day1'!$B46)</f>
        <v>0</v>
      </c>
      <c r="M46" s="6">
        <f>averageResponseTimePorter(Dates!M$4,Dates!M$5,'Day1'!$B46)</f>
        <v>0</v>
      </c>
      <c r="N46" s="6">
        <f>averageResponseTimePorter(Dates!N$4,Dates!N$5,'Day1'!$B46)</f>
        <v>0</v>
      </c>
      <c r="O46" s="6">
        <f>averageResponseTimePorter(Dates!O$4,Dates!O$5,'Day1'!$B46)</f>
        <v>0</v>
      </c>
      <c r="P46" s="6">
        <f>averageResponseTimePorter(Dates!P$4,Dates!P$5,'Day1'!$B46)</f>
        <v>0</v>
      </c>
      <c r="Q46" s="6">
        <f>averageResponseTimePorter(Dates!Q$4,Dates!Q$5,'Day1'!$B46)</f>
        <v>0</v>
      </c>
      <c r="R46" s="6">
        <f>averageResponseTimePorter(Dates!R$4,Dates!R$5,'Day1'!$B46)</f>
        <v>0</v>
      </c>
      <c r="S46" s="6">
        <f>averageResponseTimePorter(Dates!S$4,Dates!S$5,'Day1'!$B46)</f>
        <v>0</v>
      </c>
      <c r="T46" s="6">
        <f>averageResponseTimePorter(Dates!T$4,Dates!T$5,'Day1'!$B46)</f>
        <v>0</v>
      </c>
      <c r="U46" s="6">
        <f>averageResponseTimePorter(Dates!$C$4,Dates!$T$5,'Day1'!$B23)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46"/>
  <sheetViews>
    <sheetView topLeftCell="A23" zoomScale="80" zoomScaleNormal="80" workbookViewId="0">
      <selection activeCell="B26" sqref="B26:B46"/>
    </sheetView>
  </sheetViews>
  <sheetFormatPr defaultRowHeight="14.4" x14ac:dyDescent="0.3"/>
  <cols>
    <col min="2" max="2" width="27.21875" style="8" customWidth="1"/>
    <col min="7" max="7" width="10.21875" customWidth="1"/>
  </cols>
  <sheetData>
    <row r="1" spans="1:21" x14ac:dyDescent="0.3">
      <c r="C1" s="4" t="s">
        <v>2</v>
      </c>
      <c r="D1" s="5">
        <v>7</v>
      </c>
      <c r="E1" s="5">
        <v>8</v>
      </c>
      <c r="F1" s="5">
        <v>9</v>
      </c>
      <c r="G1" s="5">
        <v>10</v>
      </c>
      <c r="H1" s="5">
        <v>11</v>
      </c>
      <c r="I1" s="5">
        <v>12</v>
      </c>
      <c r="J1" s="5">
        <v>13</v>
      </c>
      <c r="K1" s="5">
        <v>14</v>
      </c>
      <c r="L1" s="5">
        <v>15</v>
      </c>
      <c r="M1" s="5">
        <v>16</v>
      </c>
      <c r="N1" s="5">
        <v>17</v>
      </c>
      <c r="O1" s="5">
        <v>18</v>
      </c>
      <c r="P1" s="5">
        <v>19</v>
      </c>
      <c r="Q1" s="5">
        <v>20</v>
      </c>
      <c r="R1" s="5">
        <v>21</v>
      </c>
      <c r="S1" s="5">
        <v>22</v>
      </c>
      <c r="T1" s="5">
        <v>23</v>
      </c>
      <c r="U1" s="5" t="s">
        <v>11</v>
      </c>
    </row>
    <row r="2" spans="1:21" x14ac:dyDescent="0.3">
      <c r="A2" t="s">
        <v>4</v>
      </c>
      <c r="B2" s="8" t="s">
        <v>6</v>
      </c>
      <c r="C2" s="6">
        <f>averageCompletionTime(Dates!C6,Dates!C7)</f>
        <v>0</v>
      </c>
      <c r="D2" s="6">
        <f>averageCompletionTime(Dates!D6,Dates!D7)</f>
        <v>0</v>
      </c>
      <c r="E2" s="6">
        <f>averageCompletionTime(Dates!E6,Dates!E7)</f>
        <v>0</v>
      </c>
      <c r="F2" s="6">
        <f>averageCompletionTime(Dates!F6,Dates!F7)</f>
        <v>0</v>
      </c>
      <c r="G2" s="6">
        <f>averageCompletionTime(Dates!G6,Dates!G7)</f>
        <v>0</v>
      </c>
      <c r="H2" s="6">
        <f>averageCompletionTime(Dates!H6,Dates!H7)</f>
        <v>0</v>
      </c>
      <c r="I2" s="6">
        <f>averageCompletionTime(Dates!I6,Dates!I7)</f>
        <v>0</v>
      </c>
      <c r="J2" s="6">
        <f>averageCompletionTime(Dates!J6,Dates!J7)</f>
        <v>0</v>
      </c>
      <c r="K2" s="6">
        <f>averageCompletionTime(Dates!K6,Dates!K7)</f>
        <v>0</v>
      </c>
      <c r="L2" s="6">
        <f>averageCompletionTime(Dates!L6,Dates!L7)</f>
        <v>0</v>
      </c>
      <c r="M2" s="6">
        <f>averageCompletionTime(Dates!M6,Dates!M7)</f>
        <v>0</v>
      </c>
      <c r="N2" s="6">
        <f>averageCompletionTime(Dates!N6,Dates!N7)</f>
        <v>0</v>
      </c>
      <c r="O2" s="6">
        <f>averageCompletionTime(Dates!O6,Dates!O7)</f>
        <v>0</v>
      </c>
      <c r="P2" s="6">
        <f>averageCompletionTime(Dates!P6,Dates!P7)</f>
        <v>0</v>
      </c>
      <c r="Q2" s="6">
        <f>averageCompletionTime(Dates!Q6,Dates!Q7)</f>
        <v>0</v>
      </c>
      <c r="R2" s="6">
        <f>averageCompletionTime(Dates!R6,Dates!R7)</f>
        <v>0</v>
      </c>
      <c r="S2" s="6">
        <f>averageCompletionTime(Dates!S6,Dates!S7)</f>
        <v>0</v>
      </c>
      <c r="T2" s="6">
        <f>averageCompletionTime(Dates!T6,Dates!T7)</f>
        <v>0</v>
      </c>
      <c r="U2" s="6">
        <f>averageCompletionTime(Dates!C6,Dates!T7)</f>
        <v>0</v>
      </c>
    </row>
    <row r="3" spans="1:21" x14ac:dyDescent="0.3">
      <c r="A3" s="7" t="s">
        <v>5</v>
      </c>
      <c r="B3" s="9"/>
      <c r="C3" s="6">
        <f>averageCompletionTimePorter(Dates!C$6,Dates!C$7,'Day2'!$B3)</f>
        <v>0</v>
      </c>
      <c r="D3" s="6">
        <f>averageCompletionTimePorter(Dates!D$6,Dates!D$7,'Day2'!$B3)</f>
        <v>0</v>
      </c>
      <c r="E3" s="6">
        <f>averageCompletionTimePorter(Dates!E$6,Dates!E$7,'Day2'!$B3)</f>
        <v>0</v>
      </c>
      <c r="F3" s="6">
        <f>averageCompletionTimePorter(Dates!F$6,Dates!F$7,'Day2'!$B3)</f>
        <v>0</v>
      </c>
      <c r="G3" s="6">
        <f>averageCompletionTimePorter(Dates!G$6,Dates!G$7,'Day2'!$B3)</f>
        <v>0</v>
      </c>
      <c r="H3" s="6">
        <f>averageCompletionTimePorter(Dates!H$6,Dates!H$7,'Day2'!$B3)</f>
        <v>0</v>
      </c>
      <c r="I3" s="6">
        <f>averageCompletionTimePorter(Dates!I$6,Dates!I$7,'Day2'!$B3)</f>
        <v>0</v>
      </c>
      <c r="J3" s="6">
        <f>averageCompletionTimePorter(Dates!J$6,Dates!J$7,'Day2'!$B3)</f>
        <v>0</v>
      </c>
      <c r="K3" s="6">
        <f>averageCompletionTimePorter(Dates!K$6,Dates!K$7,'Day2'!$B3)</f>
        <v>0</v>
      </c>
      <c r="L3" s="6">
        <f>averageCompletionTimePorter(Dates!L$6,Dates!L$7,'Day2'!$B3)</f>
        <v>0</v>
      </c>
      <c r="M3" s="6">
        <f>averageCompletionTimePorter(Dates!M$6,Dates!M$7,'Day2'!$B3)</f>
        <v>0</v>
      </c>
      <c r="N3" s="6">
        <f>averageCompletionTimePorter(Dates!N$6,Dates!N$7,'Day2'!$B3)</f>
        <v>0</v>
      </c>
      <c r="O3" s="6">
        <f>averageCompletionTimePorter(Dates!O$6,Dates!O$7,'Day2'!$B3)</f>
        <v>0</v>
      </c>
      <c r="P3" s="6">
        <f>averageCompletionTimePorter(Dates!P$6,Dates!P$7,'Day2'!$B3)</f>
        <v>0</v>
      </c>
      <c r="Q3" s="6">
        <f>averageCompletionTimePorter(Dates!Q$6,Dates!Q$7,'Day2'!$B3)</f>
        <v>0</v>
      </c>
      <c r="R3" s="6">
        <f>averageCompletionTimePorter(Dates!R$6,Dates!R$7,'Day2'!$B3)</f>
        <v>0</v>
      </c>
      <c r="S3" s="6">
        <f>averageCompletionTimePorter(Dates!S$6,Dates!S$7,'Day2'!$B3)</f>
        <v>0</v>
      </c>
      <c r="T3" s="6">
        <f>averageCompletionTimePorter(Dates!T$6,Dates!T$7,'Day2'!$B3)</f>
        <v>0</v>
      </c>
      <c r="U3" s="6">
        <f>averageCompletionTimePorter(Dates!$C$6,Dates!$T$7,'Day2'!$B3)</f>
        <v>0</v>
      </c>
    </row>
    <row r="4" spans="1:21" x14ac:dyDescent="0.3">
      <c r="A4" s="7"/>
      <c r="B4" s="9" t="s">
        <v>28</v>
      </c>
      <c r="C4" s="6">
        <f>averageCompletionTimePorter(Dates!C$6,Dates!C$7,'Day2'!$B4)</f>
        <v>0</v>
      </c>
      <c r="D4" s="6">
        <f>averageCompletionTimePorter(Dates!D$6,Dates!D$7,'Day2'!$B4)</f>
        <v>0</v>
      </c>
      <c r="E4" s="6">
        <f>averageCompletionTimePorter(Dates!E$6,Dates!E$7,'Day2'!$B4)</f>
        <v>0</v>
      </c>
      <c r="F4" s="6">
        <f>averageCompletionTimePorter(Dates!F$6,Dates!F$7,'Day2'!$B4)</f>
        <v>0</v>
      </c>
      <c r="G4" s="6">
        <f>averageCompletionTimePorter(Dates!G$6,Dates!G$7,'Day2'!$B4)</f>
        <v>0</v>
      </c>
      <c r="H4" s="6">
        <f>averageCompletionTimePorter(Dates!H$6,Dates!H$7,'Day2'!$B4)</f>
        <v>0</v>
      </c>
      <c r="I4" s="6">
        <f>averageCompletionTimePorter(Dates!I$6,Dates!I$7,'Day2'!$B4)</f>
        <v>0</v>
      </c>
      <c r="J4" s="6">
        <f>averageCompletionTimePorter(Dates!J$6,Dates!J$7,'Day2'!$B4)</f>
        <v>0</v>
      </c>
      <c r="K4" s="6">
        <f>averageCompletionTimePorter(Dates!K$6,Dates!K$7,'Day2'!$B4)</f>
        <v>0</v>
      </c>
      <c r="L4" s="6">
        <f>averageCompletionTimePorter(Dates!L$6,Dates!L$7,'Day2'!$B4)</f>
        <v>0</v>
      </c>
      <c r="M4" s="6">
        <f>averageCompletionTimePorter(Dates!M$6,Dates!M$7,'Day2'!$B4)</f>
        <v>0</v>
      </c>
      <c r="N4" s="6">
        <f>averageCompletionTimePorter(Dates!N$6,Dates!N$7,'Day2'!$B4)</f>
        <v>0</v>
      </c>
      <c r="O4" s="6">
        <f>averageCompletionTimePorter(Dates!O$6,Dates!O$7,'Day2'!$B4)</f>
        <v>0</v>
      </c>
      <c r="P4" s="6">
        <f>averageCompletionTimePorter(Dates!P$6,Dates!P$7,'Day2'!$B4)</f>
        <v>0</v>
      </c>
      <c r="Q4" s="6">
        <f>averageCompletionTimePorter(Dates!Q$6,Dates!Q$7,'Day2'!$B4)</f>
        <v>0</v>
      </c>
      <c r="R4" s="6">
        <f>averageCompletionTimePorter(Dates!R$6,Dates!R$7,'Day2'!$B4)</f>
        <v>0</v>
      </c>
      <c r="S4" s="6">
        <f>averageCompletionTimePorter(Dates!S$6,Dates!S$7,'Day2'!$B4)</f>
        <v>0</v>
      </c>
      <c r="T4" s="6">
        <f>averageCompletionTimePorter(Dates!T$6,Dates!T$7,'Day2'!$B4)</f>
        <v>0</v>
      </c>
      <c r="U4" s="6">
        <f>averageCompletionTimePorter(Dates!$C$6,Dates!$T$7,'Day2'!$B4)</f>
        <v>0</v>
      </c>
    </row>
    <row r="5" spans="1:21" x14ac:dyDescent="0.3">
      <c r="A5" s="7"/>
      <c r="B5" s="9" t="s">
        <v>29</v>
      </c>
      <c r="C5" s="6">
        <f>averageCompletionTimePorter(Dates!C$6,Dates!C$7,'Day2'!$B5)</f>
        <v>0</v>
      </c>
      <c r="D5" s="6">
        <f>averageCompletionTimePorter(Dates!D$6,Dates!D$7,'Day2'!$B5)</f>
        <v>0</v>
      </c>
      <c r="E5" s="6">
        <f>averageCompletionTimePorter(Dates!E$6,Dates!E$7,'Day2'!$B5)</f>
        <v>0</v>
      </c>
      <c r="F5" s="6">
        <f>averageCompletionTimePorter(Dates!F$6,Dates!F$7,'Day2'!$B5)</f>
        <v>0</v>
      </c>
      <c r="G5" s="6">
        <f>averageCompletionTimePorter(Dates!G$6,Dates!G$7,'Day2'!$B5)</f>
        <v>0</v>
      </c>
      <c r="H5" s="6">
        <f>averageCompletionTimePorter(Dates!H$6,Dates!H$7,'Day2'!$B5)</f>
        <v>0</v>
      </c>
      <c r="I5" s="6">
        <f>averageCompletionTimePorter(Dates!I$6,Dates!I$7,'Day2'!$B5)</f>
        <v>0</v>
      </c>
      <c r="J5" s="6">
        <f>averageCompletionTimePorter(Dates!J$6,Dates!J$7,'Day2'!$B5)</f>
        <v>0</v>
      </c>
      <c r="K5" s="6">
        <f>averageCompletionTimePorter(Dates!K$6,Dates!K$7,'Day2'!$B5)</f>
        <v>0</v>
      </c>
      <c r="L5" s="6">
        <f>averageCompletionTimePorter(Dates!L$6,Dates!L$7,'Day2'!$B5)</f>
        <v>0</v>
      </c>
      <c r="M5" s="6">
        <f>averageCompletionTimePorter(Dates!M$6,Dates!M$7,'Day2'!$B5)</f>
        <v>0</v>
      </c>
      <c r="N5" s="6">
        <f>averageCompletionTimePorter(Dates!N$6,Dates!N$7,'Day2'!$B5)</f>
        <v>0</v>
      </c>
      <c r="O5" s="6">
        <f>averageCompletionTimePorter(Dates!O$6,Dates!O$7,'Day2'!$B5)</f>
        <v>0</v>
      </c>
      <c r="P5" s="6">
        <f>averageCompletionTimePorter(Dates!P$6,Dates!P$7,'Day2'!$B5)</f>
        <v>0</v>
      </c>
      <c r="Q5" s="6">
        <f>averageCompletionTimePorter(Dates!Q$6,Dates!Q$7,'Day2'!$B5)</f>
        <v>0</v>
      </c>
      <c r="R5" s="6">
        <f>averageCompletionTimePorter(Dates!R$6,Dates!R$7,'Day2'!$B5)</f>
        <v>0</v>
      </c>
      <c r="S5" s="6">
        <f>averageCompletionTimePorter(Dates!S$6,Dates!S$7,'Day2'!$B5)</f>
        <v>0</v>
      </c>
      <c r="T5" s="6">
        <f>averageCompletionTimePorter(Dates!T$6,Dates!T$7,'Day2'!$B5)</f>
        <v>0</v>
      </c>
      <c r="U5" s="6">
        <f>averageCompletionTimePorter(Dates!$C$6,Dates!$T$7,'Day2'!$B5)</f>
        <v>0</v>
      </c>
    </row>
    <row r="6" spans="1:21" x14ac:dyDescent="0.3">
      <c r="A6" s="7"/>
      <c r="B6" s="9" t="s">
        <v>30</v>
      </c>
      <c r="C6" s="6">
        <f>averageCompletionTimePorter(Dates!C$6,Dates!C$7,'Day2'!$B6)</f>
        <v>0</v>
      </c>
      <c r="D6" s="6">
        <f>averageCompletionTimePorter(Dates!D$6,Dates!D$7,'Day2'!$B6)</f>
        <v>0</v>
      </c>
      <c r="E6" s="6">
        <f>averageCompletionTimePorter(Dates!E$6,Dates!E$7,'Day2'!$B6)</f>
        <v>0</v>
      </c>
      <c r="F6" s="6">
        <f>averageCompletionTimePorter(Dates!F$6,Dates!F$7,'Day2'!$B6)</f>
        <v>0</v>
      </c>
      <c r="G6" s="6">
        <f>averageCompletionTimePorter(Dates!G$6,Dates!G$7,'Day2'!$B6)</f>
        <v>0</v>
      </c>
      <c r="H6" s="6">
        <f>averageCompletionTimePorter(Dates!H$6,Dates!H$7,'Day2'!$B6)</f>
        <v>0</v>
      </c>
      <c r="I6" s="6">
        <f>averageCompletionTimePorter(Dates!I$6,Dates!I$7,'Day2'!$B6)</f>
        <v>0</v>
      </c>
      <c r="J6" s="6">
        <f>averageCompletionTimePorter(Dates!J$6,Dates!J$7,'Day2'!$B6)</f>
        <v>0</v>
      </c>
      <c r="K6" s="6">
        <f>averageCompletionTimePorter(Dates!K$6,Dates!K$7,'Day2'!$B6)</f>
        <v>0</v>
      </c>
      <c r="L6" s="6">
        <f>averageCompletionTimePorter(Dates!L$6,Dates!L$7,'Day2'!$B6)</f>
        <v>0</v>
      </c>
      <c r="M6" s="6">
        <f>averageCompletionTimePorter(Dates!M$6,Dates!M$7,'Day2'!$B6)</f>
        <v>0</v>
      </c>
      <c r="N6" s="6">
        <f>averageCompletionTimePorter(Dates!N$6,Dates!N$7,'Day2'!$B6)</f>
        <v>0</v>
      </c>
      <c r="O6" s="6">
        <f>averageCompletionTimePorter(Dates!O$6,Dates!O$7,'Day2'!$B6)</f>
        <v>0</v>
      </c>
      <c r="P6" s="6">
        <f>averageCompletionTimePorter(Dates!P$6,Dates!P$7,'Day2'!$B6)</f>
        <v>0</v>
      </c>
      <c r="Q6" s="6">
        <f>averageCompletionTimePorter(Dates!Q$6,Dates!Q$7,'Day2'!$B6)</f>
        <v>0</v>
      </c>
      <c r="R6" s="6">
        <f>averageCompletionTimePorter(Dates!R$6,Dates!R$7,'Day2'!$B6)</f>
        <v>0</v>
      </c>
      <c r="S6" s="6">
        <f>averageCompletionTimePorter(Dates!S$6,Dates!S$7,'Day2'!$B6)</f>
        <v>0</v>
      </c>
      <c r="T6" s="6">
        <f>averageCompletionTimePorter(Dates!T$6,Dates!T$7,'Day2'!$B6)</f>
        <v>0</v>
      </c>
      <c r="U6" s="6">
        <f>averageCompletionTimePorter(Dates!$C$6,Dates!$T$7,'Day2'!$B6)</f>
        <v>0</v>
      </c>
    </row>
    <row r="7" spans="1:21" x14ac:dyDescent="0.3">
      <c r="A7" s="7"/>
      <c r="B7" s="9" t="s">
        <v>31</v>
      </c>
      <c r="C7" s="6">
        <f>averageCompletionTimePorter(Dates!C$6,Dates!C$7,'Day2'!$B7)</f>
        <v>0</v>
      </c>
      <c r="D7" s="6">
        <f>averageCompletionTimePorter(Dates!D$6,Dates!D$7,'Day2'!$B7)</f>
        <v>0</v>
      </c>
      <c r="E7" s="6">
        <f>averageCompletionTimePorter(Dates!E$6,Dates!E$7,'Day2'!$B7)</f>
        <v>0</v>
      </c>
      <c r="F7" s="6">
        <f>averageCompletionTimePorter(Dates!F$6,Dates!F$7,'Day2'!$B7)</f>
        <v>0</v>
      </c>
      <c r="G7" s="6">
        <f>averageCompletionTimePorter(Dates!G$6,Dates!G$7,'Day2'!$B7)</f>
        <v>0</v>
      </c>
      <c r="H7" s="6">
        <f>averageCompletionTimePorter(Dates!H$6,Dates!H$7,'Day2'!$B7)</f>
        <v>0</v>
      </c>
      <c r="I7" s="6">
        <f>averageCompletionTimePorter(Dates!I$6,Dates!I$7,'Day2'!$B7)</f>
        <v>0</v>
      </c>
      <c r="J7" s="6">
        <f>averageCompletionTimePorter(Dates!J$6,Dates!J$7,'Day2'!$B7)</f>
        <v>0</v>
      </c>
      <c r="K7" s="6">
        <f>averageCompletionTimePorter(Dates!K$6,Dates!K$7,'Day2'!$B7)</f>
        <v>0</v>
      </c>
      <c r="L7" s="6">
        <f>averageCompletionTimePorter(Dates!L$6,Dates!L$7,'Day2'!$B7)</f>
        <v>0</v>
      </c>
      <c r="M7" s="6">
        <f>averageCompletionTimePorter(Dates!M$6,Dates!M$7,'Day2'!$B7)</f>
        <v>0</v>
      </c>
      <c r="N7" s="6">
        <f>averageCompletionTimePorter(Dates!N$6,Dates!N$7,'Day2'!$B7)</f>
        <v>0</v>
      </c>
      <c r="O7" s="6">
        <f>averageCompletionTimePorter(Dates!O$6,Dates!O$7,'Day2'!$B7)</f>
        <v>0</v>
      </c>
      <c r="P7" s="6">
        <f>averageCompletionTimePorter(Dates!P$6,Dates!P$7,'Day2'!$B7)</f>
        <v>0</v>
      </c>
      <c r="Q7" s="6">
        <f>averageCompletionTimePorter(Dates!Q$6,Dates!Q$7,'Day2'!$B7)</f>
        <v>0</v>
      </c>
      <c r="R7" s="6">
        <f>averageCompletionTimePorter(Dates!R$6,Dates!R$7,'Day2'!$B7)</f>
        <v>0</v>
      </c>
      <c r="S7" s="6">
        <f>averageCompletionTimePorter(Dates!S$6,Dates!S$7,'Day2'!$B7)</f>
        <v>0</v>
      </c>
      <c r="T7" s="6">
        <f>averageCompletionTimePorter(Dates!T$6,Dates!T$7,'Day2'!$B7)</f>
        <v>0</v>
      </c>
      <c r="U7" s="6">
        <f>averageCompletionTimePorter(Dates!$C$6,Dates!$T$7,'Day2'!$B7)</f>
        <v>0</v>
      </c>
    </row>
    <row r="8" spans="1:21" x14ac:dyDescent="0.3">
      <c r="A8" s="7"/>
      <c r="B8" s="9" t="s">
        <v>32</v>
      </c>
      <c r="C8" s="6">
        <f>averageCompletionTimePorter(Dates!C$6,Dates!C$7,'Day2'!$B8)</f>
        <v>0</v>
      </c>
      <c r="D8" s="6">
        <f>averageCompletionTimePorter(Dates!D$6,Dates!D$7,'Day2'!$B8)</f>
        <v>0</v>
      </c>
      <c r="E8" s="6">
        <f>averageCompletionTimePorter(Dates!E$6,Dates!E$7,'Day2'!$B8)</f>
        <v>0</v>
      </c>
      <c r="F8" s="6">
        <f>averageCompletionTimePorter(Dates!F$6,Dates!F$7,'Day2'!$B8)</f>
        <v>0</v>
      </c>
      <c r="G8" s="6">
        <f>averageCompletionTimePorter(Dates!G$6,Dates!G$7,'Day2'!$B8)</f>
        <v>0</v>
      </c>
      <c r="H8" s="6">
        <f>averageCompletionTimePorter(Dates!H$6,Dates!H$7,'Day2'!$B8)</f>
        <v>0</v>
      </c>
      <c r="I8" s="6">
        <f>averageCompletionTimePorter(Dates!I$6,Dates!I$7,'Day2'!$B8)</f>
        <v>0</v>
      </c>
      <c r="J8" s="6">
        <f>averageCompletionTimePorter(Dates!J$6,Dates!J$7,'Day2'!$B8)</f>
        <v>0</v>
      </c>
      <c r="K8" s="6">
        <f>averageCompletionTimePorter(Dates!K$6,Dates!K$7,'Day2'!$B8)</f>
        <v>0</v>
      </c>
      <c r="L8" s="6">
        <f>averageCompletionTimePorter(Dates!L$6,Dates!L$7,'Day2'!$B8)</f>
        <v>0</v>
      </c>
      <c r="M8" s="6">
        <f>averageCompletionTimePorter(Dates!M$6,Dates!M$7,'Day2'!$B8)</f>
        <v>0</v>
      </c>
      <c r="N8" s="6">
        <f>averageCompletionTimePorter(Dates!N$6,Dates!N$7,'Day2'!$B8)</f>
        <v>0</v>
      </c>
      <c r="O8" s="6">
        <f>averageCompletionTimePorter(Dates!O$6,Dates!O$7,'Day2'!$B8)</f>
        <v>0</v>
      </c>
      <c r="P8" s="6">
        <f>averageCompletionTimePorter(Dates!P$6,Dates!P$7,'Day2'!$B8)</f>
        <v>0</v>
      </c>
      <c r="Q8" s="6">
        <f>averageCompletionTimePorter(Dates!Q$6,Dates!Q$7,'Day2'!$B8)</f>
        <v>0</v>
      </c>
      <c r="R8" s="6">
        <f>averageCompletionTimePorter(Dates!R$6,Dates!R$7,'Day2'!$B8)</f>
        <v>0</v>
      </c>
      <c r="S8" s="6">
        <f>averageCompletionTimePorter(Dates!S$6,Dates!S$7,'Day2'!$B8)</f>
        <v>0</v>
      </c>
      <c r="T8" s="6">
        <f>averageCompletionTimePorter(Dates!T$6,Dates!T$7,'Day2'!$B8)</f>
        <v>0</v>
      </c>
      <c r="U8" s="6">
        <f>averageCompletionTimePorter(Dates!$C$6,Dates!$T$7,'Day2'!$B8)</f>
        <v>0</v>
      </c>
    </row>
    <row r="9" spans="1:21" x14ac:dyDescent="0.3">
      <c r="A9" s="7"/>
      <c r="B9" s="9" t="s">
        <v>33</v>
      </c>
      <c r="C9" s="6">
        <f>averageCompletionTimePorter(Dates!C$6,Dates!C$7,'Day2'!$B9)</f>
        <v>0</v>
      </c>
      <c r="D9" s="6">
        <f>averageCompletionTimePorter(Dates!D$6,Dates!D$7,'Day2'!$B9)</f>
        <v>0</v>
      </c>
      <c r="E9" s="6">
        <f>averageCompletionTimePorter(Dates!E$6,Dates!E$7,'Day2'!$B9)</f>
        <v>0</v>
      </c>
      <c r="F9" s="6">
        <f>averageCompletionTimePorter(Dates!F$6,Dates!F$7,'Day2'!$B9)</f>
        <v>0</v>
      </c>
      <c r="G9" s="6">
        <f>averageCompletionTimePorter(Dates!G$6,Dates!G$7,'Day2'!$B9)</f>
        <v>0</v>
      </c>
      <c r="H9" s="6">
        <f>averageCompletionTimePorter(Dates!H$6,Dates!H$7,'Day2'!$B9)</f>
        <v>0</v>
      </c>
      <c r="I9" s="6">
        <f>averageCompletionTimePorter(Dates!I$6,Dates!I$7,'Day2'!$B9)</f>
        <v>0</v>
      </c>
      <c r="J9" s="6">
        <f>averageCompletionTimePorter(Dates!J$6,Dates!J$7,'Day2'!$B9)</f>
        <v>0</v>
      </c>
      <c r="K9" s="6">
        <f>averageCompletionTimePorter(Dates!K$6,Dates!K$7,'Day2'!$B9)</f>
        <v>0</v>
      </c>
      <c r="L9" s="6">
        <f>averageCompletionTimePorter(Dates!L$6,Dates!L$7,'Day2'!$B9)</f>
        <v>0</v>
      </c>
      <c r="M9" s="6">
        <f>averageCompletionTimePorter(Dates!M$6,Dates!M$7,'Day2'!$B9)</f>
        <v>0</v>
      </c>
      <c r="N9" s="6">
        <f>averageCompletionTimePorter(Dates!N$6,Dates!N$7,'Day2'!$B9)</f>
        <v>0</v>
      </c>
      <c r="O9" s="6">
        <f>averageCompletionTimePorter(Dates!O$6,Dates!O$7,'Day2'!$B9)</f>
        <v>0</v>
      </c>
      <c r="P9" s="6">
        <f>averageCompletionTimePorter(Dates!P$6,Dates!P$7,'Day2'!$B9)</f>
        <v>0</v>
      </c>
      <c r="Q9" s="6">
        <f>averageCompletionTimePorter(Dates!Q$6,Dates!Q$7,'Day2'!$B9)</f>
        <v>0</v>
      </c>
      <c r="R9" s="6">
        <f>averageCompletionTimePorter(Dates!R$6,Dates!R$7,'Day2'!$B9)</f>
        <v>0</v>
      </c>
      <c r="S9" s="6">
        <f>averageCompletionTimePorter(Dates!S$6,Dates!S$7,'Day2'!$B9)</f>
        <v>0</v>
      </c>
      <c r="T9" s="6">
        <f>averageCompletionTimePorter(Dates!T$6,Dates!T$7,'Day2'!$B9)</f>
        <v>0</v>
      </c>
      <c r="U9" s="6">
        <f>averageCompletionTimePorter(Dates!$C$6,Dates!$T$7,'Day2'!$B9)</f>
        <v>0</v>
      </c>
    </row>
    <row r="10" spans="1:21" x14ac:dyDescent="0.3">
      <c r="A10" s="7"/>
      <c r="B10" s="9" t="s">
        <v>34</v>
      </c>
      <c r="C10" s="6">
        <f>averageCompletionTimePorter(Dates!C$6,Dates!C$7,'Day2'!$B10)</f>
        <v>0</v>
      </c>
      <c r="D10" s="6">
        <f>averageCompletionTimePorter(Dates!D$6,Dates!D$7,'Day2'!$B10)</f>
        <v>0</v>
      </c>
      <c r="E10" s="6">
        <f>averageCompletionTimePorter(Dates!E$6,Dates!E$7,'Day2'!$B10)</f>
        <v>0</v>
      </c>
      <c r="F10" s="6">
        <f>averageCompletionTimePorter(Dates!F$6,Dates!F$7,'Day2'!$B10)</f>
        <v>0</v>
      </c>
      <c r="G10" s="6">
        <f>averageCompletionTimePorter(Dates!G$6,Dates!G$7,'Day2'!$B10)</f>
        <v>0</v>
      </c>
      <c r="H10" s="6">
        <f>averageCompletionTimePorter(Dates!H$6,Dates!H$7,'Day2'!$B10)</f>
        <v>0</v>
      </c>
      <c r="I10" s="6">
        <f>averageCompletionTimePorter(Dates!I$6,Dates!I$7,'Day2'!$B10)</f>
        <v>0</v>
      </c>
      <c r="J10" s="6">
        <f>averageCompletionTimePorter(Dates!J$6,Dates!J$7,'Day2'!$B10)</f>
        <v>0</v>
      </c>
      <c r="K10" s="6">
        <f>averageCompletionTimePorter(Dates!K$6,Dates!K$7,'Day2'!$B10)</f>
        <v>0</v>
      </c>
      <c r="L10" s="6">
        <f>averageCompletionTimePorter(Dates!L$6,Dates!L$7,'Day2'!$B10)</f>
        <v>0</v>
      </c>
      <c r="M10" s="6">
        <f>averageCompletionTimePorter(Dates!M$6,Dates!M$7,'Day2'!$B10)</f>
        <v>0</v>
      </c>
      <c r="N10" s="6">
        <f>averageCompletionTimePorter(Dates!N$6,Dates!N$7,'Day2'!$B10)</f>
        <v>0</v>
      </c>
      <c r="O10" s="6">
        <f>averageCompletionTimePorter(Dates!O$6,Dates!O$7,'Day2'!$B10)</f>
        <v>0</v>
      </c>
      <c r="P10" s="6">
        <f>averageCompletionTimePorter(Dates!P$6,Dates!P$7,'Day2'!$B10)</f>
        <v>0</v>
      </c>
      <c r="Q10" s="6">
        <f>averageCompletionTimePorter(Dates!Q$6,Dates!Q$7,'Day2'!$B10)</f>
        <v>0</v>
      </c>
      <c r="R10" s="6">
        <f>averageCompletionTimePorter(Dates!R$6,Dates!R$7,'Day2'!$B10)</f>
        <v>0</v>
      </c>
      <c r="S10" s="6">
        <f>averageCompletionTimePorter(Dates!S$6,Dates!S$7,'Day2'!$B10)</f>
        <v>0</v>
      </c>
      <c r="T10" s="6">
        <f>averageCompletionTimePorter(Dates!T$6,Dates!T$7,'Day2'!$B10)</f>
        <v>0</v>
      </c>
      <c r="U10" s="6">
        <f>averageCompletionTimePorter(Dates!$C$6,Dates!$T$7,'Day2'!$B10)</f>
        <v>0</v>
      </c>
    </row>
    <row r="11" spans="1:21" x14ac:dyDescent="0.3">
      <c r="A11" s="7"/>
      <c r="B11" s="9" t="s">
        <v>35</v>
      </c>
      <c r="C11" s="6">
        <f>averageCompletionTimePorter(Dates!C$6,Dates!C$7,'Day2'!$B11)</f>
        <v>0</v>
      </c>
      <c r="D11" s="6">
        <f>averageCompletionTimePorter(Dates!D$6,Dates!D$7,'Day2'!$B11)</f>
        <v>0</v>
      </c>
      <c r="E11" s="6">
        <f>averageCompletionTimePorter(Dates!E$6,Dates!E$7,'Day2'!$B11)</f>
        <v>0</v>
      </c>
      <c r="F11" s="6">
        <f>averageCompletionTimePorter(Dates!F$6,Dates!F$7,'Day2'!$B11)</f>
        <v>0</v>
      </c>
      <c r="G11" s="6">
        <f>averageCompletionTimePorter(Dates!G$6,Dates!G$7,'Day2'!$B11)</f>
        <v>0</v>
      </c>
      <c r="H11" s="6">
        <f>averageCompletionTimePorter(Dates!H$6,Dates!H$7,'Day2'!$B11)</f>
        <v>0</v>
      </c>
      <c r="I11" s="6">
        <f>averageCompletionTimePorter(Dates!I$6,Dates!I$7,'Day2'!$B11)</f>
        <v>0</v>
      </c>
      <c r="J11" s="6">
        <f>averageCompletionTimePorter(Dates!J$6,Dates!J$7,'Day2'!$B11)</f>
        <v>0</v>
      </c>
      <c r="K11" s="6">
        <f>averageCompletionTimePorter(Dates!K$6,Dates!K$7,'Day2'!$B11)</f>
        <v>0</v>
      </c>
      <c r="L11" s="6">
        <f>averageCompletionTimePorter(Dates!L$6,Dates!L$7,'Day2'!$B11)</f>
        <v>0</v>
      </c>
      <c r="M11" s="6">
        <f>averageCompletionTimePorter(Dates!M$6,Dates!M$7,'Day2'!$B11)</f>
        <v>0</v>
      </c>
      <c r="N11" s="6">
        <f>averageCompletionTimePorter(Dates!N$6,Dates!N$7,'Day2'!$B11)</f>
        <v>0</v>
      </c>
      <c r="O11" s="6">
        <f>averageCompletionTimePorter(Dates!O$6,Dates!O$7,'Day2'!$B11)</f>
        <v>0</v>
      </c>
      <c r="P11" s="6">
        <f>averageCompletionTimePorter(Dates!P$6,Dates!P$7,'Day2'!$B11)</f>
        <v>0</v>
      </c>
      <c r="Q11" s="6">
        <f>averageCompletionTimePorter(Dates!Q$6,Dates!Q$7,'Day2'!$B11)</f>
        <v>0</v>
      </c>
      <c r="R11" s="6">
        <f>averageCompletionTimePorter(Dates!R$6,Dates!R$7,'Day2'!$B11)</f>
        <v>0</v>
      </c>
      <c r="S11" s="6">
        <f>averageCompletionTimePorter(Dates!S$6,Dates!S$7,'Day2'!$B11)</f>
        <v>0</v>
      </c>
      <c r="T11" s="6">
        <f>averageCompletionTimePorter(Dates!T$6,Dates!T$7,'Day2'!$B11)</f>
        <v>0</v>
      </c>
      <c r="U11" s="6">
        <f>averageCompletionTimePorter(Dates!$C$6,Dates!$T$7,'Day2'!$B11)</f>
        <v>0</v>
      </c>
    </row>
    <row r="12" spans="1:21" x14ac:dyDescent="0.3">
      <c r="A12" s="7"/>
      <c r="B12" s="9" t="s">
        <v>36</v>
      </c>
      <c r="C12" s="6">
        <f>averageCompletionTimePorter(Dates!C$6,Dates!C$7,'Day2'!$B12)</f>
        <v>0</v>
      </c>
      <c r="D12" s="6">
        <f>averageCompletionTimePorter(Dates!D$6,Dates!D$7,'Day2'!$B12)</f>
        <v>0</v>
      </c>
      <c r="E12" s="6">
        <f>averageCompletionTimePorter(Dates!E$6,Dates!E$7,'Day2'!$B12)</f>
        <v>0</v>
      </c>
      <c r="F12" s="6">
        <f>averageCompletionTimePorter(Dates!F$6,Dates!F$7,'Day2'!$B12)</f>
        <v>0</v>
      </c>
      <c r="G12" s="6">
        <f>averageCompletionTimePorter(Dates!G$6,Dates!G$7,'Day2'!$B12)</f>
        <v>0</v>
      </c>
      <c r="H12" s="6">
        <f>averageCompletionTimePorter(Dates!H$6,Dates!H$7,'Day2'!$B12)</f>
        <v>0</v>
      </c>
      <c r="I12" s="6">
        <f>averageCompletionTimePorter(Dates!I$6,Dates!I$7,'Day2'!$B12)</f>
        <v>0</v>
      </c>
      <c r="J12" s="6">
        <f>averageCompletionTimePorter(Dates!J$6,Dates!J$7,'Day2'!$B12)</f>
        <v>0</v>
      </c>
      <c r="K12" s="6">
        <f>averageCompletionTimePorter(Dates!K$6,Dates!K$7,'Day2'!$B12)</f>
        <v>0</v>
      </c>
      <c r="L12" s="6">
        <f>averageCompletionTimePorter(Dates!L$6,Dates!L$7,'Day2'!$B12)</f>
        <v>0</v>
      </c>
      <c r="M12" s="6">
        <f>averageCompletionTimePorter(Dates!M$6,Dates!M$7,'Day2'!$B12)</f>
        <v>0</v>
      </c>
      <c r="N12" s="6">
        <f>averageCompletionTimePorter(Dates!N$6,Dates!N$7,'Day2'!$B12)</f>
        <v>0</v>
      </c>
      <c r="O12" s="6">
        <f>averageCompletionTimePorter(Dates!O$6,Dates!O$7,'Day2'!$B12)</f>
        <v>0</v>
      </c>
      <c r="P12" s="6">
        <f>averageCompletionTimePorter(Dates!P$6,Dates!P$7,'Day2'!$B12)</f>
        <v>0</v>
      </c>
      <c r="Q12" s="6">
        <f>averageCompletionTimePorter(Dates!Q$6,Dates!Q$7,'Day2'!$B12)</f>
        <v>0</v>
      </c>
      <c r="R12" s="6">
        <f>averageCompletionTimePorter(Dates!R$6,Dates!R$7,'Day2'!$B12)</f>
        <v>0</v>
      </c>
      <c r="S12" s="6">
        <f>averageCompletionTimePorter(Dates!S$6,Dates!S$7,'Day2'!$B12)</f>
        <v>0</v>
      </c>
      <c r="T12" s="6">
        <f>averageCompletionTimePorter(Dates!T$6,Dates!T$7,'Day2'!$B12)</f>
        <v>0</v>
      </c>
      <c r="U12" s="6">
        <f>averageCompletionTimePorter(Dates!$C$6,Dates!$T$7,'Day2'!$B12)</f>
        <v>0</v>
      </c>
    </row>
    <row r="13" spans="1:21" x14ac:dyDescent="0.3">
      <c r="A13" s="7"/>
      <c r="B13" s="9" t="s">
        <v>37</v>
      </c>
      <c r="C13" s="6">
        <f>averageCompletionTimePorter(Dates!C$6,Dates!C$7,'Day2'!$B13)</f>
        <v>0</v>
      </c>
      <c r="D13" s="6">
        <f>averageCompletionTimePorter(Dates!D$6,Dates!D$7,'Day2'!$B13)</f>
        <v>0</v>
      </c>
      <c r="E13" s="6">
        <f>averageCompletionTimePorter(Dates!E$6,Dates!E$7,'Day2'!$B13)</f>
        <v>0</v>
      </c>
      <c r="F13" s="6">
        <f>averageCompletionTimePorter(Dates!F$6,Dates!F$7,'Day2'!$B13)</f>
        <v>0</v>
      </c>
      <c r="G13" s="6">
        <f>averageCompletionTimePorter(Dates!G$6,Dates!G$7,'Day2'!$B13)</f>
        <v>0</v>
      </c>
      <c r="H13" s="6">
        <f>averageCompletionTimePorter(Dates!H$6,Dates!H$7,'Day2'!$B13)</f>
        <v>0</v>
      </c>
      <c r="I13" s="6">
        <f>averageCompletionTimePorter(Dates!I$6,Dates!I$7,'Day2'!$B13)</f>
        <v>0</v>
      </c>
      <c r="J13" s="6">
        <f>averageCompletionTimePorter(Dates!J$6,Dates!J$7,'Day2'!$B13)</f>
        <v>0</v>
      </c>
      <c r="K13" s="6">
        <f>averageCompletionTimePorter(Dates!K$6,Dates!K$7,'Day2'!$B13)</f>
        <v>0</v>
      </c>
      <c r="L13" s="6">
        <f>averageCompletionTimePorter(Dates!L$6,Dates!L$7,'Day2'!$B13)</f>
        <v>0</v>
      </c>
      <c r="M13" s="6">
        <f>averageCompletionTimePorter(Dates!M$6,Dates!M$7,'Day2'!$B13)</f>
        <v>0</v>
      </c>
      <c r="N13" s="6">
        <f>averageCompletionTimePorter(Dates!N$6,Dates!N$7,'Day2'!$B13)</f>
        <v>0</v>
      </c>
      <c r="O13" s="6">
        <f>averageCompletionTimePorter(Dates!O$6,Dates!O$7,'Day2'!$B13)</f>
        <v>0</v>
      </c>
      <c r="P13" s="6">
        <f>averageCompletionTimePorter(Dates!P$6,Dates!P$7,'Day2'!$B13)</f>
        <v>0</v>
      </c>
      <c r="Q13" s="6">
        <f>averageCompletionTimePorter(Dates!Q$6,Dates!Q$7,'Day2'!$B13)</f>
        <v>0</v>
      </c>
      <c r="R13" s="6">
        <f>averageCompletionTimePorter(Dates!R$6,Dates!R$7,'Day2'!$B13)</f>
        <v>0</v>
      </c>
      <c r="S13" s="6">
        <f>averageCompletionTimePorter(Dates!S$6,Dates!S$7,'Day2'!$B13)</f>
        <v>0</v>
      </c>
      <c r="T13" s="6">
        <f>averageCompletionTimePorter(Dates!T$6,Dates!T$7,'Day2'!$B13)</f>
        <v>0</v>
      </c>
      <c r="U13" s="6">
        <f>averageCompletionTimePorter(Dates!$C$6,Dates!$T$7,'Day2'!$B13)</f>
        <v>0</v>
      </c>
    </row>
    <row r="14" spans="1:21" x14ac:dyDescent="0.3">
      <c r="B14" s="9" t="s">
        <v>13</v>
      </c>
      <c r="C14" s="6">
        <f>averageCompletionTimePorter(Dates!C$6,Dates!C$7,'Day2'!$B14)</f>
        <v>0</v>
      </c>
      <c r="D14" s="6">
        <f>averageCompletionTimePorter(Dates!D$6,Dates!D$7,'Day2'!$B14)</f>
        <v>0</v>
      </c>
      <c r="E14" s="6">
        <f>averageCompletionTimePorter(Dates!E$6,Dates!E$7,'Day2'!$B14)</f>
        <v>0</v>
      </c>
      <c r="F14" s="6">
        <f>averageCompletionTimePorter(Dates!F$6,Dates!F$7,'Day2'!$B14)</f>
        <v>0</v>
      </c>
      <c r="G14" s="6">
        <f>averageCompletionTimePorter(Dates!G$6,Dates!G$7,'Day2'!$B14)</f>
        <v>0</v>
      </c>
      <c r="H14" s="6">
        <f>averageCompletionTimePorter(Dates!H$6,Dates!H$7,'Day2'!$B14)</f>
        <v>0</v>
      </c>
      <c r="I14" s="6">
        <f>averageCompletionTimePorter(Dates!I$6,Dates!I$7,'Day2'!$B14)</f>
        <v>0</v>
      </c>
      <c r="J14" s="6">
        <f>averageCompletionTimePorter(Dates!J$6,Dates!J$7,'Day2'!$B14)</f>
        <v>0</v>
      </c>
      <c r="K14" s="6">
        <f>averageCompletionTimePorter(Dates!K$6,Dates!K$7,'Day2'!$B14)</f>
        <v>0</v>
      </c>
      <c r="L14" s="6">
        <f>averageCompletionTimePorter(Dates!L$6,Dates!L$7,'Day2'!$B14)</f>
        <v>0</v>
      </c>
      <c r="M14" s="6">
        <f>averageCompletionTimePorter(Dates!M$6,Dates!M$7,'Day2'!$B14)</f>
        <v>0</v>
      </c>
      <c r="N14" s="6">
        <f>averageCompletionTimePorter(Dates!N$6,Dates!N$7,'Day2'!$B14)</f>
        <v>0</v>
      </c>
      <c r="O14" s="6">
        <f>averageCompletionTimePorter(Dates!O$6,Dates!O$7,'Day2'!$B14)</f>
        <v>0</v>
      </c>
      <c r="P14" s="6">
        <f>averageCompletionTimePorter(Dates!P$6,Dates!P$7,'Day2'!$B14)</f>
        <v>0</v>
      </c>
      <c r="Q14" s="6">
        <f>averageCompletionTimePorter(Dates!Q$6,Dates!Q$7,'Day2'!$B14)</f>
        <v>0</v>
      </c>
      <c r="R14" s="6">
        <f>averageCompletionTimePorter(Dates!R$6,Dates!R$7,'Day2'!$B14)</f>
        <v>0</v>
      </c>
      <c r="S14" s="6">
        <f>averageCompletionTimePorter(Dates!S$6,Dates!S$7,'Day2'!$B14)</f>
        <v>0</v>
      </c>
      <c r="T14" s="6">
        <f>averageCompletionTimePorter(Dates!T$6,Dates!T$7,'Day2'!$B14)</f>
        <v>0</v>
      </c>
      <c r="U14" s="6">
        <f>averageCompletionTimePorter(Dates!$C$6,Dates!$T$7,'Day2'!$B14)</f>
        <v>0</v>
      </c>
    </row>
    <row r="15" spans="1:21" x14ac:dyDescent="0.3">
      <c r="B15" s="9" t="s">
        <v>14</v>
      </c>
      <c r="C15" s="6">
        <f>averageCompletionTimePorter(Dates!C$6,Dates!C$7,'Day2'!$B15)</f>
        <v>0</v>
      </c>
      <c r="D15" s="6">
        <f>averageCompletionTimePorter(Dates!D$6,Dates!D$7,'Day2'!$B15)</f>
        <v>0</v>
      </c>
      <c r="E15" s="6">
        <f>averageCompletionTimePorter(Dates!E$6,Dates!E$7,'Day2'!$B15)</f>
        <v>0</v>
      </c>
      <c r="F15" s="6">
        <f>averageCompletionTimePorter(Dates!F$6,Dates!F$7,'Day2'!$B15)</f>
        <v>0</v>
      </c>
      <c r="G15" s="6">
        <f>averageCompletionTimePorter(Dates!G$6,Dates!G$7,'Day2'!$B15)</f>
        <v>0</v>
      </c>
      <c r="H15" s="6">
        <f>averageCompletionTimePorter(Dates!H$6,Dates!H$7,'Day2'!$B15)</f>
        <v>0</v>
      </c>
      <c r="I15" s="6">
        <f>averageCompletionTimePorter(Dates!I$6,Dates!I$7,'Day2'!$B15)</f>
        <v>0</v>
      </c>
      <c r="J15" s="6">
        <f>averageCompletionTimePorter(Dates!J$6,Dates!J$7,'Day2'!$B15)</f>
        <v>0</v>
      </c>
      <c r="K15" s="6">
        <f>averageCompletionTimePorter(Dates!K$6,Dates!K$7,'Day2'!$B15)</f>
        <v>0</v>
      </c>
      <c r="L15" s="6">
        <f>averageCompletionTimePorter(Dates!L$6,Dates!L$7,'Day2'!$B15)</f>
        <v>0</v>
      </c>
      <c r="M15" s="6">
        <f>averageCompletionTimePorter(Dates!M$6,Dates!M$7,'Day2'!$B15)</f>
        <v>0</v>
      </c>
      <c r="N15" s="6">
        <f>averageCompletionTimePorter(Dates!N$6,Dates!N$7,'Day2'!$B15)</f>
        <v>0</v>
      </c>
      <c r="O15" s="6">
        <f>averageCompletionTimePorter(Dates!O$6,Dates!O$7,'Day2'!$B15)</f>
        <v>0</v>
      </c>
      <c r="P15" s="6">
        <f>averageCompletionTimePorter(Dates!P$6,Dates!P$7,'Day2'!$B15)</f>
        <v>0</v>
      </c>
      <c r="Q15" s="6">
        <f>averageCompletionTimePorter(Dates!Q$6,Dates!Q$7,'Day2'!$B15)</f>
        <v>0</v>
      </c>
      <c r="R15" s="6">
        <f>averageCompletionTimePorter(Dates!R$6,Dates!R$7,'Day2'!$B15)</f>
        <v>0</v>
      </c>
      <c r="S15" s="6">
        <f>averageCompletionTimePorter(Dates!S$6,Dates!S$7,'Day2'!$B15)</f>
        <v>0</v>
      </c>
      <c r="T15" s="6">
        <f>averageCompletionTimePorter(Dates!T$6,Dates!T$7,'Day2'!$B15)</f>
        <v>0</v>
      </c>
      <c r="U15" s="6">
        <f>averageCompletionTimePorter(Dates!$C$6,Dates!$T$7,'Day2'!$B15)</f>
        <v>0</v>
      </c>
    </row>
    <row r="16" spans="1:21" x14ac:dyDescent="0.3">
      <c r="B16" s="9" t="s">
        <v>15</v>
      </c>
      <c r="C16" s="6">
        <f>averageCompletionTimePorter(Dates!C$6,Dates!C$7,'Day2'!$B16)</f>
        <v>0</v>
      </c>
      <c r="D16" s="6">
        <f>averageCompletionTimePorter(Dates!D$6,Dates!D$7,'Day2'!$B16)</f>
        <v>0</v>
      </c>
      <c r="E16" s="6">
        <f>averageCompletionTimePorter(Dates!E$6,Dates!E$7,'Day2'!$B16)</f>
        <v>0</v>
      </c>
      <c r="F16" s="6">
        <f>averageCompletionTimePorter(Dates!F$6,Dates!F$7,'Day2'!$B16)</f>
        <v>0</v>
      </c>
      <c r="G16" s="6">
        <f>averageCompletionTimePorter(Dates!G$6,Dates!G$7,'Day2'!$B16)</f>
        <v>0</v>
      </c>
      <c r="H16" s="6">
        <f>averageCompletionTimePorter(Dates!H$6,Dates!H$7,'Day2'!$B16)</f>
        <v>0</v>
      </c>
      <c r="I16" s="6">
        <f>averageCompletionTimePorter(Dates!I$6,Dates!I$7,'Day2'!$B16)</f>
        <v>0</v>
      </c>
      <c r="J16" s="6">
        <f>averageCompletionTimePorter(Dates!J$6,Dates!J$7,'Day2'!$B16)</f>
        <v>0</v>
      </c>
      <c r="K16" s="6">
        <f>averageCompletionTimePorter(Dates!K$6,Dates!K$7,'Day2'!$B16)</f>
        <v>0</v>
      </c>
      <c r="L16" s="6">
        <f>averageCompletionTimePorter(Dates!L$6,Dates!L$7,'Day2'!$B16)</f>
        <v>0</v>
      </c>
      <c r="M16" s="6">
        <f>averageCompletionTimePorter(Dates!M$6,Dates!M$7,'Day2'!$B16)</f>
        <v>0</v>
      </c>
      <c r="N16" s="6">
        <f>averageCompletionTimePorter(Dates!N$6,Dates!N$7,'Day2'!$B16)</f>
        <v>0</v>
      </c>
      <c r="O16" s="6">
        <f>averageCompletionTimePorter(Dates!O$6,Dates!O$7,'Day2'!$B16)</f>
        <v>0</v>
      </c>
      <c r="P16" s="6">
        <f>averageCompletionTimePorter(Dates!P$6,Dates!P$7,'Day2'!$B16)</f>
        <v>0</v>
      </c>
      <c r="Q16" s="6">
        <f>averageCompletionTimePorter(Dates!Q$6,Dates!Q$7,'Day2'!$B16)</f>
        <v>0</v>
      </c>
      <c r="R16" s="6">
        <f>averageCompletionTimePorter(Dates!R$6,Dates!R$7,'Day2'!$B16)</f>
        <v>0</v>
      </c>
      <c r="S16" s="6">
        <f>averageCompletionTimePorter(Dates!S$6,Dates!S$7,'Day2'!$B16)</f>
        <v>0</v>
      </c>
      <c r="T16" s="6">
        <f>averageCompletionTimePorter(Dates!T$6,Dates!T$7,'Day2'!$B16)</f>
        <v>0</v>
      </c>
      <c r="U16" s="6">
        <f>averageCompletionTimePorter(Dates!$C$6,Dates!$T$7,'Day2'!$B16)</f>
        <v>0</v>
      </c>
    </row>
    <row r="17" spans="2:21" x14ac:dyDescent="0.3">
      <c r="B17" s="9" t="s">
        <v>16</v>
      </c>
      <c r="C17" s="6">
        <f>averageCompletionTimePorter(Dates!C$6,Dates!C$7,'Day2'!$B17)</f>
        <v>0</v>
      </c>
      <c r="D17" s="6">
        <f>averageCompletionTimePorter(Dates!D$6,Dates!D$7,'Day2'!$B17)</f>
        <v>0</v>
      </c>
      <c r="E17" s="6">
        <f>averageCompletionTimePorter(Dates!E$6,Dates!E$7,'Day2'!$B17)</f>
        <v>0</v>
      </c>
      <c r="F17" s="6">
        <f>averageCompletionTimePorter(Dates!F$6,Dates!F$7,'Day2'!$B17)</f>
        <v>0</v>
      </c>
      <c r="G17" s="6">
        <f>averageCompletionTimePorter(Dates!G$6,Dates!G$7,'Day2'!$B17)</f>
        <v>0</v>
      </c>
      <c r="H17" s="6">
        <f>averageCompletionTimePorter(Dates!H$6,Dates!H$7,'Day2'!$B17)</f>
        <v>0</v>
      </c>
      <c r="I17" s="6">
        <f>averageCompletionTimePorter(Dates!I$6,Dates!I$7,'Day2'!$B17)</f>
        <v>0</v>
      </c>
      <c r="J17" s="6">
        <f>averageCompletionTimePorter(Dates!J$6,Dates!J$7,'Day2'!$B17)</f>
        <v>0</v>
      </c>
      <c r="K17" s="6">
        <f>averageCompletionTimePorter(Dates!K$6,Dates!K$7,'Day2'!$B17)</f>
        <v>0</v>
      </c>
      <c r="L17" s="6">
        <f>averageCompletionTimePorter(Dates!L$6,Dates!L$7,'Day2'!$B17)</f>
        <v>0</v>
      </c>
      <c r="M17" s="6">
        <f>averageCompletionTimePorter(Dates!M$6,Dates!M$7,'Day2'!$B17)</f>
        <v>0</v>
      </c>
      <c r="N17" s="6">
        <f>averageCompletionTimePorter(Dates!N$6,Dates!N$7,'Day2'!$B17)</f>
        <v>0</v>
      </c>
      <c r="O17" s="6">
        <f>averageCompletionTimePorter(Dates!O$6,Dates!O$7,'Day2'!$B17)</f>
        <v>0</v>
      </c>
      <c r="P17" s="6">
        <f>averageCompletionTimePorter(Dates!P$6,Dates!P$7,'Day2'!$B17)</f>
        <v>0</v>
      </c>
      <c r="Q17" s="6">
        <f>averageCompletionTimePorter(Dates!Q$6,Dates!Q$7,'Day2'!$B17)</f>
        <v>0</v>
      </c>
      <c r="R17" s="6">
        <f>averageCompletionTimePorter(Dates!R$6,Dates!R$7,'Day2'!$B17)</f>
        <v>0</v>
      </c>
      <c r="S17" s="6">
        <f>averageCompletionTimePorter(Dates!S$6,Dates!S$7,'Day2'!$B17)</f>
        <v>0</v>
      </c>
      <c r="T17" s="6">
        <f>averageCompletionTimePorter(Dates!T$6,Dates!T$7,'Day2'!$B17)</f>
        <v>0</v>
      </c>
      <c r="U17" s="6">
        <f>averageCompletionTimePorter(Dates!$C$6,Dates!$T$7,'Day2'!$B17)</f>
        <v>0</v>
      </c>
    </row>
    <row r="18" spans="2:21" x14ac:dyDescent="0.3">
      <c r="B18" s="9" t="s">
        <v>17</v>
      </c>
      <c r="C18" s="6">
        <f>averageCompletionTimePorter(Dates!C$6,Dates!C$7,'Day2'!$B18)</f>
        <v>0</v>
      </c>
      <c r="D18" s="6">
        <f>averageCompletionTimePorter(Dates!D$6,Dates!D$7,'Day2'!$B18)</f>
        <v>0</v>
      </c>
      <c r="E18" s="6">
        <f>averageCompletionTimePorter(Dates!E$6,Dates!E$7,'Day2'!$B18)</f>
        <v>0</v>
      </c>
      <c r="F18" s="6">
        <f>averageCompletionTimePorter(Dates!F$6,Dates!F$7,'Day2'!$B18)</f>
        <v>0</v>
      </c>
      <c r="G18" s="6">
        <f>averageCompletionTimePorter(Dates!G$6,Dates!G$7,'Day2'!$B18)</f>
        <v>0</v>
      </c>
      <c r="H18" s="6">
        <f>averageCompletionTimePorter(Dates!H$6,Dates!H$7,'Day2'!$B18)</f>
        <v>0</v>
      </c>
      <c r="I18" s="6">
        <f>averageCompletionTimePorter(Dates!I$6,Dates!I$7,'Day2'!$B18)</f>
        <v>0</v>
      </c>
      <c r="J18" s="6">
        <f>averageCompletionTimePorter(Dates!J$6,Dates!J$7,'Day2'!$B18)</f>
        <v>0</v>
      </c>
      <c r="K18" s="6">
        <f>averageCompletionTimePorter(Dates!K$6,Dates!K$7,'Day2'!$B18)</f>
        <v>0</v>
      </c>
      <c r="L18" s="6">
        <f>averageCompletionTimePorter(Dates!L$6,Dates!L$7,'Day2'!$B18)</f>
        <v>0</v>
      </c>
      <c r="M18" s="6">
        <f>averageCompletionTimePorter(Dates!M$6,Dates!M$7,'Day2'!$B18)</f>
        <v>0</v>
      </c>
      <c r="N18" s="6">
        <f>averageCompletionTimePorter(Dates!N$6,Dates!N$7,'Day2'!$B18)</f>
        <v>0</v>
      </c>
      <c r="O18" s="6">
        <f>averageCompletionTimePorter(Dates!O$6,Dates!O$7,'Day2'!$B18)</f>
        <v>0</v>
      </c>
      <c r="P18" s="6">
        <f>averageCompletionTimePorter(Dates!P$6,Dates!P$7,'Day2'!$B18)</f>
        <v>0</v>
      </c>
      <c r="Q18" s="6">
        <f>averageCompletionTimePorter(Dates!Q$6,Dates!Q$7,'Day2'!$B18)</f>
        <v>0</v>
      </c>
      <c r="R18" s="6">
        <f>averageCompletionTimePorter(Dates!R$6,Dates!R$7,'Day2'!$B18)</f>
        <v>0</v>
      </c>
      <c r="S18" s="6">
        <f>averageCompletionTimePorter(Dates!S$6,Dates!S$7,'Day2'!$B18)</f>
        <v>0</v>
      </c>
      <c r="T18" s="6">
        <f>averageCompletionTimePorter(Dates!T$6,Dates!T$7,'Day2'!$B18)</f>
        <v>0</v>
      </c>
      <c r="U18" s="6">
        <f>averageCompletionTimePorter(Dates!$C$6,Dates!$T$7,'Day2'!$B18)</f>
        <v>0</v>
      </c>
    </row>
    <row r="19" spans="2:21" x14ac:dyDescent="0.3">
      <c r="B19" s="9" t="s">
        <v>18</v>
      </c>
      <c r="C19" s="6">
        <f>averageCompletionTimePorter(Dates!C$6,Dates!C$7,'Day2'!$B19)</f>
        <v>0</v>
      </c>
      <c r="D19" s="6">
        <f>averageCompletionTimePorter(Dates!D$6,Dates!D$7,'Day2'!$B19)</f>
        <v>0</v>
      </c>
      <c r="E19" s="6">
        <f>averageCompletionTimePorter(Dates!E$6,Dates!E$7,'Day2'!$B19)</f>
        <v>0</v>
      </c>
      <c r="F19" s="6">
        <f>averageCompletionTimePorter(Dates!F$6,Dates!F$7,'Day2'!$B19)</f>
        <v>0</v>
      </c>
      <c r="G19" s="6">
        <f>averageCompletionTimePorter(Dates!G$6,Dates!G$7,'Day2'!$B19)</f>
        <v>0</v>
      </c>
      <c r="H19" s="6">
        <f>averageCompletionTimePorter(Dates!H$6,Dates!H$7,'Day2'!$B19)</f>
        <v>0</v>
      </c>
      <c r="I19" s="6">
        <f>averageCompletionTimePorter(Dates!I$6,Dates!I$7,'Day2'!$B19)</f>
        <v>0</v>
      </c>
      <c r="J19" s="6">
        <f>averageCompletionTimePorter(Dates!J$6,Dates!J$7,'Day2'!$B19)</f>
        <v>0</v>
      </c>
      <c r="K19" s="6">
        <f>averageCompletionTimePorter(Dates!K$6,Dates!K$7,'Day2'!$B19)</f>
        <v>0</v>
      </c>
      <c r="L19" s="6">
        <f>averageCompletionTimePorter(Dates!L$6,Dates!L$7,'Day2'!$B19)</f>
        <v>0</v>
      </c>
      <c r="M19" s="6">
        <f>averageCompletionTimePorter(Dates!M$6,Dates!M$7,'Day2'!$B19)</f>
        <v>0</v>
      </c>
      <c r="N19" s="6">
        <f>averageCompletionTimePorter(Dates!N$6,Dates!N$7,'Day2'!$B19)</f>
        <v>0</v>
      </c>
      <c r="O19" s="6">
        <f>averageCompletionTimePorter(Dates!O$6,Dates!O$7,'Day2'!$B19)</f>
        <v>0</v>
      </c>
      <c r="P19" s="6">
        <f>averageCompletionTimePorter(Dates!P$6,Dates!P$7,'Day2'!$B19)</f>
        <v>0</v>
      </c>
      <c r="Q19" s="6">
        <f>averageCompletionTimePorter(Dates!Q$6,Dates!Q$7,'Day2'!$B19)</f>
        <v>0</v>
      </c>
      <c r="R19" s="6">
        <f>averageCompletionTimePorter(Dates!R$6,Dates!R$7,'Day2'!$B19)</f>
        <v>0</v>
      </c>
      <c r="S19" s="6">
        <f>averageCompletionTimePorter(Dates!S$6,Dates!S$7,'Day2'!$B19)</f>
        <v>0</v>
      </c>
      <c r="T19" s="6">
        <f>averageCompletionTimePorter(Dates!T$6,Dates!T$7,'Day2'!$B19)</f>
        <v>0</v>
      </c>
      <c r="U19" s="6">
        <f>averageCompletionTimePorter(Dates!$C$6,Dates!$T$7,'Day2'!$B19)</f>
        <v>0</v>
      </c>
    </row>
    <row r="20" spans="2:21" x14ac:dyDescent="0.3">
      <c r="B20" s="9" t="s">
        <v>19</v>
      </c>
      <c r="C20" s="6">
        <f>averageCompletionTimePorter(Dates!C$6,Dates!C$7,'Day2'!$B20)</f>
        <v>0</v>
      </c>
      <c r="D20" s="6">
        <f>averageCompletionTimePorter(Dates!D$6,Dates!D$7,'Day2'!$B20)</f>
        <v>0</v>
      </c>
      <c r="E20" s="6">
        <f>averageCompletionTimePorter(Dates!E$6,Dates!E$7,'Day2'!$B20)</f>
        <v>0</v>
      </c>
      <c r="F20" s="6">
        <f>averageCompletionTimePorter(Dates!F$6,Dates!F$7,'Day2'!$B20)</f>
        <v>0</v>
      </c>
      <c r="G20" s="6">
        <f>averageCompletionTimePorter(Dates!G$6,Dates!G$7,'Day2'!$B20)</f>
        <v>0</v>
      </c>
      <c r="H20" s="6">
        <f>averageCompletionTimePorter(Dates!H$6,Dates!H$7,'Day2'!$B20)</f>
        <v>0</v>
      </c>
      <c r="I20" s="6">
        <f>averageCompletionTimePorter(Dates!I$6,Dates!I$7,'Day2'!$B20)</f>
        <v>0</v>
      </c>
      <c r="J20" s="6">
        <f>averageCompletionTimePorter(Dates!J$6,Dates!J$7,'Day2'!$B20)</f>
        <v>0</v>
      </c>
      <c r="K20" s="6">
        <f>averageCompletionTimePorter(Dates!K$6,Dates!K$7,'Day2'!$B20)</f>
        <v>0</v>
      </c>
      <c r="L20" s="6">
        <f>averageCompletionTimePorter(Dates!L$6,Dates!L$7,'Day2'!$B20)</f>
        <v>0</v>
      </c>
      <c r="M20" s="6">
        <f>averageCompletionTimePorter(Dates!M$6,Dates!M$7,'Day2'!$B20)</f>
        <v>0</v>
      </c>
      <c r="N20" s="6">
        <f>averageCompletionTimePorter(Dates!N$6,Dates!N$7,'Day2'!$B20)</f>
        <v>0</v>
      </c>
      <c r="O20" s="6">
        <f>averageCompletionTimePorter(Dates!O$6,Dates!O$7,'Day2'!$B20)</f>
        <v>0</v>
      </c>
      <c r="P20" s="6">
        <f>averageCompletionTimePorter(Dates!P$6,Dates!P$7,'Day2'!$B20)</f>
        <v>0</v>
      </c>
      <c r="Q20" s="6">
        <f>averageCompletionTimePorter(Dates!Q$6,Dates!Q$7,'Day2'!$B20)</f>
        <v>0</v>
      </c>
      <c r="R20" s="6">
        <f>averageCompletionTimePorter(Dates!R$6,Dates!R$7,'Day2'!$B20)</f>
        <v>0</v>
      </c>
      <c r="S20" s="6">
        <f>averageCompletionTimePorter(Dates!S$6,Dates!S$7,'Day2'!$B20)</f>
        <v>0</v>
      </c>
      <c r="T20" s="6">
        <f>averageCompletionTimePorter(Dates!T$6,Dates!T$7,'Day2'!$B20)</f>
        <v>0</v>
      </c>
      <c r="U20" s="6">
        <f>averageCompletionTimePorter(Dates!$C$6,Dates!$T$7,'Day2'!$B20)</f>
        <v>0</v>
      </c>
    </row>
    <row r="21" spans="2:21" x14ac:dyDescent="0.3">
      <c r="B21" s="9" t="s">
        <v>20</v>
      </c>
      <c r="C21" s="6">
        <f>averageCompletionTimePorter(Dates!C$6,Dates!C$7,'Day2'!$B21)</f>
        <v>0</v>
      </c>
      <c r="D21" s="6">
        <f>averageCompletionTimePorter(Dates!D$6,Dates!D$7,'Day2'!$B21)</f>
        <v>0</v>
      </c>
      <c r="E21" s="6">
        <f>averageCompletionTimePorter(Dates!E$6,Dates!E$7,'Day2'!$B21)</f>
        <v>0</v>
      </c>
      <c r="F21" s="6">
        <f>averageCompletionTimePorter(Dates!F$6,Dates!F$7,'Day2'!$B21)</f>
        <v>0</v>
      </c>
      <c r="G21" s="6">
        <f>averageCompletionTimePorter(Dates!G$6,Dates!G$7,'Day2'!$B21)</f>
        <v>0</v>
      </c>
      <c r="H21" s="6">
        <f>averageCompletionTimePorter(Dates!H$6,Dates!H$7,'Day2'!$B21)</f>
        <v>0</v>
      </c>
      <c r="I21" s="6">
        <f>averageCompletionTimePorter(Dates!I$6,Dates!I$7,'Day2'!$B21)</f>
        <v>0</v>
      </c>
      <c r="J21" s="6">
        <f>averageCompletionTimePorter(Dates!J$6,Dates!J$7,'Day2'!$B21)</f>
        <v>0</v>
      </c>
      <c r="K21" s="6">
        <f>averageCompletionTimePorter(Dates!K$6,Dates!K$7,'Day2'!$B21)</f>
        <v>0</v>
      </c>
      <c r="L21" s="6">
        <f>averageCompletionTimePorter(Dates!L$6,Dates!L$7,'Day2'!$B21)</f>
        <v>0</v>
      </c>
      <c r="M21" s="6">
        <f>averageCompletionTimePorter(Dates!M$6,Dates!M$7,'Day2'!$B21)</f>
        <v>0</v>
      </c>
      <c r="N21" s="6">
        <f>averageCompletionTimePorter(Dates!N$6,Dates!N$7,'Day2'!$B21)</f>
        <v>0</v>
      </c>
      <c r="O21" s="6">
        <f>averageCompletionTimePorter(Dates!O$6,Dates!O$7,'Day2'!$B21)</f>
        <v>0</v>
      </c>
      <c r="P21" s="6">
        <f>averageCompletionTimePorter(Dates!P$6,Dates!P$7,'Day2'!$B21)</f>
        <v>0</v>
      </c>
      <c r="Q21" s="6">
        <f>averageCompletionTimePorter(Dates!Q$6,Dates!Q$7,'Day2'!$B21)</f>
        <v>0</v>
      </c>
      <c r="R21" s="6">
        <f>averageCompletionTimePorter(Dates!R$6,Dates!R$7,'Day2'!$B21)</f>
        <v>0</v>
      </c>
      <c r="S21" s="6">
        <f>averageCompletionTimePorter(Dates!S$6,Dates!S$7,'Day2'!$B21)</f>
        <v>0</v>
      </c>
      <c r="T21" s="6">
        <f>averageCompletionTimePorter(Dates!T$6,Dates!T$7,'Day2'!$B21)</f>
        <v>0</v>
      </c>
      <c r="U21" s="6">
        <f>averageCompletionTimePorter(Dates!$C$6,Dates!$T$7,'Day2'!$B21)</f>
        <v>0</v>
      </c>
    </row>
    <row r="22" spans="2:21" x14ac:dyDescent="0.3">
      <c r="B22" s="9" t="s">
        <v>21</v>
      </c>
      <c r="C22" s="6">
        <f>averageCompletionTimePorter(Dates!C$6,Dates!C$7,'Day2'!$B22)</f>
        <v>0</v>
      </c>
      <c r="D22" s="6">
        <f>averageCompletionTimePorter(Dates!D$6,Dates!D$7,'Day2'!$B22)</f>
        <v>0</v>
      </c>
      <c r="E22" s="6">
        <f>averageCompletionTimePorter(Dates!E$6,Dates!E$7,'Day2'!$B22)</f>
        <v>0</v>
      </c>
      <c r="F22" s="6">
        <f>averageCompletionTimePorter(Dates!F$6,Dates!F$7,'Day2'!$B22)</f>
        <v>0</v>
      </c>
      <c r="G22" s="6">
        <f>averageCompletionTimePorter(Dates!G$6,Dates!G$7,'Day2'!$B22)</f>
        <v>0</v>
      </c>
      <c r="H22" s="6">
        <f>averageCompletionTimePorter(Dates!H$6,Dates!H$7,'Day2'!$B22)</f>
        <v>0</v>
      </c>
      <c r="I22" s="6">
        <f>averageCompletionTimePorter(Dates!I$6,Dates!I$7,'Day2'!$B22)</f>
        <v>0</v>
      </c>
      <c r="J22" s="6">
        <f>averageCompletionTimePorter(Dates!J$6,Dates!J$7,'Day2'!$B22)</f>
        <v>0</v>
      </c>
      <c r="K22" s="6">
        <f>averageCompletionTimePorter(Dates!K$6,Dates!K$7,'Day2'!$B22)</f>
        <v>0</v>
      </c>
      <c r="L22" s="6">
        <f>averageCompletionTimePorter(Dates!L$6,Dates!L$7,'Day2'!$B22)</f>
        <v>0</v>
      </c>
      <c r="M22" s="6">
        <f>averageCompletionTimePorter(Dates!M$6,Dates!M$7,'Day2'!$B22)</f>
        <v>0</v>
      </c>
      <c r="N22" s="6">
        <f>averageCompletionTimePorter(Dates!N$6,Dates!N$7,'Day2'!$B22)</f>
        <v>0</v>
      </c>
      <c r="O22" s="6">
        <f>averageCompletionTimePorter(Dates!O$6,Dates!O$7,'Day2'!$B22)</f>
        <v>0</v>
      </c>
      <c r="P22" s="6">
        <f>averageCompletionTimePorter(Dates!P$6,Dates!P$7,'Day2'!$B22)</f>
        <v>0</v>
      </c>
      <c r="Q22" s="6">
        <f>averageCompletionTimePorter(Dates!Q$6,Dates!Q$7,'Day2'!$B22)</f>
        <v>0</v>
      </c>
      <c r="R22" s="6">
        <f>averageCompletionTimePorter(Dates!R$6,Dates!R$7,'Day2'!$B22)</f>
        <v>0</v>
      </c>
      <c r="S22" s="6">
        <f>averageCompletionTimePorter(Dates!S$6,Dates!S$7,'Day2'!$B22)</f>
        <v>0</v>
      </c>
      <c r="T22" s="6">
        <f>averageCompletionTimePorter(Dates!T$6,Dates!T$7,'Day2'!$B22)</f>
        <v>0</v>
      </c>
      <c r="U22" s="6">
        <f>averageCompletionTimePorter(Dates!$C$6,Dates!$T$7,'Day2'!$B22)</f>
        <v>0</v>
      </c>
    </row>
    <row r="23" spans="2:21" x14ac:dyDescent="0.3">
      <c r="B23" s="9" t="s">
        <v>22</v>
      </c>
      <c r="C23" s="6">
        <f>averageCompletionTimePorter(Dates!C$6,Dates!C$7,'Day2'!$B23)</f>
        <v>0</v>
      </c>
      <c r="D23" s="6">
        <f>averageCompletionTimePorter(Dates!D$6,Dates!D$7,'Day2'!$B23)</f>
        <v>0</v>
      </c>
      <c r="E23" s="6">
        <f>averageCompletionTimePorter(Dates!E$6,Dates!E$7,'Day2'!$B23)</f>
        <v>0</v>
      </c>
      <c r="F23" s="6">
        <f>averageCompletionTimePorter(Dates!F$6,Dates!F$7,'Day2'!$B23)</f>
        <v>0</v>
      </c>
      <c r="G23" s="6">
        <f>averageCompletionTimePorter(Dates!G$6,Dates!G$7,'Day2'!$B23)</f>
        <v>0</v>
      </c>
      <c r="H23" s="6">
        <f>averageCompletionTimePorter(Dates!H$6,Dates!H$7,'Day2'!$B23)</f>
        <v>0</v>
      </c>
      <c r="I23" s="6">
        <f>averageCompletionTimePorter(Dates!I$6,Dates!I$7,'Day2'!$B23)</f>
        <v>0</v>
      </c>
      <c r="J23" s="6">
        <f>averageCompletionTimePorter(Dates!J$6,Dates!J$7,'Day2'!$B23)</f>
        <v>0</v>
      </c>
      <c r="K23" s="6">
        <f>averageCompletionTimePorter(Dates!K$6,Dates!K$7,'Day2'!$B23)</f>
        <v>0</v>
      </c>
      <c r="L23" s="6">
        <f>averageCompletionTimePorter(Dates!L$6,Dates!L$7,'Day2'!$B23)</f>
        <v>0</v>
      </c>
      <c r="M23" s="6">
        <f>averageCompletionTimePorter(Dates!M$6,Dates!M$7,'Day2'!$B23)</f>
        <v>0</v>
      </c>
      <c r="N23" s="6">
        <f>averageCompletionTimePorter(Dates!N$6,Dates!N$7,'Day2'!$B23)</f>
        <v>0</v>
      </c>
      <c r="O23" s="6">
        <f>averageCompletionTimePorter(Dates!O$6,Dates!O$7,'Day2'!$B23)</f>
        <v>0</v>
      </c>
      <c r="P23" s="6">
        <f>averageCompletionTimePorter(Dates!P$6,Dates!P$7,'Day2'!$B23)</f>
        <v>0</v>
      </c>
      <c r="Q23" s="6">
        <f>averageCompletionTimePorter(Dates!Q$6,Dates!Q$7,'Day2'!$B23)</f>
        <v>0</v>
      </c>
      <c r="R23" s="6">
        <f>averageCompletionTimePorter(Dates!R$6,Dates!R$7,'Day2'!$B23)</f>
        <v>0</v>
      </c>
      <c r="S23" s="6">
        <f>averageCompletionTimePorter(Dates!S$6,Dates!S$7,'Day2'!$B23)</f>
        <v>0</v>
      </c>
      <c r="T23" s="6">
        <f>averageCompletionTimePorter(Dates!T$6,Dates!T$7,'Day2'!$B23)</f>
        <v>0</v>
      </c>
      <c r="U23" s="6">
        <f>averageCompletionTimePorter(Dates!$C$6,Dates!$T$7,'Day2'!$B23)</f>
        <v>0</v>
      </c>
    </row>
    <row r="25" spans="2:21" x14ac:dyDescent="0.3">
      <c r="B25" s="8" t="s">
        <v>12</v>
      </c>
      <c r="C25" s="6">
        <f>averageResponseTime(Dates!C6,Dates!C7)</f>
        <v>0</v>
      </c>
      <c r="D25" s="6">
        <f>averageResponseTime(Dates!D6,Dates!D7)</f>
        <v>0</v>
      </c>
      <c r="E25" s="6">
        <f>averageResponseTime(Dates!E6,Dates!E7)</f>
        <v>0</v>
      </c>
      <c r="F25" s="6">
        <f>averageResponseTime(Dates!F6,Dates!F7)</f>
        <v>0</v>
      </c>
      <c r="G25" s="6">
        <f>averageResponseTime(Dates!G6,Dates!G7)</f>
        <v>0</v>
      </c>
      <c r="H25" s="6">
        <f>averageResponseTime(Dates!H6,Dates!H7)</f>
        <v>0</v>
      </c>
      <c r="I25" s="6">
        <f>averageResponseTime(Dates!I6,Dates!I7)</f>
        <v>0</v>
      </c>
      <c r="J25" s="6">
        <f>averageResponseTime(Dates!J6,Dates!J7)</f>
        <v>0</v>
      </c>
      <c r="K25" s="6">
        <f>averageResponseTime(Dates!K6,Dates!K7)</f>
        <v>0</v>
      </c>
      <c r="L25" s="6">
        <f>averageResponseTime(Dates!L6,Dates!L7)</f>
        <v>0</v>
      </c>
      <c r="M25" s="6">
        <f>averageResponseTime(Dates!M6,Dates!M7)</f>
        <v>0</v>
      </c>
      <c r="N25" s="6">
        <f>averageResponseTime(Dates!N6,Dates!N7)</f>
        <v>0</v>
      </c>
      <c r="O25" s="6">
        <f>averageResponseTime(Dates!O6,Dates!O7)</f>
        <v>0</v>
      </c>
      <c r="P25" s="6">
        <f>averageResponseTime(Dates!P6,Dates!P7)</f>
        <v>0</v>
      </c>
      <c r="Q25" s="6">
        <f>averageResponseTime(Dates!Q6,Dates!Q7)</f>
        <v>0</v>
      </c>
      <c r="R25" s="6">
        <f>averageResponseTime(Dates!R6,Dates!R7)</f>
        <v>0</v>
      </c>
      <c r="S25" s="6">
        <f>averageResponseTime(Dates!S6,Dates!S7)</f>
        <v>0</v>
      </c>
      <c r="T25" s="6">
        <f>averageResponseTime(Dates!T6,Dates!T7)</f>
        <v>0</v>
      </c>
      <c r="U25" s="6">
        <f>averageResponseTime(Dates!C6,Dates!T7)</f>
        <v>0</v>
      </c>
    </row>
    <row r="26" spans="2:21" x14ac:dyDescent="0.3">
      <c r="B26" s="8">
        <f>B3</f>
        <v>0</v>
      </c>
      <c r="C26" s="6">
        <f>averageResponseTimePorter(Dates!C$6,Dates!C$7,'Day2'!$B26)</f>
        <v>0</v>
      </c>
      <c r="D26" s="6">
        <f>averageResponseTimePorter(Dates!D$6,Dates!D$7,'Day2'!$B26)</f>
        <v>0</v>
      </c>
      <c r="E26" s="6">
        <f>averageResponseTimePorter(Dates!E$6,Dates!E$7,'Day2'!$B26)</f>
        <v>0</v>
      </c>
      <c r="F26" s="6">
        <f>averageResponseTimePorter(Dates!F$6,Dates!F$7,'Day2'!$B26)</f>
        <v>0</v>
      </c>
      <c r="G26" s="6">
        <f>averageResponseTimePorter(Dates!G$6,Dates!G$7,'Day2'!$B26)</f>
        <v>0</v>
      </c>
      <c r="H26" s="6">
        <f>averageResponseTimePorter(Dates!H$6,Dates!H$7,'Day2'!$B26)</f>
        <v>0</v>
      </c>
      <c r="I26" s="6">
        <f>averageResponseTimePorter(Dates!I$6,Dates!I$7,'Day2'!$B26)</f>
        <v>0</v>
      </c>
      <c r="J26" s="6">
        <f>averageResponseTimePorter(Dates!J$6,Dates!J$7,'Day2'!$B26)</f>
        <v>0</v>
      </c>
      <c r="K26" s="6">
        <f>averageResponseTimePorter(Dates!K$6,Dates!K$7,'Day2'!$B26)</f>
        <v>0</v>
      </c>
      <c r="L26" s="6">
        <f>averageResponseTimePorter(Dates!L$6,Dates!L$7,'Day2'!$B26)</f>
        <v>0</v>
      </c>
      <c r="M26" s="6">
        <f>averageResponseTimePorter(Dates!M$6,Dates!M$7,'Day2'!$B26)</f>
        <v>0</v>
      </c>
      <c r="N26" s="6">
        <f>averageResponseTimePorter(Dates!N$6,Dates!N$7,'Day2'!$B26)</f>
        <v>0</v>
      </c>
      <c r="O26" s="6">
        <f>averageResponseTimePorter(Dates!O$6,Dates!O$7,'Day2'!$B26)</f>
        <v>0</v>
      </c>
      <c r="P26" s="6">
        <f>averageResponseTimePorter(Dates!P$6,Dates!P$7,'Day2'!$B26)</f>
        <v>0</v>
      </c>
      <c r="Q26" s="6">
        <f>averageResponseTimePorter(Dates!Q$6,Dates!Q$7,'Day2'!$B26)</f>
        <v>0</v>
      </c>
      <c r="R26" s="6">
        <f>averageResponseTimePorter(Dates!R$6,Dates!R$7,'Day2'!$B26)</f>
        <v>0</v>
      </c>
      <c r="S26" s="6">
        <f>averageResponseTimePorter(Dates!S$6,Dates!S$7,'Day2'!$B26)</f>
        <v>0</v>
      </c>
      <c r="T26" s="6">
        <f>averageResponseTimePorter(Dates!T$6,Dates!T$7,'Day2'!$B26)</f>
        <v>0</v>
      </c>
      <c r="U26" s="6">
        <f>averageResponseTimePorter(Dates!$C$6,Dates!$T$7,'Day2'!$B3)</f>
        <v>0</v>
      </c>
    </row>
    <row r="27" spans="2:21" x14ac:dyDescent="0.3">
      <c r="B27" s="8" t="str">
        <f t="shared" ref="B27:B46" si="0">B4</f>
        <v>NA4</v>
      </c>
      <c r="C27" s="6">
        <f>averageResponseTimePorter(Dates!C$6,Dates!C$7,'Day2'!$B27)</f>
        <v>0</v>
      </c>
      <c r="D27" s="6">
        <f>averageResponseTimePorter(Dates!D$6,Dates!D$7,'Day2'!$B27)</f>
        <v>0</v>
      </c>
      <c r="E27" s="6">
        <f>averageResponseTimePorter(Dates!E$6,Dates!E$7,'Day2'!$B27)</f>
        <v>0</v>
      </c>
      <c r="F27" s="6">
        <f>averageResponseTimePorter(Dates!F$6,Dates!F$7,'Day2'!$B27)</f>
        <v>0</v>
      </c>
      <c r="G27" s="6">
        <f>averageResponseTimePorter(Dates!G$6,Dates!G$7,'Day2'!$B27)</f>
        <v>0</v>
      </c>
      <c r="H27" s="6">
        <f>averageResponseTimePorter(Dates!H$6,Dates!H$7,'Day2'!$B27)</f>
        <v>0</v>
      </c>
      <c r="I27" s="6">
        <f>averageResponseTimePorter(Dates!I$6,Dates!I$7,'Day2'!$B27)</f>
        <v>0</v>
      </c>
      <c r="J27" s="6">
        <f>averageResponseTimePorter(Dates!J$6,Dates!J$7,'Day2'!$B27)</f>
        <v>0</v>
      </c>
      <c r="K27" s="6">
        <f>averageResponseTimePorter(Dates!K$6,Dates!K$7,'Day2'!$B27)</f>
        <v>0</v>
      </c>
      <c r="L27" s="6">
        <f>averageResponseTimePorter(Dates!L$6,Dates!L$7,'Day2'!$B27)</f>
        <v>0</v>
      </c>
      <c r="M27" s="6">
        <f>averageResponseTimePorter(Dates!M$6,Dates!M$7,'Day2'!$B27)</f>
        <v>0</v>
      </c>
      <c r="N27" s="6">
        <f>averageResponseTimePorter(Dates!N$6,Dates!N$7,'Day2'!$B27)</f>
        <v>0</v>
      </c>
      <c r="O27" s="6">
        <f>averageResponseTimePorter(Dates!O$6,Dates!O$7,'Day2'!$B27)</f>
        <v>0</v>
      </c>
      <c r="P27" s="6">
        <f>averageResponseTimePorter(Dates!P$6,Dates!P$7,'Day2'!$B27)</f>
        <v>0</v>
      </c>
      <c r="Q27" s="6">
        <f>averageResponseTimePorter(Dates!Q$6,Dates!Q$7,'Day2'!$B27)</f>
        <v>0</v>
      </c>
      <c r="R27" s="6">
        <f>averageResponseTimePorter(Dates!R$6,Dates!R$7,'Day2'!$B27)</f>
        <v>0</v>
      </c>
      <c r="S27" s="6">
        <f>averageResponseTimePorter(Dates!S$6,Dates!S$7,'Day2'!$B27)</f>
        <v>0</v>
      </c>
      <c r="T27" s="6">
        <f>averageResponseTimePorter(Dates!T$6,Dates!T$7,'Day2'!$B27)</f>
        <v>0</v>
      </c>
      <c r="U27" s="6">
        <f>averageResponseTimePorter(Dates!$C$6,Dates!$T$7,'Day2'!$B4)</f>
        <v>0</v>
      </c>
    </row>
    <row r="28" spans="2:21" x14ac:dyDescent="0.3">
      <c r="B28" s="8" t="str">
        <f t="shared" si="0"/>
        <v>NA5</v>
      </c>
      <c r="C28" s="6">
        <f>averageResponseTimePorter(Dates!C$6,Dates!C$7,'Day2'!$B28)</f>
        <v>0</v>
      </c>
      <c r="D28" s="6">
        <f>averageResponseTimePorter(Dates!D$6,Dates!D$7,'Day2'!$B28)</f>
        <v>0</v>
      </c>
      <c r="E28" s="6">
        <f>averageResponseTimePorter(Dates!E$6,Dates!E$7,'Day2'!$B28)</f>
        <v>0</v>
      </c>
      <c r="F28" s="6">
        <f>averageResponseTimePorter(Dates!F$6,Dates!F$7,'Day2'!$B28)</f>
        <v>0</v>
      </c>
      <c r="G28" s="6">
        <f>averageResponseTimePorter(Dates!G$6,Dates!G$7,'Day2'!$B28)</f>
        <v>0</v>
      </c>
      <c r="H28" s="6">
        <f>averageResponseTimePorter(Dates!H$6,Dates!H$7,'Day2'!$B28)</f>
        <v>0</v>
      </c>
      <c r="I28" s="6">
        <f>averageResponseTimePorter(Dates!I$6,Dates!I$7,'Day2'!$B28)</f>
        <v>0</v>
      </c>
      <c r="J28" s="6">
        <f>averageResponseTimePorter(Dates!J$6,Dates!J$7,'Day2'!$B28)</f>
        <v>0</v>
      </c>
      <c r="K28" s="6">
        <f>averageResponseTimePorter(Dates!K$6,Dates!K$7,'Day2'!$B28)</f>
        <v>0</v>
      </c>
      <c r="L28" s="6">
        <f>averageResponseTimePorter(Dates!L$6,Dates!L$7,'Day2'!$B28)</f>
        <v>0</v>
      </c>
      <c r="M28" s="6">
        <f>averageResponseTimePorter(Dates!M$6,Dates!M$7,'Day2'!$B28)</f>
        <v>0</v>
      </c>
      <c r="N28" s="6">
        <f>averageResponseTimePorter(Dates!N$6,Dates!N$7,'Day2'!$B28)</f>
        <v>0</v>
      </c>
      <c r="O28" s="6">
        <f>averageResponseTimePorter(Dates!O$6,Dates!O$7,'Day2'!$B28)</f>
        <v>0</v>
      </c>
      <c r="P28" s="6">
        <f>averageResponseTimePorter(Dates!P$6,Dates!P$7,'Day2'!$B28)</f>
        <v>0</v>
      </c>
      <c r="Q28" s="6">
        <f>averageResponseTimePorter(Dates!Q$6,Dates!Q$7,'Day2'!$B28)</f>
        <v>0</v>
      </c>
      <c r="R28" s="6">
        <f>averageResponseTimePorter(Dates!R$6,Dates!R$7,'Day2'!$B28)</f>
        <v>0</v>
      </c>
      <c r="S28" s="6">
        <f>averageResponseTimePorter(Dates!S$6,Dates!S$7,'Day2'!$B28)</f>
        <v>0</v>
      </c>
      <c r="T28" s="6">
        <f>averageResponseTimePorter(Dates!T$6,Dates!T$7,'Day2'!$B28)</f>
        <v>0</v>
      </c>
      <c r="U28" s="6">
        <f>averageResponseTimePorter(Dates!$C$6,Dates!$T$7,'Day2'!$B5)</f>
        <v>0</v>
      </c>
    </row>
    <row r="29" spans="2:21" x14ac:dyDescent="0.3">
      <c r="B29" s="8" t="str">
        <f t="shared" si="0"/>
        <v>NA6</v>
      </c>
      <c r="C29" s="6">
        <f>averageResponseTimePorter(Dates!C$6,Dates!C$7,'Day2'!$B29)</f>
        <v>0</v>
      </c>
      <c r="D29" s="6">
        <f>averageResponseTimePorter(Dates!D$6,Dates!D$7,'Day2'!$B29)</f>
        <v>0</v>
      </c>
      <c r="E29" s="6">
        <f>averageResponseTimePorter(Dates!E$6,Dates!E$7,'Day2'!$B29)</f>
        <v>0</v>
      </c>
      <c r="F29" s="6">
        <f>averageResponseTimePorter(Dates!F$6,Dates!F$7,'Day2'!$B29)</f>
        <v>0</v>
      </c>
      <c r="G29" s="6">
        <f>averageResponseTimePorter(Dates!G$6,Dates!G$7,'Day2'!$B29)</f>
        <v>0</v>
      </c>
      <c r="H29" s="6">
        <f>averageResponseTimePorter(Dates!H$6,Dates!H$7,'Day2'!$B29)</f>
        <v>0</v>
      </c>
      <c r="I29" s="6">
        <f>averageResponseTimePorter(Dates!I$6,Dates!I$7,'Day2'!$B29)</f>
        <v>0</v>
      </c>
      <c r="J29" s="6">
        <f>averageResponseTimePorter(Dates!J$6,Dates!J$7,'Day2'!$B29)</f>
        <v>0</v>
      </c>
      <c r="K29" s="6">
        <f>averageResponseTimePorter(Dates!K$6,Dates!K$7,'Day2'!$B29)</f>
        <v>0</v>
      </c>
      <c r="L29" s="6">
        <f>averageResponseTimePorter(Dates!L$6,Dates!L$7,'Day2'!$B29)</f>
        <v>0</v>
      </c>
      <c r="M29" s="6">
        <f>averageResponseTimePorter(Dates!M$6,Dates!M$7,'Day2'!$B29)</f>
        <v>0</v>
      </c>
      <c r="N29" s="6">
        <f>averageResponseTimePorter(Dates!N$6,Dates!N$7,'Day2'!$B29)</f>
        <v>0</v>
      </c>
      <c r="O29" s="6">
        <f>averageResponseTimePorter(Dates!O$6,Dates!O$7,'Day2'!$B29)</f>
        <v>0</v>
      </c>
      <c r="P29" s="6">
        <f>averageResponseTimePorter(Dates!P$6,Dates!P$7,'Day2'!$B29)</f>
        <v>0</v>
      </c>
      <c r="Q29" s="6">
        <f>averageResponseTimePorter(Dates!Q$6,Dates!Q$7,'Day2'!$B29)</f>
        <v>0</v>
      </c>
      <c r="R29" s="6">
        <f>averageResponseTimePorter(Dates!R$6,Dates!R$7,'Day2'!$B29)</f>
        <v>0</v>
      </c>
      <c r="S29" s="6">
        <f>averageResponseTimePorter(Dates!S$6,Dates!S$7,'Day2'!$B29)</f>
        <v>0</v>
      </c>
      <c r="T29" s="6">
        <f>averageResponseTimePorter(Dates!T$6,Dates!T$7,'Day2'!$B29)</f>
        <v>0</v>
      </c>
      <c r="U29" s="6">
        <f>averageResponseTimePorter(Dates!$C$6,Dates!$T$7,'Day2'!$B6)</f>
        <v>0</v>
      </c>
    </row>
    <row r="30" spans="2:21" x14ac:dyDescent="0.3">
      <c r="B30" s="8" t="str">
        <f t="shared" si="0"/>
        <v>NA7</v>
      </c>
      <c r="C30" s="6">
        <f>averageResponseTimePorter(Dates!C$6,Dates!C$7,'Day2'!$B30)</f>
        <v>0</v>
      </c>
      <c r="D30" s="6">
        <f>averageResponseTimePorter(Dates!D$6,Dates!D$7,'Day2'!$B30)</f>
        <v>0</v>
      </c>
      <c r="E30" s="6">
        <f>averageResponseTimePorter(Dates!E$6,Dates!E$7,'Day2'!$B30)</f>
        <v>0</v>
      </c>
      <c r="F30" s="6">
        <f>averageResponseTimePorter(Dates!F$6,Dates!F$7,'Day2'!$B30)</f>
        <v>0</v>
      </c>
      <c r="G30" s="6">
        <f>averageResponseTimePorter(Dates!G$6,Dates!G$7,'Day2'!$B30)</f>
        <v>0</v>
      </c>
      <c r="H30" s="6">
        <f>averageResponseTimePorter(Dates!H$6,Dates!H$7,'Day2'!$B30)</f>
        <v>0</v>
      </c>
      <c r="I30" s="6">
        <f>averageResponseTimePorter(Dates!I$6,Dates!I$7,'Day2'!$B30)</f>
        <v>0</v>
      </c>
      <c r="J30" s="6">
        <f>averageResponseTimePorter(Dates!J$6,Dates!J$7,'Day2'!$B30)</f>
        <v>0</v>
      </c>
      <c r="K30" s="6">
        <f>averageResponseTimePorter(Dates!K$6,Dates!K$7,'Day2'!$B30)</f>
        <v>0</v>
      </c>
      <c r="L30" s="6">
        <f>averageResponseTimePorter(Dates!L$6,Dates!L$7,'Day2'!$B30)</f>
        <v>0</v>
      </c>
      <c r="M30" s="6">
        <f>averageResponseTimePorter(Dates!M$6,Dates!M$7,'Day2'!$B30)</f>
        <v>0</v>
      </c>
      <c r="N30" s="6">
        <f>averageResponseTimePorter(Dates!N$6,Dates!N$7,'Day2'!$B30)</f>
        <v>0</v>
      </c>
      <c r="O30" s="6">
        <f>averageResponseTimePorter(Dates!O$6,Dates!O$7,'Day2'!$B30)</f>
        <v>0</v>
      </c>
      <c r="P30" s="6">
        <f>averageResponseTimePorter(Dates!P$6,Dates!P$7,'Day2'!$B30)</f>
        <v>0</v>
      </c>
      <c r="Q30" s="6">
        <f>averageResponseTimePorter(Dates!Q$6,Dates!Q$7,'Day2'!$B30)</f>
        <v>0</v>
      </c>
      <c r="R30" s="6">
        <f>averageResponseTimePorter(Dates!R$6,Dates!R$7,'Day2'!$B30)</f>
        <v>0</v>
      </c>
      <c r="S30" s="6">
        <f>averageResponseTimePorter(Dates!S$6,Dates!S$7,'Day2'!$B30)</f>
        <v>0</v>
      </c>
      <c r="T30" s="6">
        <f>averageResponseTimePorter(Dates!T$6,Dates!T$7,'Day2'!$B30)</f>
        <v>0</v>
      </c>
      <c r="U30" s="6">
        <f>averageResponseTimePorter(Dates!$C$6,Dates!$T$7,'Day2'!$B7)</f>
        <v>0</v>
      </c>
    </row>
    <row r="31" spans="2:21" x14ac:dyDescent="0.3">
      <c r="B31" s="8" t="str">
        <f t="shared" si="0"/>
        <v>NA8</v>
      </c>
      <c r="C31" s="6">
        <f>averageResponseTimePorter(Dates!C$6,Dates!C$7,'Day2'!$B31)</f>
        <v>0</v>
      </c>
      <c r="D31" s="6">
        <f>averageResponseTimePorter(Dates!D$6,Dates!D$7,'Day2'!$B31)</f>
        <v>0</v>
      </c>
      <c r="E31" s="6">
        <f>averageResponseTimePorter(Dates!E$6,Dates!E$7,'Day2'!$B31)</f>
        <v>0</v>
      </c>
      <c r="F31" s="6">
        <f>averageResponseTimePorter(Dates!F$6,Dates!F$7,'Day2'!$B31)</f>
        <v>0</v>
      </c>
      <c r="G31" s="6">
        <f>averageResponseTimePorter(Dates!G$6,Dates!G$7,'Day2'!$B31)</f>
        <v>0</v>
      </c>
      <c r="H31" s="6">
        <f>averageResponseTimePorter(Dates!H$6,Dates!H$7,'Day2'!$B31)</f>
        <v>0</v>
      </c>
      <c r="I31" s="6">
        <f>averageResponseTimePorter(Dates!I$6,Dates!I$7,'Day2'!$B31)</f>
        <v>0</v>
      </c>
      <c r="J31" s="6">
        <f>averageResponseTimePorter(Dates!J$6,Dates!J$7,'Day2'!$B31)</f>
        <v>0</v>
      </c>
      <c r="K31" s="6">
        <f>averageResponseTimePorter(Dates!K$6,Dates!K$7,'Day2'!$B31)</f>
        <v>0</v>
      </c>
      <c r="L31" s="6">
        <f>averageResponseTimePorter(Dates!L$6,Dates!L$7,'Day2'!$B31)</f>
        <v>0</v>
      </c>
      <c r="M31" s="6">
        <f>averageResponseTimePorter(Dates!M$6,Dates!M$7,'Day2'!$B31)</f>
        <v>0</v>
      </c>
      <c r="N31" s="6">
        <f>averageResponseTimePorter(Dates!N$6,Dates!N$7,'Day2'!$B31)</f>
        <v>0</v>
      </c>
      <c r="O31" s="6">
        <f>averageResponseTimePorter(Dates!O$6,Dates!O$7,'Day2'!$B31)</f>
        <v>0</v>
      </c>
      <c r="P31" s="6">
        <f>averageResponseTimePorter(Dates!P$6,Dates!P$7,'Day2'!$B31)</f>
        <v>0</v>
      </c>
      <c r="Q31" s="6">
        <f>averageResponseTimePorter(Dates!Q$6,Dates!Q$7,'Day2'!$B31)</f>
        <v>0</v>
      </c>
      <c r="R31" s="6">
        <f>averageResponseTimePorter(Dates!R$6,Dates!R$7,'Day2'!$B31)</f>
        <v>0</v>
      </c>
      <c r="S31" s="6">
        <f>averageResponseTimePorter(Dates!S$6,Dates!S$7,'Day2'!$B31)</f>
        <v>0</v>
      </c>
      <c r="T31" s="6">
        <f>averageResponseTimePorter(Dates!T$6,Dates!T$7,'Day2'!$B31)</f>
        <v>0</v>
      </c>
      <c r="U31" s="6">
        <f>averageResponseTimePorter(Dates!$C$6,Dates!$T$7,'Day2'!$B8)</f>
        <v>0</v>
      </c>
    </row>
    <row r="32" spans="2:21" x14ac:dyDescent="0.3">
      <c r="B32" s="8" t="str">
        <f t="shared" si="0"/>
        <v>NA9</v>
      </c>
      <c r="C32" s="6">
        <f>averageResponseTimePorter(Dates!C$6,Dates!C$7,'Day2'!$B32)</f>
        <v>0</v>
      </c>
      <c r="D32" s="6">
        <f>averageResponseTimePorter(Dates!D$6,Dates!D$7,'Day2'!$B32)</f>
        <v>0</v>
      </c>
      <c r="E32" s="6">
        <f>averageResponseTimePorter(Dates!E$6,Dates!E$7,'Day2'!$B32)</f>
        <v>0</v>
      </c>
      <c r="F32" s="6">
        <f>averageResponseTimePorter(Dates!F$6,Dates!F$7,'Day2'!$B32)</f>
        <v>0</v>
      </c>
      <c r="G32" s="6">
        <f>averageResponseTimePorter(Dates!G$6,Dates!G$7,'Day2'!$B32)</f>
        <v>0</v>
      </c>
      <c r="H32" s="6">
        <f>averageResponseTimePorter(Dates!H$6,Dates!H$7,'Day2'!$B32)</f>
        <v>0</v>
      </c>
      <c r="I32" s="6">
        <f>averageResponseTimePorter(Dates!I$6,Dates!I$7,'Day2'!$B32)</f>
        <v>0</v>
      </c>
      <c r="J32" s="6">
        <f>averageResponseTimePorter(Dates!J$6,Dates!J$7,'Day2'!$B32)</f>
        <v>0</v>
      </c>
      <c r="K32" s="6">
        <f>averageResponseTimePorter(Dates!K$6,Dates!K$7,'Day2'!$B32)</f>
        <v>0</v>
      </c>
      <c r="L32" s="6">
        <f>averageResponseTimePorter(Dates!L$6,Dates!L$7,'Day2'!$B32)</f>
        <v>0</v>
      </c>
      <c r="M32" s="6">
        <f>averageResponseTimePorter(Dates!M$6,Dates!M$7,'Day2'!$B32)</f>
        <v>0</v>
      </c>
      <c r="N32" s="6">
        <f>averageResponseTimePorter(Dates!N$6,Dates!N$7,'Day2'!$B32)</f>
        <v>0</v>
      </c>
      <c r="O32" s="6">
        <f>averageResponseTimePorter(Dates!O$6,Dates!O$7,'Day2'!$B32)</f>
        <v>0</v>
      </c>
      <c r="P32" s="6">
        <f>averageResponseTimePorter(Dates!P$6,Dates!P$7,'Day2'!$B32)</f>
        <v>0</v>
      </c>
      <c r="Q32" s="6">
        <f>averageResponseTimePorter(Dates!Q$6,Dates!Q$7,'Day2'!$B32)</f>
        <v>0</v>
      </c>
      <c r="R32" s="6">
        <f>averageResponseTimePorter(Dates!R$6,Dates!R$7,'Day2'!$B32)</f>
        <v>0</v>
      </c>
      <c r="S32" s="6">
        <f>averageResponseTimePorter(Dates!S$6,Dates!S$7,'Day2'!$B32)</f>
        <v>0</v>
      </c>
      <c r="T32" s="6">
        <f>averageResponseTimePorter(Dates!T$6,Dates!T$7,'Day2'!$B32)</f>
        <v>0</v>
      </c>
      <c r="U32" s="6">
        <f>averageResponseTimePorter(Dates!$C$6,Dates!$T$7,'Day2'!$B9)</f>
        <v>0</v>
      </c>
    </row>
    <row r="33" spans="2:21" x14ac:dyDescent="0.3">
      <c r="B33" s="8" t="str">
        <f t="shared" si="0"/>
        <v>NA10</v>
      </c>
      <c r="C33" s="6">
        <f>averageResponseTimePorter(Dates!C$6,Dates!C$7,'Day2'!$B33)</f>
        <v>0</v>
      </c>
      <c r="D33" s="6">
        <f>averageResponseTimePorter(Dates!D$6,Dates!D$7,'Day2'!$B33)</f>
        <v>0</v>
      </c>
      <c r="E33" s="6">
        <f>averageResponseTimePorter(Dates!E$6,Dates!E$7,'Day2'!$B33)</f>
        <v>0</v>
      </c>
      <c r="F33" s="6">
        <f>averageResponseTimePorter(Dates!F$6,Dates!F$7,'Day2'!$B33)</f>
        <v>0</v>
      </c>
      <c r="G33" s="6">
        <f>averageResponseTimePorter(Dates!G$6,Dates!G$7,'Day2'!$B33)</f>
        <v>0</v>
      </c>
      <c r="H33" s="6">
        <f>averageResponseTimePorter(Dates!H$6,Dates!H$7,'Day2'!$B33)</f>
        <v>0</v>
      </c>
      <c r="I33" s="6">
        <f>averageResponseTimePorter(Dates!I$6,Dates!I$7,'Day2'!$B33)</f>
        <v>0</v>
      </c>
      <c r="J33" s="6">
        <f>averageResponseTimePorter(Dates!J$6,Dates!J$7,'Day2'!$B33)</f>
        <v>0</v>
      </c>
      <c r="K33" s="6">
        <f>averageResponseTimePorter(Dates!K$6,Dates!K$7,'Day2'!$B33)</f>
        <v>0</v>
      </c>
      <c r="L33" s="6">
        <f>averageResponseTimePorter(Dates!L$6,Dates!L$7,'Day2'!$B33)</f>
        <v>0</v>
      </c>
      <c r="M33" s="6">
        <f>averageResponseTimePorter(Dates!M$6,Dates!M$7,'Day2'!$B33)</f>
        <v>0</v>
      </c>
      <c r="N33" s="6">
        <f>averageResponseTimePorter(Dates!N$6,Dates!N$7,'Day2'!$B33)</f>
        <v>0</v>
      </c>
      <c r="O33" s="6">
        <f>averageResponseTimePorter(Dates!O$6,Dates!O$7,'Day2'!$B33)</f>
        <v>0</v>
      </c>
      <c r="P33" s="6">
        <f>averageResponseTimePorter(Dates!P$6,Dates!P$7,'Day2'!$B33)</f>
        <v>0</v>
      </c>
      <c r="Q33" s="6">
        <f>averageResponseTimePorter(Dates!Q$6,Dates!Q$7,'Day2'!$B33)</f>
        <v>0</v>
      </c>
      <c r="R33" s="6">
        <f>averageResponseTimePorter(Dates!R$6,Dates!R$7,'Day2'!$B33)</f>
        <v>0</v>
      </c>
      <c r="S33" s="6">
        <f>averageResponseTimePorter(Dates!S$6,Dates!S$7,'Day2'!$B33)</f>
        <v>0</v>
      </c>
      <c r="T33" s="6">
        <f>averageResponseTimePorter(Dates!T$6,Dates!T$7,'Day2'!$B33)</f>
        <v>0</v>
      </c>
      <c r="U33" s="6">
        <f>averageResponseTimePorter(Dates!$C$6,Dates!$T$7,'Day2'!$B10)</f>
        <v>0</v>
      </c>
    </row>
    <row r="34" spans="2:21" x14ac:dyDescent="0.3">
      <c r="B34" s="8" t="str">
        <f t="shared" si="0"/>
        <v>NA11</v>
      </c>
      <c r="C34" s="6">
        <f>averageResponseTimePorter(Dates!C$6,Dates!C$7,'Day2'!$B34)</f>
        <v>0</v>
      </c>
      <c r="D34" s="6">
        <f>averageResponseTimePorter(Dates!D$6,Dates!D$7,'Day2'!$B34)</f>
        <v>0</v>
      </c>
      <c r="E34" s="6">
        <f>averageResponseTimePorter(Dates!E$6,Dates!E$7,'Day2'!$B34)</f>
        <v>0</v>
      </c>
      <c r="F34" s="6">
        <f>averageResponseTimePorter(Dates!F$6,Dates!F$7,'Day2'!$B34)</f>
        <v>0</v>
      </c>
      <c r="G34" s="6">
        <f>averageResponseTimePorter(Dates!G$6,Dates!G$7,'Day2'!$B34)</f>
        <v>0</v>
      </c>
      <c r="H34" s="6">
        <f>averageResponseTimePorter(Dates!H$6,Dates!H$7,'Day2'!$B34)</f>
        <v>0</v>
      </c>
      <c r="I34" s="6">
        <f>averageResponseTimePorter(Dates!I$6,Dates!I$7,'Day2'!$B34)</f>
        <v>0</v>
      </c>
      <c r="J34" s="6">
        <f>averageResponseTimePorter(Dates!J$6,Dates!J$7,'Day2'!$B34)</f>
        <v>0</v>
      </c>
      <c r="K34" s="6">
        <f>averageResponseTimePorter(Dates!K$6,Dates!K$7,'Day2'!$B34)</f>
        <v>0</v>
      </c>
      <c r="L34" s="6">
        <f>averageResponseTimePorter(Dates!L$6,Dates!L$7,'Day2'!$B34)</f>
        <v>0</v>
      </c>
      <c r="M34" s="6">
        <f>averageResponseTimePorter(Dates!M$6,Dates!M$7,'Day2'!$B34)</f>
        <v>0</v>
      </c>
      <c r="N34" s="6">
        <f>averageResponseTimePorter(Dates!N$6,Dates!N$7,'Day2'!$B34)</f>
        <v>0</v>
      </c>
      <c r="O34" s="6">
        <f>averageResponseTimePorter(Dates!O$6,Dates!O$7,'Day2'!$B34)</f>
        <v>0</v>
      </c>
      <c r="P34" s="6">
        <f>averageResponseTimePorter(Dates!P$6,Dates!P$7,'Day2'!$B34)</f>
        <v>0</v>
      </c>
      <c r="Q34" s="6">
        <f>averageResponseTimePorter(Dates!Q$6,Dates!Q$7,'Day2'!$B34)</f>
        <v>0</v>
      </c>
      <c r="R34" s="6">
        <f>averageResponseTimePorter(Dates!R$6,Dates!R$7,'Day2'!$B34)</f>
        <v>0</v>
      </c>
      <c r="S34" s="6">
        <f>averageResponseTimePorter(Dates!S$6,Dates!S$7,'Day2'!$B34)</f>
        <v>0</v>
      </c>
      <c r="T34" s="6">
        <f>averageResponseTimePorter(Dates!T$6,Dates!T$7,'Day2'!$B34)</f>
        <v>0</v>
      </c>
      <c r="U34" s="6">
        <f>averageResponseTimePorter(Dates!$C$6,Dates!$T$7,'Day2'!$B11)</f>
        <v>0</v>
      </c>
    </row>
    <row r="35" spans="2:21" x14ac:dyDescent="0.3">
      <c r="B35" s="8" t="str">
        <f t="shared" si="0"/>
        <v>NA12</v>
      </c>
      <c r="C35" s="6">
        <f>averageResponseTimePorter(Dates!C$6,Dates!C$7,'Day2'!$B35)</f>
        <v>0</v>
      </c>
      <c r="D35" s="6">
        <f>averageResponseTimePorter(Dates!D$6,Dates!D$7,'Day2'!$B35)</f>
        <v>0</v>
      </c>
      <c r="E35" s="6">
        <f>averageResponseTimePorter(Dates!E$6,Dates!E$7,'Day2'!$B35)</f>
        <v>0</v>
      </c>
      <c r="F35" s="6">
        <f>averageResponseTimePorter(Dates!F$6,Dates!F$7,'Day2'!$B35)</f>
        <v>0</v>
      </c>
      <c r="G35" s="6">
        <f>averageResponseTimePorter(Dates!G$6,Dates!G$7,'Day2'!$B35)</f>
        <v>0</v>
      </c>
      <c r="H35" s="6">
        <f>averageResponseTimePorter(Dates!H$6,Dates!H$7,'Day2'!$B35)</f>
        <v>0</v>
      </c>
      <c r="I35" s="6">
        <f>averageResponseTimePorter(Dates!I$6,Dates!I$7,'Day2'!$B35)</f>
        <v>0</v>
      </c>
      <c r="J35" s="6">
        <f>averageResponseTimePorter(Dates!J$6,Dates!J$7,'Day2'!$B35)</f>
        <v>0</v>
      </c>
      <c r="K35" s="6">
        <f>averageResponseTimePorter(Dates!K$6,Dates!K$7,'Day2'!$B35)</f>
        <v>0</v>
      </c>
      <c r="L35" s="6">
        <f>averageResponseTimePorter(Dates!L$6,Dates!L$7,'Day2'!$B35)</f>
        <v>0</v>
      </c>
      <c r="M35" s="6">
        <f>averageResponseTimePorter(Dates!M$6,Dates!M$7,'Day2'!$B35)</f>
        <v>0</v>
      </c>
      <c r="N35" s="6">
        <f>averageResponseTimePorter(Dates!N$6,Dates!N$7,'Day2'!$B35)</f>
        <v>0</v>
      </c>
      <c r="O35" s="6">
        <f>averageResponseTimePorter(Dates!O$6,Dates!O$7,'Day2'!$B35)</f>
        <v>0</v>
      </c>
      <c r="P35" s="6">
        <f>averageResponseTimePorter(Dates!P$6,Dates!P$7,'Day2'!$B35)</f>
        <v>0</v>
      </c>
      <c r="Q35" s="6">
        <f>averageResponseTimePorter(Dates!Q$6,Dates!Q$7,'Day2'!$B35)</f>
        <v>0</v>
      </c>
      <c r="R35" s="6">
        <f>averageResponseTimePorter(Dates!R$6,Dates!R$7,'Day2'!$B35)</f>
        <v>0</v>
      </c>
      <c r="S35" s="6">
        <f>averageResponseTimePorter(Dates!S$6,Dates!S$7,'Day2'!$B35)</f>
        <v>0</v>
      </c>
      <c r="T35" s="6">
        <f>averageResponseTimePorter(Dates!T$6,Dates!T$7,'Day2'!$B35)</f>
        <v>0</v>
      </c>
      <c r="U35" s="6">
        <f>averageResponseTimePorter(Dates!$C$6,Dates!$T$7,'Day2'!$B12)</f>
        <v>0</v>
      </c>
    </row>
    <row r="36" spans="2:21" x14ac:dyDescent="0.3">
      <c r="B36" s="8" t="str">
        <f t="shared" si="0"/>
        <v>NA13</v>
      </c>
      <c r="C36" s="6">
        <f>averageResponseTimePorter(Dates!C$6,Dates!C$7,'Day2'!$B36)</f>
        <v>0</v>
      </c>
      <c r="D36" s="6">
        <f>averageResponseTimePorter(Dates!D$6,Dates!D$7,'Day2'!$B36)</f>
        <v>0</v>
      </c>
      <c r="E36" s="6">
        <f>averageResponseTimePorter(Dates!E$6,Dates!E$7,'Day2'!$B36)</f>
        <v>0</v>
      </c>
      <c r="F36" s="6">
        <f>averageResponseTimePorter(Dates!F$6,Dates!F$7,'Day2'!$B36)</f>
        <v>0</v>
      </c>
      <c r="G36" s="6">
        <f>averageResponseTimePorter(Dates!G$6,Dates!G$7,'Day2'!$B36)</f>
        <v>0</v>
      </c>
      <c r="H36" s="6">
        <f>averageResponseTimePorter(Dates!H$6,Dates!H$7,'Day2'!$B36)</f>
        <v>0</v>
      </c>
      <c r="I36" s="6">
        <f>averageResponseTimePorter(Dates!I$6,Dates!I$7,'Day2'!$B36)</f>
        <v>0</v>
      </c>
      <c r="J36" s="6">
        <f>averageResponseTimePorter(Dates!J$6,Dates!J$7,'Day2'!$B36)</f>
        <v>0</v>
      </c>
      <c r="K36" s="6">
        <f>averageResponseTimePorter(Dates!K$6,Dates!K$7,'Day2'!$B36)</f>
        <v>0</v>
      </c>
      <c r="L36" s="6">
        <f>averageResponseTimePorter(Dates!L$6,Dates!L$7,'Day2'!$B36)</f>
        <v>0</v>
      </c>
      <c r="M36" s="6">
        <f>averageResponseTimePorter(Dates!M$6,Dates!M$7,'Day2'!$B36)</f>
        <v>0</v>
      </c>
      <c r="N36" s="6">
        <f>averageResponseTimePorter(Dates!N$6,Dates!N$7,'Day2'!$B36)</f>
        <v>0</v>
      </c>
      <c r="O36" s="6">
        <f>averageResponseTimePorter(Dates!O$6,Dates!O$7,'Day2'!$B36)</f>
        <v>0</v>
      </c>
      <c r="P36" s="6">
        <f>averageResponseTimePorter(Dates!P$6,Dates!P$7,'Day2'!$B36)</f>
        <v>0</v>
      </c>
      <c r="Q36" s="6">
        <f>averageResponseTimePorter(Dates!Q$6,Dates!Q$7,'Day2'!$B36)</f>
        <v>0</v>
      </c>
      <c r="R36" s="6">
        <f>averageResponseTimePorter(Dates!R$6,Dates!R$7,'Day2'!$B36)</f>
        <v>0</v>
      </c>
      <c r="S36" s="6">
        <f>averageResponseTimePorter(Dates!S$6,Dates!S$7,'Day2'!$B36)</f>
        <v>0</v>
      </c>
      <c r="T36" s="6">
        <f>averageResponseTimePorter(Dates!T$6,Dates!T$7,'Day2'!$B36)</f>
        <v>0</v>
      </c>
      <c r="U36" s="6">
        <f>averageResponseTimePorter(Dates!$C$6,Dates!$T$7,'Day2'!$B13)</f>
        <v>0</v>
      </c>
    </row>
    <row r="37" spans="2:21" x14ac:dyDescent="0.3">
      <c r="B37" s="8" t="str">
        <f t="shared" si="0"/>
        <v>NA14</v>
      </c>
      <c r="C37" s="6">
        <f>averageResponseTimePorter(Dates!C$6,Dates!C$7,'Day2'!$B37)</f>
        <v>0</v>
      </c>
      <c r="D37" s="6">
        <f>averageResponseTimePorter(Dates!D$6,Dates!D$7,'Day2'!$B37)</f>
        <v>0</v>
      </c>
      <c r="E37" s="6">
        <f>averageResponseTimePorter(Dates!E$6,Dates!E$7,'Day2'!$B37)</f>
        <v>0</v>
      </c>
      <c r="F37" s="6">
        <f>averageResponseTimePorter(Dates!F$6,Dates!F$7,'Day2'!$B37)</f>
        <v>0</v>
      </c>
      <c r="G37" s="6">
        <f>averageResponseTimePorter(Dates!G$6,Dates!G$7,'Day2'!$B37)</f>
        <v>0</v>
      </c>
      <c r="H37" s="6">
        <f>averageResponseTimePorter(Dates!H$6,Dates!H$7,'Day2'!$B37)</f>
        <v>0</v>
      </c>
      <c r="I37" s="6">
        <f>averageResponseTimePorter(Dates!I$6,Dates!I$7,'Day2'!$B37)</f>
        <v>0</v>
      </c>
      <c r="J37" s="6">
        <f>averageResponseTimePorter(Dates!J$6,Dates!J$7,'Day2'!$B37)</f>
        <v>0</v>
      </c>
      <c r="K37" s="6">
        <f>averageResponseTimePorter(Dates!K$6,Dates!K$7,'Day2'!$B37)</f>
        <v>0</v>
      </c>
      <c r="L37" s="6">
        <f>averageResponseTimePorter(Dates!L$6,Dates!L$7,'Day2'!$B37)</f>
        <v>0</v>
      </c>
      <c r="M37" s="6">
        <f>averageResponseTimePorter(Dates!M$6,Dates!M$7,'Day2'!$B37)</f>
        <v>0</v>
      </c>
      <c r="N37" s="6">
        <f>averageResponseTimePorter(Dates!N$6,Dates!N$7,'Day2'!$B37)</f>
        <v>0</v>
      </c>
      <c r="O37" s="6">
        <f>averageResponseTimePorter(Dates!O$6,Dates!O$7,'Day2'!$B37)</f>
        <v>0</v>
      </c>
      <c r="P37" s="6">
        <f>averageResponseTimePorter(Dates!P$6,Dates!P$7,'Day2'!$B37)</f>
        <v>0</v>
      </c>
      <c r="Q37" s="6">
        <f>averageResponseTimePorter(Dates!Q$6,Dates!Q$7,'Day2'!$B37)</f>
        <v>0</v>
      </c>
      <c r="R37" s="6">
        <f>averageResponseTimePorter(Dates!R$6,Dates!R$7,'Day2'!$B37)</f>
        <v>0</v>
      </c>
      <c r="S37" s="6">
        <f>averageResponseTimePorter(Dates!S$6,Dates!S$7,'Day2'!$B37)</f>
        <v>0</v>
      </c>
      <c r="T37" s="6">
        <f>averageResponseTimePorter(Dates!T$6,Dates!T$7,'Day2'!$B37)</f>
        <v>0</v>
      </c>
      <c r="U37" s="6">
        <f>averageResponseTimePorter(Dates!$C$6,Dates!$T$7,'Day2'!$B14)</f>
        <v>0</v>
      </c>
    </row>
    <row r="38" spans="2:21" x14ac:dyDescent="0.3">
      <c r="B38" s="8" t="str">
        <f t="shared" si="0"/>
        <v>NA15</v>
      </c>
      <c r="C38" s="6">
        <f>averageResponseTimePorter(Dates!C$6,Dates!C$7,'Day2'!$B38)</f>
        <v>0</v>
      </c>
      <c r="D38" s="6">
        <f>averageResponseTimePorter(Dates!D$6,Dates!D$7,'Day2'!$B38)</f>
        <v>0</v>
      </c>
      <c r="E38" s="6">
        <f>averageResponseTimePorter(Dates!E$6,Dates!E$7,'Day2'!$B38)</f>
        <v>0</v>
      </c>
      <c r="F38" s="6">
        <f>averageResponseTimePorter(Dates!F$6,Dates!F$7,'Day2'!$B38)</f>
        <v>0</v>
      </c>
      <c r="G38" s="6">
        <f>averageResponseTimePorter(Dates!G$6,Dates!G$7,'Day2'!$B38)</f>
        <v>0</v>
      </c>
      <c r="H38" s="6">
        <f>averageResponseTimePorter(Dates!H$6,Dates!H$7,'Day2'!$B38)</f>
        <v>0</v>
      </c>
      <c r="I38" s="6">
        <f>averageResponseTimePorter(Dates!I$6,Dates!I$7,'Day2'!$B38)</f>
        <v>0</v>
      </c>
      <c r="J38" s="6">
        <f>averageResponseTimePorter(Dates!J$6,Dates!J$7,'Day2'!$B38)</f>
        <v>0</v>
      </c>
      <c r="K38" s="6">
        <f>averageResponseTimePorter(Dates!K$6,Dates!K$7,'Day2'!$B38)</f>
        <v>0</v>
      </c>
      <c r="L38" s="6">
        <f>averageResponseTimePorter(Dates!L$6,Dates!L$7,'Day2'!$B38)</f>
        <v>0</v>
      </c>
      <c r="M38" s="6">
        <f>averageResponseTimePorter(Dates!M$6,Dates!M$7,'Day2'!$B38)</f>
        <v>0</v>
      </c>
      <c r="N38" s="6">
        <f>averageResponseTimePorter(Dates!N$6,Dates!N$7,'Day2'!$B38)</f>
        <v>0</v>
      </c>
      <c r="O38" s="6">
        <f>averageResponseTimePorter(Dates!O$6,Dates!O$7,'Day2'!$B38)</f>
        <v>0</v>
      </c>
      <c r="P38" s="6">
        <f>averageResponseTimePorter(Dates!P$6,Dates!P$7,'Day2'!$B38)</f>
        <v>0</v>
      </c>
      <c r="Q38" s="6">
        <f>averageResponseTimePorter(Dates!Q$6,Dates!Q$7,'Day2'!$B38)</f>
        <v>0</v>
      </c>
      <c r="R38" s="6">
        <f>averageResponseTimePorter(Dates!R$6,Dates!R$7,'Day2'!$B38)</f>
        <v>0</v>
      </c>
      <c r="S38" s="6">
        <f>averageResponseTimePorter(Dates!S$6,Dates!S$7,'Day2'!$B38)</f>
        <v>0</v>
      </c>
      <c r="T38" s="6">
        <f>averageResponseTimePorter(Dates!T$6,Dates!T$7,'Day2'!$B38)</f>
        <v>0</v>
      </c>
      <c r="U38" s="6">
        <f>averageResponseTimePorter(Dates!$C$6,Dates!$T$7,'Day2'!$B15)</f>
        <v>0</v>
      </c>
    </row>
    <row r="39" spans="2:21" x14ac:dyDescent="0.3">
      <c r="B39" s="8" t="str">
        <f t="shared" si="0"/>
        <v>NA16</v>
      </c>
      <c r="C39" s="6">
        <f>averageResponseTimePorter(Dates!C$6,Dates!C$7,'Day2'!$B39)</f>
        <v>0</v>
      </c>
      <c r="D39" s="6">
        <f>averageResponseTimePorter(Dates!D$6,Dates!D$7,'Day2'!$B39)</f>
        <v>0</v>
      </c>
      <c r="E39" s="6">
        <f>averageResponseTimePorter(Dates!E$6,Dates!E$7,'Day2'!$B39)</f>
        <v>0</v>
      </c>
      <c r="F39" s="6">
        <f>averageResponseTimePorter(Dates!F$6,Dates!F$7,'Day2'!$B39)</f>
        <v>0</v>
      </c>
      <c r="G39" s="6">
        <f>averageResponseTimePorter(Dates!G$6,Dates!G$7,'Day2'!$B39)</f>
        <v>0</v>
      </c>
      <c r="H39" s="6">
        <f>averageResponseTimePorter(Dates!H$6,Dates!H$7,'Day2'!$B39)</f>
        <v>0</v>
      </c>
      <c r="I39" s="6">
        <f>averageResponseTimePorter(Dates!I$6,Dates!I$7,'Day2'!$B39)</f>
        <v>0</v>
      </c>
      <c r="J39" s="6">
        <f>averageResponseTimePorter(Dates!J$6,Dates!J$7,'Day2'!$B39)</f>
        <v>0</v>
      </c>
      <c r="K39" s="6">
        <f>averageResponseTimePorter(Dates!K$6,Dates!K$7,'Day2'!$B39)</f>
        <v>0</v>
      </c>
      <c r="L39" s="6">
        <f>averageResponseTimePorter(Dates!L$6,Dates!L$7,'Day2'!$B39)</f>
        <v>0</v>
      </c>
      <c r="M39" s="6">
        <f>averageResponseTimePorter(Dates!M$6,Dates!M$7,'Day2'!$B39)</f>
        <v>0</v>
      </c>
      <c r="N39" s="6">
        <f>averageResponseTimePorter(Dates!N$6,Dates!N$7,'Day2'!$B39)</f>
        <v>0</v>
      </c>
      <c r="O39" s="6">
        <f>averageResponseTimePorter(Dates!O$6,Dates!O$7,'Day2'!$B39)</f>
        <v>0</v>
      </c>
      <c r="P39" s="6">
        <f>averageResponseTimePorter(Dates!P$6,Dates!P$7,'Day2'!$B39)</f>
        <v>0</v>
      </c>
      <c r="Q39" s="6">
        <f>averageResponseTimePorter(Dates!Q$6,Dates!Q$7,'Day2'!$B39)</f>
        <v>0</v>
      </c>
      <c r="R39" s="6">
        <f>averageResponseTimePorter(Dates!R$6,Dates!R$7,'Day2'!$B39)</f>
        <v>0</v>
      </c>
      <c r="S39" s="6">
        <f>averageResponseTimePorter(Dates!S$6,Dates!S$7,'Day2'!$B39)</f>
        <v>0</v>
      </c>
      <c r="T39" s="6">
        <f>averageResponseTimePorter(Dates!T$6,Dates!T$7,'Day2'!$B39)</f>
        <v>0</v>
      </c>
      <c r="U39" s="6">
        <f>averageResponseTimePorter(Dates!$C$6,Dates!$T$7,'Day2'!$B16)</f>
        <v>0</v>
      </c>
    </row>
    <row r="40" spans="2:21" x14ac:dyDescent="0.3">
      <c r="B40" s="8" t="str">
        <f t="shared" si="0"/>
        <v>NA17</v>
      </c>
      <c r="C40" s="6">
        <f>averageResponseTimePorter(Dates!C$6,Dates!C$7,'Day2'!$B40)</f>
        <v>0</v>
      </c>
      <c r="D40" s="6">
        <f>averageResponseTimePorter(Dates!D$6,Dates!D$7,'Day2'!$B40)</f>
        <v>0</v>
      </c>
      <c r="E40" s="6">
        <f>averageResponseTimePorter(Dates!E$6,Dates!E$7,'Day2'!$B40)</f>
        <v>0</v>
      </c>
      <c r="F40" s="6">
        <f>averageResponseTimePorter(Dates!F$6,Dates!F$7,'Day2'!$B40)</f>
        <v>0</v>
      </c>
      <c r="G40" s="6">
        <f>averageResponseTimePorter(Dates!G$6,Dates!G$7,'Day2'!$B40)</f>
        <v>0</v>
      </c>
      <c r="H40" s="6">
        <f>averageResponseTimePorter(Dates!H$6,Dates!H$7,'Day2'!$B40)</f>
        <v>0</v>
      </c>
      <c r="I40" s="6">
        <f>averageResponseTimePorter(Dates!I$6,Dates!I$7,'Day2'!$B40)</f>
        <v>0</v>
      </c>
      <c r="J40" s="6">
        <f>averageResponseTimePorter(Dates!J$6,Dates!J$7,'Day2'!$B40)</f>
        <v>0</v>
      </c>
      <c r="K40" s="6">
        <f>averageResponseTimePorter(Dates!K$6,Dates!K$7,'Day2'!$B40)</f>
        <v>0</v>
      </c>
      <c r="L40" s="6">
        <f>averageResponseTimePorter(Dates!L$6,Dates!L$7,'Day2'!$B40)</f>
        <v>0</v>
      </c>
      <c r="M40" s="6">
        <f>averageResponseTimePorter(Dates!M$6,Dates!M$7,'Day2'!$B40)</f>
        <v>0</v>
      </c>
      <c r="N40" s="6">
        <f>averageResponseTimePorter(Dates!N$6,Dates!N$7,'Day2'!$B40)</f>
        <v>0</v>
      </c>
      <c r="O40" s="6">
        <f>averageResponseTimePorter(Dates!O$6,Dates!O$7,'Day2'!$B40)</f>
        <v>0</v>
      </c>
      <c r="P40" s="6">
        <f>averageResponseTimePorter(Dates!P$6,Dates!P$7,'Day2'!$B40)</f>
        <v>0</v>
      </c>
      <c r="Q40" s="6">
        <f>averageResponseTimePorter(Dates!Q$6,Dates!Q$7,'Day2'!$B40)</f>
        <v>0</v>
      </c>
      <c r="R40" s="6">
        <f>averageResponseTimePorter(Dates!R$6,Dates!R$7,'Day2'!$B40)</f>
        <v>0</v>
      </c>
      <c r="S40" s="6">
        <f>averageResponseTimePorter(Dates!S$6,Dates!S$7,'Day2'!$B40)</f>
        <v>0</v>
      </c>
      <c r="T40" s="6">
        <f>averageResponseTimePorter(Dates!T$6,Dates!T$7,'Day2'!$B40)</f>
        <v>0</v>
      </c>
      <c r="U40" s="6">
        <f>averageResponseTimePorter(Dates!$C$6,Dates!$T$7,'Day2'!$B17)</f>
        <v>0</v>
      </c>
    </row>
    <row r="41" spans="2:21" x14ac:dyDescent="0.3">
      <c r="B41" s="8" t="str">
        <f t="shared" si="0"/>
        <v>NA18</v>
      </c>
      <c r="C41" s="6">
        <f>averageResponseTimePorter(Dates!C$6,Dates!C$7,'Day2'!$B41)</f>
        <v>0</v>
      </c>
      <c r="D41" s="6">
        <f>averageResponseTimePorter(Dates!D$6,Dates!D$7,'Day2'!$B41)</f>
        <v>0</v>
      </c>
      <c r="E41" s="6">
        <f>averageResponseTimePorter(Dates!E$6,Dates!E$7,'Day2'!$B41)</f>
        <v>0</v>
      </c>
      <c r="F41" s="6">
        <f>averageResponseTimePorter(Dates!F$6,Dates!F$7,'Day2'!$B41)</f>
        <v>0</v>
      </c>
      <c r="G41" s="6">
        <f>averageResponseTimePorter(Dates!G$6,Dates!G$7,'Day2'!$B41)</f>
        <v>0</v>
      </c>
      <c r="H41" s="6">
        <f>averageResponseTimePorter(Dates!H$6,Dates!H$7,'Day2'!$B41)</f>
        <v>0</v>
      </c>
      <c r="I41" s="6">
        <f>averageResponseTimePorter(Dates!I$6,Dates!I$7,'Day2'!$B41)</f>
        <v>0</v>
      </c>
      <c r="J41" s="6">
        <f>averageResponseTimePorter(Dates!J$6,Dates!J$7,'Day2'!$B41)</f>
        <v>0</v>
      </c>
      <c r="K41" s="6">
        <f>averageResponseTimePorter(Dates!K$6,Dates!K$7,'Day2'!$B41)</f>
        <v>0</v>
      </c>
      <c r="L41" s="6">
        <f>averageResponseTimePorter(Dates!L$6,Dates!L$7,'Day2'!$B41)</f>
        <v>0</v>
      </c>
      <c r="M41" s="6">
        <f>averageResponseTimePorter(Dates!M$6,Dates!M$7,'Day2'!$B41)</f>
        <v>0</v>
      </c>
      <c r="N41" s="6">
        <f>averageResponseTimePorter(Dates!N$6,Dates!N$7,'Day2'!$B41)</f>
        <v>0</v>
      </c>
      <c r="O41" s="6">
        <f>averageResponseTimePorter(Dates!O$6,Dates!O$7,'Day2'!$B41)</f>
        <v>0</v>
      </c>
      <c r="P41" s="6">
        <f>averageResponseTimePorter(Dates!P$6,Dates!P$7,'Day2'!$B41)</f>
        <v>0</v>
      </c>
      <c r="Q41" s="6">
        <f>averageResponseTimePorter(Dates!Q$6,Dates!Q$7,'Day2'!$B41)</f>
        <v>0</v>
      </c>
      <c r="R41" s="6">
        <f>averageResponseTimePorter(Dates!R$6,Dates!R$7,'Day2'!$B41)</f>
        <v>0</v>
      </c>
      <c r="S41" s="6">
        <f>averageResponseTimePorter(Dates!S$6,Dates!S$7,'Day2'!$B41)</f>
        <v>0</v>
      </c>
      <c r="T41" s="6">
        <f>averageResponseTimePorter(Dates!T$6,Dates!T$7,'Day2'!$B41)</f>
        <v>0</v>
      </c>
      <c r="U41" s="6">
        <f>averageResponseTimePorter(Dates!$C$6,Dates!$T$7,'Day2'!$B18)</f>
        <v>0</v>
      </c>
    </row>
    <row r="42" spans="2:21" x14ac:dyDescent="0.3">
      <c r="B42" s="8" t="str">
        <f t="shared" si="0"/>
        <v>NA19</v>
      </c>
      <c r="C42" s="6">
        <f>averageResponseTimePorter(Dates!C$6,Dates!C$7,'Day2'!$B42)</f>
        <v>0</v>
      </c>
      <c r="D42" s="6">
        <f>averageResponseTimePorter(Dates!D$6,Dates!D$7,'Day2'!$B42)</f>
        <v>0</v>
      </c>
      <c r="E42" s="6">
        <f>averageResponseTimePorter(Dates!E$6,Dates!E$7,'Day2'!$B42)</f>
        <v>0</v>
      </c>
      <c r="F42" s="6">
        <f>averageResponseTimePorter(Dates!F$6,Dates!F$7,'Day2'!$B42)</f>
        <v>0</v>
      </c>
      <c r="G42" s="6">
        <f>averageResponseTimePorter(Dates!G$6,Dates!G$7,'Day2'!$B42)</f>
        <v>0</v>
      </c>
      <c r="H42" s="6">
        <f>averageResponseTimePorter(Dates!H$6,Dates!H$7,'Day2'!$B42)</f>
        <v>0</v>
      </c>
      <c r="I42" s="6">
        <f>averageResponseTimePorter(Dates!I$6,Dates!I$7,'Day2'!$B42)</f>
        <v>0</v>
      </c>
      <c r="J42" s="6">
        <f>averageResponseTimePorter(Dates!J$6,Dates!J$7,'Day2'!$B42)</f>
        <v>0</v>
      </c>
      <c r="K42" s="6">
        <f>averageResponseTimePorter(Dates!K$6,Dates!K$7,'Day2'!$B42)</f>
        <v>0</v>
      </c>
      <c r="L42" s="6">
        <f>averageResponseTimePorter(Dates!L$6,Dates!L$7,'Day2'!$B42)</f>
        <v>0</v>
      </c>
      <c r="M42" s="6">
        <f>averageResponseTimePorter(Dates!M$6,Dates!M$7,'Day2'!$B42)</f>
        <v>0</v>
      </c>
      <c r="N42" s="6">
        <f>averageResponseTimePorter(Dates!N$6,Dates!N$7,'Day2'!$B42)</f>
        <v>0</v>
      </c>
      <c r="O42" s="6">
        <f>averageResponseTimePorter(Dates!O$6,Dates!O$7,'Day2'!$B42)</f>
        <v>0</v>
      </c>
      <c r="P42" s="6">
        <f>averageResponseTimePorter(Dates!P$6,Dates!P$7,'Day2'!$B42)</f>
        <v>0</v>
      </c>
      <c r="Q42" s="6">
        <f>averageResponseTimePorter(Dates!Q$6,Dates!Q$7,'Day2'!$B42)</f>
        <v>0</v>
      </c>
      <c r="R42" s="6">
        <f>averageResponseTimePorter(Dates!R$6,Dates!R$7,'Day2'!$B42)</f>
        <v>0</v>
      </c>
      <c r="S42" s="6">
        <f>averageResponseTimePorter(Dates!S$6,Dates!S$7,'Day2'!$B42)</f>
        <v>0</v>
      </c>
      <c r="T42" s="6">
        <f>averageResponseTimePorter(Dates!T$6,Dates!T$7,'Day2'!$B42)</f>
        <v>0</v>
      </c>
      <c r="U42" s="6">
        <f>averageResponseTimePorter(Dates!$C$6,Dates!$T$7,'Day2'!$B19)</f>
        <v>0</v>
      </c>
    </row>
    <row r="43" spans="2:21" x14ac:dyDescent="0.3">
      <c r="B43" s="8" t="str">
        <f t="shared" si="0"/>
        <v>NA20</v>
      </c>
      <c r="C43" s="6">
        <f>averageResponseTimePorter(Dates!C$6,Dates!C$7,'Day2'!$B43)</f>
        <v>0</v>
      </c>
      <c r="D43" s="6">
        <f>averageResponseTimePorter(Dates!D$6,Dates!D$7,'Day2'!$B43)</f>
        <v>0</v>
      </c>
      <c r="E43" s="6">
        <f>averageResponseTimePorter(Dates!E$6,Dates!E$7,'Day2'!$B43)</f>
        <v>0</v>
      </c>
      <c r="F43" s="6">
        <f>averageResponseTimePorter(Dates!F$6,Dates!F$7,'Day2'!$B43)</f>
        <v>0</v>
      </c>
      <c r="G43" s="6">
        <f>averageResponseTimePorter(Dates!G$6,Dates!G$7,'Day2'!$B43)</f>
        <v>0</v>
      </c>
      <c r="H43" s="6">
        <f>averageResponseTimePorter(Dates!H$6,Dates!H$7,'Day2'!$B43)</f>
        <v>0</v>
      </c>
      <c r="I43" s="6">
        <f>averageResponseTimePorter(Dates!I$6,Dates!I$7,'Day2'!$B43)</f>
        <v>0</v>
      </c>
      <c r="J43" s="6">
        <f>averageResponseTimePorter(Dates!J$6,Dates!J$7,'Day2'!$B43)</f>
        <v>0</v>
      </c>
      <c r="K43" s="6">
        <f>averageResponseTimePorter(Dates!K$6,Dates!K$7,'Day2'!$B43)</f>
        <v>0</v>
      </c>
      <c r="L43" s="6">
        <f>averageResponseTimePorter(Dates!L$6,Dates!L$7,'Day2'!$B43)</f>
        <v>0</v>
      </c>
      <c r="M43" s="6">
        <f>averageResponseTimePorter(Dates!M$6,Dates!M$7,'Day2'!$B43)</f>
        <v>0</v>
      </c>
      <c r="N43" s="6">
        <f>averageResponseTimePorter(Dates!N$6,Dates!N$7,'Day2'!$B43)</f>
        <v>0</v>
      </c>
      <c r="O43" s="6">
        <f>averageResponseTimePorter(Dates!O$6,Dates!O$7,'Day2'!$B43)</f>
        <v>0</v>
      </c>
      <c r="P43" s="6">
        <f>averageResponseTimePorter(Dates!P$6,Dates!P$7,'Day2'!$B43)</f>
        <v>0</v>
      </c>
      <c r="Q43" s="6">
        <f>averageResponseTimePorter(Dates!Q$6,Dates!Q$7,'Day2'!$B43)</f>
        <v>0</v>
      </c>
      <c r="R43" s="6">
        <f>averageResponseTimePorter(Dates!R$6,Dates!R$7,'Day2'!$B43)</f>
        <v>0</v>
      </c>
      <c r="S43" s="6">
        <f>averageResponseTimePorter(Dates!S$6,Dates!S$7,'Day2'!$B43)</f>
        <v>0</v>
      </c>
      <c r="T43" s="6">
        <f>averageResponseTimePorter(Dates!T$6,Dates!T$7,'Day2'!$B43)</f>
        <v>0</v>
      </c>
      <c r="U43" s="6">
        <f>averageResponseTimePorter(Dates!$C$6,Dates!$T$7,'Day2'!$B20)</f>
        <v>0</v>
      </c>
    </row>
    <row r="44" spans="2:21" x14ac:dyDescent="0.3">
      <c r="B44" s="8" t="str">
        <f t="shared" si="0"/>
        <v>NA21</v>
      </c>
      <c r="C44" s="6">
        <f>averageResponseTimePorter(Dates!C$6,Dates!C$7,'Day2'!$B44)</f>
        <v>0</v>
      </c>
      <c r="D44" s="6">
        <f>averageResponseTimePorter(Dates!D$6,Dates!D$7,'Day2'!$B44)</f>
        <v>0</v>
      </c>
      <c r="E44" s="6">
        <f>averageResponseTimePorter(Dates!E$6,Dates!E$7,'Day2'!$B44)</f>
        <v>0</v>
      </c>
      <c r="F44" s="6">
        <f>averageResponseTimePorter(Dates!F$6,Dates!F$7,'Day2'!$B44)</f>
        <v>0</v>
      </c>
      <c r="G44" s="6">
        <f>averageResponseTimePorter(Dates!G$6,Dates!G$7,'Day2'!$B44)</f>
        <v>0</v>
      </c>
      <c r="H44" s="6">
        <f>averageResponseTimePorter(Dates!H$6,Dates!H$7,'Day2'!$B44)</f>
        <v>0</v>
      </c>
      <c r="I44" s="6">
        <f>averageResponseTimePorter(Dates!I$6,Dates!I$7,'Day2'!$B44)</f>
        <v>0</v>
      </c>
      <c r="J44" s="6">
        <f>averageResponseTimePorter(Dates!J$6,Dates!J$7,'Day2'!$B44)</f>
        <v>0</v>
      </c>
      <c r="K44" s="6">
        <f>averageResponseTimePorter(Dates!K$6,Dates!K$7,'Day2'!$B44)</f>
        <v>0</v>
      </c>
      <c r="L44" s="6">
        <f>averageResponseTimePorter(Dates!L$6,Dates!L$7,'Day2'!$B44)</f>
        <v>0</v>
      </c>
      <c r="M44" s="6">
        <f>averageResponseTimePorter(Dates!M$6,Dates!M$7,'Day2'!$B44)</f>
        <v>0</v>
      </c>
      <c r="N44" s="6">
        <f>averageResponseTimePorter(Dates!N$6,Dates!N$7,'Day2'!$B44)</f>
        <v>0</v>
      </c>
      <c r="O44" s="6">
        <f>averageResponseTimePorter(Dates!O$6,Dates!O$7,'Day2'!$B44)</f>
        <v>0</v>
      </c>
      <c r="P44" s="6">
        <f>averageResponseTimePorter(Dates!P$6,Dates!P$7,'Day2'!$B44)</f>
        <v>0</v>
      </c>
      <c r="Q44" s="6">
        <f>averageResponseTimePorter(Dates!Q$6,Dates!Q$7,'Day2'!$B44)</f>
        <v>0</v>
      </c>
      <c r="R44" s="6">
        <f>averageResponseTimePorter(Dates!R$6,Dates!R$7,'Day2'!$B44)</f>
        <v>0</v>
      </c>
      <c r="S44" s="6">
        <f>averageResponseTimePorter(Dates!S$6,Dates!S$7,'Day2'!$B44)</f>
        <v>0</v>
      </c>
      <c r="T44" s="6">
        <f>averageResponseTimePorter(Dates!T$6,Dates!T$7,'Day2'!$B44)</f>
        <v>0</v>
      </c>
      <c r="U44" s="6">
        <f>averageResponseTimePorter(Dates!$C$6,Dates!$T$7,'Day2'!$B21)</f>
        <v>0</v>
      </c>
    </row>
    <row r="45" spans="2:21" x14ac:dyDescent="0.3">
      <c r="B45" s="8" t="str">
        <f t="shared" si="0"/>
        <v>NA22</v>
      </c>
      <c r="C45" s="6">
        <f>averageResponseTimePorter(Dates!C$6,Dates!C$7,'Day2'!$B45)</f>
        <v>0</v>
      </c>
      <c r="D45" s="6">
        <f>averageResponseTimePorter(Dates!D$6,Dates!D$7,'Day2'!$B45)</f>
        <v>0</v>
      </c>
      <c r="E45" s="6">
        <f>averageResponseTimePorter(Dates!E$6,Dates!E$7,'Day2'!$B45)</f>
        <v>0</v>
      </c>
      <c r="F45" s="6">
        <f>averageResponseTimePorter(Dates!F$6,Dates!F$7,'Day2'!$B45)</f>
        <v>0</v>
      </c>
      <c r="G45" s="6">
        <f>averageResponseTimePorter(Dates!G$6,Dates!G$7,'Day2'!$B45)</f>
        <v>0</v>
      </c>
      <c r="H45" s="6">
        <f>averageResponseTimePorter(Dates!H$6,Dates!H$7,'Day2'!$B45)</f>
        <v>0</v>
      </c>
      <c r="I45" s="6">
        <f>averageResponseTimePorter(Dates!I$6,Dates!I$7,'Day2'!$B45)</f>
        <v>0</v>
      </c>
      <c r="J45" s="6">
        <f>averageResponseTimePorter(Dates!J$6,Dates!J$7,'Day2'!$B45)</f>
        <v>0</v>
      </c>
      <c r="K45" s="6">
        <f>averageResponseTimePorter(Dates!K$6,Dates!K$7,'Day2'!$B45)</f>
        <v>0</v>
      </c>
      <c r="L45" s="6">
        <f>averageResponseTimePorter(Dates!L$6,Dates!L$7,'Day2'!$B45)</f>
        <v>0</v>
      </c>
      <c r="M45" s="6">
        <f>averageResponseTimePorter(Dates!M$6,Dates!M$7,'Day2'!$B45)</f>
        <v>0</v>
      </c>
      <c r="N45" s="6">
        <f>averageResponseTimePorter(Dates!N$6,Dates!N$7,'Day2'!$B45)</f>
        <v>0</v>
      </c>
      <c r="O45" s="6">
        <f>averageResponseTimePorter(Dates!O$6,Dates!O$7,'Day2'!$B45)</f>
        <v>0</v>
      </c>
      <c r="P45" s="6">
        <f>averageResponseTimePorter(Dates!P$6,Dates!P$7,'Day2'!$B45)</f>
        <v>0</v>
      </c>
      <c r="Q45" s="6">
        <f>averageResponseTimePorter(Dates!Q$6,Dates!Q$7,'Day2'!$B45)</f>
        <v>0</v>
      </c>
      <c r="R45" s="6">
        <f>averageResponseTimePorter(Dates!R$6,Dates!R$7,'Day2'!$B45)</f>
        <v>0</v>
      </c>
      <c r="S45" s="6">
        <f>averageResponseTimePorter(Dates!S$6,Dates!S$7,'Day2'!$B45)</f>
        <v>0</v>
      </c>
      <c r="T45" s="6">
        <f>averageResponseTimePorter(Dates!T$6,Dates!T$7,'Day2'!$B45)</f>
        <v>0</v>
      </c>
      <c r="U45" s="6">
        <f>averageResponseTimePorter(Dates!$C$6,Dates!$T$7,'Day2'!$B22)</f>
        <v>0</v>
      </c>
    </row>
    <row r="46" spans="2:21" x14ac:dyDescent="0.3">
      <c r="B46" s="8" t="str">
        <f t="shared" si="0"/>
        <v>NA23</v>
      </c>
      <c r="C46" s="6">
        <f>averageResponseTimePorter(Dates!C$6,Dates!C$7,'Day2'!$B46)</f>
        <v>0</v>
      </c>
      <c r="D46" s="6">
        <f>averageResponseTimePorter(Dates!D$6,Dates!D$7,'Day2'!$B46)</f>
        <v>0</v>
      </c>
      <c r="E46" s="6">
        <f>averageResponseTimePorter(Dates!E$6,Dates!E$7,'Day2'!$B46)</f>
        <v>0</v>
      </c>
      <c r="F46" s="6">
        <f>averageResponseTimePorter(Dates!F$6,Dates!F$7,'Day2'!$B46)</f>
        <v>0</v>
      </c>
      <c r="G46" s="6">
        <f>averageResponseTimePorter(Dates!G$6,Dates!G$7,'Day2'!$B46)</f>
        <v>0</v>
      </c>
      <c r="H46" s="6">
        <f>averageResponseTimePorter(Dates!H$6,Dates!H$7,'Day2'!$B46)</f>
        <v>0</v>
      </c>
      <c r="I46" s="6">
        <f>averageResponseTimePorter(Dates!I$6,Dates!I$7,'Day2'!$B46)</f>
        <v>0</v>
      </c>
      <c r="J46" s="6">
        <f>averageResponseTimePorter(Dates!J$6,Dates!J$7,'Day2'!$B46)</f>
        <v>0</v>
      </c>
      <c r="K46" s="6">
        <f>averageResponseTimePorter(Dates!K$6,Dates!K$7,'Day2'!$B46)</f>
        <v>0</v>
      </c>
      <c r="L46" s="6">
        <f>averageResponseTimePorter(Dates!L$6,Dates!L$7,'Day2'!$B46)</f>
        <v>0</v>
      </c>
      <c r="M46" s="6">
        <f>averageResponseTimePorter(Dates!M$6,Dates!M$7,'Day2'!$B46)</f>
        <v>0</v>
      </c>
      <c r="N46" s="6">
        <f>averageResponseTimePorter(Dates!N$6,Dates!N$7,'Day2'!$B46)</f>
        <v>0</v>
      </c>
      <c r="O46" s="6">
        <f>averageResponseTimePorter(Dates!O$6,Dates!O$7,'Day2'!$B46)</f>
        <v>0</v>
      </c>
      <c r="P46" s="6">
        <f>averageResponseTimePorter(Dates!P$6,Dates!P$7,'Day2'!$B46)</f>
        <v>0</v>
      </c>
      <c r="Q46" s="6">
        <f>averageResponseTimePorter(Dates!Q$6,Dates!Q$7,'Day2'!$B46)</f>
        <v>0</v>
      </c>
      <c r="R46" s="6">
        <f>averageResponseTimePorter(Dates!R$6,Dates!R$7,'Day2'!$B46)</f>
        <v>0</v>
      </c>
      <c r="S46" s="6">
        <f>averageResponseTimePorter(Dates!S$6,Dates!S$7,'Day2'!$B46)</f>
        <v>0</v>
      </c>
      <c r="T46" s="6">
        <f>averageResponseTimePorter(Dates!T$6,Dates!T$7,'Day2'!$B46)</f>
        <v>0</v>
      </c>
      <c r="U46" s="6">
        <f>averageResponseTimePorter(Dates!$C$6,Dates!$T$7,'Day2'!$B23)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46"/>
  <sheetViews>
    <sheetView topLeftCell="A24" zoomScale="80" zoomScaleNormal="80" workbookViewId="0">
      <selection activeCell="B26" sqref="B26:B46"/>
    </sheetView>
  </sheetViews>
  <sheetFormatPr defaultRowHeight="14.4" x14ac:dyDescent="0.3"/>
  <cols>
    <col min="2" max="2" width="27.21875" style="8" customWidth="1"/>
    <col min="7" max="7" width="10.21875" customWidth="1"/>
  </cols>
  <sheetData>
    <row r="1" spans="1:21" x14ac:dyDescent="0.3">
      <c r="C1" s="4" t="s">
        <v>2</v>
      </c>
      <c r="D1" s="5">
        <v>7</v>
      </c>
      <c r="E1" s="5">
        <v>8</v>
      </c>
      <c r="F1" s="5">
        <v>9</v>
      </c>
      <c r="G1" s="5">
        <v>10</v>
      </c>
      <c r="H1" s="5">
        <v>11</v>
      </c>
      <c r="I1" s="5">
        <v>12</v>
      </c>
      <c r="J1" s="5">
        <v>13</v>
      </c>
      <c r="K1" s="5">
        <v>14</v>
      </c>
      <c r="L1" s="5">
        <v>15</v>
      </c>
      <c r="M1" s="5">
        <v>16</v>
      </c>
      <c r="N1" s="5">
        <v>17</v>
      </c>
      <c r="O1" s="5">
        <v>18</v>
      </c>
      <c r="P1" s="5">
        <v>19</v>
      </c>
      <c r="Q1" s="5">
        <v>20</v>
      </c>
      <c r="R1" s="5">
        <v>21</v>
      </c>
      <c r="S1" s="5">
        <v>22</v>
      </c>
      <c r="T1" s="5">
        <v>23</v>
      </c>
      <c r="U1" s="5" t="s">
        <v>11</v>
      </c>
    </row>
    <row r="2" spans="1:21" x14ac:dyDescent="0.3">
      <c r="A2" t="s">
        <v>4</v>
      </c>
      <c r="B2" s="8" t="s">
        <v>6</v>
      </c>
      <c r="C2" s="6">
        <f>averageCompletionTime(Dates!C8,Dates!C9)</f>
        <v>0</v>
      </c>
      <c r="D2" s="6">
        <f>averageCompletionTime(Dates!D8,Dates!D9)</f>
        <v>0</v>
      </c>
      <c r="E2" s="6">
        <f>averageCompletionTime(Dates!E8,Dates!E9)</f>
        <v>0</v>
      </c>
      <c r="F2" s="6">
        <f>averageCompletionTime(Dates!F8,Dates!F9)</f>
        <v>0</v>
      </c>
      <c r="G2" s="6">
        <f>averageCompletionTime(Dates!G8,Dates!G9)</f>
        <v>0</v>
      </c>
      <c r="H2" s="6">
        <f>averageCompletionTime(Dates!H8,Dates!H9)</f>
        <v>0</v>
      </c>
      <c r="I2" s="6">
        <f>averageCompletionTime(Dates!I8,Dates!I9)</f>
        <v>0</v>
      </c>
      <c r="J2" s="6">
        <f>averageCompletionTime(Dates!J8,Dates!J9)</f>
        <v>0</v>
      </c>
      <c r="K2" s="6">
        <f>averageCompletionTime(Dates!K8,Dates!K9)</f>
        <v>0</v>
      </c>
      <c r="L2" s="6">
        <f>averageCompletionTime(Dates!L8,Dates!L9)</f>
        <v>0</v>
      </c>
      <c r="M2" s="6">
        <f>averageCompletionTime(Dates!M8,Dates!M9)</f>
        <v>0</v>
      </c>
      <c r="N2" s="6">
        <f>averageCompletionTime(Dates!N8,Dates!N9)</f>
        <v>0</v>
      </c>
      <c r="O2" s="6">
        <f>averageCompletionTime(Dates!O8,Dates!O9)</f>
        <v>0</v>
      </c>
      <c r="P2" s="6">
        <f>averageCompletionTime(Dates!P8,Dates!P9)</f>
        <v>0</v>
      </c>
      <c r="Q2" s="6">
        <f>averageCompletionTime(Dates!Q8,Dates!Q9)</f>
        <v>0</v>
      </c>
      <c r="R2" s="6">
        <f>averageCompletionTime(Dates!R8,Dates!R9)</f>
        <v>0</v>
      </c>
      <c r="S2" s="6">
        <f>averageCompletionTime(Dates!S8,Dates!S9)</f>
        <v>0</v>
      </c>
      <c r="T2" s="6">
        <f>averageCompletionTime(Dates!T8,Dates!T9)</f>
        <v>0</v>
      </c>
      <c r="U2" s="6">
        <f>averageCompletionTime(Dates!C8,Dates!T9)</f>
        <v>0</v>
      </c>
    </row>
    <row r="3" spans="1:21" x14ac:dyDescent="0.3">
      <c r="A3" s="7" t="s">
        <v>5</v>
      </c>
      <c r="B3" s="9"/>
      <c r="C3" s="6">
        <f>averageCompletionTimePorter(Dates!C$8,Dates!C$9,'Day3'!$B3)</f>
        <v>0</v>
      </c>
      <c r="D3" s="6">
        <f>averageCompletionTimePorter(Dates!D$8,Dates!D$9,'Day3'!$B3)</f>
        <v>0</v>
      </c>
      <c r="E3" s="6">
        <f>averageCompletionTimePorter(Dates!E$8,Dates!E$9,'Day3'!$B3)</f>
        <v>0</v>
      </c>
      <c r="F3" s="6">
        <f>averageCompletionTimePorter(Dates!F$8,Dates!F$9,'Day3'!$B3)</f>
        <v>0</v>
      </c>
      <c r="G3" s="6">
        <f>averageCompletionTimePorter(Dates!G$8,Dates!G$9,'Day3'!$B3)</f>
        <v>0</v>
      </c>
      <c r="H3" s="6">
        <f>averageCompletionTimePorter(Dates!H$8,Dates!H$9,'Day3'!$B3)</f>
        <v>0</v>
      </c>
      <c r="I3" s="6">
        <f>averageCompletionTimePorter(Dates!I$8,Dates!I$9,'Day3'!$B3)</f>
        <v>0</v>
      </c>
      <c r="J3" s="6">
        <f>averageCompletionTimePorter(Dates!J$8,Dates!J$9,'Day3'!$B3)</f>
        <v>0</v>
      </c>
      <c r="K3" s="6">
        <f>averageCompletionTimePorter(Dates!K$8,Dates!K$9,'Day3'!$B3)</f>
        <v>0</v>
      </c>
      <c r="L3" s="6">
        <f>averageCompletionTimePorter(Dates!L$8,Dates!L$9,'Day3'!$B3)</f>
        <v>0</v>
      </c>
      <c r="M3" s="6">
        <f>averageCompletionTimePorter(Dates!M$8,Dates!M$9,'Day3'!$B3)</f>
        <v>0</v>
      </c>
      <c r="N3" s="6">
        <f>averageCompletionTimePorter(Dates!N$8,Dates!N$9,'Day3'!$B3)</f>
        <v>0</v>
      </c>
      <c r="O3" s="6">
        <f>averageCompletionTimePorter(Dates!O$8,Dates!O$9,'Day3'!$B3)</f>
        <v>0</v>
      </c>
      <c r="P3" s="6">
        <f>averageCompletionTimePorter(Dates!P$8,Dates!P$9,'Day3'!$B3)</f>
        <v>0</v>
      </c>
      <c r="Q3" s="6">
        <f>averageCompletionTimePorter(Dates!Q$8,Dates!Q$9,'Day3'!$B3)</f>
        <v>0</v>
      </c>
      <c r="R3" s="6">
        <f>averageCompletionTimePorter(Dates!R$8,Dates!R$9,'Day3'!$B3)</f>
        <v>0</v>
      </c>
      <c r="S3" s="6">
        <f>averageCompletionTimePorter(Dates!S$8,Dates!S$9,'Day3'!$B3)</f>
        <v>0</v>
      </c>
      <c r="T3" s="6">
        <f>averageCompletionTimePorter(Dates!T$8,Dates!T$9,'Day3'!$B3)</f>
        <v>0</v>
      </c>
      <c r="U3" s="6">
        <f>averageCompletionTimePorter(Dates!$C$8,Dates!$T$9,'Day3'!$B3)</f>
        <v>0</v>
      </c>
    </row>
    <row r="4" spans="1:21" x14ac:dyDescent="0.3">
      <c r="A4" s="7"/>
      <c r="B4" s="9" t="s">
        <v>28</v>
      </c>
      <c r="C4" s="6">
        <f>averageCompletionTimePorter(Dates!C$8,Dates!C$9,'Day3'!$B4)</f>
        <v>0</v>
      </c>
      <c r="D4" s="6">
        <f>averageCompletionTimePorter(Dates!D$8,Dates!D$9,'Day3'!$B4)</f>
        <v>0</v>
      </c>
      <c r="E4" s="6">
        <f>averageCompletionTimePorter(Dates!E$8,Dates!E$9,'Day3'!$B4)</f>
        <v>0</v>
      </c>
      <c r="F4" s="6">
        <f>averageCompletionTimePorter(Dates!F$8,Dates!F$9,'Day3'!$B4)</f>
        <v>0</v>
      </c>
      <c r="G4" s="6">
        <f>averageCompletionTimePorter(Dates!G$8,Dates!G$9,'Day3'!$B4)</f>
        <v>0</v>
      </c>
      <c r="H4" s="6">
        <f>averageCompletionTimePorter(Dates!H$8,Dates!H$9,'Day3'!$B4)</f>
        <v>0</v>
      </c>
      <c r="I4" s="6">
        <f>averageCompletionTimePorter(Dates!I$8,Dates!I$9,'Day3'!$B4)</f>
        <v>0</v>
      </c>
      <c r="J4" s="6">
        <f>averageCompletionTimePorter(Dates!J$8,Dates!J$9,'Day3'!$B4)</f>
        <v>0</v>
      </c>
      <c r="K4" s="6">
        <f>averageCompletionTimePorter(Dates!K$8,Dates!K$9,'Day3'!$B4)</f>
        <v>0</v>
      </c>
      <c r="L4" s="6">
        <f>averageCompletionTimePorter(Dates!L$8,Dates!L$9,'Day3'!$B4)</f>
        <v>0</v>
      </c>
      <c r="M4" s="6">
        <f>averageCompletionTimePorter(Dates!M$8,Dates!M$9,'Day3'!$B4)</f>
        <v>0</v>
      </c>
      <c r="N4" s="6">
        <f>averageCompletionTimePorter(Dates!N$8,Dates!N$9,'Day3'!$B4)</f>
        <v>0</v>
      </c>
      <c r="O4" s="6">
        <f>averageCompletionTimePorter(Dates!O$8,Dates!O$9,'Day3'!$B4)</f>
        <v>0</v>
      </c>
      <c r="P4" s="6">
        <f>averageCompletionTimePorter(Dates!P$8,Dates!P$9,'Day3'!$B4)</f>
        <v>0</v>
      </c>
      <c r="Q4" s="6">
        <f>averageCompletionTimePorter(Dates!Q$8,Dates!Q$9,'Day3'!$B4)</f>
        <v>0</v>
      </c>
      <c r="R4" s="6">
        <f>averageCompletionTimePorter(Dates!R$8,Dates!R$9,'Day3'!$B4)</f>
        <v>0</v>
      </c>
      <c r="S4" s="6">
        <f>averageCompletionTimePorter(Dates!S$8,Dates!S$9,'Day3'!$B4)</f>
        <v>0</v>
      </c>
      <c r="T4" s="6">
        <f>averageCompletionTimePorter(Dates!T$8,Dates!T$9,'Day3'!$B4)</f>
        <v>0</v>
      </c>
      <c r="U4" s="6">
        <f>averageCompletionTimePorter(Dates!$C$8,Dates!$T$9,'Day3'!$B4)</f>
        <v>0</v>
      </c>
    </row>
    <row r="5" spans="1:21" x14ac:dyDescent="0.3">
      <c r="A5" s="7"/>
      <c r="B5" s="9" t="s">
        <v>29</v>
      </c>
      <c r="C5" s="6">
        <f>averageCompletionTimePorter(Dates!C$8,Dates!C$9,'Day3'!$B5)</f>
        <v>0</v>
      </c>
      <c r="D5" s="6">
        <f>averageCompletionTimePorter(Dates!D$8,Dates!D$9,'Day3'!$B5)</f>
        <v>0</v>
      </c>
      <c r="E5" s="6">
        <f>averageCompletionTimePorter(Dates!E$8,Dates!E$9,'Day3'!$B5)</f>
        <v>0</v>
      </c>
      <c r="F5" s="6">
        <f>averageCompletionTimePorter(Dates!F$8,Dates!F$9,'Day3'!$B5)</f>
        <v>0</v>
      </c>
      <c r="G5" s="6">
        <f>averageCompletionTimePorter(Dates!G$8,Dates!G$9,'Day3'!$B5)</f>
        <v>0</v>
      </c>
      <c r="H5" s="6">
        <f>averageCompletionTimePorter(Dates!H$8,Dates!H$9,'Day3'!$B5)</f>
        <v>0</v>
      </c>
      <c r="I5" s="6">
        <f>averageCompletionTimePorter(Dates!I$8,Dates!I$9,'Day3'!$B5)</f>
        <v>0</v>
      </c>
      <c r="J5" s="6">
        <f>averageCompletionTimePorter(Dates!J$8,Dates!J$9,'Day3'!$B5)</f>
        <v>0</v>
      </c>
      <c r="K5" s="6">
        <f>averageCompletionTimePorter(Dates!K$8,Dates!K$9,'Day3'!$B5)</f>
        <v>0</v>
      </c>
      <c r="L5" s="6">
        <f>averageCompletionTimePorter(Dates!L$8,Dates!L$9,'Day3'!$B5)</f>
        <v>0</v>
      </c>
      <c r="M5" s="6">
        <f>averageCompletionTimePorter(Dates!M$8,Dates!M$9,'Day3'!$B5)</f>
        <v>0</v>
      </c>
      <c r="N5" s="6">
        <f>averageCompletionTimePorter(Dates!N$8,Dates!N$9,'Day3'!$B5)</f>
        <v>0</v>
      </c>
      <c r="O5" s="6">
        <f>averageCompletionTimePorter(Dates!O$8,Dates!O$9,'Day3'!$B5)</f>
        <v>0</v>
      </c>
      <c r="P5" s="6">
        <f>averageCompletionTimePorter(Dates!P$8,Dates!P$9,'Day3'!$B5)</f>
        <v>0</v>
      </c>
      <c r="Q5" s="6">
        <f>averageCompletionTimePorter(Dates!Q$8,Dates!Q$9,'Day3'!$B5)</f>
        <v>0</v>
      </c>
      <c r="R5" s="6">
        <f>averageCompletionTimePorter(Dates!R$8,Dates!R$9,'Day3'!$B5)</f>
        <v>0</v>
      </c>
      <c r="S5" s="6">
        <f>averageCompletionTimePorter(Dates!S$8,Dates!S$9,'Day3'!$B5)</f>
        <v>0</v>
      </c>
      <c r="T5" s="6">
        <f>averageCompletionTimePorter(Dates!T$8,Dates!T$9,'Day3'!$B5)</f>
        <v>0</v>
      </c>
      <c r="U5" s="6">
        <f>averageCompletionTimePorter(Dates!$C$8,Dates!$T$9,'Day3'!$B5)</f>
        <v>0</v>
      </c>
    </row>
    <row r="6" spans="1:21" x14ac:dyDescent="0.3">
      <c r="A6" s="7"/>
      <c r="B6" s="9" t="s">
        <v>30</v>
      </c>
      <c r="C6" s="6">
        <f>averageCompletionTimePorter(Dates!C$8,Dates!C$9,'Day3'!$B6)</f>
        <v>0</v>
      </c>
      <c r="D6" s="6">
        <f>averageCompletionTimePorter(Dates!D$8,Dates!D$9,'Day3'!$B6)</f>
        <v>0</v>
      </c>
      <c r="E6" s="6">
        <f>averageCompletionTimePorter(Dates!E$8,Dates!E$9,'Day3'!$B6)</f>
        <v>0</v>
      </c>
      <c r="F6" s="6">
        <f>averageCompletionTimePorter(Dates!F$8,Dates!F$9,'Day3'!$B6)</f>
        <v>0</v>
      </c>
      <c r="G6" s="6">
        <f>averageCompletionTimePorter(Dates!G$8,Dates!G$9,'Day3'!$B6)</f>
        <v>0</v>
      </c>
      <c r="H6" s="6">
        <f>averageCompletionTimePorter(Dates!H$8,Dates!H$9,'Day3'!$B6)</f>
        <v>0</v>
      </c>
      <c r="I6" s="6">
        <f>averageCompletionTimePorter(Dates!I$8,Dates!I$9,'Day3'!$B6)</f>
        <v>0</v>
      </c>
      <c r="J6" s="6">
        <f>averageCompletionTimePorter(Dates!J$8,Dates!J$9,'Day3'!$B6)</f>
        <v>0</v>
      </c>
      <c r="K6" s="6">
        <f>averageCompletionTimePorter(Dates!K$8,Dates!K$9,'Day3'!$B6)</f>
        <v>0</v>
      </c>
      <c r="L6" s="6">
        <f>averageCompletionTimePorter(Dates!L$8,Dates!L$9,'Day3'!$B6)</f>
        <v>0</v>
      </c>
      <c r="M6" s="6">
        <f>averageCompletionTimePorter(Dates!M$8,Dates!M$9,'Day3'!$B6)</f>
        <v>0</v>
      </c>
      <c r="N6" s="6">
        <f>averageCompletionTimePorter(Dates!N$8,Dates!N$9,'Day3'!$B6)</f>
        <v>0</v>
      </c>
      <c r="O6" s="6">
        <f>averageCompletionTimePorter(Dates!O$8,Dates!O$9,'Day3'!$B6)</f>
        <v>0</v>
      </c>
      <c r="P6" s="6">
        <f>averageCompletionTimePorter(Dates!P$8,Dates!P$9,'Day3'!$B6)</f>
        <v>0</v>
      </c>
      <c r="Q6" s="6">
        <f>averageCompletionTimePorter(Dates!Q$8,Dates!Q$9,'Day3'!$B6)</f>
        <v>0</v>
      </c>
      <c r="R6" s="6">
        <f>averageCompletionTimePorter(Dates!R$8,Dates!R$9,'Day3'!$B6)</f>
        <v>0</v>
      </c>
      <c r="S6" s="6">
        <f>averageCompletionTimePorter(Dates!S$8,Dates!S$9,'Day3'!$B6)</f>
        <v>0</v>
      </c>
      <c r="T6" s="6">
        <f>averageCompletionTimePorter(Dates!T$8,Dates!T$9,'Day3'!$B6)</f>
        <v>0</v>
      </c>
      <c r="U6" s="6">
        <f>averageCompletionTimePorter(Dates!$C$8,Dates!$T$9,'Day3'!$B6)</f>
        <v>0</v>
      </c>
    </row>
    <row r="7" spans="1:21" x14ac:dyDescent="0.3">
      <c r="A7" s="7"/>
      <c r="B7" s="9" t="s">
        <v>31</v>
      </c>
      <c r="C7" s="6">
        <f>averageCompletionTimePorter(Dates!C$8,Dates!C$9,'Day3'!$B7)</f>
        <v>0</v>
      </c>
      <c r="D7" s="6">
        <f>averageCompletionTimePorter(Dates!D$8,Dates!D$9,'Day3'!$B7)</f>
        <v>0</v>
      </c>
      <c r="E7" s="6">
        <f>averageCompletionTimePorter(Dates!E$8,Dates!E$9,'Day3'!$B7)</f>
        <v>0</v>
      </c>
      <c r="F7" s="6">
        <f>averageCompletionTimePorter(Dates!F$8,Dates!F$9,'Day3'!$B7)</f>
        <v>0</v>
      </c>
      <c r="G7" s="6">
        <f>averageCompletionTimePorter(Dates!G$8,Dates!G$9,'Day3'!$B7)</f>
        <v>0</v>
      </c>
      <c r="H7" s="6">
        <f>averageCompletionTimePorter(Dates!H$8,Dates!H$9,'Day3'!$B7)</f>
        <v>0</v>
      </c>
      <c r="I7" s="6">
        <f>averageCompletionTimePorter(Dates!I$8,Dates!I$9,'Day3'!$B7)</f>
        <v>0</v>
      </c>
      <c r="J7" s="6">
        <f>averageCompletionTimePorter(Dates!J$8,Dates!J$9,'Day3'!$B7)</f>
        <v>0</v>
      </c>
      <c r="K7" s="6">
        <f>averageCompletionTimePorter(Dates!K$8,Dates!K$9,'Day3'!$B7)</f>
        <v>0</v>
      </c>
      <c r="L7" s="6">
        <f>averageCompletionTimePorter(Dates!L$8,Dates!L$9,'Day3'!$B7)</f>
        <v>0</v>
      </c>
      <c r="M7" s="6">
        <f>averageCompletionTimePorter(Dates!M$8,Dates!M$9,'Day3'!$B7)</f>
        <v>0</v>
      </c>
      <c r="N7" s="6">
        <f>averageCompletionTimePorter(Dates!N$8,Dates!N$9,'Day3'!$B7)</f>
        <v>0</v>
      </c>
      <c r="O7" s="6">
        <f>averageCompletionTimePorter(Dates!O$8,Dates!O$9,'Day3'!$B7)</f>
        <v>0</v>
      </c>
      <c r="P7" s="6">
        <f>averageCompletionTimePorter(Dates!P$8,Dates!P$9,'Day3'!$B7)</f>
        <v>0</v>
      </c>
      <c r="Q7" s="6">
        <f>averageCompletionTimePorter(Dates!Q$8,Dates!Q$9,'Day3'!$B7)</f>
        <v>0</v>
      </c>
      <c r="R7" s="6">
        <f>averageCompletionTimePorter(Dates!R$8,Dates!R$9,'Day3'!$B7)</f>
        <v>0</v>
      </c>
      <c r="S7" s="6">
        <f>averageCompletionTimePorter(Dates!S$8,Dates!S$9,'Day3'!$B7)</f>
        <v>0</v>
      </c>
      <c r="T7" s="6">
        <f>averageCompletionTimePorter(Dates!T$8,Dates!T$9,'Day3'!$B7)</f>
        <v>0</v>
      </c>
      <c r="U7" s="6">
        <f>averageCompletionTimePorter(Dates!$C$8,Dates!$T$9,'Day3'!$B7)</f>
        <v>0</v>
      </c>
    </row>
    <row r="8" spans="1:21" x14ac:dyDescent="0.3">
      <c r="A8" s="7"/>
      <c r="B8" s="9" t="s">
        <v>32</v>
      </c>
      <c r="C8" s="6">
        <f>averageCompletionTimePorter(Dates!C$8,Dates!C$9,'Day3'!$B8)</f>
        <v>0</v>
      </c>
      <c r="D8" s="6">
        <f>averageCompletionTimePorter(Dates!D$8,Dates!D$9,'Day3'!$B8)</f>
        <v>0</v>
      </c>
      <c r="E8" s="6">
        <f>averageCompletionTimePorter(Dates!E$8,Dates!E$9,'Day3'!$B8)</f>
        <v>0</v>
      </c>
      <c r="F8" s="6">
        <f>averageCompletionTimePorter(Dates!F$8,Dates!F$9,'Day3'!$B8)</f>
        <v>0</v>
      </c>
      <c r="G8" s="6">
        <f>averageCompletionTimePorter(Dates!G$8,Dates!G$9,'Day3'!$B8)</f>
        <v>0</v>
      </c>
      <c r="H8" s="6">
        <f>averageCompletionTimePorter(Dates!H$8,Dates!H$9,'Day3'!$B8)</f>
        <v>0</v>
      </c>
      <c r="I8" s="6">
        <f>averageCompletionTimePorter(Dates!I$8,Dates!I$9,'Day3'!$B8)</f>
        <v>0</v>
      </c>
      <c r="J8" s="6">
        <f>averageCompletionTimePorter(Dates!J$8,Dates!J$9,'Day3'!$B8)</f>
        <v>0</v>
      </c>
      <c r="K8" s="6">
        <f>averageCompletionTimePorter(Dates!K$8,Dates!K$9,'Day3'!$B8)</f>
        <v>0</v>
      </c>
      <c r="L8" s="6">
        <f>averageCompletionTimePorter(Dates!L$8,Dates!L$9,'Day3'!$B8)</f>
        <v>0</v>
      </c>
      <c r="M8" s="6">
        <f>averageCompletionTimePorter(Dates!M$8,Dates!M$9,'Day3'!$B8)</f>
        <v>0</v>
      </c>
      <c r="N8" s="6">
        <f>averageCompletionTimePorter(Dates!N$8,Dates!N$9,'Day3'!$B8)</f>
        <v>0</v>
      </c>
      <c r="O8" s="6">
        <f>averageCompletionTimePorter(Dates!O$8,Dates!O$9,'Day3'!$B8)</f>
        <v>0</v>
      </c>
      <c r="P8" s="6">
        <f>averageCompletionTimePorter(Dates!P$8,Dates!P$9,'Day3'!$B8)</f>
        <v>0</v>
      </c>
      <c r="Q8" s="6">
        <f>averageCompletionTimePorter(Dates!Q$8,Dates!Q$9,'Day3'!$B8)</f>
        <v>0</v>
      </c>
      <c r="R8" s="6">
        <f>averageCompletionTimePorter(Dates!R$8,Dates!R$9,'Day3'!$B8)</f>
        <v>0</v>
      </c>
      <c r="S8" s="6">
        <f>averageCompletionTimePorter(Dates!S$8,Dates!S$9,'Day3'!$B8)</f>
        <v>0</v>
      </c>
      <c r="T8" s="6">
        <f>averageCompletionTimePorter(Dates!T$8,Dates!T$9,'Day3'!$B8)</f>
        <v>0</v>
      </c>
      <c r="U8" s="6">
        <f>averageCompletionTimePorter(Dates!$C$8,Dates!$T$9,'Day3'!$B8)</f>
        <v>0</v>
      </c>
    </row>
    <row r="9" spans="1:21" x14ac:dyDescent="0.3">
      <c r="A9" s="7"/>
      <c r="B9" s="9" t="s">
        <v>33</v>
      </c>
      <c r="C9" s="6">
        <f>averageCompletionTimePorter(Dates!C$8,Dates!C$9,'Day3'!$B9)</f>
        <v>0</v>
      </c>
      <c r="D9" s="6">
        <f>averageCompletionTimePorter(Dates!D$8,Dates!D$9,'Day3'!$B9)</f>
        <v>0</v>
      </c>
      <c r="E9" s="6">
        <f>averageCompletionTimePorter(Dates!E$8,Dates!E$9,'Day3'!$B9)</f>
        <v>0</v>
      </c>
      <c r="F9" s="6">
        <f>averageCompletionTimePorter(Dates!F$8,Dates!F$9,'Day3'!$B9)</f>
        <v>0</v>
      </c>
      <c r="G9" s="6">
        <f>averageCompletionTimePorter(Dates!G$8,Dates!G$9,'Day3'!$B9)</f>
        <v>0</v>
      </c>
      <c r="H9" s="6">
        <f>averageCompletionTimePorter(Dates!H$8,Dates!H$9,'Day3'!$B9)</f>
        <v>0</v>
      </c>
      <c r="I9" s="6">
        <f>averageCompletionTimePorter(Dates!I$8,Dates!I$9,'Day3'!$B9)</f>
        <v>0</v>
      </c>
      <c r="J9" s="6">
        <f>averageCompletionTimePorter(Dates!J$8,Dates!J$9,'Day3'!$B9)</f>
        <v>0</v>
      </c>
      <c r="K9" s="6">
        <f>averageCompletionTimePorter(Dates!K$8,Dates!K$9,'Day3'!$B9)</f>
        <v>0</v>
      </c>
      <c r="L9" s="6">
        <f>averageCompletionTimePorter(Dates!L$8,Dates!L$9,'Day3'!$B9)</f>
        <v>0</v>
      </c>
      <c r="M9" s="6">
        <f>averageCompletionTimePorter(Dates!M$8,Dates!M$9,'Day3'!$B9)</f>
        <v>0</v>
      </c>
      <c r="N9" s="6">
        <f>averageCompletionTimePorter(Dates!N$8,Dates!N$9,'Day3'!$B9)</f>
        <v>0</v>
      </c>
      <c r="O9" s="6">
        <f>averageCompletionTimePorter(Dates!O$8,Dates!O$9,'Day3'!$B9)</f>
        <v>0</v>
      </c>
      <c r="P9" s="6">
        <f>averageCompletionTimePorter(Dates!P$8,Dates!P$9,'Day3'!$B9)</f>
        <v>0</v>
      </c>
      <c r="Q9" s="6">
        <f>averageCompletionTimePorter(Dates!Q$8,Dates!Q$9,'Day3'!$B9)</f>
        <v>0</v>
      </c>
      <c r="R9" s="6">
        <f>averageCompletionTimePorter(Dates!R$8,Dates!R$9,'Day3'!$B9)</f>
        <v>0</v>
      </c>
      <c r="S9" s="6">
        <f>averageCompletionTimePorter(Dates!S$8,Dates!S$9,'Day3'!$B9)</f>
        <v>0</v>
      </c>
      <c r="T9" s="6">
        <f>averageCompletionTimePorter(Dates!T$8,Dates!T$9,'Day3'!$B9)</f>
        <v>0</v>
      </c>
      <c r="U9" s="6">
        <f>averageCompletionTimePorter(Dates!$C$8,Dates!$T$9,'Day3'!$B9)</f>
        <v>0</v>
      </c>
    </row>
    <row r="10" spans="1:21" x14ac:dyDescent="0.3">
      <c r="A10" s="7"/>
      <c r="B10" s="9" t="s">
        <v>34</v>
      </c>
      <c r="C10" s="6">
        <f>averageCompletionTimePorter(Dates!C$8,Dates!C$9,'Day3'!$B10)</f>
        <v>0</v>
      </c>
      <c r="D10" s="6">
        <f>averageCompletionTimePorter(Dates!D$8,Dates!D$9,'Day3'!$B10)</f>
        <v>0</v>
      </c>
      <c r="E10" s="6">
        <f>averageCompletionTimePorter(Dates!E$8,Dates!E$9,'Day3'!$B10)</f>
        <v>0</v>
      </c>
      <c r="F10" s="6">
        <f>averageCompletionTimePorter(Dates!F$8,Dates!F$9,'Day3'!$B10)</f>
        <v>0</v>
      </c>
      <c r="G10" s="6">
        <f>averageCompletionTimePorter(Dates!G$8,Dates!G$9,'Day3'!$B10)</f>
        <v>0</v>
      </c>
      <c r="H10" s="6">
        <f>averageCompletionTimePorter(Dates!H$8,Dates!H$9,'Day3'!$B10)</f>
        <v>0</v>
      </c>
      <c r="I10" s="6">
        <f>averageCompletionTimePorter(Dates!I$8,Dates!I$9,'Day3'!$B10)</f>
        <v>0</v>
      </c>
      <c r="J10" s="6">
        <f>averageCompletionTimePorter(Dates!J$8,Dates!J$9,'Day3'!$B10)</f>
        <v>0</v>
      </c>
      <c r="K10" s="6">
        <f>averageCompletionTimePorter(Dates!K$8,Dates!K$9,'Day3'!$B10)</f>
        <v>0</v>
      </c>
      <c r="L10" s="6">
        <f>averageCompletionTimePorter(Dates!L$8,Dates!L$9,'Day3'!$B10)</f>
        <v>0</v>
      </c>
      <c r="M10" s="6">
        <f>averageCompletionTimePorter(Dates!M$8,Dates!M$9,'Day3'!$B10)</f>
        <v>0</v>
      </c>
      <c r="N10" s="6">
        <f>averageCompletionTimePorter(Dates!N$8,Dates!N$9,'Day3'!$B10)</f>
        <v>0</v>
      </c>
      <c r="O10" s="6">
        <f>averageCompletionTimePorter(Dates!O$8,Dates!O$9,'Day3'!$B10)</f>
        <v>0</v>
      </c>
      <c r="P10" s="6">
        <f>averageCompletionTimePorter(Dates!P$8,Dates!P$9,'Day3'!$B10)</f>
        <v>0</v>
      </c>
      <c r="Q10" s="6">
        <f>averageCompletionTimePorter(Dates!Q$8,Dates!Q$9,'Day3'!$B10)</f>
        <v>0</v>
      </c>
      <c r="R10" s="6">
        <f>averageCompletionTimePorter(Dates!R$8,Dates!R$9,'Day3'!$B10)</f>
        <v>0</v>
      </c>
      <c r="S10" s="6">
        <f>averageCompletionTimePorter(Dates!S$8,Dates!S$9,'Day3'!$B10)</f>
        <v>0</v>
      </c>
      <c r="T10" s="6">
        <f>averageCompletionTimePorter(Dates!T$8,Dates!T$9,'Day3'!$B10)</f>
        <v>0</v>
      </c>
      <c r="U10" s="6">
        <f>averageCompletionTimePorter(Dates!$C$8,Dates!$T$9,'Day3'!$B10)</f>
        <v>0</v>
      </c>
    </row>
    <row r="11" spans="1:21" x14ac:dyDescent="0.3">
      <c r="A11" s="7"/>
      <c r="B11" s="9" t="s">
        <v>35</v>
      </c>
      <c r="C11" s="6">
        <f>averageCompletionTimePorter(Dates!C$8,Dates!C$9,'Day3'!$B11)</f>
        <v>0</v>
      </c>
      <c r="D11" s="6">
        <f>averageCompletionTimePorter(Dates!D$8,Dates!D$9,'Day3'!$B11)</f>
        <v>0</v>
      </c>
      <c r="E11" s="6">
        <f>averageCompletionTimePorter(Dates!E$8,Dates!E$9,'Day3'!$B11)</f>
        <v>0</v>
      </c>
      <c r="F11" s="6">
        <f>averageCompletionTimePorter(Dates!F$8,Dates!F$9,'Day3'!$B11)</f>
        <v>0</v>
      </c>
      <c r="G11" s="6">
        <f>averageCompletionTimePorter(Dates!G$8,Dates!G$9,'Day3'!$B11)</f>
        <v>0</v>
      </c>
      <c r="H11" s="6">
        <f>averageCompletionTimePorter(Dates!H$8,Dates!H$9,'Day3'!$B11)</f>
        <v>0</v>
      </c>
      <c r="I11" s="6">
        <f>averageCompletionTimePorter(Dates!I$8,Dates!I$9,'Day3'!$B11)</f>
        <v>0</v>
      </c>
      <c r="J11" s="6">
        <f>averageCompletionTimePorter(Dates!J$8,Dates!J$9,'Day3'!$B11)</f>
        <v>0</v>
      </c>
      <c r="K11" s="6">
        <f>averageCompletionTimePorter(Dates!K$8,Dates!K$9,'Day3'!$B11)</f>
        <v>0</v>
      </c>
      <c r="L11" s="6">
        <f>averageCompletionTimePorter(Dates!L$8,Dates!L$9,'Day3'!$B11)</f>
        <v>0</v>
      </c>
      <c r="M11" s="6">
        <f>averageCompletionTimePorter(Dates!M$8,Dates!M$9,'Day3'!$B11)</f>
        <v>0</v>
      </c>
      <c r="N11" s="6">
        <f>averageCompletionTimePorter(Dates!N$8,Dates!N$9,'Day3'!$B11)</f>
        <v>0</v>
      </c>
      <c r="O11" s="6">
        <f>averageCompletionTimePorter(Dates!O$8,Dates!O$9,'Day3'!$B11)</f>
        <v>0</v>
      </c>
      <c r="P11" s="6">
        <f>averageCompletionTimePorter(Dates!P$8,Dates!P$9,'Day3'!$B11)</f>
        <v>0</v>
      </c>
      <c r="Q11" s="6">
        <f>averageCompletionTimePorter(Dates!Q$8,Dates!Q$9,'Day3'!$B11)</f>
        <v>0</v>
      </c>
      <c r="R11" s="6">
        <f>averageCompletionTimePorter(Dates!R$8,Dates!R$9,'Day3'!$B11)</f>
        <v>0</v>
      </c>
      <c r="S11" s="6">
        <f>averageCompletionTimePorter(Dates!S$8,Dates!S$9,'Day3'!$B11)</f>
        <v>0</v>
      </c>
      <c r="T11" s="6">
        <f>averageCompletionTimePorter(Dates!T$8,Dates!T$9,'Day3'!$B11)</f>
        <v>0</v>
      </c>
      <c r="U11" s="6">
        <f>averageCompletionTimePorter(Dates!$C$8,Dates!$T$9,'Day3'!$B11)</f>
        <v>0</v>
      </c>
    </row>
    <row r="12" spans="1:21" x14ac:dyDescent="0.3">
      <c r="A12" s="7"/>
      <c r="B12" s="9" t="s">
        <v>36</v>
      </c>
      <c r="C12" s="6">
        <f>averageCompletionTimePorter(Dates!C$8,Dates!C$9,'Day3'!$B12)</f>
        <v>0</v>
      </c>
      <c r="D12" s="6">
        <f>averageCompletionTimePorter(Dates!D$8,Dates!D$9,'Day3'!$B12)</f>
        <v>0</v>
      </c>
      <c r="E12" s="6">
        <f>averageCompletionTimePorter(Dates!E$8,Dates!E$9,'Day3'!$B12)</f>
        <v>0</v>
      </c>
      <c r="F12" s="6">
        <f>averageCompletionTimePorter(Dates!F$8,Dates!F$9,'Day3'!$B12)</f>
        <v>0</v>
      </c>
      <c r="G12" s="6">
        <f>averageCompletionTimePorter(Dates!G$8,Dates!G$9,'Day3'!$B12)</f>
        <v>0</v>
      </c>
      <c r="H12" s="6">
        <f>averageCompletionTimePorter(Dates!H$8,Dates!H$9,'Day3'!$B12)</f>
        <v>0</v>
      </c>
      <c r="I12" s="6">
        <f>averageCompletionTimePorter(Dates!I$8,Dates!I$9,'Day3'!$B12)</f>
        <v>0</v>
      </c>
      <c r="J12" s="6">
        <f>averageCompletionTimePorter(Dates!J$8,Dates!J$9,'Day3'!$B12)</f>
        <v>0</v>
      </c>
      <c r="K12" s="6">
        <f>averageCompletionTimePorter(Dates!K$8,Dates!K$9,'Day3'!$B12)</f>
        <v>0</v>
      </c>
      <c r="L12" s="6">
        <f>averageCompletionTimePorter(Dates!L$8,Dates!L$9,'Day3'!$B12)</f>
        <v>0</v>
      </c>
      <c r="M12" s="6">
        <f>averageCompletionTimePorter(Dates!M$8,Dates!M$9,'Day3'!$B12)</f>
        <v>0</v>
      </c>
      <c r="N12" s="6">
        <f>averageCompletionTimePorter(Dates!N$8,Dates!N$9,'Day3'!$B12)</f>
        <v>0</v>
      </c>
      <c r="O12" s="6">
        <f>averageCompletionTimePorter(Dates!O$8,Dates!O$9,'Day3'!$B12)</f>
        <v>0</v>
      </c>
      <c r="P12" s="6">
        <f>averageCompletionTimePorter(Dates!P$8,Dates!P$9,'Day3'!$B12)</f>
        <v>0</v>
      </c>
      <c r="Q12" s="6">
        <f>averageCompletionTimePorter(Dates!Q$8,Dates!Q$9,'Day3'!$B12)</f>
        <v>0</v>
      </c>
      <c r="R12" s="6">
        <f>averageCompletionTimePorter(Dates!R$8,Dates!R$9,'Day3'!$B12)</f>
        <v>0</v>
      </c>
      <c r="S12" s="6">
        <f>averageCompletionTimePorter(Dates!S$8,Dates!S$9,'Day3'!$B12)</f>
        <v>0</v>
      </c>
      <c r="T12" s="6">
        <f>averageCompletionTimePorter(Dates!T$8,Dates!T$9,'Day3'!$B12)</f>
        <v>0</v>
      </c>
      <c r="U12" s="6">
        <f>averageCompletionTimePorter(Dates!$C$8,Dates!$T$9,'Day3'!$B12)</f>
        <v>0</v>
      </c>
    </row>
    <row r="13" spans="1:21" x14ac:dyDescent="0.3">
      <c r="A13" s="7"/>
      <c r="B13" s="9" t="s">
        <v>37</v>
      </c>
      <c r="C13" s="6">
        <f>averageCompletionTimePorter(Dates!C$8,Dates!C$9,'Day3'!$B13)</f>
        <v>0</v>
      </c>
      <c r="D13" s="6">
        <f>averageCompletionTimePorter(Dates!D$8,Dates!D$9,'Day3'!$B13)</f>
        <v>0</v>
      </c>
      <c r="E13" s="6">
        <f>averageCompletionTimePorter(Dates!E$8,Dates!E$9,'Day3'!$B13)</f>
        <v>0</v>
      </c>
      <c r="F13" s="6">
        <f>averageCompletionTimePorter(Dates!F$8,Dates!F$9,'Day3'!$B13)</f>
        <v>0</v>
      </c>
      <c r="G13" s="6">
        <f>averageCompletionTimePorter(Dates!G$8,Dates!G$9,'Day3'!$B13)</f>
        <v>0</v>
      </c>
      <c r="H13" s="6">
        <f>averageCompletionTimePorter(Dates!H$8,Dates!H$9,'Day3'!$B13)</f>
        <v>0</v>
      </c>
      <c r="I13" s="6">
        <f>averageCompletionTimePorter(Dates!I$8,Dates!I$9,'Day3'!$B13)</f>
        <v>0</v>
      </c>
      <c r="J13" s="6">
        <f>averageCompletionTimePorter(Dates!J$8,Dates!J$9,'Day3'!$B13)</f>
        <v>0</v>
      </c>
      <c r="K13" s="6">
        <f>averageCompletionTimePorter(Dates!K$8,Dates!K$9,'Day3'!$B13)</f>
        <v>0</v>
      </c>
      <c r="L13" s="6">
        <f>averageCompletionTimePorter(Dates!L$8,Dates!L$9,'Day3'!$B13)</f>
        <v>0</v>
      </c>
      <c r="M13" s="6">
        <f>averageCompletionTimePorter(Dates!M$8,Dates!M$9,'Day3'!$B13)</f>
        <v>0</v>
      </c>
      <c r="N13" s="6">
        <f>averageCompletionTimePorter(Dates!N$8,Dates!N$9,'Day3'!$B13)</f>
        <v>0</v>
      </c>
      <c r="O13" s="6">
        <f>averageCompletionTimePorter(Dates!O$8,Dates!O$9,'Day3'!$B13)</f>
        <v>0</v>
      </c>
      <c r="P13" s="6">
        <f>averageCompletionTimePorter(Dates!P$8,Dates!P$9,'Day3'!$B13)</f>
        <v>0</v>
      </c>
      <c r="Q13" s="6">
        <f>averageCompletionTimePorter(Dates!Q$8,Dates!Q$9,'Day3'!$B13)</f>
        <v>0</v>
      </c>
      <c r="R13" s="6">
        <f>averageCompletionTimePorter(Dates!R$8,Dates!R$9,'Day3'!$B13)</f>
        <v>0</v>
      </c>
      <c r="S13" s="6">
        <f>averageCompletionTimePorter(Dates!S$8,Dates!S$9,'Day3'!$B13)</f>
        <v>0</v>
      </c>
      <c r="T13" s="6">
        <f>averageCompletionTimePorter(Dates!T$8,Dates!T$9,'Day3'!$B13)</f>
        <v>0</v>
      </c>
      <c r="U13" s="6">
        <f>averageCompletionTimePorter(Dates!$C$8,Dates!$T$9,'Day3'!$B13)</f>
        <v>0</v>
      </c>
    </row>
    <row r="14" spans="1:21" x14ac:dyDescent="0.3">
      <c r="B14" s="9" t="s">
        <v>13</v>
      </c>
      <c r="C14" s="6">
        <f>averageCompletionTimePorter(Dates!C$8,Dates!C$9,'Day3'!$B14)</f>
        <v>0</v>
      </c>
      <c r="D14" s="6">
        <f>averageCompletionTimePorter(Dates!D$8,Dates!D$9,'Day3'!$B14)</f>
        <v>0</v>
      </c>
      <c r="E14" s="6">
        <f>averageCompletionTimePorter(Dates!E$8,Dates!E$9,'Day3'!$B14)</f>
        <v>0</v>
      </c>
      <c r="F14" s="6">
        <f>averageCompletionTimePorter(Dates!F$8,Dates!F$9,'Day3'!$B14)</f>
        <v>0</v>
      </c>
      <c r="G14" s="6">
        <f>averageCompletionTimePorter(Dates!G$8,Dates!G$9,'Day3'!$B14)</f>
        <v>0</v>
      </c>
      <c r="H14" s="6">
        <f>averageCompletionTimePorter(Dates!H$8,Dates!H$9,'Day3'!$B14)</f>
        <v>0</v>
      </c>
      <c r="I14" s="6">
        <f>averageCompletionTimePorter(Dates!I$8,Dates!I$9,'Day3'!$B14)</f>
        <v>0</v>
      </c>
      <c r="J14" s="6">
        <f>averageCompletionTimePorter(Dates!J$8,Dates!J$9,'Day3'!$B14)</f>
        <v>0</v>
      </c>
      <c r="K14" s="6">
        <f>averageCompletionTimePorter(Dates!K$8,Dates!K$9,'Day3'!$B14)</f>
        <v>0</v>
      </c>
      <c r="L14" s="6">
        <f>averageCompletionTimePorter(Dates!L$8,Dates!L$9,'Day3'!$B14)</f>
        <v>0</v>
      </c>
      <c r="M14" s="6">
        <f>averageCompletionTimePorter(Dates!M$8,Dates!M$9,'Day3'!$B14)</f>
        <v>0</v>
      </c>
      <c r="N14" s="6">
        <f>averageCompletionTimePorter(Dates!N$8,Dates!N$9,'Day3'!$B14)</f>
        <v>0</v>
      </c>
      <c r="O14" s="6">
        <f>averageCompletionTimePorter(Dates!O$8,Dates!O$9,'Day3'!$B14)</f>
        <v>0</v>
      </c>
      <c r="P14" s="6">
        <f>averageCompletionTimePorter(Dates!P$8,Dates!P$9,'Day3'!$B14)</f>
        <v>0</v>
      </c>
      <c r="Q14" s="6">
        <f>averageCompletionTimePorter(Dates!Q$8,Dates!Q$9,'Day3'!$B14)</f>
        <v>0</v>
      </c>
      <c r="R14" s="6">
        <f>averageCompletionTimePorter(Dates!R$8,Dates!R$9,'Day3'!$B14)</f>
        <v>0</v>
      </c>
      <c r="S14" s="6">
        <f>averageCompletionTimePorter(Dates!S$8,Dates!S$9,'Day3'!$B14)</f>
        <v>0</v>
      </c>
      <c r="T14" s="6">
        <f>averageCompletionTimePorter(Dates!T$8,Dates!T$9,'Day3'!$B14)</f>
        <v>0</v>
      </c>
      <c r="U14" s="6">
        <f>averageCompletionTimePorter(Dates!$C$8,Dates!$T$9,'Day3'!$B14)</f>
        <v>0</v>
      </c>
    </row>
    <row r="15" spans="1:21" x14ac:dyDescent="0.3">
      <c r="B15" s="9" t="s">
        <v>14</v>
      </c>
      <c r="C15" s="6">
        <f>averageCompletionTimePorter(Dates!C$8,Dates!C$9,'Day3'!$B15)</f>
        <v>0</v>
      </c>
      <c r="D15" s="6">
        <f>averageCompletionTimePorter(Dates!D$8,Dates!D$9,'Day3'!$B15)</f>
        <v>0</v>
      </c>
      <c r="E15" s="6">
        <f>averageCompletionTimePorter(Dates!E$8,Dates!E$9,'Day3'!$B15)</f>
        <v>0</v>
      </c>
      <c r="F15" s="6">
        <f>averageCompletionTimePorter(Dates!F$8,Dates!F$9,'Day3'!$B15)</f>
        <v>0</v>
      </c>
      <c r="G15" s="6">
        <f>averageCompletionTimePorter(Dates!G$8,Dates!G$9,'Day3'!$B15)</f>
        <v>0</v>
      </c>
      <c r="H15" s="6">
        <f>averageCompletionTimePorter(Dates!H$8,Dates!H$9,'Day3'!$B15)</f>
        <v>0</v>
      </c>
      <c r="I15" s="6">
        <f>averageCompletionTimePorter(Dates!I$8,Dates!I$9,'Day3'!$B15)</f>
        <v>0</v>
      </c>
      <c r="J15" s="6">
        <f>averageCompletionTimePorter(Dates!J$8,Dates!J$9,'Day3'!$B15)</f>
        <v>0</v>
      </c>
      <c r="K15" s="6">
        <f>averageCompletionTimePorter(Dates!K$8,Dates!K$9,'Day3'!$B15)</f>
        <v>0</v>
      </c>
      <c r="L15" s="6">
        <f>averageCompletionTimePorter(Dates!L$8,Dates!L$9,'Day3'!$B15)</f>
        <v>0</v>
      </c>
      <c r="M15" s="6">
        <f>averageCompletionTimePorter(Dates!M$8,Dates!M$9,'Day3'!$B15)</f>
        <v>0</v>
      </c>
      <c r="N15" s="6">
        <f>averageCompletionTimePorter(Dates!N$8,Dates!N$9,'Day3'!$B15)</f>
        <v>0</v>
      </c>
      <c r="O15" s="6">
        <f>averageCompletionTimePorter(Dates!O$8,Dates!O$9,'Day3'!$B15)</f>
        <v>0</v>
      </c>
      <c r="P15" s="6">
        <f>averageCompletionTimePorter(Dates!P$8,Dates!P$9,'Day3'!$B15)</f>
        <v>0</v>
      </c>
      <c r="Q15" s="6">
        <f>averageCompletionTimePorter(Dates!Q$8,Dates!Q$9,'Day3'!$B15)</f>
        <v>0</v>
      </c>
      <c r="R15" s="6">
        <f>averageCompletionTimePorter(Dates!R$8,Dates!R$9,'Day3'!$B15)</f>
        <v>0</v>
      </c>
      <c r="S15" s="6">
        <f>averageCompletionTimePorter(Dates!S$8,Dates!S$9,'Day3'!$B15)</f>
        <v>0</v>
      </c>
      <c r="T15" s="6">
        <f>averageCompletionTimePorter(Dates!T$8,Dates!T$9,'Day3'!$B15)</f>
        <v>0</v>
      </c>
      <c r="U15" s="6">
        <f>averageCompletionTimePorter(Dates!$C$8,Dates!$T$9,'Day3'!$B15)</f>
        <v>0</v>
      </c>
    </row>
    <row r="16" spans="1:21" x14ac:dyDescent="0.3">
      <c r="B16" s="9" t="s">
        <v>15</v>
      </c>
      <c r="C16" s="6">
        <f>averageCompletionTimePorter(Dates!C$8,Dates!C$9,'Day3'!$B16)</f>
        <v>0</v>
      </c>
      <c r="D16" s="6">
        <f>averageCompletionTimePorter(Dates!D$8,Dates!D$9,'Day3'!$B16)</f>
        <v>0</v>
      </c>
      <c r="E16" s="6">
        <f>averageCompletionTimePorter(Dates!E$8,Dates!E$9,'Day3'!$B16)</f>
        <v>0</v>
      </c>
      <c r="F16" s="6">
        <f>averageCompletionTimePorter(Dates!F$8,Dates!F$9,'Day3'!$B16)</f>
        <v>0</v>
      </c>
      <c r="G16" s="6">
        <f>averageCompletionTimePorter(Dates!G$8,Dates!G$9,'Day3'!$B16)</f>
        <v>0</v>
      </c>
      <c r="H16" s="6">
        <f>averageCompletionTimePorter(Dates!H$8,Dates!H$9,'Day3'!$B16)</f>
        <v>0</v>
      </c>
      <c r="I16" s="6">
        <f>averageCompletionTimePorter(Dates!I$8,Dates!I$9,'Day3'!$B16)</f>
        <v>0</v>
      </c>
      <c r="J16" s="6">
        <f>averageCompletionTimePorter(Dates!J$8,Dates!J$9,'Day3'!$B16)</f>
        <v>0</v>
      </c>
      <c r="K16" s="6">
        <f>averageCompletionTimePorter(Dates!K$8,Dates!K$9,'Day3'!$B16)</f>
        <v>0</v>
      </c>
      <c r="L16" s="6">
        <f>averageCompletionTimePorter(Dates!L$8,Dates!L$9,'Day3'!$B16)</f>
        <v>0</v>
      </c>
      <c r="M16" s="6">
        <f>averageCompletionTimePorter(Dates!M$8,Dates!M$9,'Day3'!$B16)</f>
        <v>0</v>
      </c>
      <c r="N16" s="6">
        <f>averageCompletionTimePorter(Dates!N$8,Dates!N$9,'Day3'!$B16)</f>
        <v>0</v>
      </c>
      <c r="O16" s="6">
        <f>averageCompletionTimePorter(Dates!O$8,Dates!O$9,'Day3'!$B16)</f>
        <v>0</v>
      </c>
      <c r="P16" s="6">
        <f>averageCompletionTimePorter(Dates!P$8,Dates!P$9,'Day3'!$B16)</f>
        <v>0</v>
      </c>
      <c r="Q16" s="6">
        <f>averageCompletionTimePorter(Dates!Q$8,Dates!Q$9,'Day3'!$B16)</f>
        <v>0</v>
      </c>
      <c r="R16" s="6">
        <f>averageCompletionTimePorter(Dates!R$8,Dates!R$9,'Day3'!$B16)</f>
        <v>0</v>
      </c>
      <c r="S16" s="6">
        <f>averageCompletionTimePorter(Dates!S$8,Dates!S$9,'Day3'!$B16)</f>
        <v>0</v>
      </c>
      <c r="T16" s="6">
        <f>averageCompletionTimePorter(Dates!T$8,Dates!T$9,'Day3'!$B16)</f>
        <v>0</v>
      </c>
      <c r="U16" s="6">
        <f>averageCompletionTimePorter(Dates!$C$8,Dates!$T$9,'Day3'!$B16)</f>
        <v>0</v>
      </c>
    </row>
    <row r="17" spans="2:21" x14ac:dyDescent="0.3">
      <c r="B17" s="9" t="s">
        <v>16</v>
      </c>
      <c r="C17" s="6">
        <f>averageCompletionTimePorter(Dates!C$8,Dates!C$9,'Day3'!$B17)</f>
        <v>0</v>
      </c>
      <c r="D17" s="6">
        <f>averageCompletionTimePorter(Dates!D$8,Dates!D$9,'Day3'!$B17)</f>
        <v>0</v>
      </c>
      <c r="E17" s="6">
        <f>averageCompletionTimePorter(Dates!E$8,Dates!E$9,'Day3'!$B17)</f>
        <v>0</v>
      </c>
      <c r="F17" s="6">
        <f>averageCompletionTimePorter(Dates!F$8,Dates!F$9,'Day3'!$B17)</f>
        <v>0</v>
      </c>
      <c r="G17" s="6">
        <f>averageCompletionTimePorter(Dates!G$8,Dates!G$9,'Day3'!$B17)</f>
        <v>0</v>
      </c>
      <c r="H17" s="6">
        <f>averageCompletionTimePorter(Dates!H$8,Dates!H$9,'Day3'!$B17)</f>
        <v>0</v>
      </c>
      <c r="I17" s="6">
        <f>averageCompletionTimePorter(Dates!I$8,Dates!I$9,'Day3'!$B17)</f>
        <v>0</v>
      </c>
      <c r="J17" s="6">
        <f>averageCompletionTimePorter(Dates!J$8,Dates!J$9,'Day3'!$B17)</f>
        <v>0</v>
      </c>
      <c r="K17" s="6">
        <f>averageCompletionTimePorter(Dates!K$8,Dates!K$9,'Day3'!$B17)</f>
        <v>0</v>
      </c>
      <c r="L17" s="6">
        <f>averageCompletionTimePorter(Dates!L$8,Dates!L$9,'Day3'!$B17)</f>
        <v>0</v>
      </c>
      <c r="M17" s="6">
        <f>averageCompletionTimePorter(Dates!M$8,Dates!M$9,'Day3'!$B17)</f>
        <v>0</v>
      </c>
      <c r="N17" s="6">
        <f>averageCompletionTimePorter(Dates!N$8,Dates!N$9,'Day3'!$B17)</f>
        <v>0</v>
      </c>
      <c r="O17" s="6">
        <f>averageCompletionTimePorter(Dates!O$8,Dates!O$9,'Day3'!$B17)</f>
        <v>0</v>
      </c>
      <c r="P17" s="6">
        <f>averageCompletionTimePorter(Dates!P$8,Dates!P$9,'Day3'!$B17)</f>
        <v>0</v>
      </c>
      <c r="Q17" s="6">
        <f>averageCompletionTimePorter(Dates!Q$8,Dates!Q$9,'Day3'!$B17)</f>
        <v>0</v>
      </c>
      <c r="R17" s="6">
        <f>averageCompletionTimePorter(Dates!R$8,Dates!R$9,'Day3'!$B17)</f>
        <v>0</v>
      </c>
      <c r="S17" s="6">
        <f>averageCompletionTimePorter(Dates!S$8,Dates!S$9,'Day3'!$B17)</f>
        <v>0</v>
      </c>
      <c r="T17" s="6">
        <f>averageCompletionTimePorter(Dates!T$8,Dates!T$9,'Day3'!$B17)</f>
        <v>0</v>
      </c>
      <c r="U17" s="6">
        <f>averageCompletionTimePorter(Dates!$C$8,Dates!$T$9,'Day3'!$B17)</f>
        <v>0</v>
      </c>
    </row>
    <row r="18" spans="2:21" x14ac:dyDescent="0.3">
      <c r="B18" s="9" t="s">
        <v>17</v>
      </c>
      <c r="C18" s="6">
        <f>averageCompletionTimePorter(Dates!C$8,Dates!C$9,'Day3'!$B18)</f>
        <v>0</v>
      </c>
      <c r="D18" s="6">
        <f>averageCompletionTimePorter(Dates!D$8,Dates!D$9,'Day3'!$B18)</f>
        <v>0</v>
      </c>
      <c r="E18" s="6">
        <f>averageCompletionTimePorter(Dates!E$8,Dates!E$9,'Day3'!$B18)</f>
        <v>0</v>
      </c>
      <c r="F18" s="6">
        <f>averageCompletionTimePorter(Dates!F$8,Dates!F$9,'Day3'!$B18)</f>
        <v>0</v>
      </c>
      <c r="G18" s="6">
        <f>averageCompletionTimePorter(Dates!G$8,Dates!G$9,'Day3'!$B18)</f>
        <v>0</v>
      </c>
      <c r="H18" s="6">
        <f>averageCompletionTimePorter(Dates!H$8,Dates!H$9,'Day3'!$B18)</f>
        <v>0</v>
      </c>
      <c r="I18" s="6">
        <f>averageCompletionTimePorter(Dates!I$8,Dates!I$9,'Day3'!$B18)</f>
        <v>0</v>
      </c>
      <c r="J18" s="6">
        <f>averageCompletionTimePorter(Dates!J$8,Dates!J$9,'Day3'!$B18)</f>
        <v>0</v>
      </c>
      <c r="K18" s="6">
        <f>averageCompletionTimePorter(Dates!K$8,Dates!K$9,'Day3'!$B18)</f>
        <v>0</v>
      </c>
      <c r="L18" s="6">
        <f>averageCompletionTimePorter(Dates!L$8,Dates!L$9,'Day3'!$B18)</f>
        <v>0</v>
      </c>
      <c r="M18" s="6">
        <f>averageCompletionTimePorter(Dates!M$8,Dates!M$9,'Day3'!$B18)</f>
        <v>0</v>
      </c>
      <c r="N18" s="6">
        <f>averageCompletionTimePorter(Dates!N$8,Dates!N$9,'Day3'!$B18)</f>
        <v>0</v>
      </c>
      <c r="O18" s="6">
        <f>averageCompletionTimePorter(Dates!O$8,Dates!O$9,'Day3'!$B18)</f>
        <v>0</v>
      </c>
      <c r="P18" s="6">
        <f>averageCompletionTimePorter(Dates!P$8,Dates!P$9,'Day3'!$B18)</f>
        <v>0</v>
      </c>
      <c r="Q18" s="6">
        <f>averageCompletionTimePorter(Dates!Q$8,Dates!Q$9,'Day3'!$B18)</f>
        <v>0</v>
      </c>
      <c r="R18" s="6">
        <f>averageCompletionTimePorter(Dates!R$8,Dates!R$9,'Day3'!$B18)</f>
        <v>0</v>
      </c>
      <c r="S18" s="6">
        <f>averageCompletionTimePorter(Dates!S$8,Dates!S$9,'Day3'!$B18)</f>
        <v>0</v>
      </c>
      <c r="T18" s="6">
        <f>averageCompletionTimePorter(Dates!T$8,Dates!T$9,'Day3'!$B18)</f>
        <v>0</v>
      </c>
      <c r="U18" s="6">
        <f>averageCompletionTimePorter(Dates!$C$8,Dates!$T$9,'Day3'!$B18)</f>
        <v>0</v>
      </c>
    </row>
    <row r="19" spans="2:21" x14ac:dyDescent="0.3">
      <c r="B19" s="9" t="s">
        <v>18</v>
      </c>
      <c r="C19" s="6">
        <f>averageCompletionTimePorter(Dates!C$8,Dates!C$9,'Day3'!$B19)</f>
        <v>0</v>
      </c>
      <c r="D19" s="6">
        <f>averageCompletionTimePorter(Dates!D$8,Dates!D$9,'Day3'!$B19)</f>
        <v>0</v>
      </c>
      <c r="E19" s="6">
        <f>averageCompletionTimePorter(Dates!E$8,Dates!E$9,'Day3'!$B19)</f>
        <v>0</v>
      </c>
      <c r="F19" s="6">
        <f>averageCompletionTimePorter(Dates!F$8,Dates!F$9,'Day3'!$B19)</f>
        <v>0</v>
      </c>
      <c r="G19" s="6">
        <f>averageCompletionTimePorter(Dates!G$8,Dates!G$9,'Day3'!$B19)</f>
        <v>0</v>
      </c>
      <c r="H19" s="6">
        <f>averageCompletionTimePorter(Dates!H$8,Dates!H$9,'Day3'!$B19)</f>
        <v>0</v>
      </c>
      <c r="I19" s="6">
        <f>averageCompletionTimePorter(Dates!I$8,Dates!I$9,'Day3'!$B19)</f>
        <v>0</v>
      </c>
      <c r="J19" s="6">
        <f>averageCompletionTimePorter(Dates!J$8,Dates!J$9,'Day3'!$B19)</f>
        <v>0</v>
      </c>
      <c r="K19" s="6">
        <f>averageCompletionTimePorter(Dates!K$8,Dates!K$9,'Day3'!$B19)</f>
        <v>0</v>
      </c>
      <c r="L19" s="6">
        <f>averageCompletionTimePorter(Dates!L$8,Dates!L$9,'Day3'!$B19)</f>
        <v>0</v>
      </c>
      <c r="M19" s="6">
        <f>averageCompletionTimePorter(Dates!M$8,Dates!M$9,'Day3'!$B19)</f>
        <v>0</v>
      </c>
      <c r="N19" s="6">
        <f>averageCompletionTimePorter(Dates!N$8,Dates!N$9,'Day3'!$B19)</f>
        <v>0</v>
      </c>
      <c r="O19" s="6">
        <f>averageCompletionTimePorter(Dates!O$8,Dates!O$9,'Day3'!$B19)</f>
        <v>0</v>
      </c>
      <c r="P19" s="6">
        <f>averageCompletionTimePorter(Dates!P$8,Dates!P$9,'Day3'!$B19)</f>
        <v>0</v>
      </c>
      <c r="Q19" s="6">
        <f>averageCompletionTimePorter(Dates!Q$8,Dates!Q$9,'Day3'!$B19)</f>
        <v>0</v>
      </c>
      <c r="R19" s="6">
        <f>averageCompletionTimePorter(Dates!R$8,Dates!R$9,'Day3'!$B19)</f>
        <v>0</v>
      </c>
      <c r="S19" s="6">
        <f>averageCompletionTimePorter(Dates!S$8,Dates!S$9,'Day3'!$B19)</f>
        <v>0</v>
      </c>
      <c r="T19" s="6">
        <f>averageCompletionTimePorter(Dates!T$8,Dates!T$9,'Day3'!$B19)</f>
        <v>0</v>
      </c>
      <c r="U19" s="6">
        <f>averageCompletionTimePorter(Dates!$C$8,Dates!$T$9,'Day3'!$B19)</f>
        <v>0</v>
      </c>
    </row>
    <row r="20" spans="2:21" x14ac:dyDescent="0.3">
      <c r="B20" s="9" t="s">
        <v>19</v>
      </c>
      <c r="C20" s="6">
        <f>averageCompletionTimePorter(Dates!C$8,Dates!C$9,'Day3'!$B20)</f>
        <v>0</v>
      </c>
      <c r="D20" s="6">
        <f>averageCompletionTimePorter(Dates!D$8,Dates!D$9,'Day3'!$B20)</f>
        <v>0</v>
      </c>
      <c r="E20" s="6">
        <f>averageCompletionTimePorter(Dates!E$8,Dates!E$9,'Day3'!$B20)</f>
        <v>0</v>
      </c>
      <c r="F20" s="6">
        <f>averageCompletionTimePorter(Dates!F$8,Dates!F$9,'Day3'!$B20)</f>
        <v>0</v>
      </c>
      <c r="G20" s="6">
        <f>averageCompletionTimePorter(Dates!G$8,Dates!G$9,'Day3'!$B20)</f>
        <v>0</v>
      </c>
      <c r="H20" s="6">
        <f>averageCompletionTimePorter(Dates!H$8,Dates!H$9,'Day3'!$B20)</f>
        <v>0</v>
      </c>
      <c r="I20" s="6">
        <f>averageCompletionTimePorter(Dates!I$8,Dates!I$9,'Day3'!$B20)</f>
        <v>0</v>
      </c>
      <c r="J20" s="6">
        <f>averageCompletionTimePorter(Dates!J$8,Dates!J$9,'Day3'!$B20)</f>
        <v>0</v>
      </c>
      <c r="K20" s="6">
        <f>averageCompletionTimePorter(Dates!K$8,Dates!K$9,'Day3'!$B20)</f>
        <v>0</v>
      </c>
      <c r="L20" s="6">
        <f>averageCompletionTimePorter(Dates!L$8,Dates!L$9,'Day3'!$B20)</f>
        <v>0</v>
      </c>
      <c r="M20" s="6">
        <f>averageCompletionTimePorter(Dates!M$8,Dates!M$9,'Day3'!$B20)</f>
        <v>0</v>
      </c>
      <c r="N20" s="6">
        <f>averageCompletionTimePorter(Dates!N$8,Dates!N$9,'Day3'!$B20)</f>
        <v>0</v>
      </c>
      <c r="O20" s="6">
        <f>averageCompletionTimePorter(Dates!O$8,Dates!O$9,'Day3'!$B20)</f>
        <v>0</v>
      </c>
      <c r="P20" s="6">
        <f>averageCompletionTimePorter(Dates!P$8,Dates!P$9,'Day3'!$B20)</f>
        <v>0</v>
      </c>
      <c r="Q20" s="6">
        <f>averageCompletionTimePorter(Dates!Q$8,Dates!Q$9,'Day3'!$B20)</f>
        <v>0</v>
      </c>
      <c r="R20" s="6">
        <f>averageCompletionTimePorter(Dates!R$8,Dates!R$9,'Day3'!$B20)</f>
        <v>0</v>
      </c>
      <c r="S20" s="6">
        <f>averageCompletionTimePorter(Dates!S$8,Dates!S$9,'Day3'!$B20)</f>
        <v>0</v>
      </c>
      <c r="T20" s="6">
        <f>averageCompletionTimePorter(Dates!T$8,Dates!T$9,'Day3'!$B20)</f>
        <v>0</v>
      </c>
      <c r="U20" s="6">
        <f>averageCompletionTimePorter(Dates!$C$8,Dates!$T$9,'Day3'!$B20)</f>
        <v>0</v>
      </c>
    </row>
    <row r="21" spans="2:21" x14ac:dyDescent="0.3">
      <c r="B21" s="9" t="s">
        <v>20</v>
      </c>
      <c r="C21" s="6">
        <f>averageCompletionTimePorter(Dates!C$8,Dates!C$9,'Day3'!$B21)</f>
        <v>0</v>
      </c>
      <c r="D21" s="6">
        <f>averageCompletionTimePorter(Dates!D$8,Dates!D$9,'Day3'!$B21)</f>
        <v>0</v>
      </c>
      <c r="E21" s="6">
        <f>averageCompletionTimePorter(Dates!E$8,Dates!E$9,'Day3'!$B21)</f>
        <v>0</v>
      </c>
      <c r="F21" s="6">
        <f>averageCompletionTimePorter(Dates!F$8,Dates!F$9,'Day3'!$B21)</f>
        <v>0</v>
      </c>
      <c r="G21" s="6">
        <f>averageCompletionTimePorter(Dates!G$8,Dates!G$9,'Day3'!$B21)</f>
        <v>0</v>
      </c>
      <c r="H21" s="6">
        <f>averageCompletionTimePorter(Dates!H$8,Dates!H$9,'Day3'!$B21)</f>
        <v>0</v>
      </c>
      <c r="I21" s="6">
        <f>averageCompletionTimePorter(Dates!I$8,Dates!I$9,'Day3'!$B21)</f>
        <v>0</v>
      </c>
      <c r="J21" s="6">
        <f>averageCompletionTimePorter(Dates!J$8,Dates!J$9,'Day3'!$B21)</f>
        <v>0</v>
      </c>
      <c r="K21" s="6">
        <f>averageCompletionTimePorter(Dates!K$8,Dates!K$9,'Day3'!$B21)</f>
        <v>0</v>
      </c>
      <c r="L21" s="6">
        <f>averageCompletionTimePorter(Dates!L$8,Dates!L$9,'Day3'!$B21)</f>
        <v>0</v>
      </c>
      <c r="M21" s="6">
        <f>averageCompletionTimePorter(Dates!M$8,Dates!M$9,'Day3'!$B21)</f>
        <v>0</v>
      </c>
      <c r="N21" s="6">
        <f>averageCompletionTimePorter(Dates!N$8,Dates!N$9,'Day3'!$B21)</f>
        <v>0</v>
      </c>
      <c r="O21" s="6">
        <f>averageCompletionTimePorter(Dates!O$8,Dates!O$9,'Day3'!$B21)</f>
        <v>0</v>
      </c>
      <c r="P21" s="6">
        <f>averageCompletionTimePorter(Dates!P$8,Dates!P$9,'Day3'!$B21)</f>
        <v>0</v>
      </c>
      <c r="Q21" s="6">
        <f>averageCompletionTimePorter(Dates!Q$8,Dates!Q$9,'Day3'!$B21)</f>
        <v>0</v>
      </c>
      <c r="R21" s="6">
        <f>averageCompletionTimePorter(Dates!R$8,Dates!R$9,'Day3'!$B21)</f>
        <v>0</v>
      </c>
      <c r="S21" s="6">
        <f>averageCompletionTimePorter(Dates!S$8,Dates!S$9,'Day3'!$B21)</f>
        <v>0</v>
      </c>
      <c r="T21" s="6">
        <f>averageCompletionTimePorter(Dates!T$8,Dates!T$9,'Day3'!$B21)</f>
        <v>0</v>
      </c>
      <c r="U21" s="6">
        <f>averageCompletionTimePorter(Dates!$C$8,Dates!$T$9,'Day3'!$B21)</f>
        <v>0</v>
      </c>
    </row>
    <row r="22" spans="2:21" x14ac:dyDescent="0.3">
      <c r="B22" s="9" t="s">
        <v>21</v>
      </c>
      <c r="C22" s="6">
        <f>averageCompletionTimePorter(Dates!C$8,Dates!C$9,'Day3'!$B22)</f>
        <v>0</v>
      </c>
      <c r="D22" s="6">
        <f>averageCompletionTimePorter(Dates!D$8,Dates!D$9,'Day3'!$B22)</f>
        <v>0</v>
      </c>
      <c r="E22" s="6">
        <f>averageCompletionTimePorter(Dates!E$8,Dates!E$9,'Day3'!$B22)</f>
        <v>0</v>
      </c>
      <c r="F22" s="6">
        <f>averageCompletionTimePorter(Dates!F$8,Dates!F$9,'Day3'!$B22)</f>
        <v>0</v>
      </c>
      <c r="G22" s="6">
        <f>averageCompletionTimePorter(Dates!G$8,Dates!G$9,'Day3'!$B22)</f>
        <v>0</v>
      </c>
      <c r="H22" s="6">
        <f>averageCompletionTimePorter(Dates!H$8,Dates!H$9,'Day3'!$B22)</f>
        <v>0</v>
      </c>
      <c r="I22" s="6">
        <f>averageCompletionTimePorter(Dates!I$8,Dates!I$9,'Day3'!$B22)</f>
        <v>0</v>
      </c>
      <c r="J22" s="6">
        <f>averageCompletionTimePorter(Dates!J$8,Dates!J$9,'Day3'!$B22)</f>
        <v>0</v>
      </c>
      <c r="K22" s="6">
        <f>averageCompletionTimePorter(Dates!K$8,Dates!K$9,'Day3'!$B22)</f>
        <v>0</v>
      </c>
      <c r="L22" s="6">
        <f>averageCompletionTimePorter(Dates!L$8,Dates!L$9,'Day3'!$B22)</f>
        <v>0</v>
      </c>
      <c r="M22" s="6">
        <f>averageCompletionTimePorter(Dates!M$8,Dates!M$9,'Day3'!$B22)</f>
        <v>0</v>
      </c>
      <c r="N22" s="6">
        <f>averageCompletionTimePorter(Dates!N$8,Dates!N$9,'Day3'!$B22)</f>
        <v>0</v>
      </c>
      <c r="O22" s="6">
        <f>averageCompletionTimePorter(Dates!O$8,Dates!O$9,'Day3'!$B22)</f>
        <v>0</v>
      </c>
      <c r="P22" s="6">
        <f>averageCompletionTimePorter(Dates!P$8,Dates!P$9,'Day3'!$B22)</f>
        <v>0</v>
      </c>
      <c r="Q22" s="6">
        <f>averageCompletionTimePorter(Dates!Q$8,Dates!Q$9,'Day3'!$B22)</f>
        <v>0</v>
      </c>
      <c r="R22" s="6">
        <f>averageCompletionTimePorter(Dates!R$8,Dates!R$9,'Day3'!$B22)</f>
        <v>0</v>
      </c>
      <c r="S22" s="6">
        <f>averageCompletionTimePorter(Dates!S$8,Dates!S$9,'Day3'!$B22)</f>
        <v>0</v>
      </c>
      <c r="T22" s="6">
        <f>averageCompletionTimePorter(Dates!T$8,Dates!T$9,'Day3'!$B22)</f>
        <v>0</v>
      </c>
      <c r="U22" s="6">
        <f>averageCompletionTimePorter(Dates!$C$8,Dates!$T$9,'Day3'!$B22)</f>
        <v>0</v>
      </c>
    </row>
    <row r="23" spans="2:21" x14ac:dyDescent="0.3">
      <c r="B23" s="9" t="s">
        <v>22</v>
      </c>
      <c r="C23" s="6">
        <f>averageCompletionTimePorter(Dates!C$8,Dates!C$9,'Day3'!$B23)</f>
        <v>0</v>
      </c>
      <c r="D23" s="6">
        <f>averageCompletionTimePorter(Dates!D$8,Dates!D$9,'Day3'!$B23)</f>
        <v>0</v>
      </c>
      <c r="E23" s="6">
        <f>averageCompletionTimePorter(Dates!E$8,Dates!E$9,'Day3'!$B23)</f>
        <v>0</v>
      </c>
      <c r="F23" s="6">
        <f>averageCompletionTimePorter(Dates!F$8,Dates!F$9,'Day3'!$B23)</f>
        <v>0</v>
      </c>
      <c r="G23" s="6">
        <f>averageCompletionTimePorter(Dates!G$8,Dates!G$9,'Day3'!$B23)</f>
        <v>0</v>
      </c>
      <c r="H23" s="6">
        <f>averageCompletionTimePorter(Dates!H$8,Dates!H$9,'Day3'!$B23)</f>
        <v>0</v>
      </c>
      <c r="I23" s="6">
        <f>averageCompletionTimePorter(Dates!I$8,Dates!I$9,'Day3'!$B23)</f>
        <v>0</v>
      </c>
      <c r="J23" s="6">
        <f>averageCompletionTimePorter(Dates!J$8,Dates!J$9,'Day3'!$B23)</f>
        <v>0</v>
      </c>
      <c r="K23" s="6">
        <f>averageCompletionTimePorter(Dates!K$8,Dates!K$9,'Day3'!$B23)</f>
        <v>0</v>
      </c>
      <c r="L23" s="6">
        <f>averageCompletionTimePorter(Dates!L$8,Dates!L$9,'Day3'!$B23)</f>
        <v>0</v>
      </c>
      <c r="M23" s="6">
        <f>averageCompletionTimePorter(Dates!M$8,Dates!M$9,'Day3'!$B23)</f>
        <v>0</v>
      </c>
      <c r="N23" s="6">
        <f>averageCompletionTimePorter(Dates!N$8,Dates!N$9,'Day3'!$B23)</f>
        <v>0</v>
      </c>
      <c r="O23" s="6">
        <f>averageCompletionTimePorter(Dates!O$8,Dates!O$9,'Day3'!$B23)</f>
        <v>0</v>
      </c>
      <c r="P23" s="6">
        <f>averageCompletionTimePorter(Dates!P$8,Dates!P$9,'Day3'!$B23)</f>
        <v>0</v>
      </c>
      <c r="Q23" s="6">
        <f>averageCompletionTimePorter(Dates!Q$8,Dates!Q$9,'Day3'!$B23)</f>
        <v>0</v>
      </c>
      <c r="R23" s="6">
        <f>averageCompletionTimePorter(Dates!R$8,Dates!R$9,'Day3'!$B23)</f>
        <v>0</v>
      </c>
      <c r="S23" s="6">
        <f>averageCompletionTimePorter(Dates!S$8,Dates!S$9,'Day3'!$B23)</f>
        <v>0</v>
      </c>
      <c r="T23" s="6">
        <f>averageCompletionTimePorter(Dates!T$8,Dates!T$9,'Day3'!$B23)</f>
        <v>0</v>
      </c>
      <c r="U23" s="6">
        <f>averageCompletionTimePorter(Dates!$C$8,Dates!$T$9,'Day3'!$B23)</f>
        <v>0</v>
      </c>
    </row>
    <row r="25" spans="2:21" x14ac:dyDescent="0.3">
      <c r="B25" s="8" t="s">
        <v>12</v>
      </c>
      <c r="C25" s="6">
        <f>averageResponseTime(Dates!C8,Dates!C9)</f>
        <v>0</v>
      </c>
      <c r="D25" s="6">
        <f>averageResponseTime(Dates!D8,Dates!D9)</f>
        <v>0</v>
      </c>
      <c r="E25" s="6">
        <f>averageResponseTime(Dates!E8,Dates!E9)</f>
        <v>0</v>
      </c>
      <c r="F25" s="6">
        <f>averageResponseTime(Dates!F8,Dates!F9)</f>
        <v>0</v>
      </c>
      <c r="G25" s="6">
        <f>averageResponseTime(Dates!G8,Dates!G9)</f>
        <v>0</v>
      </c>
      <c r="H25" s="6">
        <f>averageResponseTime(Dates!H8,Dates!H9)</f>
        <v>0</v>
      </c>
      <c r="I25" s="6">
        <f>averageResponseTime(Dates!I8,Dates!I9)</f>
        <v>0</v>
      </c>
      <c r="J25" s="6">
        <f>averageResponseTime(Dates!J8,Dates!J9)</f>
        <v>0</v>
      </c>
      <c r="K25" s="6">
        <f>averageResponseTime(Dates!K8,Dates!K9)</f>
        <v>0</v>
      </c>
      <c r="L25" s="6">
        <f>averageResponseTime(Dates!L8,Dates!L9)</f>
        <v>0</v>
      </c>
      <c r="M25" s="6">
        <f>averageResponseTime(Dates!M8,Dates!M9)</f>
        <v>0</v>
      </c>
      <c r="N25" s="6">
        <f>averageResponseTime(Dates!N8,Dates!N9)</f>
        <v>0</v>
      </c>
      <c r="O25" s="6">
        <f>averageResponseTime(Dates!O8,Dates!O9)</f>
        <v>0</v>
      </c>
      <c r="P25" s="6">
        <f>averageResponseTime(Dates!P8,Dates!P9)</f>
        <v>0</v>
      </c>
      <c r="Q25" s="6">
        <f>averageResponseTime(Dates!Q8,Dates!Q9)</f>
        <v>0</v>
      </c>
      <c r="R25" s="6">
        <f>averageResponseTime(Dates!R8,Dates!R9)</f>
        <v>0</v>
      </c>
      <c r="S25" s="6">
        <f>averageResponseTime(Dates!S8,Dates!S9)</f>
        <v>0</v>
      </c>
      <c r="T25" s="6">
        <f>averageResponseTime(Dates!T8,Dates!T9)</f>
        <v>0</v>
      </c>
      <c r="U25" s="6">
        <f>averageResponseTime(Dates!C8,Dates!T9)</f>
        <v>0</v>
      </c>
    </row>
    <row r="26" spans="2:21" x14ac:dyDescent="0.3">
      <c r="B26" s="8">
        <f>B3</f>
        <v>0</v>
      </c>
      <c r="C26" s="6">
        <f>averageResponseTimePorter(Dates!C$8,Dates!C$9,'Day3'!$B26)</f>
        <v>0</v>
      </c>
      <c r="D26" s="6">
        <f>averageResponseTimePorter(Dates!D$8,Dates!D$9,'Day3'!$B26)</f>
        <v>0</v>
      </c>
      <c r="E26" s="6">
        <f>averageResponseTimePorter(Dates!E$8,Dates!E$9,'Day3'!$B26)</f>
        <v>0</v>
      </c>
      <c r="F26" s="6">
        <f>averageResponseTimePorter(Dates!F$8,Dates!F$9,'Day3'!$B26)</f>
        <v>0</v>
      </c>
      <c r="G26" s="6">
        <f>averageResponseTimePorter(Dates!G$8,Dates!G$9,'Day3'!$B26)</f>
        <v>0</v>
      </c>
      <c r="H26" s="6">
        <f>averageResponseTimePorter(Dates!H$8,Dates!H$9,'Day3'!$B26)</f>
        <v>0</v>
      </c>
      <c r="I26" s="6">
        <f>averageResponseTimePorter(Dates!I$8,Dates!I$9,'Day3'!$B26)</f>
        <v>0</v>
      </c>
      <c r="J26" s="6">
        <f>averageResponseTimePorter(Dates!J$8,Dates!J$9,'Day3'!$B26)</f>
        <v>0</v>
      </c>
      <c r="K26" s="6">
        <f>averageResponseTimePorter(Dates!K$8,Dates!K$9,'Day3'!$B26)</f>
        <v>0</v>
      </c>
      <c r="L26" s="6">
        <f>averageResponseTimePorter(Dates!L$8,Dates!L$9,'Day3'!$B26)</f>
        <v>0</v>
      </c>
      <c r="M26" s="6">
        <f>averageResponseTimePorter(Dates!M$8,Dates!M$9,'Day3'!$B26)</f>
        <v>0</v>
      </c>
      <c r="N26" s="6">
        <f>averageResponseTimePorter(Dates!N$8,Dates!N$9,'Day3'!$B26)</f>
        <v>0</v>
      </c>
      <c r="O26" s="6">
        <f>averageResponseTimePorter(Dates!O$8,Dates!O$9,'Day3'!$B26)</f>
        <v>0</v>
      </c>
      <c r="P26" s="6">
        <f>averageResponseTimePorter(Dates!P$8,Dates!P$9,'Day3'!$B26)</f>
        <v>0</v>
      </c>
      <c r="Q26" s="6">
        <f>averageResponseTimePorter(Dates!Q$8,Dates!Q$9,'Day3'!$B26)</f>
        <v>0</v>
      </c>
      <c r="R26" s="6">
        <f>averageResponseTimePorter(Dates!R$8,Dates!R$9,'Day3'!$B26)</f>
        <v>0</v>
      </c>
      <c r="S26" s="6">
        <f>averageResponseTimePorter(Dates!S$8,Dates!S$9,'Day3'!$B26)</f>
        <v>0</v>
      </c>
      <c r="T26" s="6">
        <f>averageResponseTimePorter(Dates!T$8,Dates!T$9,'Day3'!$B26)</f>
        <v>0</v>
      </c>
      <c r="U26" s="6">
        <f>averageResponseTimePorter(Dates!$C$8,Dates!$T$9,'Day3'!$B3)</f>
        <v>0</v>
      </c>
    </row>
    <row r="27" spans="2:21" x14ac:dyDescent="0.3">
      <c r="B27" s="8" t="str">
        <f t="shared" ref="B27:B46" si="0">B4</f>
        <v>NA4</v>
      </c>
      <c r="C27" s="6">
        <f>averageResponseTimePorter(Dates!C$8,Dates!C$9,'Day3'!$B27)</f>
        <v>0</v>
      </c>
      <c r="D27" s="6">
        <f>averageResponseTimePorter(Dates!D$8,Dates!D$9,'Day3'!$B27)</f>
        <v>0</v>
      </c>
      <c r="E27" s="6">
        <f>averageResponseTimePorter(Dates!E$8,Dates!E$9,'Day3'!$B27)</f>
        <v>0</v>
      </c>
      <c r="F27" s="6">
        <f>averageResponseTimePorter(Dates!F$8,Dates!F$9,'Day3'!$B27)</f>
        <v>0</v>
      </c>
      <c r="G27" s="6">
        <f>averageResponseTimePorter(Dates!G$8,Dates!G$9,'Day3'!$B27)</f>
        <v>0</v>
      </c>
      <c r="H27" s="6">
        <f>averageResponseTimePorter(Dates!H$8,Dates!H$9,'Day3'!$B27)</f>
        <v>0</v>
      </c>
      <c r="I27" s="6">
        <f>averageResponseTimePorter(Dates!I$8,Dates!I$9,'Day3'!$B27)</f>
        <v>0</v>
      </c>
      <c r="J27" s="6">
        <f>averageResponseTimePorter(Dates!J$8,Dates!J$9,'Day3'!$B27)</f>
        <v>0</v>
      </c>
      <c r="K27" s="6">
        <f>averageResponseTimePorter(Dates!K$8,Dates!K$9,'Day3'!$B27)</f>
        <v>0</v>
      </c>
      <c r="L27" s="6">
        <f>averageResponseTimePorter(Dates!L$8,Dates!L$9,'Day3'!$B27)</f>
        <v>0</v>
      </c>
      <c r="M27" s="6">
        <f>averageResponseTimePorter(Dates!M$8,Dates!M$9,'Day3'!$B27)</f>
        <v>0</v>
      </c>
      <c r="N27" s="6">
        <f>averageResponseTimePorter(Dates!N$8,Dates!N$9,'Day3'!$B27)</f>
        <v>0</v>
      </c>
      <c r="O27" s="6">
        <f>averageResponseTimePorter(Dates!O$8,Dates!O$9,'Day3'!$B27)</f>
        <v>0</v>
      </c>
      <c r="P27" s="6">
        <f>averageResponseTimePorter(Dates!P$8,Dates!P$9,'Day3'!$B27)</f>
        <v>0</v>
      </c>
      <c r="Q27" s="6">
        <f>averageResponseTimePorter(Dates!Q$8,Dates!Q$9,'Day3'!$B27)</f>
        <v>0</v>
      </c>
      <c r="R27" s="6">
        <f>averageResponseTimePorter(Dates!R$8,Dates!R$9,'Day3'!$B27)</f>
        <v>0</v>
      </c>
      <c r="S27" s="6">
        <f>averageResponseTimePorter(Dates!S$8,Dates!S$9,'Day3'!$B27)</f>
        <v>0</v>
      </c>
      <c r="T27" s="6">
        <f>averageResponseTimePorter(Dates!T$8,Dates!T$9,'Day3'!$B27)</f>
        <v>0</v>
      </c>
      <c r="U27" s="6">
        <f>averageResponseTimePorter(Dates!$C$8,Dates!$T$9,'Day3'!$B4)</f>
        <v>0</v>
      </c>
    </row>
    <row r="28" spans="2:21" x14ac:dyDescent="0.3">
      <c r="B28" s="8" t="str">
        <f t="shared" si="0"/>
        <v>NA5</v>
      </c>
      <c r="C28" s="6">
        <f>averageResponseTimePorter(Dates!C$8,Dates!C$9,'Day3'!$B28)</f>
        <v>0</v>
      </c>
      <c r="D28" s="6">
        <f>averageResponseTimePorter(Dates!D$8,Dates!D$9,'Day3'!$B28)</f>
        <v>0</v>
      </c>
      <c r="E28" s="6">
        <f>averageResponseTimePorter(Dates!E$8,Dates!E$9,'Day3'!$B28)</f>
        <v>0</v>
      </c>
      <c r="F28" s="6">
        <f>averageResponseTimePorter(Dates!F$8,Dates!F$9,'Day3'!$B28)</f>
        <v>0</v>
      </c>
      <c r="G28" s="6">
        <f>averageResponseTimePorter(Dates!G$8,Dates!G$9,'Day3'!$B28)</f>
        <v>0</v>
      </c>
      <c r="H28" s="6">
        <f>averageResponseTimePorter(Dates!H$8,Dates!H$9,'Day3'!$B28)</f>
        <v>0</v>
      </c>
      <c r="I28" s="6">
        <f>averageResponseTimePorter(Dates!I$8,Dates!I$9,'Day3'!$B28)</f>
        <v>0</v>
      </c>
      <c r="J28" s="6">
        <f>averageResponseTimePorter(Dates!J$8,Dates!J$9,'Day3'!$B28)</f>
        <v>0</v>
      </c>
      <c r="K28" s="6">
        <f>averageResponseTimePorter(Dates!K$8,Dates!K$9,'Day3'!$B28)</f>
        <v>0</v>
      </c>
      <c r="L28" s="6">
        <f>averageResponseTimePorter(Dates!L$8,Dates!L$9,'Day3'!$B28)</f>
        <v>0</v>
      </c>
      <c r="M28" s="6">
        <f>averageResponseTimePorter(Dates!M$8,Dates!M$9,'Day3'!$B28)</f>
        <v>0</v>
      </c>
      <c r="N28" s="6">
        <f>averageResponseTimePorter(Dates!N$8,Dates!N$9,'Day3'!$B28)</f>
        <v>0</v>
      </c>
      <c r="O28" s="6">
        <f>averageResponseTimePorter(Dates!O$8,Dates!O$9,'Day3'!$B28)</f>
        <v>0</v>
      </c>
      <c r="P28" s="6">
        <f>averageResponseTimePorter(Dates!P$8,Dates!P$9,'Day3'!$B28)</f>
        <v>0</v>
      </c>
      <c r="Q28" s="6">
        <f>averageResponseTimePorter(Dates!Q$8,Dates!Q$9,'Day3'!$B28)</f>
        <v>0</v>
      </c>
      <c r="R28" s="6">
        <f>averageResponseTimePorter(Dates!R$8,Dates!R$9,'Day3'!$B28)</f>
        <v>0</v>
      </c>
      <c r="S28" s="6">
        <f>averageResponseTimePorter(Dates!S$8,Dates!S$9,'Day3'!$B28)</f>
        <v>0</v>
      </c>
      <c r="T28" s="6">
        <f>averageResponseTimePorter(Dates!T$8,Dates!T$9,'Day3'!$B28)</f>
        <v>0</v>
      </c>
      <c r="U28" s="6">
        <f>averageResponseTimePorter(Dates!$C$8,Dates!$T$9,'Day3'!$B5)</f>
        <v>0</v>
      </c>
    </row>
    <row r="29" spans="2:21" x14ac:dyDescent="0.3">
      <c r="B29" s="8" t="str">
        <f t="shared" si="0"/>
        <v>NA6</v>
      </c>
      <c r="C29" s="6">
        <f>averageResponseTimePorter(Dates!C$8,Dates!C$9,'Day3'!$B29)</f>
        <v>0</v>
      </c>
      <c r="D29" s="6">
        <f>averageResponseTimePorter(Dates!D$8,Dates!D$9,'Day3'!$B29)</f>
        <v>0</v>
      </c>
      <c r="E29" s="6">
        <f>averageResponseTimePorter(Dates!E$8,Dates!E$9,'Day3'!$B29)</f>
        <v>0</v>
      </c>
      <c r="F29" s="6">
        <f>averageResponseTimePorter(Dates!F$8,Dates!F$9,'Day3'!$B29)</f>
        <v>0</v>
      </c>
      <c r="G29" s="6">
        <f>averageResponseTimePorter(Dates!G$8,Dates!G$9,'Day3'!$B29)</f>
        <v>0</v>
      </c>
      <c r="H29" s="6">
        <f>averageResponseTimePorter(Dates!H$8,Dates!H$9,'Day3'!$B29)</f>
        <v>0</v>
      </c>
      <c r="I29" s="6">
        <f>averageResponseTimePorter(Dates!I$8,Dates!I$9,'Day3'!$B29)</f>
        <v>0</v>
      </c>
      <c r="J29" s="6">
        <f>averageResponseTimePorter(Dates!J$8,Dates!J$9,'Day3'!$B29)</f>
        <v>0</v>
      </c>
      <c r="K29" s="6">
        <f>averageResponseTimePorter(Dates!K$8,Dates!K$9,'Day3'!$B29)</f>
        <v>0</v>
      </c>
      <c r="L29" s="6">
        <f>averageResponseTimePorter(Dates!L$8,Dates!L$9,'Day3'!$B29)</f>
        <v>0</v>
      </c>
      <c r="M29" s="6">
        <f>averageResponseTimePorter(Dates!M$8,Dates!M$9,'Day3'!$B29)</f>
        <v>0</v>
      </c>
      <c r="N29" s="6">
        <f>averageResponseTimePorter(Dates!N$8,Dates!N$9,'Day3'!$B29)</f>
        <v>0</v>
      </c>
      <c r="O29" s="6">
        <f>averageResponseTimePorter(Dates!O$8,Dates!O$9,'Day3'!$B29)</f>
        <v>0</v>
      </c>
      <c r="P29" s="6">
        <f>averageResponseTimePorter(Dates!P$8,Dates!P$9,'Day3'!$B29)</f>
        <v>0</v>
      </c>
      <c r="Q29" s="6">
        <f>averageResponseTimePorter(Dates!Q$8,Dates!Q$9,'Day3'!$B29)</f>
        <v>0</v>
      </c>
      <c r="R29" s="6">
        <f>averageResponseTimePorter(Dates!R$8,Dates!R$9,'Day3'!$B29)</f>
        <v>0</v>
      </c>
      <c r="S29" s="6">
        <f>averageResponseTimePorter(Dates!S$8,Dates!S$9,'Day3'!$B29)</f>
        <v>0</v>
      </c>
      <c r="T29" s="6">
        <f>averageResponseTimePorter(Dates!T$8,Dates!T$9,'Day3'!$B29)</f>
        <v>0</v>
      </c>
      <c r="U29" s="6">
        <f>averageResponseTimePorter(Dates!$C$8,Dates!$T$9,'Day3'!$B6)</f>
        <v>0</v>
      </c>
    </row>
    <row r="30" spans="2:21" x14ac:dyDescent="0.3">
      <c r="B30" s="8" t="str">
        <f t="shared" si="0"/>
        <v>NA7</v>
      </c>
      <c r="C30" s="6">
        <f>averageResponseTimePorter(Dates!C$8,Dates!C$9,'Day3'!$B30)</f>
        <v>0</v>
      </c>
      <c r="D30" s="6">
        <f>averageResponseTimePorter(Dates!D$8,Dates!D$9,'Day3'!$B30)</f>
        <v>0</v>
      </c>
      <c r="E30" s="6">
        <f>averageResponseTimePorter(Dates!E$8,Dates!E$9,'Day3'!$B30)</f>
        <v>0</v>
      </c>
      <c r="F30" s="6">
        <f>averageResponseTimePorter(Dates!F$8,Dates!F$9,'Day3'!$B30)</f>
        <v>0</v>
      </c>
      <c r="G30" s="6">
        <f>averageResponseTimePorter(Dates!G$8,Dates!G$9,'Day3'!$B30)</f>
        <v>0</v>
      </c>
      <c r="H30" s="6">
        <f>averageResponseTimePorter(Dates!H$8,Dates!H$9,'Day3'!$B30)</f>
        <v>0</v>
      </c>
      <c r="I30" s="6">
        <f>averageResponseTimePorter(Dates!I$8,Dates!I$9,'Day3'!$B30)</f>
        <v>0</v>
      </c>
      <c r="J30" s="6">
        <f>averageResponseTimePorter(Dates!J$8,Dates!J$9,'Day3'!$B30)</f>
        <v>0</v>
      </c>
      <c r="K30" s="6">
        <f>averageResponseTimePorter(Dates!K$8,Dates!K$9,'Day3'!$B30)</f>
        <v>0</v>
      </c>
      <c r="L30" s="6">
        <f>averageResponseTimePorter(Dates!L$8,Dates!L$9,'Day3'!$B30)</f>
        <v>0</v>
      </c>
      <c r="M30" s="6">
        <f>averageResponseTimePorter(Dates!M$8,Dates!M$9,'Day3'!$B30)</f>
        <v>0</v>
      </c>
      <c r="N30" s="6">
        <f>averageResponseTimePorter(Dates!N$8,Dates!N$9,'Day3'!$B30)</f>
        <v>0</v>
      </c>
      <c r="O30" s="6">
        <f>averageResponseTimePorter(Dates!O$8,Dates!O$9,'Day3'!$B30)</f>
        <v>0</v>
      </c>
      <c r="P30" s="6">
        <f>averageResponseTimePorter(Dates!P$8,Dates!P$9,'Day3'!$B30)</f>
        <v>0</v>
      </c>
      <c r="Q30" s="6">
        <f>averageResponseTimePorter(Dates!Q$8,Dates!Q$9,'Day3'!$B30)</f>
        <v>0</v>
      </c>
      <c r="R30" s="6">
        <f>averageResponseTimePorter(Dates!R$8,Dates!R$9,'Day3'!$B30)</f>
        <v>0</v>
      </c>
      <c r="S30" s="6">
        <f>averageResponseTimePorter(Dates!S$8,Dates!S$9,'Day3'!$B30)</f>
        <v>0</v>
      </c>
      <c r="T30" s="6">
        <f>averageResponseTimePorter(Dates!T$8,Dates!T$9,'Day3'!$B30)</f>
        <v>0</v>
      </c>
      <c r="U30" s="6">
        <f>averageResponseTimePorter(Dates!$C$8,Dates!$T$9,'Day3'!$B7)</f>
        <v>0</v>
      </c>
    </row>
    <row r="31" spans="2:21" x14ac:dyDescent="0.3">
      <c r="B31" s="8" t="str">
        <f t="shared" si="0"/>
        <v>NA8</v>
      </c>
      <c r="C31" s="6">
        <f>averageResponseTimePorter(Dates!C$8,Dates!C$9,'Day3'!$B31)</f>
        <v>0</v>
      </c>
      <c r="D31" s="6">
        <f>averageResponseTimePorter(Dates!D$8,Dates!D$9,'Day3'!$B31)</f>
        <v>0</v>
      </c>
      <c r="E31" s="6">
        <f>averageResponseTimePorter(Dates!E$8,Dates!E$9,'Day3'!$B31)</f>
        <v>0</v>
      </c>
      <c r="F31" s="6">
        <f>averageResponseTimePorter(Dates!F$8,Dates!F$9,'Day3'!$B31)</f>
        <v>0</v>
      </c>
      <c r="G31" s="6">
        <f>averageResponseTimePorter(Dates!G$8,Dates!G$9,'Day3'!$B31)</f>
        <v>0</v>
      </c>
      <c r="H31" s="6">
        <f>averageResponseTimePorter(Dates!H$8,Dates!H$9,'Day3'!$B31)</f>
        <v>0</v>
      </c>
      <c r="I31" s="6">
        <f>averageResponseTimePorter(Dates!I$8,Dates!I$9,'Day3'!$B31)</f>
        <v>0</v>
      </c>
      <c r="J31" s="6">
        <f>averageResponseTimePorter(Dates!J$8,Dates!J$9,'Day3'!$B31)</f>
        <v>0</v>
      </c>
      <c r="K31" s="6">
        <f>averageResponseTimePorter(Dates!K$8,Dates!K$9,'Day3'!$B31)</f>
        <v>0</v>
      </c>
      <c r="L31" s="6">
        <f>averageResponseTimePorter(Dates!L$8,Dates!L$9,'Day3'!$B31)</f>
        <v>0</v>
      </c>
      <c r="M31" s="6">
        <f>averageResponseTimePorter(Dates!M$8,Dates!M$9,'Day3'!$B31)</f>
        <v>0</v>
      </c>
      <c r="N31" s="6">
        <f>averageResponseTimePorter(Dates!N$8,Dates!N$9,'Day3'!$B31)</f>
        <v>0</v>
      </c>
      <c r="O31" s="6">
        <f>averageResponseTimePorter(Dates!O$8,Dates!O$9,'Day3'!$B31)</f>
        <v>0</v>
      </c>
      <c r="P31" s="6">
        <f>averageResponseTimePorter(Dates!P$8,Dates!P$9,'Day3'!$B31)</f>
        <v>0</v>
      </c>
      <c r="Q31" s="6">
        <f>averageResponseTimePorter(Dates!Q$8,Dates!Q$9,'Day3'!$B31)</f>
        <v>0</v>
      </c>
      <c r="R31" s="6">
        <f>averageResponseTimePorter(Dates!R$8,Dates!R$9,'Day3'!$B31)</f>
        <v>0</v>
      </c>
      <c r="S31" s="6">
        <f>averageResponseTimePorter(Dates!S$8,Dates!S$9,'Day3'!$B31)</f>
        <v>0</v>
      </c>
      <c r="T31" s="6">
        <f>averageResponseTimePorter(Dates!T$8,Dates!T$9,'Day3'!$B31)</f>
        <v>0</v>
      </c>
      <c r="U31" s="6">
        <f>averageResponseTimePorter(Dates!$C$8,Dates!$T$9,'Day3'!$B8)</f>
        <v>0</v>
      </c>
    </row>
    <row r="32" spans="2:21" x14ac:dyDescent="0.3">
      <c r="B32" s="8" t="str">
        <f t="shared" si="0"/>
        <v>NA9</v>
      </c>
      <c r="C32" s="6">
        <f>averageResponseTimePorter(Dates!C$8,Dates!C$9,'Day3'!$B32)</f>
        <v>0</v>
      </c>
      <c r="D32" s="6">
        <f>averageResponseTimePorter(Dates!D$8,Dates!D$9,'Day3'!$B32)</f>
        <v>0</v>
      </c>
      <c r="E32" s="6">
        <f>averageResponseTimePorter(Dates!E$8,Dates!E$9,'Day3'!$B32)</f>
        <v>0</v>
      </c>
      <c r="F32" s="6">
        <f>averageResponseTimePorter(Dates!F$8,Dates!F$9,'Day3'!$B32)</f>
        <v>0</v>
      </c>
      <c r="G32" s="6">
        <f>averageResponseTimePorter(Dates!G$8,Dates!G$9,'Day3'!$B32)</f>
        <v>0</v>
      </c>
      <c r="H32" s="6">
        <f>averageResponseTimePorter(Dates!H$8,Dates!H$9,'Day3'!$B32)</f>
        <v>0</v>
      </c>
      <c r="I32" s="6">
        <f>averageResponseTimePorter(Dates!I$8,Dates!I$9,'Day3'!$B32)</f>
        <v>0</v>
      </c>
      <c r="J32" s="6">
        <f>averageResponseTimePorter(Dates!J$8,Dates!J$9,'Day3'!$B32)</f>
        <v>0</v>
      </c>
      <c r="K32" s="6">
        <f>averageResponseTimePorter(Dates!K$8,Dates!K$9,'Day3'!$B32)</f>
        <v>0</v>
      </c>
      <c r="L32" s="6">
        <f>averageResponseTimePorter(Dates!L$8,Dates!L$9,'Day3'!$B32)</f>
        <v>0</v>
      </c>
      <c r="M32" s="6">
        <f>averageResponseTimePorter(Dates!M$8,Dates!M$9,'Day3'!$B32)</f>
        <v>0</v>
      </c>
      <c r="N32" s="6">
        <f>averageResponseTimePorter(Dates!N$8,Dates!N$9,'Day3'!$B32)</f>
        <v>0</v>
      </c>
      <c r="O32" s="6">
        <f>averageResponseTimePorter(Dates!O$8,Dates!O$9,'Day3'!$B32)</f>
        <v>0</v>
      </c>
      <c r="P32" s="6">
        <f>averageResponseTimePorter(Dates!P$8,Dates!P$9,'Day3'!$B32)</f>
        <v>0</v>
      </c>
      <c r="Q32" s="6">
        <f>averageResponseTimePorter(Dates!Q$8,Dates!Q$9,'Day3'!$B32)</f>
        <v>0</v>
      </c>
      <c r="R32" s="6">
        <f>averageResponseTimePorter(Dates!R$8,Dates!R$9,'Day3'!$B32)</f>
        <v>0</v>
      </c>
      <c r="S32" s="6">
        <f>averageResponseTimePorter(Dates!S$8,Dates!S$9,'Day3'!$B32)</f>
        <v>0</v>
      </c>
      <c r="T32" s="6">
        <f>averageResponseTimePorter(Dates!T$8,Dates!T$9,'Day3'!$B32)</f>
        <v>0</v>
      </c>
      <c r="U32" s="6">
        <f>averageResponseTimePorter(Dates!$C$8,Dates!$T$9,'Day3'!$B9)</f>
        <v>0</v>
      </c>
    </row>
    <row r="33" spans="2:21" x14ac:dyDescent="0.3">
      <c r="B33" s="8" t="str">
        <f t="shared" si="0"/>
        <v>NA10</v>
      </c>
      <c r="C33" s="6">
        <f>averageResponseTimePorter(Dates!C$8,Dates!C$9,'Day3'!$B33)</f>
        <v>0</v>
      </c>
      <c r="D33" s="6">
        <f>averageResponseTimePorter(Dates!D$8,Dates!D$9,'Day3'!$B33)</f>
        <v>0</v>
      </c>
      <c r="E33" s="6">
        <f>averageResponseTimePorter(Dates!E$8,Dates!E$9,'Day3'!$B33)</f>
        <v>0</v>
      </c>
      <c r="F33" s="6">
        <f>averageResponseTimePorter(Dates!F$8,Dates!F$9,'Day3'!$B33)</f>
        <v>0</v>
      </c>
      <c r="G33" s="6">
        <f>averageResponseTimePorter(Dates!G$8,Dates!G$9,'Day3'!$B33)</f>
        <v>0</v>
      </c>
      <c r="H33" s="6">
        <f>averageResponseTimePorter(Dates!H$8,Dates!H$9,'Day3'!$B33)</f>
        <v>0</v>
      </c>
      <c r="I33" s="6">
        <f>averageResponseTimePorter(Dates!I$8,Dates!I$9,'Day3'!$B33)</f>
        <v>0</v>
      </c>
      <c r="J33" s="6">
        <f>averageResponseTimePorter(Dates!J$8,Dates!J$9,'Day3'!$B33)</f>
        <v>0</v>
      </c>
      <c r="K33" s="6">
        <f>averageResponseTimePorter(Dates!K$8,Dates!K$9,'Day3'!$B33)</f>
        <v>0</v>
      </c>
      <c r="L33" s="6">
        <f>averageResponseTimePorter(Dates!L$8,Dates!L$9,'Day3'!$B33)</f>
        <v>0</v>
      </c>
      <c r="M33" s="6">
        <f>averageResponseTimePorter(Dates!M$8,Dates!M$9,'Day3'!$B33)</f>
        <v>0</v>
      </c>
      <c r="N33" s="6">
        <f>averageResponseTimePorter(Dates!N$8,Dates!N$9,'Day3'!$B33)</f>
        <v>0</v>
      </c>
      <c r="O33" s="6">
        <f>averageResponseTimePorter(Dates!O$8,Dates!O$9,'Day3'!$B33)</f>
        <v>0</v>
      </c>
      <c r="P33" s="6">
        <f>averageResponseTimePorter(Dates!P$8,Dates!P$9,'Day3'!$B33)</f>
        <v>0</v>
      </c>
      <c r="Q33" s="6">
        <f>averageResponseTimePorter(Dates!Q$8,Dates!Q$9,'Day3'!$B33)</f>
        <v>0</v>
      </c>
      <c r="R33" s="6">
        <f>averageResponseTimePorter(Dates!R$8,Dates!R$9,'Day3'!$B33)</f>
        <v>0</v>
      </c>
      <c r="S33" s="6">
        <f>averageResponseTimePorter(Dates!S$8,Dates!S$9,'Day3'!$B33)</f>
        <v>0</v>
      </c>
      <c r="T33" s="6">
        <f>averageResponseTimePorter(Dates!T$8,Dates!T$9,'Day3'!$B33)</f>
        <v>0</v>
      </c>
      <c r="U33" s="6">
        <f>averageResponseTimePorter(Dates!$C$8,Dates!$T$9,'Day3'!$B10)</f>
        <v>0</v>
      </c>
    </row>
    <row r="34" spans="2:21" x14ac:dyDescent="0.3">
      <c r="B34" s="8" t="str">
        <f t="shared" si="0"/>
        <v>NA11</v>
      </c>
      <c r="C34" s="6">
        <f>averageResponseTimePorter(Dates!C$8,Dates!C$9,'Day3'!$B34)</f>
        <v>0</v>
      </c>
      <c r="D34" s="6">
        <f>averageResponseTimePorter(Dates!D$8,Dates!D$9,'Day3'!$B34)</f>
        <v>0</v>
      </c>
      <c r="E34" s="6">
        <f>averageResponseTimePorter(Dates!E$8,Dates!E$9,'Day3'!$B34)</f>
        <v>0</v>
      </c>
      <c r="F34" s="6">
        <f>averageResponseTimePorter(Dates!F$8,Dates!F$9,'Day3'!$B34)</f>
        <v>0</v>
      </c>
      <c r="G34" s="6">
        <f>averageResponseTimePorter(Dates!G$8,Dates!G$9,'Day3'!$B34)</f>
        <v>0</v>
      </c>
      <c r="H34" s="6">
        <f>averageResponseTimePorter(Dates!H$8,Dates!H$9,'Day3'!$B34)</f>
        <v>0</v>
      </c>
      <c r="I34" s="6">
        <f>averageResponseTimePorter(Dates!I$8,Dates!I$9,'Day3'!$B34)</f>
        <v>0</v>
      </c>
      <c r="J34" s="6">
        <f>averageResponseTimePorter(Dates!J$8,Dates!J$9,'Day3'!$B34)</f>
        <v>0</v>
      </c>
      <c r="K34" s="6">
        <f>averageResponseTimePorter(Dates!K$8,Dates!K$9,'Day3'!$B34)</f>
        <v>0</v>
      </c>
      <c r="L34" s="6">
        <f>averageResponseTimePorter(Dates!L$8,Dates!L$9,'Day3'!$B34)</f>
        <v>0</v>
      </c>
      <c r="M34" s="6">
        <f>averageResponseTimePorter(Dates!M$8,Dates!M$9,'Day3'!$B34)</f>
        <v>0</v>
      </c>
      <c r="N34" s="6">
        <f>averageResponseTimePorter(Dates!N$8,Dates!N$9,'Day3'!$B34)</f>
        <v>0</v>
      </c>
      <c r="O34" s="6">
        <f>averageResponseTimePorter(Dates!O$8,Dates!O$9,'Day3'!$B34)</f>
        <v>0</v>
      </c>
      <c r="P34" s="6">
        <f>averageResponseTimePorter(Dates!P$8,Dates!P$9,'Day3'!$B34)</f>
        <v>0</v>
      </c>
      <c r="Q34" s="6">
        <f>averageResponseTimePorter(Dates!Q$8,Dates!Q$9,'Day3'!$B34)</f>
        <v>0</v>
      </c>
      <c r="R34" s="6">
        <f>averageResponseTimePorter(Dates!R$8,Dates!R$9,'Day3'!$B34)</f>
        <v>0</v>
      </c>
      <c r="S34" s="6">
        <f>averageResponseTimePorter(Dates!S$8,Dates!S$9,'Day3'!$B34)</f>
        <v>0</v>
      </c>
      <c r="T34" s="6">
        <f>averageResponseTimePorter(Dates!T$8,Dates!T$9,'Day3'!$B34)</f>
        <v>0</v>
      </c>
      <c r="U34" s="6">
        <f>averageResponseTimePorter(Dates!$C$8,Dates!$T$9,'Day3'!$B11)</f>
        <v>0</v>
      </c>
    </row>
    <row r="35" spans="2:21" x14ac:dyDescent="0.3">
      <c r="B35" s="8" t="str">
        <f t="shared" si="0"/>
        <v>NA12</v>
      </c>
      <c r="C35" s="6">
        <f>averageResponseTimePorter(Dates!C$8,Dates!C$9,'Day3'!$B35)</f>
        <v>0</v>
      </c>
      <c r="D35" s="6">
        <f>averageResponseTimePorter(Dates!D$8,Dates!D$9,'Day3'!$B35)</f>
        <v>0</v>
      </c>
      <c r="E35" s="6">
        <f>averageResponseTimePorter(Dates!E$8,Dates!E$9,'Day3'!$B35)</f>
        <v>0</v>
      </c>
      <c r="F35" s="6">
        <f>averageResponseTimePorter(Dates!F$8,Dates!F$9,'Day3'!$B35)</f>
        <v>0</v>
      </c>
      <c r="G35" s="6">
        <f>averageResponseTimePorter(Dates!G$8,Dates!G$9,'Day3'!$B35)</f>
        <v>0</v>
      </c>
      <c r="H35" s="6">
        <f>averageResponseTimePorter(Dates!H$8,Dates!H$9,'Day3'!$B35)</f>
        <v>0</v>
      </c>
      <c r="I35" s="6">
        <f>averageResponseTimePorter(Dates!I$8,Dates!I$9,'Day3'!$B35)</f>
        <v>0</v>
      </c>
      <c r="J35" s="6">
        <f>averageResponseTimePorter(Dates!J$8,Dates!J$9,'Day3'!$B35)</f>
        <v>0</v>
      </c>
      <c r="K35" s="6">
        <f>averageResponseTimePorter(Dates!K$8,Dates!K$9,'Day3'!$B35)</f>
        <v>0</v>
      </c>
      <c r="L35" s="6">
        <f>averageResponseTimePorter(Dates!L$8,Dates!L$9,'Day3'!$B35)</f>
        <v>0</v>
      </c>
      <c r="M35" s="6">
        <f>averageResponseTimePorter(Dates!M$8,Dates!M$9,'Day3'!$B35)</f>
        <v>0</v>
      </c>
      <c r="N35" s="6">
        <f>averageResponseTimePorter(Dates!N$8,Dates!N$9,'Day3'!$B35)</f>
        <v>0</v>
      </c>
      <c r="O35" s="6">
        <f>averageResponseTimePorter(Dates!O$8,Dates!O$9,'Day3'!$B35)</f>
        <v>0</v>
      </c>
      <c r="P35" s="6">
        <f>averageResponseTimePorter(Dates!P$8,Dates!P$9,'Day3'!$B35)</f>
        <v>0</v>
      </c>
      <c r="Q35" s="6">
        <f>averageResponseTimePorter(Dates!Q$8,Dates!Q$9,'Day3'!$B35)</f>
        <v>0</v>
      </c>
      <c r="R35" s="6">
        <f>averageResponseTimePorter(Dates!R$8,Dates!R$9,'Day3'!$B35)</f>
        <v>0</v>
      </c>
      <c r="S35" s="6">
        <f>averageResponseTimePorter(Dates!S$8,Dates!S$9,'Day3'!$B35)</f>
        <v>0</v>
      </c>
      <c r="T35" s="6">
        <f>averageResponseTimePorter(Dates!T$8,Dates!T$9,'Day3'!$B35)</f>
        <v>0</v>
      </c>
      <c r="U35" s="6">
        <f>averageResponseTimePorter(Dates!$C$8,Dates!$T$9,'Day3'!$B12)</f>
        <v>0</v>
      </c>
    </row>
    <row r="36" spans="2:21" x14ac:dyDescent="0.3">
      <c r="B36" s="8" t="str">
        <f t="shared" si="0"/>
        <v>NA13</v>
      </c>
      <c r="C36" s="6">
        <f>averageResponseTimePorter(Dates!C$8,Dates!C$9,'Day3'!$B36)</f>
        <v>0</v>
      </c>
      <c r="D36" s="6">
        <f>averageResponseTimePorter(Dates!D$8,Dates!D$9,'Day3'!$B36)</f>
        <v>0</v>
      </c>
      <c r="E36" s="6">
        <f>averageResponseTimePorter(Dates!E$8,Dates!E$9,'Day3'!$B36)</f>
        <v>0</v>
      </c>
      <c r="F36" s="6">
        <f>averageResponseTimePorter(Dates!F$8,Dates!F$9,'Day3'!$B36)</f>
        <v>0</v>
      </c>
      <c r="G36" s="6">
        <f>averageResponseTimePorter(Dates!G$8,Dates!G$9,'Day3'!$B36)</f>
        <v>0</v>
      </c>
      <c r="H36" s="6">
        <f>averageResponseTimePorter(Dates!H$8,Dates!H$9,'Day3'!$B36)</f>
        <v>0</v>
      </c>
      <c r="I36" s="6">
        <f>averageResponseTimePorter(Dates!I$8,Dates!I$9,'Day3'!$B36)</f>
        <v>0</v>
      </c>
      <c r="J36" s="6">
        <f>averageResponseTimePorter(Dates!J$8,Dates!J$9,'Day3'!$B36)</f>
        <v>0</v>
      </c>
      <c r="K36" s="6">
        <f>averageResponseTimePorter(Dates!K$8,Dates!K$9,'Day3'!$B36)</f>
        <v>0</v>
      </c>
      <c r="L36" s="6">
        <f>averageResponseTimePorter(Dates!L$8,Dates!L$9,'Day3'!$B36)</f>
        <v>0</v>
      </c>
      <c r="M36" s="6">
        <f>averageResponseTimePorter(Dates!M$8,Dates!M$9,'Day3'!$B36)</f>
        <v>0</v>
      </c>
      <c r="N36" s="6">
        <f>averageResponseTimePorter(Dates!N$8,Dates!N$9,'Day3'!$B36)</f>
        <v>0</v>
      </c>
      <c r="O36" s="6">
        <f>averageResponseTimePorter(Dates!O$8,Dates!O$9,'Day3'!$B36)</f>
        <v>0</v>
      </c>
      <c r="P36" s="6">
        <f>averageResponseTimePorter(Dates!P$8,Dates!P$9,'Day3'!$B36)</f>
        <v>0</v>
      </c>
      <c r="Q36" s="6">
        <f>averageResponseTimePorter(Dates!Q$8,Dates!Q$9,'Day3'!$B36)</f>
        <v>0</v>
      </c>
      <c r="R36" s="6">
        <f>averageResponseTimePorter(Dates!R$8,Dates!R$9,'Day3'!$B36)</f>
        <v>0</v>
      </c>
      <c r="S36" s="6">
        <f>averageResponseTimePorter(Dates!S$8,Dates!S$9,'Day3'!$B36)</f>
        <v>0</v>
      </c>
      <c r="T36" s="6">
        <f>averageResponseTimePorter(Dates!T$8,Dates!T$9,'Day3'!$B36)</f>
        <v>0</v>
      </c>
      <c r="U36" s="6">
        <f>averageResponseTimePorter(Dates!$C$8,Dates!$T$9,'Day3'!$B13)</f>
        <v>0</v>
      </c>
    </row>
    <row r="37" spans="2:21" x14ac:dyDescent="0.3">
      <c r="B37" s="8" t="str">
        <f t="shared" si="0"/>
        <v>NA14</v>
      </c>
      <c r="C37" s="6">
        <f>averageResponseTimePorter(Dates!C$8,Dates!C$9,'Day3'!$B37)</f>
        <v>0</v>
      </c>
      <c r="D37" s="6">
        <f>averageResponseTimePorter(Dates!D$8,Dates!D$9,'Day3'!$B37)</f>
        <v>0</v>
      </c>
      <c r="E37" s="6">
        <f>averageResponseTimePorter(Dates!E$8,Dates!E$9,'Day3'!$B37)</f>
        <v>0</v>
      </c>
      <c r="F37" s="6">
        <f>averageResponseTimePorter(Dates!F$8,Dates!F$9,'Day3'!$B37)</f>
        <v>0</v>
      </c>
      <c r="G37" s="6">
        <f>averageResponseTimePorter(Dates!G$8,Dates!G$9,'Day3'!$B37)</f>
        <v>0</v>
      </c>
      <c r="H37" s="6">
        <f>averageResponseTimePorter(Dates!H$8,Dates!H$9,'Day3'!$B37)</f>
        <v>0</v>
      </c>
      <c r="I37" s="6">
        <f>averageResponseTimePorter(Dates!I$8,Dates!I$9,'Day3'!$B37)</f>
        <v>0</v>
      </c>
      <c r="J37" s="6">
        <f>averageResponseTimePorter(Dates!J$8,Dates!J$9,'Day3'!$B37)</f>
        <v>0</v>
      </c>
      <c r="K37" s="6">
        <f>averageResponseTimePorter(Dates!K$8,Dates!K$9,'Day3'!$B37)</f>
        <v>0</v>
      </c>
      <c r="L37" s="6">
        <f>averageResponseTimePorter(Dates!L$8,Dates!L$9,'Day3'!$B37)</f>
        <v>0</v>
      </c>
      <c r="M37" s="6">
        <f>averageResponseTimePorter(Dates!M$8,Dates!M$9,'Day3'!$B37)</f>
        <v>0</v>
      </c>
      <c r="N37" s="6">
        <f>averageResponseTimePorter(Dates!N$8,Dates!N$9,'Day3'!$B37)</f>
        <v>0</v>
      </c>
      <c r="O37" s="6">
        <f>averageResponseTimePorter(Dates!O$8,Dates!O$9,'Day3'!$B37)</f>
        <v>0</v>
      </c>
      <c r="P37" s="6">
        <f>averageResponseTimePorter(Dates!P$8,Dates!P$9,'Day3'!$B37)</f>
        <v>0</v>
      </c>
      <c r="Q37" s="6">
        <f>averageResponseTimePorter(Dates!Q$8,Dates!Q$9,'Day3'!$B37)</f>
        <v>0</v>
      </c>
      <c r="R37" s="6">
        <f>averageResponseTimePorter(Dates!R$8,Dates!R$9,'Day3'!$B37)</f>
        <v>0</v>
      </c>
      <c r="S37" s="6">
        <f>averageResponseTimePorter(Dates!S$8,Dates!S$9,'Day3'!$B37)</f>
        <v>0</v>
      </c>
      <c r="T37" s="6">
        <f>averageResponseTimePorter(Dates!T$8,Dates!T$9,'Day3'!$B37)</f>
        <v>0</v>
      </c>
      <c r="U37" s="6">
        <f>averageResponseTimePorter(Dates!$C$8,Dates!$T$9,'Day3'!$B14)</f>
        <v>0</v>
      </c>
    </row>
    <row r="38" spans="2:21" x14ac:dyDescent="0.3">
      <c r="B38" s="8" t="str">
        <f t="shared" si="0"/>
        <v>NA15</v>
      </c>
      <c r="C38" s="6">
        <f>averageResponseTimePorter(Dates!C$8,Dates!C$9,'Day3'!$B38)</f>
        <v>0</v>
      </c>
      <c r="D38" s="6">
        <f>averageResponseTimePorter(Dates!D$8,Dates!D$9,'Day3'!$B38)</f>
        <v>0</v>
      </c>
      <c r="E38" s="6">
        <f>averageResponseTimePorter(Dates!E$8,Dates!E$9,'Day3'!$B38)</f>
        <v>0</v>
      </c>
      <c r="F38" s="6">
        <f>averageResponseTimePorter(Dates!F$8,Dates!F$9,'Day3'!$B38)</f>
        <v>0</v>
      </c>
      <c r="G38" s="6">
        <f>averageResponseTimePorter(Dates!G$8,Dates!G$9,'Day3'!$B38)</f>
        <v>0</v>
      </c>
      <c r="H38" s="6">
        <f>averageResponseTimePorter(Dates!H$8,Dates!H$9,'Day3'!$B38)</f>
        <v>0</v>
      </c>
      <c r="I38" s="6">
        <f>averageResponseTimePorter(Dates!I$8,Dates!I$9,'Day3'!$B38)</f>
        <v>0</v>
      </c>
      <c r="J38" s="6">
        <f>averageResponseTimePorter(Dates!J$8,Dates!J$9,'Day3'!$B38)</f>
        <v>0</v>
      </c>
      <c r="K38" s="6">
        <f>averageResponseTimePorter(Dates!K$8,Dates!K$9,'Day3'!$B38)</f>
        <v>0</v>
      </c>
      <c r="L38" s="6">
        <f>averageResponseTimePorter(Dates!L$8,Dates!L$9,'Day3'!$B38)</f>
        <v>0</v>
      </c>
      <c r="M38" s="6">
        <f>averageResponseTimePorter(Dates!M$8,Dates!M$9,'Day3'!$B38)</f>
        <v>0</v>
      </c>
      <c r="N38" s="6">
        <f>averageResponseTimePorter(Dates!N$8,Dates!N$9,'Day3'!$B38)</f>
        <v>0</v>
      </c>
      <c r="O38" s="6">
        <f>averageResponseTimePorter(Dates!O$8,Dates!O$9,'Day3'!$B38)</f>
        <v>0</v>
      </c>
      <c r="P38" s="6">
        <f>averageResponseTimePorter(Dates!P$8,Dates!P$9,'Day3'!$B38)</f>
        <v>0</v>
      </c>
      <c r="Q38" s="6">
        <f>averageResponseTimePorter(Dates!Q$8,Dates!Q$9,'Day3'!$B38)</f>
        <v>0</v>
      </c>
      <c r="R38" s="6">
        <f>averageResponseTimePorter(Dates!R$8,Dates!R$9,'Day3'!$B38)</f>
        <v>0</v>
      </c>
      <c r="S38" s="6">
        <f>averageResponseTimePorter(Dates!S$8,Dates!S$9,'Day3'!$B38)</f>
        <v>0</v>
      </c>
      <c r="T38" s="6">
        <f>averageResponseTimePorter(Dates!T$8,Dates!T$9,'Day3'!$B38)</f>
        <v>0</v>
      </c>
      <c r="U38" s="6">
        <f>averageResponseTimePorter(Dates!$C$8,Dates!$T$9,'Day3'!$B15)</f>
        <v>0</v>
      </c>
    </row>
    <row r="39" spans="2:21" x14ac:dyDescent="0.3">
      <c r="B39" s="8" t="str">
        <f t="shared" si="0"/>
        <v>NA16</v>
      </c>
      <c r="C39" s="6">
        <f>averageResponseTimePorter(Dates!C$8,Dates!C$9,'Day3'!$B39)</f>
        <v>0</v>
      </c>
      <c r="D39" s="6">
        <f>averageResponseTimePorter(Dates!D$8,Dates!D$9,'Day3'!$B39)</f>
        <v>0</v>
      </c>
      <c r="E39" s="6">
        <f>averageResponseTimePorter(Dates!E$8,Dates!E$9,'Day3'!$B39)</f>
        <v>0</v>
      </c>
      <c r="F39" s="6">
        <f>averageResponseTimePorter(Dates!F$8,Dates!F$9,'Day3'!$B39)</f>
        <v>0</v>
      </c>
      <c r="G39" s="6">
        <f>averageResponseTimePorter(Dates!G$8,Dates!G$9,'Day3'!$B39)</f>
        <v>0</v>
      </c>
      <c r="H39" s="6">
        <f>averageResponseTimePorter(Dates!H$8,Dates!H$9,'Day3'!$B39)</f>
        <v>0</v>
      </c>
      <c r="I39" s="6">
        <f>averageResponseTimePorter(Dates!I$8,Dates!I$9,'Day3'!$B39)</f>
        <v>0</v>
      </c>
      <c r="J39" s="6">
        <f>averageResponseTimePorter(Dates!J$8,Dates!J$9,'Day3'!$B39)</f>
        <v>0</v>
      </c>
      <c r="K39" s="6">
        <f>averageResponseTimePorter(Dates!K$8,Dates!K$9,'Day3'!$B39)</f>
        <v>0</v>
      </c>
      <c r="L39" s="6">
        <f>averageResponseTimePorter(Dates!L$8,Dates!L$9,'Day3'!$B39)</f>
        <v>0</v>
      </c>
      <c r="M39" s="6">
        <f>averageResponseTimePorter(Dates!M$8,Dates!M$9,'Day3'!$B39)</f>
        <v>0</v>
      </c>
      <c r="N39" s="6">
        <f>averageResponseTimePorter(Dates!N$8,Dates!N$9,'Day3'!$B39)</f>
        <v>0</v>
      </c>
      <c r="O39" s="6">
        <f>averageResponseTimePorter(Dates!O$8,Dates!O$9,'Day3'!$B39)</f>
        <v>0</v>
      </c>
      <c r="P39" s="6">
        <f>averageResponseTimePorter(Dates!P$8,Dates!P$9,'Day3'!$B39)</f>
        <v>0</v>
      </c>
      <c r="Q39" s="6">
        <f>averageResponseTimePorter(Dates!Q$8,Dates!Q$9,'Day3'!$B39)</f>
        <v>0</v>
      </c>
      <c r="R39" s="6">
        <f>averageResponseTimePorter(Dates!R$8,Dates!R$9,'Day3'!$B39)</f>
        <v>0</v>
      </c>
      <c r="S39" s="6">
        <f>averageResponseTimePorter(Dates!S$8,Dates!S$9,'Day3'!$B39)</f>
        <v>0</v>
      </c>
      <c r="T39" s="6">
        <f>averageResponseTimePorter(Dates!T$8,Dates!T$9,'Day3'!$B39)</f>
        <v>0</v>
      </c>
      <c r="U39" s="6">
        <f>averageResponseTimePorter(Dates!$C$8,Dates!$T$9,'Day3'!$B16)</f>
        <v>0</v>
      </c>
    </row>
    <row r="40" spans="2:21" x14ac:dyDescent="0.3">
      <c r="B40" s="8" t="str">
        <f t="shared" si="0"/>
        <v>NA17</v>
      </c>
      <c r="C40" s="6">
        <f>averageResponseTimePorter(Dates!C$8,Dates!C$9,'Day3'!$B40)</f>
        <v>0</v>
      </c>
      <c r="D40" s="6">
        <f>averageResponseTimePorter(Dates!D$8,Dates!D$9,'Day3'!$B40)</f>
        <v>0</v>
      </c>
      <c r="E40" s="6">
        <f>averageResponseTimePorter(Dates!E$8,Dates!E$9,'Day3'!$B40)</f>
        <v>0</v>
      </c>
      <c r="F40" s="6">
        <f>averageResponseTimePorter(Dates!F$8,Dates!F$9,'Day3'!$B40)</f>
        <v>0</v>
      </c>
      <c r="G40" s="6">
        <f>averageResponseTimePorter(Dates!G$8,Dates!G$9,'Day3'!$B40)</f>
        <v>0</v>
      </c>
      <c r="H40" s="6">
        <f>averageResponseTimePorter(Dates!H$8,Dates!H$9,'Day3'!$B40)</f>
        <v>0</v>
      </c>
      <c r="I40" s="6">
        <f>averageResponseTimePorter(Dates!I$8,Dates!I$9,'Day3'!$B40)</f>
        <v>0</v>
      </c>
      <c r="J40" s="6">
        <f>averageResponseTimePorter(Dates!J$8,Dates!J$9,'Day3'!$B40)</f>
        <v>0</v>
      </c>
      <c r="K40" s="6">
        <f>averageResponseTimePorter(Dates!K$8,Dates!K$9,'Day3'!$B40)</f>
        <v>0</v>
      </c>
      <c r="L40" s="6">
        <f>averageResponseTimePorter(Dates!L$8,Dates!L$9,'Day3'!$B40)</f>
        <v>0</v>
      </c>
      <c r="M40" s="6">
        <f>averageResponseTimePorter(Dates!M$8,Dates!M$9,'Day3'!$B40)</f>
        <v>0</v>
      </c>
      <c r="N40" s="6">
        <f>averageResponseTimePorter(Dates!N$8,Dates!N$9,'Day3'!$B40)</f>
        <v>0</v>
      </c>
      <c r="O40" s="6">
        <f>averageResponseTimePorter(Dates!O$8,Dates!O$9,'Day3'!$B40)</f>
        <v>0</v>
      </c>
      <c r="P40" s="6">
        <f>averageResponseTimePorter(Dates!P$8,Dates!P$9,'Day3'!$B40)</f>
        <v>0</v>
      </c>
      <c r="Q40" s="6">
        <f>averageResponseTimePorter(Dates!Q$8,Dates!Q$9,'Day3'!$B40)</f>
        <v>0</v>
      </c>
      <c r="R40" s="6">
        <f>averageResponseTimePorter(Dates!R$8,Dates!R$9,'Day3'!$B40)</f>
        <v>0</v>
      </c>
      <c r="S40" s="6">
        <f>averageResponseTimePorter(Dates!S$8,Dates!S$9,'Day3'!$B40)</f>
        <v>0</v>
      </c>
      <c r="T40" s="6">
        <f>averageResponseTimePorter(Dates!T$8,Dates!T$9,'Day3'!$B40)</f>
        <v>0</v>
      </c>
      <c r="U40" s="6">
        <f>averageResponseTimePorter(Dates!$C$8,Dates!$T$9,'Day3'!$B17)</f>
        <v>0</v>
      </c>
    </row>
    <row r="41" spans="2:21" x14ac:dyDescent="0.3">
      <c r="B41" s="8" t="str">
        <f t="shared" si="0"/>
        <v>NA18</v>
      </c>
      <c r="C41" s="6">
        <f>averageResponseTimePorter(Dates!C$8,Dates!C$9,'Day3'!$B41)</f>
        <v>0</v>
      </c>
      <c r="D41" s="6">
        <f>averageResponseTimePorter(Dates!D$8,Dates!D$9,'Day3'!$B41)</f>
        <v>0</v>
      </c>
      <c r="E41" s="6">
        <f>averageResponseTimePorter(Dates!E$8,Dates!E$9,'Day3'!$B41)</f>
        <v>0</v>
      </c>
      <c r="F41" s="6">
        <f>averageResponseTimePorter(Dates!F$8,Dates!F$9,'Day3'!$B41)</f>
        <v>0</v>
      </c>
      <c r="G41" s="6">
        <f>averageResponseTimePorter(Dates!G$8,Dates!G$9,'Day3'!$B41)</f>
        <v>0</v>
      </c>
      <c r="H41" s="6">
        <f>averageResponseTimePorter(Dates!H$8,Dates!H$9,'Day3'!$B41)</f>
        <v>0</v>
      </c>
      <c r="I41" s="6">
        <f>averageResponseTimePorter(Dates!I$8,Dates!I$9,'Day3'!$B41)</f>
        <v>0</v>
      </c>
      <c r="J41" s="6">
        <f>averageResponseTimePorter(Dates!J$8,Dates!J$9,'Day3'!$B41)</f>
        <v>0</v>
      </c>
      <c r="K41" s="6">
        <f>averageResponseTimePorter(Dates!K$8,Dates!K$9,'Day3'!$B41)</f>
        <v>0</v>
      </c>
      <c r="L41" s="6">
        <f>averageResponseTimePorter(Dates!L$8,Dates!L$9,'Day3'!$B41)</f>
        <v>0</v>
      </c>
      <c r="M41" s="6">
        <f>averageResponseTimePorter(Dates!M$8,Dates!M$9,'Day3'!$B41)</f>
        <v>0</v>
      </c>
      <c r="N41" s="6">
        <f>averageResponseTimePorter(Dates!N$8,Dates!N$9,'Day3'!$B41)</f>
        <v>0</v>
      </c>
      <c r="O41" s="6">
        <f>averageResponseTimePorter(Dates!O$8,Dates!O$9,'Day3'!$B41)</f>
        <v>0</v>
      </c>
      <c r="P41" s="6">
        <f>averageResponseTimePorter(Dates!P$8,Dates!P$9,'Day3'!$B41)</f>
        <v>0</v>
      </c>
      <c r="Q41" s="6">
        <f>averageResponseTimePorter(Dates!Q$8,Dates!Q$9,'Day3'!$B41)</f>
        <v>0</v>
      </c>
      <c r="R41" s="6">
        <f>averageResponseTimePorter(Dates!R$8,Dates!R$9,'Day3'!$B41)</f>
        <v>0</v>
      </c>
      <c r="S41" s="6">
        <f>averageResponseTimePorter(Dates!S$8,Dates!S$9,'Day3'!$B41)</f>
        <v>0</v>
      </c>
      <c r="T41" s="6">
        <f>averageResponseTimePorter(Dates!T$8,Dates!T$9,'Day3'!$B41)</f>
        <v>0</v>
      </c>
      <c r="U41" s="6">
        <f>averageResponseTimePorter(Dates!$C$8,Dates!$T$9,'Day3'!$B18)</f>
        <v>0</v>
      </c>
    </row>
    <row r="42" spans="2:21" x14ac:dyDescent="0.3">
      <c r="B42" s="8" t="str">
        <f t="shared" si="0"/>
        <v>NA19</v>
      </c>
      <c r="C42" s="6">
        <f>averageResponseTimePorter(Dates!C$8,Dates!C$9,'Day3'!$B42)</f>
        <v>0</v>
      </c>
      <c r="D42" s="6">
        <f>averageResponseTimePorter(Dates!D$8,Dates!D$9,'Day3'!$B42)</f>
        <v>0</v>
      </c>
      <c r="E42" s="6">
        <f>averageResponseTimePorter(Dates!E$8,Dates!E$9,'Day3'!$B42)</f>
        <v>0</v>
      </c>
      <c r="F42" s="6">
        <f>averageResponseTimePorter(Dates!F$8,Dates!F$9,'Day3'!$B42)</f>
        <v>0</v>
      </c>
      <c r="G42" s="6">
        <f>averageResponseTimePorter(Dates!G$8,Dates!G$9,'Day3'!$B42)</f>
        <v>0</v>
      </c>
      <c r="H42" s="6">
        <f>averageResponseTimePorter(Dates!H$8,Dates!H$9,'Day3'!$B42)</f>
        <v>0</v>
      </c>
      <c r="I42" s="6">
        <f>averageResponseTimePorter(Dates!I$8,Dates!I$9,'Day3'!$B42)</f>
        <v>0</v>
      </c>
      <c r="J42" s="6">
        <f>averageResponseTimePorter(Dates!J$8,Dates!J$9,'Day3'!$B42)</f>
        <v>0</v>
      </c>
      <c r="K42" s="6">
        <f>averageResponseTimePorter(Dates!K$8,Dates!K$9,'Day3'!$B42)</f>
        <v>0</v>
      </c>
      <c r="L42" s="6">
        <f>averageResponseTimePorter(Dates!L$8,Dates!L$9,'Day3'!$B42)</f>
        <v>0</v>
      </c>
      <c r="M42" s="6">
        <f>averageResponseTimePorter(Dates!M$8,Dates!M$9,'Day3'!$B42)</f>
        <v>0</v>
      </c>
      <c r="N42" s="6">
        <f>averageResponseTimePorter(Dates!N$8,Dates!N$9,'Day3'!$B42)</f>
        <v>0</v>
      </c>
      <c r="O42" s="6">
        <f>averageResponseTimePorter(Dates!O$8,Dates!O$9,'Day3'!$B42)</f>
        <v>0</v>
      </c>
      <c r="P42" s="6">
        <f>averageResponseTimePorter(Dates!P$8,Dates!P$9,'Day3'!$B42)</f>
        <v>0</v>
      </c>
      <c r="Q42" s="6">
        <f>averageResponseTimePorter(Dates!Q$8,Dates!Q$9,'Day3'!$B42)</f>
        <v>0</v>
      </c>
      <c r="R42" s="6">
        <f>averageResponseTimePorter(Dates!R$8,Dates!R$9,'Day3'!$B42)</f>
        <v>0</v>
      </c>
      <c r="S42" s="6">
        <f>averageResponseTimePorter(Dates!S$8,Dates!S$9,'Day3'!$B42)</f>
        <v>0</v>
      </c>
      <c r="T42" s="6">
        <f>averageResponseTimePorter(Dates!T$8,Dates!T$9,'Day3'!$B42)</f>
        <v>0</v>
      </c>
      <c r="U42" s="6">
        <f>averageResponseTimePorter(Dates!$C$8,Dates!$T$9,'Day3'!$B19)</f>
        <v>0</v>
      </c>
    </row>
    <row r="43" spans="2:21" x14ac:dyDescent="0.3">
      <c r="B43" s="8" t="str">
        <f t="shared" si="0"/>
        <v>NA20</v>
      </c>
      <c r="C43" s="6">
        <f>averageResponseTimePorter(Dates!C$8,Dates!C$9,'Day3'!$B43)</f>
        <v>0</v>
      </c>
      <c r="D43" s="6">
        <f>averageResponseTimePorter(Dates!D$8,Dates!D$9,'Day3'!$B43)</f>
        <v>0</v>
      </c>
      <c r="E43" s="6">
        <f>averageResponseTimePorter(Dates!E$8,Dates!E$9,'Day3'!$B43)</f>
        <v>0</v>
      </c>
      <c r="F43" s="6">
        <f>averageResponseTimePorter(Dates!F$8,Dates!F$9,'Day3'!$B43)</f>
        <v>0</v>
      </c>
      <c r="G43" s="6">
        <f>averageResponseTimePorter(Dates!G$8,Dates!G$9,'Day3'!$B43)</f>
        <v>0</v>
      </c>
      <c r="H43" s="6">
        <f>averageResponseTimePorter(Dates!H$8,Dates!H$9,'Day3'!$B43)</f>
        <v>0</v>
      </c>
      <c r="I43" s="6">
        <f>averageResponseTimePorter(Dates!I$8,Dates!I$9,'Day3'!$B43)</f>
        <v>0</v>
      </c>
      <c r="J43" s="6">
        <f>averageResponseTimePorter(Dates!J$8,Dates!J$9,'Day3'!$B43)</f>
        <v>0</v>
      </c>
      <c r="K43" s="6">
        <f>averageResponseTimePorter(Dates!K$8,Dates!K$9,'Day3'!$B43)</f>
        <v>0</v>
      </c>
      <c r="L43" s="6">
        <f>averageResponseTimePorter(Dates!L$8,Dates!L$9,'Day3'!$B43)</f>
        <v>0</v>
      </c>
      <c r="M43" s="6">
        <f>averageResponseTimePorter(Dates!M$8,Dates!M$9,'Day3'!$B43)</f>
        <v>0</v>
      </c>
      <c r="N43" s="6">
        <f>averageResponseTimePorter(Dates!N$8,Dates!N$9,'Day3'!$B43)</f>
        <v>0</v>
      </c>
      <c r="O43" s="6">
        <f>averageResponseTimePorter(Dates!O$8,Dates!O$9,'Day3'!$B43)</f>
        <v>0</v>
      </c>
      <c r="P43" s="6">
        <f>averageResponseTimePorter(Dates!P$8,Dates!P$9,'Day3'!$B43)</f>
        <v>0</v>
      </c>
      <c r="Q43" s="6">
        <f>averageResponseTimePorter(Dates!Q$8,Dates!Q$9,'Day3'!$B43)</f>
        <v>0</v>
      </c>
      <c r="R43" s="6">
        <f>averageResponseTimePorter(Dates!R$8,Dates!R$9,'Day3'!$B43)</f>
        <v>0</v>
      </c>
      <c r="S43" s="6">
        <f>averageResponseTimePorter(Dates!S$8,Dates!S$9,'Day3'!$B43)</f>
        <v>0</v>
      </c>
      <c r="T43" s="6">
        <f>averageResponseTimePorter(Dates!T$8,Dates!T$9,'Day3'!$B43)</f>
        <v>0</v>
      </c>
      <c r="U43" s="6">
        <f>averageResponseTimePorter(Dates!$C$8,Dates!$T$9,'Day3'!$B20)</f>
        <v>0</v>
      </c>
    </row>
    <row r="44" spans="2:21" x14ac:dyDescent="0.3">
      <c r="B44" s="8" t="str">
        <f t="shared" si="0"/>
        <v>NA21</v>
      </c>
      <c r="C44" s="6">
        <f>averageResponseTimePorter(Dates!C$8,Dates!C$9,'Day3'!$B44)</f>
        <v>0</v>
      </c>
      <c r="D44" s="6">
        <f>averageResponseTimePorter(Dates!D$8,Dates!D$9,'Day3'!$B44)</f>
        <v>0</v>
      </c>
      <c r="E44" s="6">
        <f>averageResponseTimePorter(Dates!E$8,Dates!E$9,'Day3'!$B44)</f>
        <v>0</v>
      </c>
      <c r="F44" s="6">
        <f>averageResponseTimePorter(Dates!F$8,Dates!F$9,'Day3'!$B44)</f>
        <v>0</v>
      </c>
      <c r="G44" s="6">
        <f>averageResponseTimePorter(Dates!G$8,Dates!G$9,'Day3'!$B44)</f>
        <v>0</v>
      </c>
      <c r="H44" s="6">
        <f>averageResponseTimePorter(Dates!H$8,Dates!H$9,'Day3'!$B44)</f>
        <v>0</v>
      </c>
      <c r="I44" s="6">
        <f>averageResponseTimePorter(Dates!I$8,Dates!I$9,'Day3'!$B44)</f>
        <v>0</v>
      </c>
      <c r="J44" s="6">
        <f>averageResponseTimePorter(Dates!J$8,Dates!J$9,'Day3'!$B44)</f>
        <v>0</v>
      </c>
      <c r="K44" s="6">
        <f>averageResponseTimePorter(Dates!K$8,Dates!K$9,'Day3'!$B44)</f>
        <v>0</v>
      </c>
      <c r="L44" s="6">
        <f>averageResponseTimePorter(Dates!L$8,Dates!L$9,'Day3'!$B44)</f>
        <v>0</v>
      </c>
      <c r="M44" s="6">
        <f>averageResponseTimePorter(Dates!M$8,Dates!M$9,'Day3'!$B44)</f>
        <v>0</v>
      </c>
      <c r="N44" s="6">
        <f>averageResponseTimePorter(Dates!N$8,Dates!N$9,'Day3'!$B44)</f>
        <v>0</v>
      </c>
      <c r="O44" s="6">
        <f>averageResponseTimePorter(Dates!O$8,Dates!O$9,'Day3'!$B44)</f>
        <v>0</v>
      </c>
      <c r="P44" s="6">
        <f>averageResponseTimePorter(Dates!P$8,Dates!P$9,'Day3'!$B44)</f>
        <v>0</v>
      </c>
      <c r="Q44" s="6">
        <f>averageResponseTimePorter(Dates!Q$8,Dates!Q$9,'Day3'!$B44)</f>
        <v>0</v>
      </c>
      <c r="R44" s="6">
        <f>averageResponseTimePorter(Dates!R$8,Dates!R$9,'Day3'!$B44)</f>
        <v>0</v>
      </c>
      <c r="S44" s="6">
        <f>averageResponseTimePorter(Dates!S$8,Dates!S$9,'Day3'!$B44)</f>
        <v>0</v>
      </c>
      <c r="T44" s="6">
        <f>averageResponseTimePorter(Dates!T$8,Dates!T$9,'Day3'!$B44)</f>
        <v>0</v>
      </c>
      <c r="U44" s="6">
        <f>averageResponseTimePorter(Dates!$C$8,Dates!$T$9,'Day3'!$B21)</f>
        <v>0</v>
      </c>
    </row>
    <row r="45" spans="2:21" x14ac:dyDescent="0.3">
      <c r="B45" s="8" t="str">
        <f t="shared" si="0"/>
        <v>NA22</v>
      </c>
      <c r="C45" s="6">
        <f>averageResponseTimePorter(Dates!C$8,Dates!C$9,'Day3'!$B45)</f>
        <v>0</v>
      </c>
      <c r="D45" s="6">
        <f>averageResponseTimePorter(Dates!D$8,Dates!D$9,'Day3'!$B45)</f>
        <v>0</v>
      </c>
      <c r="E45" s="6">
        <f>averageResponseTimePorter(Dates!E$8,Dates!E$9,'Day3'!$B45)</f>
        <v>0</v>
      </c>
      <c r="F45" s="6">
        <f>averageResponseTimePorter(Dates!F$8,Dates!F$9,'Day3'!$B45)</f>
        <v>0</v>
      </c>
      <c r="G45" s="6">
        <f>averageResponseTimePorter(Dates!G$8,Dates!G$9,'Day3'!$B45)</f>
        <v>0</v>
      </c>
      <c r="H45" s="6">
        <f>averageResponseTimePorter(Dates!H$8,Dates!H$9,'Day3'!$B45)</f>
        <v>0</v>
      </c>
      <c r="I45" s="6">
        <f>averageResponseTimePorter(Dates!I$8,Dates!I$9,'Day3'!$B45)</f>
        <v>0</v>
      </c>
      <c r="J45" s="6">
        <f>averageResponseTimePorter(Dates!J$8,Dates!J$9,'Day3'!$B45)</f>
        <v>0</v>
      </c>
      <c r="K45" s="6">
        <f>averageResponseTimePorter(Dates!K$8,Dates!K$9,'Day3'!$B45)</f>
        <v>0</v>
      </c>
      <c r="L45" s="6">
        <f>averageResponseTimePorter(Dates!L$8,Dates!L$9,'Day3'!$B45)</f>
        <v>0</v>
      </c>
      <c r="M45" s="6">
        <f>averageResponseTimePorter(Dates!M$8,Dates!M$9,'Day3'!$B45)</f>
        <v>0</v>
      </c>
      <c r="N45" s="6">
        <f>averageResponseTimePorter(Dates!N$8,Dates!N$9,'Day3'!$B45)</f>
        <v>0</v>
      </c>
      <c r="O45" s="6">
        <f>averageResponseTimePorter(Dates!O$8,Dates!O$9,'Day3'!$B45)</f>
        <v>0</v>
      </c>
      <c r="P45" s="6">
        <f>averageResponseTimePorter(Dates!P$8,Dates!P$9,'Day3'!$B45)</f>
        <v>0</v>
      </c>
      <c r="Q45" s="6">
        <f>averageResponseTimePorter(Dates!Q$8,Dates!Q$9,'Day3'!$B45)</f>
        <v>0</v>
      </c>
      <c r="R45" s="6">
        <f>averageResponseTimePorter(Dates!R$8,Dates!R$9,'Day3'!$B45)</f>
        <v>0</v>
      </c>
      <c r="S45" s="6">
        <f>averageResponseTimePorter(Dates!S$8,Dates!S$9,'Day3'!$B45)</f>
        <v>0</v>
      </c>
      <c r="T45" s="6">
        <f>averageResponseTimePorter(Dates!T$8,Dates!T$9,'Day3'!$B45)</f>
        <v>0</v>
      </c>
      <c r="U45" s="6">
        <f>averageResponseTimePorter(Dates!$C$8,Dates!$T$9,'Day3'!$B22)</f>
        <v>0</v>
      </c>
    </row>
    <row r="46" spans="2:21" x14ac:dyDescent="0.3">
      <c r="B46" s="8" t="str">
        <f t="shared" si="0"/>
        <v>NA23</v>
      </c>
      <c r="C46" s="6">
        <f>averageResponseTimePorter(Dates!C$8,Dates!C$9,'Day3'!$B46)</f>
        <v>0</v>
      </c>
      <c r="D46" s="6">
        <f>averageResponseTimePorter(Dates!D$8,Dates!D$9,'Day3'!$B46)</f>
        <v>0</v>
      </c>
      <c r="E46" s="6">
        <f>averageResponseTimePorter(Dates!E$8,Dates!E$9,'Day3'!$B46)</f>
        <v>0</v>
      </c>
      <c r="F46" s="6">
        <f>averageResponseTimePorter(Dates!F$8,Dates!F$9,'Day3'!$B46)</f>
        <v>0</v>
      </c>
      <c r="G46" s="6">
        <f>averageResponseTimePorter(Dates!G$8,Dates!G$9,'Day3'!$B46)</f>
        <v>0</v>
      </c>
      <c r="H46" s="6">
        <f>averageResponseTimePorter(Dates!H$8,Dates!H$9,'Day3'!$B46)</f>
        <v>0</v>
      </c>
      <c r="I46" s="6">
        <f>averageResponseTimePorter(Dates!I$8,Dates!I$9,'Day3'!$B46)</f>
        <v>0</v>
      </c>
      <c r="J46" s="6">
        <f>averageResponseTimePorter(Dates!J$8,Dates!J$9,'Day3'!$B46)</f>
        <v>0</v>
      </c>
      <c r="K46" s="6">
        <f>averageResponseTimePorter(Dates!K$8,Dates!K$9,'Day3'!$B46)</f>
        <v>0</v>
      </c>
      <c r="L46" s="6">
        <f>averageResponseTimePorter(Dates!L$8,Dates!L$9,'Day3'!$B46)</f>
        <v>0</v>
      </c>
      <c r="M46" s="6">
        <f>averageResponseTimePorter(Dates!M$8,Dates!M$9,'Day3'!$B46)</f>
        <v>0</v>
      </c>
      <c r="N46" s="6">
        <f>averageResponseTimePorter(Dates!N$8,Dates!N$9,'Day3'!$B46)</f>
        <v>0</v>
      </c>
      <c r="O46" s="6">
        <f>averageResponseTimePorter(Dates!O$8,Dates!O$9,'Day3'!$B46)</f>
        <v>0</v>
      </c>
      <c r="P46" s="6">
        <f>averageResponseTimePorter(Dates!P$8,Dates!P$9,'Day3'!$B46)</f>
        <v>0</v>
      </c>
      <c r="Q46" s="6">
        <f>averageResponseTimePorter(Dates!Q$8,Dates!Q$9,'Day3'!$B46)</f>
        <v>0</v>
      </c>
      <c r="R46" s="6">
        <f>averageResponseTimePorter(Dates!R$8,Dates!R$9,'Day3'!$B46)</f>
        <v>0</v>
      </c>
      <c r="S46" s="6">
        <f>averageResponseTimePorter(Dates!S$8,Dates!S$9,'Day3'!$B46)</f>
        <v>0</v>
      </c>
      <c r="T46" s="6">
        <f>averageResponseTimePorter(Dates!T$8,Dates!T$9,'Day3'!$B46)</f>
        <v>0</v>
      </c>
      <c r="U46" s="6">
        <f>averageResponseTimePorter(Dates!$C$8,Dates!$T$9,'Day3'!$B23)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46"/>
  <sheetViews>
    <sheetView topLeftCell="A26" zoomScale="80" zoomScaleNormal="80" workbookViewId="0">
      <selection activeCell="B26" sqref="B26:B46"/>
    </sheetView>
  </sheetViews>
  <sheetFormatPr defaultRowHeight="14.4" x14ac:dyDescent="0.3"/>
  <cols>
    <col min="2" max="2" width="27.21875" style="8" customWidth="1"/>
    <col min="7" max="7" width="10.21875" customWidth="1"/>
  </cols>
  <sheetData>
    <row r="1" spans="1:21" x14ac:dyDescent="0.3">
      <c r="C1" s="4" t="s">
        <v>2</v>
      </c>
      <c r="D1" s="5">
        <v>7</v>
      </c>
      <c r="E1" s="5">
        <v>8</v>
      </c>
      <c r="F1" s="5">
        <v>9</v>
      </c>
      <c r="G1" s="5">
        <v>10</v>
      </c>
      <c r="H1" s="5">
        <v>11</v>
      </c>
      <c r="I1" s="5">
        <v>12</v>
      </c>
      <c r="J1" s="5">
        <v>13</v>
      </c>
      <c r="K1" s="5">
        <v>14</v>
      </c>
      <c r="L1" s="5">
        <v>15</v>
      </c>
      <c r="M1" s="5">
        <v>16</v>
      </c>
      <c r="N1" s="5">
        <v>17</v>
      </c>
      <c r="O1" s="5">
        <v>18</v>
      </c>
      <c r="P1" s="5">
        <v>19</v>
      </c>
      <c r="Q1" s="5">
        <v>20</v>
      </c>
      <c r="R1" s="5">
        <v>21</v>
      </c>
      <c r="S1" s="5">
        <v>22</v>
      </c>
      <c r="T1" s="5">
        <v>23</v>
      </c>
      <c r="U1" s="5" t="s">
        <v>11</v>
      </c>
    </row>
    <row r="2" spans="1:21" x14ac:dyDescent="0.3">
      <c r="A2" t="s">
        <v>4</v>
      </c>
      <c r="B2" s="8" t="s">
        <v>6</v>
      </c>
      <c r="C2" s="6">
        <f>averageCompletionTime(Dates!C10,Dates!C11)</f>
        <v>0</v>
      </c>
      <c r="D2" s="6">
        <f>averageCompletionTime(Dates!D10,Dates!D11)</f>
        <v>0</v>
      </c>
      <c r="E2" s="6">
        <f>averageCompletionTime(Dates!E10,Dates!E11)</f>
        <v>0</v>
      </c>
      <c r="F2" s="6">
        <f>averageCompletionTime(Dates!F10,Dates!F11)</f>
        <v>0</v>
      </c>
      <c r="G2" s="6">
        <f>averageCompletionTime(Dates!G10,Dates!G11)</f>
        <v>0</v>
      </c>
      <c r="H2" s="6">
        <f>averageCompletionTime(Dates!H10,Dates!H11)</f>
        <v>0</v>
      </c>
      <c r="I2" s="6">
        <f>averageCompletionTime(Dates!I10,Dates!I11)</f>
        <v>0</v>
      </c>
      <c r="J2" s="6">
        <f>averageCompletionTime(Dates!J10,Dates!J11)</f>
        <v>0</v>
      </c>
      <c r="K2" s="6">
        <f>averageCompletionTime(Dates!K10,Dates!K11)</f>
        <v>0</v>
      </c>
      <c r="L2" s="6">
        <f>averageCompletionTime(Dates!L10,Dates!L11)</f>
        <v>0</v>
      </c>
      <c r="M2" s="6">
        <f>averageCompletionTime(Dates!M10,Dates!M11)</f>
        <v>0</v>
      </c>
      <c r="N2" s="6">
        <f>averageCompletionTime(Dates!N10,Dates!N11)</f>
        <v>0</v>
      </c>
      <c r="O2" s="6">
        <f>averageCompletionTime(Dates!O10,Dates!O11)</f>
        <v>0</v>
      </c>
      <c r="P2" s="6">
        <f>averageCompletionTime(Dates!P10,Dates!P11)</f>
        <v>0</v>
      </c>
      <c r="Q2" s="6">
        <f>averageCompletionTime(Dates!Q10,Dates!Q11)</f>
        <v>0</v>
      </c>
      <c r="R2" s="6">
        <f>averageCompletionTime(Dates!R10,Dates!R11)</f>
        <v>0</v>
      </c>
      <c r="S2" s="6">
        <f>averageCompletionTime(Dates!S10,Dates!S11)</f>
        <v>0</v>
      </c>
      <c r="T2" s="6">
        <f>averageCompletionTime(Dates!T10,Dates!T11)</f>
        <v>0</v>
      </c>
      <c r="U2" s="6">
        <f>averageCompletionTime(Dates!C10,Dates!T11)</f>
        <v>0</v>
      </c>
    </row>
    <row r="3" spans="1:21" x14ac:dyDescent="0.3">
      <c r="A3" s="7" t="s">
        <v>5</v>
      </c>
      <c r="B3" s="9"/>
      <c r="C3" s="6">
        <f>averageCompletionTimePorter(Dates!C$10,Dates!C$11,'Day4'!$B3)</f>
        <v>0</v>
      </c>
      <c r="D3" s="6">
        <f>averageCompletionTimePorter(Dates!D$10,Dates!D$11,'Day4'!$B3)</f>
        <v>0</v>
      </c>
      <c r="E3" s="6">
        <f>averageCompletionTimePorter(Dates!E$10,Dates!E$11,'Day4'!$B3)</f>
        <v>0</v>
      </c>
      <c r="F3" s="6">
        <f>averageCompletionTimePorter(Dates!F$10,Dates!F$11,'Day4'!$B3)</f>
        <v>0</v>
      </c>
      <c r="G3" s="6">
        <f>averageCompletionTimePorter(Dates!G$10,Dates!G$11,'Day4'!$B3)</f>
        <v>0</v>
      </c>
      <c r="H3" s="6">
        <f>averageCompletionTimePorter(Dates!H$10,Dates!H$11,'Day4'!$B3)</f>
        <v>0</v>
      </c>
      <c r="I3" s="6">
        <f>averageCompletionTimePorter(Dates!I$10,Dates!I$11,'Day4'!$B3)</f>
        <v>0</v>
      </c>
      <c r="J3" s="6">
        <f>averageCompletionTimePorter(Dates!J$10,Dates!J$11,'Day4'!$B3)</f>
        <v>0</v>
      </c>
      <c r="K3" s="6">
        <f>averageCompletionTimePorter(Dates!K$10,Dates!K$11,'Day4'!$B3)</f>
        <v>0</v>
      </c>
      <c r="L3" s="6">
        <f>averageCompletionTimePorter(Dates!L$10,Dates!L$11,'Day4'!$B3)</f>
        <v>0</v>
      </c>
      <c r="M3" s="6">
        <f>averageCompletionTimePorter(Dates!M$10,Dates!M$11,'Day4'!$B3)</f>
        <v>0</v>
      </c>
      <c r="N3" s="6">
        <f>averageCompletionTimePorter(Dates!N$10,Dates!N$11,'Day4'!$B3)</f>
        <v>0</v>
      </c>
      <c r="O3" s="6">
        <f>averageCompletionTimePorter(Dates!O$10,Dates!O$11,'Day4'!$B3)</f>
        <v>0</v>
      </c>
      <c r="P3" s="6">
        <f>averageCompletionTimePorter(Dates!P$10,Dates!P$11,'Day4'!$B3)</f>
        <v>0</v>
      </c>
      <c r="Q3" s="6">
        <f>averageCompletionTimePorter(Dates!Q$10,Dates!Q$11,'Day4'!$B3)</f>
        <v>0</v>
      </c>
      <c r="R3" s="6">
        <f>averageCompletionTimePorter(Dates!R$10,Dates!R$11,'Day4'!$B3)</f>
        <v>0</v>
      </c>
      <c r="S3" s="6">
        <f>averageCompletionTimePorter(Dates!S$10,Dates!S$11,'Day4'!$B3)</f>
        <v>0</v>
      </c>
      <c r="T3" s="6">
        <f>averageCompletionTimePorter(Dates!T$10,Dates!T$11,'Day4'!$B3)</f>
        <v>0</v>
      </c>
      <c r="U3" s="6">
        <f>averageCompletionTimePorter(Dates!$C$10,Dates!$T$11,'Day4'!$B3)</f>
        <v>0</v>
      </c>
    </row>
    <row r="4" spans="1:21" x14ac:dyDescent="0.3">
      <c r="A4" s="7"/>
      <c r="B4" s="9" t="s">
        <v>28</v>
      </c>
      <c r="C4" s="6">
        <f>averageCompletionTimePorter(Dates!C$10,Dates!C$11,'Day4'!$B4)</f>
        <v>0</v>
      </c>
      <c r="D4" s="6">
        <f>averageCompletionTimePorter(Dates!D$10,Dates!D$11,'Day4'!$B4)</f>
        <v>0</v>
      </c>
      <c r="E4" s="6">
        <f>averageCompletionTimePorter(Dates!E$10,Dates!E$11,'Day4'!$B4)</f>
        <v>0</v>
      </c>
      <c r="F4" s="6">
        <f>averageCompletionTimePorter(Dates!F$10,Dates!F$11,'Day4'!$B4)</f>
        <v>0</v>
      </c>
      <c r="G4" s="6">
        <f>averageCompletionTimePorter(Dates!G$10,Dates!G$11,'Day4'!$B4)</f>
        <v>0</v>
      </c>
      <c r="H4" s="6">
        <f>averageCompletionTimePorter(Dates!H$10,Dates!H$11,'Day4'!$B4)</f>
        <v>0</v>
      </c>
      <c r="I4" s="6">
        <f>averageCompletionTimePorter(Dates!I$10,Dates!I$11,'Day4'!$B4)</f>
        <v>0</v>
      </c>
      <c r="J4" s="6">
        <f>averageCompletionTimePorter(Dates!J$10,Dates!J$11,'Day4'!$B4)</f>
        <v>0</v>
      </c>
      <c r="K4" s="6">
        <f>averageCompletionTimePorter(Dates!K$10,Dates!K$11,'Day4'!$B4)</f>
        <v>0</v>
      </c>
      <c r="L4" s="6">
        <f>averageCompletionTimePorter(Dates!L$10,Dates!L$11,'Day4'!$B4)</f>
        <v>0</v>
      </c>
      <c r="M4" s="6">
        <f>averageCompletionTimePorter(Dates!M$10,Dates!M$11,'Day4'!$B4)</f>
        <v>0</v>
      </c>
      <c r="N4" s="6">
        <f>averageCompletionTimePorter(Dates!N$10,Dates!N$11,'Day4'!$B4)</f>
        <v>0</v>
      </c>
      <c r="O4" s="6">
        <f>averageCompletionTimePorter(Dates!O$10,Dates!O$11,'Day4'!$B4)</f>
        <v>0</v>
      </c>
      <c r="P4" s="6">
        <f>averageCompletionTimePorter(Dates!P$10,Dates!P$11,'Day4'!$B4)</f>
        <v>0</v>
      </c>
      <c r="Q4" s="6">
        <f>averageCompletionTimePorter(Dates!Q$10,Dates!Q$11,'Day4'!$B4)</f>
        <v>0</v>
      </c>
      <c r="R4" s="6">
        <f>averageCompletionTimePorter(Dates!R$10,Dates!R$11,'Day4'!$B4)</f>
        <v>0</v>
      </c>
      <c r="S4" s="6">
        <f>averageCompletionTimePorter(Dates!S$10,Dates!S$11,'Day4'!$B4)</f>
        <v>0</v>
      </c>
      <c r="T4" s="6">
        <f>averageCompletionTimePorter(Dates!T$10,Dates!T$11,'Day4'!$B4)</f>
        <v>0</v>
      </c>
      <c r="U4" s="6">
        <f>averageCompletionTimePorter(Dates!$C$10,Dates!$T$11,'Day4'!$B4)</f>
        <v>0</v>
      </c>
    </row>
    <row r="5" spans="1:21" x14ac:dyDescent="0.3">
      <c r="A5" s="7"/>
      <c r="B5" s="9" t="s">
        <v>29</v>
      </c>
      <c r="C5" s="6">
        <f>averageCompletionTimePorter(Dates!C$10,Dates!C$11,'Day4'!$B5)</f>
        <v>0</v>
      </c>
      <c r="D5" s="6">
        <f>averageCompletionTimePorter(Dates!D$10,Dates!D$11,'Day4'!$B5)</f>
        <v>0</v>
      </c>
      <c r="E5" s="6">
        <f>averageCompletionTimePorter(Dates!E$10,Dates!E$11,'Day4'!$B5)</f>
        <v>0</v>
      </c>
      <c r="F5" s="6">
        <f>averageCompletionTimePorter(Dates!F$10,Dates!F$11,'Day4'!$B5)</f>
        <v>0</v>
      </c>
      <c r="G5" s="6">
        <f>averageCompletionTimePorter(Dates!G$10,Dates!G$11,'Day4'!$B5)</f>
        <v>0</v>
      </c>
      <c r="H5" s="6">
        <f>averageCompletionTimePorter(Dates!H$10,Dates!H$11,'Day4'!$B5)</f>
        <v>0</v>
      </c>
      <c r="I5" s="6">
        <f>averageCompletionTimePorter(Dates!I$10,Dates!I$11,'Day4'!$B5)</f>
        <v>0</v>
      </c>
      <c r="J5" s="6">
        <f>averageCompletionTimePorter(Dates!J$10,Dates!J$11,'Day4'!$B5)</f>
        <v>0</v>
      </c>
      <c r="K5" s="6">
        <f>averageCompletionTimePorter(Dates!K$10,Dates!K$11,'Day4'!$B5)</f>
        <v>0</v>
      </c>
      <c r="L5" s="6">
        <f>averageCompletionTimePorter(Dates!L$10,Dates!L$11,'Day4'!$B5)</f>
        <v>0</v>
      </c>
      <c r="M5" s="6">
        <f>averageCompletionTimePorter(Dates!M$10,Dates!M$11,'Day4'!$B5)</f>
        <v>0</v>
      </c>
      <c r="N5" s="6">
        <f>averageCompletionTimePorter(Dates!N$10,Dates!N$11,'Day4'!$B5)</f>
        <v>0</v>
      </c>
      <c r="O5" s="6">
        <f>averageCompletionTimePorter(Dates!O$10,Dates!O$11,'Day4'!$B5)</f>
        <v>0</v>
      </c>
      <c r="P5" s="6">
        <f>averageCompletionTimePorter(Dates!P$10,Dates!P$11,'Day4'!$B5)</f>
        <v>0</v>
      </c>
      <c r="Q5" s="6">
        <f>averageCompletionTimePorter(Dates!Q$10,Dates!Q$11,'Day4'!$B5)</f>
        <v>0</v>
      </c>
      <c r="R5" s="6">
        <f>averageCompletionTimePorter(Dates!R$10,Dates!R$11,'Day4'!$B5)</f>
        <v>0</v>
      </c>
      <c r="S5" s="6">
        <f>averageCompletionTimePorter(Dates!S$10,Dates!S$11,'Day4'!$B5)</f>
        <v>0</v>
      </c>
      <c r="T5" s="6">
        <f>averageCompletionTimePorter(Dates!T$10,Dates!T$11,'Day4'!$B5)</f>
        <v>0</v>
      </c>
      <c r="U5" s="6">
        <f>averageCompletionTimePorter(Dates!$C$10,Dates!$T$11,'Day4'!$B5)</f>
        <v>0</v>
      </c>
    </row>
    <row r="6" spans="1:21" x14ac:dyDescent="0.3">
      <c r="A6" s="7"/>
      <c r="B6" s="9" t="s">
        <v>30</v>
      </c>
      <c r="C6" s="6">
        <f>averageCompletionTimePorter(Dates!C$10,Dates!C$11,'Day4'!$B6)</f>
        <v>0</v>
      </c>
      <c r="D6" s="6">
        <f>averageCompletionTimePorter(Dates!D$10,Dates!D$11,'Day4'!$B6)</f>
        <v>0</v>
      </c>
      <c r="E6" s="6">
        <f>averageCompletionTimePorter(Dates!E$10,Dates!E$11,'Day4'!$B6)</f>
        <v>0</v>
      </c>
      <c r="F6" s="6">
        <f>averageCompletionTimePorter(Dates!F$10,Dates!F$11,'Day4'!$B6)</f>
        <v>0</v>
      </c>
      <c r="G6" s="6">
        <f>averageCompletionTimePorter(Dates!G$10,Dates!G$11,'Day4'!$B6)</f>
        <v>0</v>
      </c>
      <c r="H6" s="6">
        <f>averageCompletionTimePorter(Dates!H$10,Dates!H$11,'Day4'!$B6)</f>
        <v>0</v>
      </c>
      <c r="I6" s="6">
        <f>averageCompletionTimePorter(Dates!I$10,Dates!I$11,'Day4'!$B6)</f>
        <v>0</v>
      </c>
      <c r="J6" s="6">
        <f>averageCompletionTimePorter(Dates!J$10,Dates!J$11,'Day4'!$B6)</f>
        <v>0</v>
      </c>
      <c r="K6" s="6">
        <f>averageCompletionTimePorter(Dates!K$10,Dates!K$11,'Day4'!$B6)</f>
        <v>0</v>
      </c>
      <c r="L6" s="6">
        <f>averageCompletionTimePorter(Dates!L$10,Dates!L$11,'Day4'!$B6)</f>
        <v>0</v>
      </c>
      <c r="M6" s="6">
        <f>averageCompletionTimePorter(Dates!M$10,Dates!M$11,'Day4'!$B6)</f>
        <v>0</v>
      </c>
      <c r="N6" s="6">
        <f>averageCompletionTimePorter(Dates!N$10,Dates!N$11,'Day4'!$B6)</f>
        <v>0</v>
      </c>
      <c r="O6" s="6">
        <f>averageCompletionTimePorter(Dates!O$10,Dates!O$11,'Day4'!$B6)</f>
        <v>0</v>
      </c>
      <c r="P6" s="6">
        <f>averageCompletionTimePorter(Dates!P$10,Dates!P$11,'Day4'!$B6)</f>
        <v>0</v>
      </c>
      <c r="Q6" s="6">
        <f>averageCompletionTimePorter(Dates!Q$10,Dates!Q$11,'Day4'!$B6)</f>
        <v>0</v>
      </c>
      <c r="R6" s="6">
        <f>averageCompletionTimePorter(Dates!R$10,Dates!R$11,'Day4'!$B6)</f>
        <v>0</v>
      </c>
      <c r="S6" s="6">
        <f>averageCompletionTimePorter(Dates!S$10,Dates!S$11,'Day4'!$B6)</f>
        <v>0</v>
      </c>
      <c r="T6" s="6">
        <f>averageCompletionTimePorter(Dates!T$10,Dates!T$11,'Day4'!$B6)</f>
        <v>0</v>
      </c>
      <c r="U6" s="6">
        <f>averageCompletionTimePorter(Dates!$C$10,Dates!$T$11,'Day4'!$B6)</f>
        <v>0</v>
      </c>
    </row>
    <row r="7" spans="1:21" x14ac:dyDescent="0.3">
      <c r="A7" s="7"/>
      <c r="B7" s="9" t="s">
        <v>31</v>
      </c>
      <c r="C7" s="6">
        <f>averageCompletionTimePorter(Dates!C$10,Dates!C$11,'Day4'!$B7)</f>
        <v>0</v>
      </c>
      <c r="D7" s="6">
        <f>averageCompletionTimePorter(Dates!D$10,Dates!D$11,'Day4'!$B7)</f>
        <v>0</v>
      </c>
      <c r="E7" s="6">
        <f>averageCompletionTimePorter(Dates!E$10,Dates!E$11,'Day4'!$B7)</f>
        <v>0</v>
      </c>
      <c r="F7" s="6">
        <f>averageCompletionTimePorter(Dates!F$10,Dates!F$11,'Day4'!$B7)</f>
        <v>0</v>
      </c>
      <c r="G7" s="6">
        <f>averageCompletionTimePorter(Dates!G$10,Dates!G$11,'Day4'!$B7)</f>
        <v>0</v>
      </c>
      <c r="H7" s="6">
        <f>averageCompletionTimePorter(Dates!H$10,Dates!H$11,'Day4'!$B7)</f>
        <v>0</v>
      </c>
      <c r="I7" s="6">
        <f>averageCompletionTimePorter(Dates!I$10,Dates!I$11,'Day4'!$B7)</f>
        <v>0</v>
      </c>
      <c r="J7" s="6">
        <f>averageCompletionTimePorter(Dates!J$10,Dates!J$11,'Day4'!$B7)</f>
        <v>0</v>
      </c>
      <c r="K7" s="6">
        <f>averageCompletionTimePorter(Dates!K$10,Dates!K$11,'Day4'!$B7)</f>
        <v>0</v>
      </c>
      <c r="L7" s="6">
        <f>averageCompletionTimePorter(Dates!L$10,Dates!L$11,'Day4'!$B7)</f>
        <v>0</v>
      </c>
      <c r="M7" s="6">
        <f>averageCompletionTimePorter(Dates!M$10,Dates!M$11,'Day4'!$B7)</f>
        <v>0</v>
      </c>
      <c r="N7" s="6">
        <f>averageCompletionTimePorter(Dates!N$10,Dates!N$11,'Day4'!$B7)</f>
        <v>0</v>
      </c>
      <c r="O7" s="6">
        <f>averageCompletionTimePorter(Dates!O$10,Dates!O$11,'Day4'!$B7)</f>
        <v>0</v>
      </c>
      <c r="P7" s="6">
        <f>averageCompletionTimePorter(Dates!P$10,Dates!P$11,'Day4'!$B7)</f>
        <v>0</v>
      </c>
      <c r="Q7" s="6">
        <f>averageCompletionTimePorter(Dates!Q$10,Dates!Q$11,'Day4'!$B7)</f>
        <v>0</v>
      </c>
      <c r="R7" s="6">
        <f>averageCompletionTimePorter(Dates!R$10,Dates!R$11,'Day4'!$B7)</f>
        <v>0</v>
      </c>
      <c r="S7" s="6">
        <f>averageCompletionTimePorter(Dates!S$10,Dates!S$11,'Day4'!$B7)</f>
        <v>0</v>
      </c>
      <c r="T7" s="6">
        <f>averageCompletionTimePorter(Dates!T$10,Dates!T$11,'Day4'!$B7)</f>
        <v>0</v>
      </c>
      <c r="U7" s="6">
        <f>averageCompletionTimePorter(Dates!$C$10,Dates!$T$11,'Day4'!$B7)</f>
        <v>0</v>
      </c>
    </row>
    <row r="8" spans="1:21" x14ac:dyDescent="0.3">
      <c r="A8" s="7"/>
      <c r="B8" s="9" t="s">
        <v>32</v>
      </c>
      <c r="C8" s="6">
        <f>averageCompletionTimePorter(Dates!C$10,Dates!C$11,'Day4'!$B8)</f>
        <v>0</v>
      </c>
      <c r="D8" s="6">
        <f>averageCompletionTimePorter(Dates!D$10,Dates!D$11,'Day4'!$B8)</f>
        <v>0</v>
      </c>
      <c r="E8" s="6">
        <f>averageCompletionTimePorter(Dates!E$10,Dates!E$11,'Day4'!$B8)</f>
        <v>0</v>
      </c>
      <c r="F8" s="6">
        <f>averageCompletionTimePorter(Dates!F$10,Dates!F$11,'Day4'!$B8)</f>
        <v>0</v>
      </c>
      <c r="G8" s="6">
        <f>averageCompletionTimePorter(Dates!G$10,Dates!G$11,'Day4'!$B8)</f>
        <v>0</v>
      </c>
      <c r="H8" s="6">
        <f>averageCompletionTimePorter(Dates!H$10,Dates!H$11,'Day4'!$B8)</f>
        <v>0</v>
      </c>
      <c r="I8" s="6">
        <f>averageCompletionTimePorter(Dates!I$10,Dates!I$11,'Day4'!$B8)</f>
        <v>0</v>
      </c>
      <c r="J8" s="6">
        <f>averageCompletionTimePorter(Dates!J$10,Dates!J$11,'Day4'!$B8)</f>
        <v>0</v>
      </c>
      <c r="K8" s="6">
        <f>averageCompletionTimePorter(Dates!K$10,Dates!K$11,'Day4'!$B8)</f>
        <v>0</v>
      </c>
      <c r="L8" s="6">
        <f>averageCompletionTimePorter(Dates!L$10,Dates!L$11,'Day4'!$B8)</f>
        <v>0</v>
      </c>
      <c r="M8" s="6">
        <f>averageCompletionTimePorter(Dates!M$10,Dates!M$11,'Day4'!$B8)</f>
        <v>0</v>
      </c>
      <c r="N8" s="6">
        <f>averageCompletionTimePorter(Dates!N$10,Dates!N$11,'Day4'!$B8)</f>
        <v>0</v>
      </c>
      <c r="O8" s="6">
        <f>averageCompletionTimePorter(Dates!O$10,Dates!O$11,'Day4'!$B8)</f>
        <v>0</v>
      </c>
      <c r="P8" s="6">
        <f>averageCompletionTimePorter(Dates!P$10,Dates!P$11,'Day4'!$B8)</f>
        <v>0</v>
      </c>
      <c r="Q8" s="6">
        <f>averageCompletionTimePorter(Dates!Q$10,Dates!Q$11,'Day4'!$B8)</f>
        <v>0</v>
      </c>
      <c r="R8" s="6">
        <f>averageCompletionTimePorter(Dates!R$10,Dates!R$11,'Day4'!$B8)</f>
        <v>0</v>
      </c>
      <c r="S8" s="6">
        <f>averageCompletionTimePorter(Dates!S$10,Dates!S$11,'Day4'!$B8)</f>
        <v>0</v>
      </c>
      <c r="T8" s="6">
        <f>averageCompletionTimePorter(Dates!T$10,Dates!T$11,'Day4'!$B8)</f>
        <v>0</v>
      </c>
      <c r="U8" s="6">
        <f>averageCompletionTimePorter(Dates!$C$10,Dates!$T$11,'Day4'!$B8)</f>
        <v>0</v>
      </c>
    </row>
    <row r="9" spans="1:21" x14ac:dyDescent="0.3">
      <c r="A9" s="7"/>
      <c r="B9" s="9" t="s">
        <v>33</v>
      </c>
      <c r="C9" s="6">
        <f>averageCompletionTimePorter(Dates!C$10,Dates!C$11,'Day4'!$B9)</f>
        <v>0</v>
      </c>
      <c r="D9" s="6">
        <f>averageCompletionTimePorter(Dates!D$10,Dates!D$11,'Day4'!$B9)</f>
        <v>0</v>
      </c>
      <c r="E9" s="6">
        <f>averageCompletionTimePorter(Dates!E$10,Dates!E$11,'Day4'!$B9)</f>
        <v>0</v>
      </c>
      <c r="F9" s="6">
        <f>averageCompletionTimePorter(Dates!F$10,Dates!F$11,'Day4'!$B9)</f>
        <v>0</v>
      </c>
      <c r="G9" s="6">
        <f>averageCompletionTimePorter(Dates!G$10,Dates!G$11,'Day4'!$B9)</f>
        <v>0</v>
      </c>
      <c r="H9" s="6">
        <f>averageCompletionTimePorter(Dates!H$10,Dates!H$11,'Day4'!$B9)</f>
        <v>0</v>
      </c>
      <c r="I9" s="6">
        <f>averageCompletionTimePorter(Dates!I$10,Dates!I$11,'Day4'!$B9)</f>
        <v>0</v>
      </c>
      <c r="J9" s="6">
        <f>averageCompletionTimePorter(Dates!J$10,Dates!J$11,'Day4'!$B9)</f>
        <v>0</v>
      </c>
      <c r="K9" s="6">
        <f>averageCompletionTimePorter(Dates!K$10,Dates!K$11,'Day4'!$B9)</f>
        <v>0</v>
      </c>
      <c r="L9" s="6">
        <f>averageCompletionTimePorter(Dates!L$10,Dates!L$11,'Day4'!$B9)</f>
        <v>0</v>
      </c>
      <c r="M9" s="6">
        <f>averageCompletionTimePorter(Dates!M$10,Dates!M$11,'Day4'!$B9)</f>
        <v>0</v>
      </c>
      <c r="N9" s="6">
        <f>averageCompletionTimePorter(Dates!N$10,Dates!N$11,'Day4'!$B9)</f>
        <v>0</v>
      </c>
      <c r="O9" s="6">
        <f>averageCompletionTimePorter(Dates!O$10,Dates!O$11,'Day4'!$B9)</f>
        <v>0</v>
      </c>
      <c r="P9" s="6">
        <f>averageCompletionTimePorter(Dates!P$10,Dates!P$11,'Day4'!$B9)</f>
        <v>0</v>
      </c>
      <c r="Q9" s="6">
        <f>averageCompletionTimePorter(Dates!Q$10,Dates!Q$11,'Day4'!$B9)</f>
        <v>0</v>
      </c>
      <c r="R9" s="6">
        <f>averageCompletionTimePorter(Dates!R$10,Dates!R$11,'Day4'!$B9)</f>
        <v>0</v>
      </c>
      <c r="S9" s="6">
        <f>averageCompletionTimePorter(Dates!S$10,Dates!S$11,'Day4'!$B9)</f>
        <v>0</v>
      </c>
      <c r="T9" s="6">
        <f>averageCompletionTimePorter(Dates!T$10,Dates!T$11,'Day4'!$B9)</f>
        <v>0</v>
      </c>
      <c r="U9" s="6">
        <f>averageCompletionTimePorter(Dates!$C$10,Dates!$T$11,'Day4'!$B9)</f>
        <v>0</v>
      </c>
    </row>
    <row r="10" spans="1:21" x14ac:dyDescent="0.3">
      <c r="A10" s="7"/>
      <c r="B10" s="9" t="s">
        <v>34</v>
      </c>
      <c r="C10" s="6">
        <f>averageCompletionTimePorter(Dates!C$10,Dates!C$11,'Day4'!$B10)</f>
        <v>0</v>
      </c>
      <c r="D10" s="6">
        <f>averageCompletionTimePorter(Dates!D$10,Dates!D$11,'Day4'!$B10)</f>
        <v>0</v>
      </c>
      <c r="E10" s="6">
        <f>averageCompletionTimePorter(Dates!E$10,Dates!E$11,'Day4'!$B10)</f>
        <v>0</v>
      </c>
      <c r="F10" s="6">
        <f>averageCompletionTimePorter(Dates!F$10,Dates!F$11,'Day4'!$B10)</f>
        <v>0</v>
      </c>
      <c r="G10" s="6">
        <f>averageCompletionTimePorter(Dates!G$10,Dates!G$11,'Day4'!$B10)</f>
        <v>0</v>
      </c>
      <c r="H10" s="6">
        <f>averageCompletionTimePorter(Dates!H$10,Dates!H$11,'Day4'!$B10)</f>
        <v>0</v>
      </c>
      <c r="I10" s="6">
        <f>averageCompletionTimePorter(Dates!I$10,Dates!I$11,'Day4'!$B10)</f>
        <v>0</v>
      </c>
      <c r="J10" s="6">
        <f>averageCompletionTimePorter(Dates!J$10,Dates!J$11,'Day4'!$B10)</f>
        <v>0</v>
      </c>
      <c r="K10" s="6">
        <f>averageCompletionTimePorter(Dates!K$10,Dates!K$11,'Day4'!$B10)</f>
        <v>0</v>
      </c>
      <c r="L10" s="6">
        <f>averageCompletionTimePorter(Dates!L$10,Dates!L$11,'Day4'!$B10)</f>
        <v>0</v>
      </c>
      <c r="M10" s="6">
        <f>averageCompletionTimePorter(Dates!M$10,Dates!M$11,'Day4'!$B10)</f>
        <v>0</v>
      </c>
      <c r="N10" s="6">
        <f>averageCompletionTimePorter(Dates!N$10,Dates!N$11,'Day4'!$B10)</f>
        <v>0</v>
      </c>
      <c r="O10" s="6">
        <f>averageCompletionTimePorter(Dates!O$10,Dates!O$11,'Day4'!$B10)</f>
        <v>0</v>
      </c>
      <c r="P10" s="6">
        <f>averageCompletionTimePorter(Dates!P$10,Dates!P$11,'Day4'!$B10)</f>
        <v>0</v>
      </c>
      <c r="Q10" s="6">
        <f>averageCompletionTimePorter(Dates!Q$10,Dates!Q$11,'Day4'!$B10)</f>
        <v>0</v>
      </c>
      <c r="R10" s="6">
        <f>averageCompletionTimePorter(Dates!R$10,Dates!R$11,'Day4'!$B10)</f>
        <v>0</v>
      </c>
      <c r="S10" s="6">
        <f>averageCompletionTimePorter(Dates!S$10,Dates!S$11,'Day4'!$B10)</f>
        <v>0</v>
      </c>
      <c r="T10" s="6">
        <f>averageCompletionTimePorter(Dates!T$10,Dates!T$11,'Day4'!$B10)</f>
        <v>0</v>
      </c>
      <c r="U10" s="6">
        <f>averageCompletionTimePorter(Dates!$C$10,Dates!$T$11,'Day4'!$B10)</f>
        <v>0</v>
      </c>
    </row>
    <row r="11" spans="1:21" x14ac:dyDescent="0.3">
      <c r="A11" s="7"/>
      <c r="B11" s="9" t="s">
        <v>35</v>
      </c>
      <c r="C11" s="6">
        <f>averageCompletionTimePorter(Dates!C$10,Dates!C$11,'Day4'!$B11)</f>
        <v>0</v>
      </c>
      <c r="D11" s="6">
        <f>averageCompletionTimePorter(Dates!D$10,Dates!D$11,'Day4'!$B11)</f>
        <v>0</v>
      </c>
      <c r="E11" s="6">
        <f>averageCompletionTimePorter(Dates!E$10,Dates!E$11,'Day4'!$B11)</f>
        <v>0</v>
      </c>
      <c r="F11" s="6">
        <f>averageCompletionTimePorter(Dates!F$10,Dates!F$11,'Day4'!$B11)</f>
        <v>0</v>
      </c>
      <c r="G11" s="6">
        <f>averageCompletionTimePorter(Dates!G$10,Dates!G$11,'Day4'!$B11)</f>
        <v>0</v>
      </c>
      <c r="H11" s="6">
        <f>averageCompletionTimePorter(Dates!H$10,Dates!H$11,'Day4'!$B11)</f>
        <v>0</v>
      </c>
      <c r="I11" s="6">
        <f>averageCompletionTimePorter(Dates!I$10,Dates!I$11,'Day4'!$B11)</f>
        <v>0</v>
      </c>
      <c r="J11" s="6">
        <f>averageCompletionTimePorter(Dates!J$10,Dates!J$11,'Day4'!$B11)</f>
        <v>0</v>
      </c>
      <c r="K11" s="6">
        <f>averageCompletionTimePorter(Dates!K$10,Dates!K$11,'Day4'!$B11)</f>
        <v>0</v>
      </c>
      <c r="L11" s="6">
        <f>averageCompletionTimePorter(Dates!L$10,Dates!L$11,'Day4'!$B11)</f>
        <v>0</v>
      </c>
      <c r="M11" s="6">
        <f>averageCompletionTimePorter(Dates!M$10,Dates!M$11,'Day4'!$B11)</f>
        <v>0</v>
      </c>
      <c r="N11" s="6">
        <f>averageCompletionTimePorter(Dates!N$10,Dates!N$11,'Day4'!$B11)</f>
        <v>0</v>
      </c>
      <c r="O11" s="6">
        <f>averageCompletionTimePorter(Dates!O$10,Dates!O$11,'Day4'!$B11)</f>
        <v>0</v>
      </c>
      <c r="P11" s="6">
        <f>averageCompletionTimePorter(Dates!P$10,Dates!P$11,'Day4'!$B11)</f>
        <v>0</v>
      </c>
      <c r="Q11" s="6">
        <f>averageCompletionTimePorter(Dates!Q$10,Dates!Q$11,'Day4'!$B11)</f>
        <v>0</v>
      </c>
      <c r="R11" s="6">
        <f>averageCompletionTimePorter(Dates!R$10,Dates!R$11,'Day4'!$B11)</f>
        <v>0</v>
      </c>
      <c r="S11" s="6">
        <f>averageCompletionTimePorter(Dates!S$10,Dates!S$11,'Day4'!$B11)</f>
        <v>0</v>
      </c>
      <c r="T11" s="6">
        <f>averageCompletionTimePorter(Dates!T$10,Dates!T$11,'Day4'!$B11)</f>
        <v>0</v>
      </c>
      <c r="U11" s="6">
        <f>averageCompletionTimePorter(Dates!$C$10,Dates!$T$11,'Day4'!$B11)</f>
        <v>0</v>
      </c>
    </row>
    <row r="12" spans="1:21" x14ac:dyDescent="0.3">
      <c r="A12" s="7"/>
      <c r="B12" s="9" t="s">
        <v>36</v>
      </c>
      <c r="C12" s="6">
        <f>averageCompletionTimePorter(Dates!C$10,Dates!C$11,'Day4'!$B12)</f>
        <v>0</v>
      </c>
      <c r="D12" s="6">
        <f>averageCompletionTimePorter(Dates!D$10,Dates!D$11,'Day4'!$B12)</f>
        <v>0</v>
      </c>
      <c r="E12" s="6">
        <f>averageCompletionTimePorter(Dates!E$10,Dates!E$11,'Day4'!$B12)</f>
        <v>0</v>
      </c>
      <c r="F12" s="6">
        <f>averageCompletionTimePorter(Dates!F$10,Dates!F$11,'Day4'!$B12)</f>
        <v>0</v>
      </c>
      <c r="G12" s="6">
        <f>averageCompletionTimePorter(Dates!G$10,Dates!G$11,'Day4'!$B12)</f>
        <v>0</v>
      </c>
      <c r="H12" s="6">
        <f>averageCompletionTimePorter(Dates!H$10,Dates!H$11,'Day4'!$B12)</f>
        <v>0</v>
      </c>
      <c r="I12" s="6">
        <f>averageCompletionTimePorter(Dates!I$10,Dates!I$11,'Day4'!$B12)</f>
        <v>0</v>
      </c>
      <c r="J12" s="6">
        <f>averageCompletionTimePorter(Dates!J$10,Dates!J$11,'Day4'!$B12)</f>
        <v>0</v>
      </c>
      <c r="K12" s="6">
        <f>averageCompletionTimePorter(Dates!K$10,Dates!K$11,'Day4'!$B12)</f>
        <v>0</v>
      </c>
      <c r="L12" s="6">
        <f>averageCompletionTimePorter(Dates!L$10,Dates!L$11,'Day4'!$B12)</f>
        <v>0</v>
      </c>
      <c r="M12" s="6">
        <f>averageCompletionTimePorter(Dates!M$10,Dates!M$11,'Day4'!$B12)</f>
        <v>0</v>
      </c>
      <c r="N12" s="6">
        <f>averageCompletionTimePorter(Dates!N$10,Dates!N$11,'Day4'!$B12)</f>
        <v>0</v>
      </c>
      <c r="O12" s="6">
        <f>averageCompletionTimePorter(Dates!O$10,Dates!O$11,'Day4'!$B12)</f>
        <v>0</v>
      </c>
      <c r="P12" s="6">
        <f>averageCompletionTimePorter(Dates!P$10,Dates!P$11,'Day4'!$B12)</f>
        <v>0</v>
      </c>
      <c r="Q12" s="6">
        <f>averageCompletionTimePorter(Dates!Q$10,Dates!Q$11,'Day4'!$B12)</f>
        <v>0</v>
      </c>
      <c r="R12" s="6">
        <f>averageCompletionTimePorter(Dates!R$10,Dates!R$11,'Day4'!$B12)</f>
        <v>0</v>
      </c>
      <c r="S12" s="6">
        <f>averageCompletionTimePorter(Dates!S$10,Dates!S$11,'Day4'!$B12)</f>
        <v>0</v>
      </c>
      <c r="T12" s="6">
        <f>averageCompletionTimePorter(Dates!T$10,Dates!T$11,'Day4'!$B12)</f>
        <v>0</v>
      </c>
      <c r="U12" s="6">
        <f>averageCompletionTimePorter(Dates!$C$10,Dates!$T$11,'Day4'!$B12)</f>
        <v>0</v>
      </c>
    </row>
    <row r="13" spans="1:21" x14ac:dyDescent="0.3">
      <c r="A13" s="7"/>
      <c r="B13" s="9" t="s">
        <v>37</v>
      </c>
      <c r="C13" s="6">
        <f>averageCompletionTimePorter(Dates!C$10,Dates!C$11,'Day4'!$B13)</f>
        <v>0</v>
      </c>
      <c r="D13" s="6">
        <f>averageCompletionTimePorter(Dates!D$10,Dates!D$11,'Day4'!$B13)</f>
        <v>0</v>
      </c>
      <c r="E13" s="6">
        <f>averageCompletionTimePorter(Dates!E$10,Dates!E$11,'Day4'!$B13)</f>
        <v>0</v>
      </c>
      <c r="F13" s="6">
        <f>averageCompletionTimePorter(Dates!F$10,Dates!F$11,'Day4'!$B13)</f>
        <v>0</v>
      </c>
      <c r="G13" s="6">
        <f>averageCompletionTimePorter(Dates!G$10,Dates!G$11,'Day4'!$B13)</f>
        <v>0</v>
      </c>
      <c r="H13" s="6">
        <f>averageCompletionTimePorter(Dates!H$10,Dates!H$11,'Day4'!$B13)</f>
        <v>0</v>
      </c>
      <c r="I13" s="6">
        <f>averageCompletionTimePorter(Dates!I$10,Dates!I$11,'Day4'!$B13)</f>
        <v>0</v>
      </c>
      <c r="J13" s="6">
        <f>averageCompletionTimePorter(Dates!J$10,Dates!J$11,'Day4'!$B13)</f>
        <v>0</v>
      </c>
      <c r="K13" s="6">
        <f>averageCompletionTimePorter(Dates!K$10,Dates!K$11,'Day4'!$B13)</f>
        <v>0</v>
      </c>
      <c r="L13" s="6">
        <f>averageCompletionTimePorter(Dates!L$10,Dates!L$11,'Day4'!$B13)</f>
        <v>0</v>
      </c>
      <c r="M13" s="6">
        <f>averageCompletionTimePorter(Dates!M$10,Dates!M$11,'Day4'!$B13)</f>
        <v>0</v>
      </c>
      <c r="N13" s="6">
        <f>averageCompletionTimePorter(Dates!N$10,Dates!N$11,'Day4'!$B13)</f>
        <v>0</v>
      </c>
      <c r="O13" s="6">
        <f>averageCompletionTimePorter(Dates!O$10,Dates!O$11,'Day4'!$B13)</f>
        <v>0</v>
      </c>
      <c r="P13" s="6">
        <f>averageCompletionTimePorter(Dates!P$10,Dates!P$11,'Day4'!$B13)</f>
        <v>0</v>
      </c>
      <c r="Q13" s="6">
        <f>averageCompletionTimePorter(Dates!Q$10,Dates!Q$11,'Day4'!$B13)</f>
        <v>0</v>
      </c>
      <c r="R13" s="6">
        <f>averageCompletionTimePorter(Dates!R$10,Dates!R$11,'Day4'!$B13)</f>
        <v>0</v>
      </c>
      <c r="S13" s="6">
        <f>averageCompletionTimePorter(Dates!S$10,Dates!S$11,'Day4'!$B13)</f>
        <v>0</v>
      </c>
      <c r="T13" s="6">
        <f>averageCompletionTimePorter(Dates!T$10,Dates!T$11,'Day4'!$B13)</f>
        <v>0</v>
      </c>
      <c r="U13" s="6">
        <f>averageCompletionTimePorter(Dates!$C$10,Dates!$T$11,'Day4'!$B13)</f>
        <v>0</v>
      </c>
    </row>
    <row r="14" spans="1:21" x14ac:dyDescent="0.3">
      <c r="B14" s="9" t="s">
        <v>13</v>
      </c>
      <c r="C14" s="6">
        <f>averageCompletionTimePorter(Dates!C$10,Dates!C$11,'Day4'!$B14)</f>
        <v>0</v>
      </c>
      <c r="D14" s="6">
        <f>averageCompletionTimePorter(Dates!D$10,Dates!D$11,'Day4'!$B14)</f>
        <v>0</v>
      </c>
      <c r="E14" s="6">
        <f>averageCompletionTimePorter(Dates!E$10,Dates!E$11,'Day4'!$B14)</f>
        <v>0</v>
      </c>
      <c r="F14" s="6">
        <f>averageCompletionTimePorter(Dates!F$10,Dates!F$11,'Day4'!$B14)</f>
        <v>0</v>
      </c>
      <c r="G14" s="6">
        <f>averageCompletionTimePorter(Dates!G$10,Dates!G$11,'Day4'!$B14)</f>
        <v>0</v>
      </c>
      <c r="H14" s="6">
        <f>averageCompletionTimePorter(Dates!H$10,Dates!H$11,'Day4'!$B14)</f>
        <v>0</v>
      </c>
      <c r="I14" s="6">
        <f>averageCompletionTimePorter(Dates!I$10,Dates!I$11,'Day4'!$B14)</f>
        <v>0</v>
      </c>
      <c r="J14" s="6">
        <f>averageCompletionTimePorter(Dates!J$10,Dates!J$11,'Day4'!$B14)</f>
        <v>0</v>
      </c>
      <c r="K14" s="6">
        <f>averageCompletionTimePorter(Dates!K$10,Dates!K$11,'Day4'!$B14)</f>
        <v>0</v>
      </c>
      <c r="L14" s="6">
        <f>averageCompletionTimePorter(Dates!L$10,Dates!L$11,'Day4'!$B14)</f>
        <v>0</v>
      </c>
      <c r="M14" s="6">
        <f>averageCompletionTimePorter(Dates!M$10,Dates!M$11,'Day4'!$B14)</f>
        <v>0</v>
      </c>
      <c r="N14" s="6">
        <f>averageCompletionTimePorter(Dates!N$10,Dates!N$11,'Day4'!$B14)</f>
        <v>0</v>
      </c>
      <c r="O14" s="6">
        <f>averageCompletionTimePorter(Dates!O$10,Dates!O$11,'Day4'!$B14)</f>
        <v>0</v>
      </c>
      <c r="P14" s="6">
        <f>averageCompletionTimePorter(Dates!P$10,Dates!P$11,'Day4'!$B14)</f>
        <v>0</v>
      </c>
      <c r="Q14" s="6">
        <f>averageCompletionTimePorter(Dates!Q$10,Dates!Q$11,'Day4'!$B14)</f>
        <v>0</v>
      </c>
      <c r="R14" s="6">
        <f>averageCompletionTimePorter(Dates!R$10,Dates!R$11,'Day4'!$B14)</f>
        <v>0</v>
      </c>
      <c r="S14" s="6">
        <f>averageCompletionTimePorter(Dates!S$10,Dates!S$11,'Day4'!$B14)</f>
        <v>0</v>
      </c>
      <c r="T14" s="6">
        <f>averageCompletionTimePorter(Dates!T$10,Dates!T$11,'Day4'!$B14)</f>
        <v>0</v>
      </c>
      <c r="U14" s="6">
        <f>averageCompletionTimePorter(Dates!$C$10,Dates!$T$11,'Day4'!$B14)</f>
        <v>0</v>
      </c>
    </row>
    <row r="15" spans="1:21" x14ac:dyDescent="0.3">
      <c r="B15" s="9" t="s">
        <v>14</v>
      </c>
      <c r="C15" s="6">
        <f>averageCompletionTimePorter(Dates!C$10,Dates!C$11,'Day4'!$B15)</f>
        <v>0</v>
      </c>
      <c r="D15" s="6">
        <f>averageCompletionTimePorter(Dates!D$10,Dates!D$11,'Day4'!$B15)</f>
        <v>0</v>
      </c>
      <c r="E15" s="6">
        <f>averageCompletionTimePorter(Dates!E$10,Dates!E$11,'Day4'!$B15)</f>
        <v>0</v>
      </c>
      <c r="F15" s="6">
        <f>averageCompletionTimePorter(Dates!F$10,Dates!F$11,'Day4'!$B15)</f>
        <v>0</v>
      </c>
      <c r="G15" s="6">
        <f>averageCompletionTimePorter(Dates!G$10,Dates!G$11,'Day4'!$B15)</f>
        <v>0</v>
      </c>
      <c r="H15" s="6">
        <f>averageCompletionTimePorter(Dates!H$10,Dates!H$11,'Day4'!$B15)</f>
        <v>0</v>
      </c>
      <c r="I15" s="6">
        <f>averageCompletionTimePorter(Dates!I$10,Dates!I$11,'Day4'!$B15)</f>
        <v>0</v>
      </c>
      <c r="J15" s="6">
        <f>averageCompletionTimePorter(Dates!J$10,Dates!J$11,'Day4'!$B15)</f>
        <v>0</v>
      </c>
      <c r="K15" s="6">
        <f>averageCompletionTimePorter(Dates!K$10,Dates!K$11,'Day4'!$B15)</f>
        <v>0</v>
      </c>
      <c r="L15" s="6">
        <f>averageCompletionTimePorter(Dates!L$10,Dates!L$11,'Day4'!$B15)</f>
        <v>0</v>
      </c>
      <c r="M15" s="6">
        <f>averageCompletionTimePorter(Dates!M$10,Dates!M$11,'Day4'!$B15)</f>
        <v>0</v>
      </c>
      <c r="N15" s="6">
        <f>averageCompletionTimePorter(Dates!N$10,Dates!N$11,'Day4'!$B15)</f>
        <v>0</v>
      </c>
      <c r="O15" s="6">
        <f>averageCompletionTimePorter(Dates!O$10,Dates!O$11,'Day4'!$B15)</f>
        <v>0</v>
      </c>
      <c r="P15" s="6">
        <f>averageCompletionTimePorter(Dates!P$10,Dates!P$11,'Day4'!$B15)</f>
        <v>0</v>
      </c>
      <c r="Q15" s="6">
        <f>averageCompletionTimePorter(Dates!Q$10,Dates!Q$11,'Day4'!$B15)</f>
        <v>0</v>
      </c>
      <c r="R15" s="6">
        <f>averageCompletionTimePorter(Dates!R$10,Dates!R$11,'Day4'!$B15)</f>
        <v>0</v>
      </c>
      <c r="S15" s="6">
        <f>averageCompletionTimePorter(Dates!S$10,Dates!S$11,'Day4'!$B15)</f>
        <v>0</v>
      </c>
      <c r="T15" s="6">
        <f>averageCompletionTimePorter(Dates!T$10,Dates!T$11,'Day4'!$B15)</f>
        <v>0</v>
      </c>
      <c r="U15" s="6">
        <f>averageCompletionTimePorter(Dates!$C$10,Dates!$T$11,'Day4'!$B15)</f>
        <v>0</v>
      </c>
    </row>
    <row r="16" spans="1:21" x14ac:dyDescent="0.3">
      <c r="B16" s="9" t="s">
        <v>15</v>
      </c>
      <c r="C16" s="6">
        <f>averageCompletionTimePorter(Dates!C$10,Dates!C$11,'Day4'!$B16)</f>
        <v>0</v>
      </c>
      <c r="D16" s="6">
        <f>averageCompletionTimePorter(Dates!D$10,Dates!D$11,'Day4'!$B16)</f>
        <v>0</v>
      </c>
      <c r="E16" s="6">
        <f>averageCompletionTimePorter(Dates!E$10,Dates!E$11,'Day4'!$B16)</f>
        <v>0</v>
      </c>
      <c r="F16" s="6">
        <f>averageCompletionTimePorter(Dates!F$10,Dates!F$11,'Day4'!$B16)</f>
        <v>0</v>
      </c>
      <c r="G16" s="6">
        <f>averageCompletionTimePorter(Dates!G$10,Dates!G$11,'Day4'!$B16)</f>
        <v>0</v>
      </c>
      <c r="H16" s="6">
        <f>averageCompletionTimePorter(Dates!H$10,Dates!H$11,'Day4'!$B16)</f>
        <v>0</v>
      </c>
      <c r="I16" s="6">
        <f>averageCompletionTimePorter(Dates!I$10,Dates!I$11,'Day4'!$B16)</f>
        <v>0</v>
      </c>
      <c r="J16" s="6">
        <f>averageCompletionTimePorter(Dates!J$10,Dates!J$11,'Day4'!$B16)</f>
        <v>0</v>
      </c>
      <c r="K16" s="6">
        <f>averageCompletionTimePorter(Dates!K$10,Dates!K$11,'Day4'!$B16)</f>
        <v>0</v>
      </c>
      <c r="L16" s="6">
        <f>averageCompletionTimePorter(Dates!L$10,Dates!L$11,'Day4'!$B16)</f>
        <v>0</v>
      </c>
      <c r="M16" s="6">
        <f>averageCompletionTimePorter(Dates!M$10,Dates!M$11,'Day4'!$B16)</f>
        <v>0</v>
      </c>
      <c r="N16" s="6">
        <f>averageCompletionTimePorter(Dates!N$10,Dates!N$11,'Day4'!$B16)</f>
        <v>0</v>
      </c>
      <c r="O16" s="6">
        <f>averageCompletionTimePorter(Dates!O$10,Dates!O$11,'Day4'!$B16)</f>
        <v>0</v>
      </c>
      <c r="P16" s="6">
        <f>averageCompletionTimePorter(Dates!P$10,Dates!P$11,'Day4'!$B16)</f>
        <v>0</v>
      </c>
      <c r="Q16" s="6">
        <f>averageCompletionTimePorter(Dates!Q$10,Dates!Q$11,'Day4'!$B16)</f>
        <v>0</v>
      </c>
      <c r="R16" s="6">
        <f>averageCompletionTimePorter(Dates!R$10,Dates!R$11,'Day4'!$B16)</f>
        <v>0</v>
      </c>
      <c r="S16" s="6">
        <f>averageCompletionTimePorter(Dates!S$10,Dates!S$11,'Day4'!$B16)</f>
        <v>0</v>
      </c>
      <c r="T16" s="6">
        <f>averageCompletionTimePorter(Dates!T$10,Dates!T$11,'Day4'!$B16)</f>
        <v>0</v>
      </c>
      <c r="U16" s="6">
        <f>averageCompletionTimePorter(Dates!$C$10,Dates!$T$11,'Day4'!$B16)</f>
        <v>0</v>
      </c>
    </row>
    <row r="17" spans="2:21" x14ac:dyDescent="0.3">
      <c r="B17" s="9" t="s">
        <v>16</v>
      </c>
      <c r="C17" s="6">
        <f>averageCompletionTimePorter(Dates!C$10,Dates!C$11,'Day4'!$B17)</f>
        <v>0</v>
      </c>
      <c r="D17" s="6">
        <f>averageCompletionTimePorter(Dates!D$10,Dates!D$11,'Day4'!$B17)</f>
        <v>0</v>
      </c>
      <c r="E17" s="6">
        <f>averageCompletionTimePorter(Dates!E$10,Dates!E$11,'Day4'!$B17)</f>
        <v>0</v>
      </c>
      <c r="F17" s="6">
        <f>averageCompletionTimePorter(Dates!F$10,Dates!F$11,'Day4'!$B17)</f>
        <v>0</v>
      </c>
      <c r="G17" s="6">
        <f>averageCompletionTimePorter(Dates!G$10,Dates!G$11,'Day4'!$B17)</f>
        <v>0</v>
      </c>
      <c r="H17" s="6">
        <f>averageCompletionTimePorter(Dates!H$10,Dates!H$11,'Day4'!$B17)</f>
        <v>0</v>
      </c>
      <c r="I17" s="6">
        <f>averageCompletionTimePorter(Dates!I$10,Dates!I$11,'Day4'!$B17)</f>
        <v>0</v>
      </c>
      <c r="J17" s="6">
        <f>averageCompletionTimePorter(Dates!J$10,Dates!J$11,'Day4'!$B17)</f>
        <v>0</v>
      </c>
      <c r="K17" s="6">
        <f>averageCompletionTimePorter(Dates!K$10,Dates!K$11,'Day4'!$B17)</f>
        <v>0</v>
      </c>
      <c r="L17" s="6">
        <f>averageCompletionTimePorter(Dates!L$10,Dates!L$11,'Day4'!$B17)</f>
        <v>0</v>
      </c>
      <c r="M17" s="6">
        <f>averageCompletionTimePorter(Dates!M$10,Dates!M$11,'Day4'!$B17)</f>
        <v>0</v>
      </c>
      <c r="N17" s="6">
        <f>averageCompletionTimePorter(Dates!N$10,Dates!N$11,'Day4'!$B17)</f>
        <v>0</v>
      </c>
      <c r="O17" s="6">
        <f>averageCompletionTimePorter(Dates!O$10,Dates!O$11,'Day4'!$B17)</f>
        <v>0</v>
      </c>
      <c r="P17" s="6">
        <f>averageCompletionTimePorter(Dates!P$10,Dates!P$11,'Day4'!$B17)</f>
        <v>0</v>
      </c>
      <c r="Q17" s="6">
        <f>averageCompletionTimePorter(Dates!Q$10,Dates!Q$11,'Day4'!$B17)</f>
        <v>0</v>
      </c>
      <c r="R17" s="6">
        <f>averageCompletionTimePorter(Dates!R$10,Dates!R$11,'Day4'!$B17)</f>
        <v>0</v>
      </c>
      <c r="S17" s="6">
        <f>averageCompletionTimePorter(Dates!S$10,Dates!S$11,'Day4'!$B17)</f>
        <v>0</v>
      </c>
      <c r="T17" s="6">
        <f>averageCompletionTimePorter(Dates!T$10,Dates!T$11,'Day4'!$B17)</f>
        <v>0</v>
      </c>
      <c r="U17" s="6">
        <f>averageCompletionTimePorter(Dates!$C$10,Dates!$T$11,'Day4'!$B17)</f>
        <v>0</v>
      </c>
    </row>
    <row r="18" spans="2:21" x14ac:dyDescent="0.3">
      <c r="B18" s="9" t="s">
        <v>17</v>
      </c>
      <c r="C18" s="6">
        <f>averageCompletionTimePorter(Dates!C$10,Dates!C$11,'Day4'!$B18)</f>
        <v>0</v>
      </c>
      <c r="D18" s="6">
        <f>averageCompletionTimePorter(Dates!D$10,Dates!D$11,'Day4'!$B18)</f>
        <v>0</v>
      </c>
      <c r="E18" s="6">
        <f>averageCompletionTimePorter(Dates!E$10,Dates!E$11,'Day4'!$B18)</f>
        <v>0</v>
      </c>
      <c r="F18" s="6">
        <f>averageCompletionTimePorter(Dates!F$10,Dates!F$11,'Day4'!$B18)</f>
        <v>0</v>
      </c>
      <c r="G18" s="6">
        <f>averageCompletionTimePorter(Dates!G$10,Dates!G$11,'Day4'!$B18)</f>
        <v>0</v>
      </c>
      <c r="H18" s="6">
        <f>averageCompletionTimePorter(Dates!H$10,Dates!H$11,'Day4'!$B18)</f>
        <v>0</v>
      </c>
      <c r="I18" s="6">
        <f>averageCompletionTimePorter(Dates!I$10,Dates!I$11,'Day4'!$B18)</f>
        <v>0</v>
      </c>
      <c r="J18" s="6">
        <f>averageCompletionTimePorter(Dates!J$10,Dates!J$11,'Day4'!$B18)</f>
        <v>0</v>
      </c>
      <c r="K18" s="6">
        <f>averageCompletionTimePorter(Dates!K$10,Dates!K$11,'Day4'!$B18)</f>
        <v>0</v>
      </c>
      <c r="L18" s="6">
        <f>averageCompletionTimePorter(Dates!L$10,Dates!L$11,'Day4'!$B18)</f>
        <v>0</v>
      </c>
      <c r="M18" s="6">
        <f>averageCompletionTimePorter(Dates!M$10,Dates!M$11,'Day4'!$B18)</f>
        <v>0</v>
      </c>
      <c r="N18" s="6">
        <f>averageCompletionTimePorter(Dates!N$10,Dates!N$11,'Day4'!$B18)</f>
        <v>0</v>
      </c>
      <c r="O18" s="6">
        <f>averageCompletionTimePorter(Dates!O$10,Dates!O$11,'Day4'!$B18)</f>
        <v>0</v>
      </c>
      <c r="P18" s="6">
        <f>averageCompletionTimePorter(Dates!P$10,Dates!P$11,'Day4'!$B18)</f>
        <v>0</v>
      </c>
      <c r="Q18" s="6">
        <f>averageCompletionTimePorter(Dates!Q$10,Dates!Q$11,'Day4'!$B18)</f>
        <v>0</v>
      </c>
      <c r="R18" s="6">
        <f>averageCompletionTimePorter(Dates!R$10,Dates!R$11,'Day4'!$B18)</f>
        <v>0</v>
      </c>
      <c r="S18" s="6">
        <f>averageCompletionTimePorter(Dates!S$10,Dates!S$11,'Day4'!$B18)</f>
        <v>0</v>
      </c>
      <c r="T18" s="6">
        <f>averageCompletionTimePorter(Dates!T$10,Dates!T$11,'Day4'!$B18)</f>
        <v>0</v>
      </c>
      <c r="U18" s="6">
        <f>averageCompletionTimePorter(Dates!$C$10,Dates!$T$11,'Day4'!$B18)</f>
        <v>0</v>
      </c>
    </row>
    <row r="19" spans="2:21" x14ac:dyDescent="0.3">
      <c r="B19" s="9" t="s">
        <v>18</v>
      </c>
      <c r="C19" s="6">
        <f>averageCompletionTimePorter(Dates!C$10,Dates!C$11,'Day4'!$B19)</f>
        <v>0</v>
      </c>
      <c r="D19" s="6">
        <f>averageCompletionTimePorter(Dates!D$10,Dates!D$11,'Day4'!$B19)</f>
        <v>0</v>
      </c>
      <c r="E19" s="6">
        <f>averageCompletionTimePorter(Dates!E$10,Dates!E$11,'Day4'!$B19)</f>
        <v>0</v>
      </c>
      <c r="F19" s="6">
        <f>averageCompletionTimePorter(Dates!F$10,Dates!F$11,'Day4'!$B19)</f>
        <v>0</v>
      </c>
      <c r="G19" s="6">
        <f>averageCompletionTimePorter(Dates!G$10,Dates!G$11,'Day4'!$B19)</f>
        <v>0</v>
      </c>
      <c r="H19" s="6">
        <f>averageCompletionTimePorter(Dates!H$10,Dates!H$11,'Day4'!$B19)</f>
        <v>0</v>
      </c>
      <c r="I19" s="6">
        <f>averageCompletionTimePorter(Dates!I$10,Dates!I$11,'Day4'!$B19)</f>
        <v>0</v>
      </c>
      <c r="J19" s="6">
        <f>averageCompletionTimePorter(Dates!J$10,Dates!J$11,'Day4'!$B19)</f>
        <v>0</v>
      </c>
      <c r="K19" s="6">
        <f>averageCompletionTimePorter(Dates!K$10,Dates!K$11,'Day4'!$B19)</f>
        <v>0</v>
      </c>
      <c r="L19" s="6">
        <f>averageCompletionTimePorter(Dates!L$10,Dates!L$11,'Day4'!$B19)</f>
        <v>0</v>
      </c>
      <c r="M19" s="6">
        <f>averageCompletionTimePorter(Dates!M$10,Dates!M$11,'Day4'!$B19)</f>
        <v>0</v>
      </c>
      <c r="N19" s="6">
        <f>averageCompletionTimePorter(Dates!N$10,Dates!N$11,'Day4'!$B19)</f>
        <v>0</v>
      </c>
      <c r="O19" s="6">
        <f>averageCompletionTimePorter(Dates!O$10,Dates!O$11,'Day4'!$B19)</f>
        <v>0</v>
      </c>
      <c r="P19" s="6">
        <f>averageCompletionTimePorter(Dates!P$10,Dates!P$11,'Day4'!$B19)</f>
        <v>0</v>
      </c>
      <c r="Q19" s="6">
        <f>averageCompletionTimePorter(Dates!Q$10,Dates!Q$11,'Day4'!$B19)</f>
        <v>0</v>
      </c>
      <c r="R19" s="6">
        <f>averageCompletionTimePorter(Dates!R$10,Dates!R$11,'Day4'!$B19)</f>
        <v>0</v>
      </c>
      <c r="S19" s="6">
        <f>averageCompletionTimePorter(Dates!S$10,Dates!S$11,'Day4'!$B19)</f>
        <v>0</v>
      </c>
      <c r="T19" s="6">
        <f>averageCompletionTimePorter(Dates!T$10,Dates!T$11,'Day4'!$B19)</f>
        <v>0</v>
      </c>
      <c r="U19" s="6">
        <f>averageCompletionTimePorter(Dates!$C$10,Dates!$T$11,'Day4'!$B19)</f>
        <v>0</v>
      </c>
    </row>
    <row r="20" spans="2:21" x14ac:dyDescent="0.3">
      <c r="B20" s="9" t="s">
        <v>19</v>
      </c>
      <c r="C20" s="6">
        <f>averageCompletionTimePorter(Dates!C$10,Dates!C$11,'Day4'!$B20)</f>
        <v>0</v>
      </c>
      <c r="D20" s="6">
        <f>averageCompletionTimePorter(Dates!D$10,Dates!D$11,'Day4'!$B20)</f>
        <v>0</v>
      </c>
      <c r="E20" s="6">
        <f>averageCompletionTimePorter(Dates!E$10,Dates!E$11,'Day4'!$B20)</f>
        <v>0</v>
      </c>
      <c r="F20" s="6">
        <f>averageCompletionTimePorter(Dates!F$10,Dates!F$11,'Day4'!$B20)</f>
        <v>0</v>
      </c>
      <c r="G20" s="6">
        <f>averageCompletionTimePorter(Dates!G$10,Dates!G$11,'Day4'!$B20)</f>
        <v>0</v>
      </c>
      <c r="H20" s="6">
        <f>averageCompletionTimePorter(Dates!H$10,Dates!H$11,'Day4'!$B20)</f>
        <v>0</v>
      </c>
      <c r="I20" s="6">
        <f>averageCompletionTimePorter(Dates!I$10,Dates!I$11,'Day4'!$B20)</f>
        <v>0</v>
      </c>
      <c r="J20" s="6">
        <f>averageCompletionTimePorter(Dates!J$10,Dates!J$11,'Day4'!$B20)</f>
        <v>0</v>
      </c>
      <c r="K20" s="6">
        <f>averageCompletionTimePorter(Dates!K$10,Dates!K$11,'Day4'!$B20)</f>
        <v>0</v>
      </c>
      <c r="L20" s="6">
        <f>averageCompletionTimePorter(Dates!L$10,Dates!L$11,'Day4'!$B20)</f>
        <v>0</v>
      </c>
      <c r="M20" s="6">
        <f>averageCompletionTimePorter(Dates!M$10,Dates!M$11,'Day4'!$B20)</f>
        <v>0</v>
      </c>
      <c r="N20" s="6">
        <f>averageCompletionTimePorter(Dates!N$10,Dates!N$11,'Day4'!$B20)</f>
        <v>0</v>
      </c>
      <c r="O20" s="6">
        <f>averageCompletionTimePorter(Dates!O$10,Dates!O$11,'Day4'!$B20)</f>
        <v>0</v>
      </c>
      <c r="P20" s="6">
        <f>averageCompletionTimePorter(Dates!P$10,Dates!P$11,'Day4'!$B20)</f>
        <v>0</v>
      </c>
      <c r="Q20" s="6">
        <f>averageCompletionTimePorter(Dates!Q$10,Dates!Q$11,'Day4'!$B20)</f>
        <v>0</v>
      </c>
      <c r="R20" s="6">
        <f>averageCompletionTimePorter(Dates!R$10,Dates!R$11,'Day4'!$B20)</f>
        <v>0</v>
      </c>
      <c r="S20" s="6">
        <f>averageCompletionTimePorter(Dates!S$10,Dates!S$11,'Day4'!$B20)</f>
        <v>0</v>
      </c>
      <c r="T20" s="6">
        <f>averageCompletionTimePorter(Dates!T$10,Dates!T$11,'Day4'!$B20)</f>
        <v>0</v>
      </c>
      <c r="U20" s="6">
        <f>averageCompletionTimePorter(Dates!$C$10,Dates!$T$11,'Day4'!$B20)</f>
        <v>0</v>
      </c>
    </row>
    <row r="21" spans="2:21" x14ac:dyDescent="0.3">
      <c r="B21" s="9" t="s">
        <v>20</v>
      </c>
      <c r="C21" s="6">
        <f>averageCompletionTimePorter(Dates!C$10,Dates!C$11,'Day4'!$B21)</f>
        <v>0</v>
      </c>
      <c r="D21" s="6">
        <f>averageCompletionTimePorter(Dates!D$10,Dates!D$11,'Day4'!$B21)</f>
        <v>0</v>
      </c>
      <c r="E21" s="6">
        <f>averageCompletionTimePorter(Dates!E$10,Dates!E$11,'Day4'!$B21)</f>
        <v>0</v>
      </c>
      <c r="F21" s="6">
        <f>averageCompletionTimePorter(Dates!F$10,Dates!F$11,'Day4'!$B21)</f>
        <v>0</v>
      </c>
      <c r="G21" s="6">
        <f>averageCompletionTimePorter(Dates!G$10,Dates!G$11,'Day4'!$B21)</f>
        <v>0</v>
      </c>
      <c r="H21" s="6">
        <f>averageCompletionTimePorter(Dates!H$10,Dates!H$11,'Day4'!$B21)</f>
        <v>0</v>
      </c>
      <c r="I21" s="6">
        <f>averageCompletionTimePorter(Dates!I$10,Dates!I$11,'Day4'!$B21)</f>
        <v>0</v>
      </c>
      <c r="J21" s="6">
        <f>averageCompletionTimePorter(Dates!J$10,Dates!J$11,'Day4'!$B21)</f>
        <v>0</v>
      </c>
      <c r="K21" s="6">
        <f>averageCompletionTimePorter(Dates!K$10,Dates!K$11,'Day4'!$B21)</f>
        <v>0</v>
      </c>
      <c r="L21" s="6">
        <f>averageCompletionTimePorter(Dates!L$10,Dates!L$11,'Day4'!$B21)</f>
        <v>0</v>
      </c>
      <c r="M21" s="6">
        <f>averageCompletionTimePorter(Dates!M$10,Dates!M$11,'Day4'!$B21)</f>
        <v>0</v>
      </c>
      <c r="N21" s="6">
        <f>averageCompletionTimePorter(Dates!N$10,Dates!N$11,'Day4'!$B21)</f>
        <v>0</v>
      </c>
      <c r="O21" s="6">
        <f>averageCompletionTimePorter(Dates!O$10,Dates!O$11,'Day4'!$B21)</f>
        <v>0</v>
      </c>
      <c r="P21" s="6">
        <f>averageCompletionTimePorter(Dates!P$10,Dates!P$11,'Day4'!$B21)</f>
        <v>0</v>
      </c>
      <c r="Q21" s="6">
        <f>averageCompletionTimePorter(Dates!Q$10,Dates!Q$11,'Day4'!$B21)</f>
        <v>0</v>
      </c>
      <c r="R21" s="6">
        <f>averageCompletionTimePorter(Dates!R$10,Dates!R$11,'Day4'!$B21)</f>
        <v>0</v>
      </c>
      <c r="S21" s="6">
        <f>averageCompletionTimePorter(Dates!S$10,Dates!S$11,'Day4'!$B21)</f>
        <v>0</v>
      </c>
      <c r="T21" s="6">
        <f>averageCompletionTimePorter(Dates!T$10,Dates!T$11,'Day4'!$B21)</f>
        <v>0</v>
      </c>
      <c r="U21" s="6">
        <f>averageCompletionTimePorter(Dates!$C$10,Dates!$T$11,'Day4'!$B21)</f>
        <v>0</v>
      </c>
    </row>
    <row r="22" spans="2:21" x14ac:dyDescent="0.3">
      <c r="B22" s="9" t="s">
        <v>21</v>
      </c>
      <c r="C22" s="6">
        <f>averageCompletionTimePorter(Dates!C$10,Dates!C$11,'Day4'!$B22)</f>
        <v>0</v>
      </c>
      <c r="D22" s="6">
        <f>averageCompletionTimePorter(Dates!D$10,Dates!D$11,'Day4'!$B22)</f>
        <v>0</v>
      </c>
      <c r="E22" s="6">
        <f>averageCompletionTimePorter(Dates!E$10,Dates!E$11,'Day4'!$B22)</f>
        <v>0</v>
      </c>
      <c r="F22" s="6">
        <f>averageCompletionTimePorter(Dates!F$10,Dates!F$11,'Day4'!$B22)</f>
        <v>0</v>
      </c>
      <c r="G22" s="6">
        <f>averageCompletionTimePorter(Dates!G$10,Dates!G$11,'Day4'!$B22)</f>
        <v>0</v>
      </c>
      <c r="H22" s="6">
        <f>averageCompletionTimePorter(Dates!H$10,Dates!H$11,'Day4'!$B22)</f>
        <v>0</v>
      </c>
      <c r="I22" s="6">
        <f>averageCompletionTimePorter(Dates!I$10,Dates!I$11,'Day4'!$B22)</f>
        <v>0</v>
      </c>
      <c r="J22" s="6">
        <f>averageCompletionTimePorter(Dates!J$10,Dates!J$11,'Day4'!$B22)</f>
        <v>0</v>
      </c>
      <c r="K22" s="6">
        <f>averageCompletionTimePorter(Dates!K$10,Dates!K$11,'Day4'!$B22)</f>
        <v>0</v>
      </c>
      <c r="L22" s="6">
        <f>averageCompletionTimePorter(Dates!L$10,Dates!L$11,'Day4'!$B22)</f>
        <v>0</v>
      </c>
      <c r="M22" s="6">
        <f>averageCompletionTimePorter(Dates!M$10,Dates!M$11,'Day4'!$B22)</f>
        <v>0</v>
      </c>
      <c r="N22" s="6">
        <f>averageCompletionTimePorter(Dates!N$10,Dates!N$11,'Day4'!$B22)</f>
        <v>0</v>
      </c>
      <c r="O22" s="6">
        <f>averageCompletionTimePorter(Dates!O$10,Dates!O$11,'Day4'!$B22)</f>
        <v>0</v>
      </c>
      <c r="P22" s="6">
        <f>averageCompletionTimePorter(Dates!P$10,Dates!P$11,'Day4'!$B22)</f>
        <v>0</v>
      </c>
      <c r="Q22" s="6">
        <f>averageCompletionTimePorter(Dates!Q$10,Dates!Q$11,'Day4'!$B22)</f>
        <v>0</v>
      </c>
      <c r="R22" s="6">
        <f>averageCompletionTimePorter(Dates!R$10,Dates!R$11,'Day4'!$B22)</f>
        <v>0</v>
      </c>
      <c r="S22" s="6">
        <f>averageCompletionTimePorter(Dates!S$10,Dates!S$11,'Day4'!$B22)</f>
        <v>0</v>
      </c>
      <c r="T22" s="6">
        <f>averageCompletionTimePorter(Dates!T$10,Dates!T$11,'Day4'!$B22)</f>
        <v>0</v>
      </c>
      <c r="U22" s="6">
        <f>averageCompletionTimePorter(Dates!$C$10,Dates!$T$11,'Day4'!$B22)</f>
        <v>0</v>
      </c>
    </row>
    <row r="23" spans="2:21" x14ac:dyDescent="0.3">
      <c r="B23" s="9" t="s">
        <v>22</v>
      </c>
      <c r="C23" s="6">
        <f>averageCompletionTimePorter(Dates!C$10,Dates!C$11,'Day4'!$B23)</f>
        <v>0</v>
      </c>
      <c r="D23" s="6">
        <f>averageCompletionTimePorter(Dates!D$10,Dates!D$11,'Day4'!$B23)</f>
        <v>0</v>
      </c>
      <c r="E23" s="6">
        <f>averageCompletionTimePorter(Dates!E$10,Dates!E$11,'Day4'!$B23)</f>
        <v>0</v>
      </c>
      <c r="F23" s="6">
        <f>averageCompletionTimePorter(Dates!F$10,Dates!F$11,'Day4'!$B23)</f>
        <v>0</v>
      </c>
      <c r="G23" s="6">
        <f>averageCompletionTimePorter(Dates!G$10,Dates!G$11,'Day4'!$B23)</f>
        <v>0</v>
      </c>
      <c r="H23" s="6">
        <f>averageCompletionTimePorter(Dates!H$10,Dates!H$11,'Day4'!$B23)</f>
        <v>0</v>
      </c>
      <c r="I23" s="6">
        <f>averageCompletionTimePorter(Dates!I$10,Dates!I$11,'Day4'!$B23)</f>
        <v>0</v>
      </c>
      <c r="J23" s="6">
        <f>averageCompletionTimePorter(Dates!J$10,Dates!J$11,'Day4'!$B23)</f>
        <v>0</v>
      </c>
      <c r="K23" s="6">
        <f>averageCompletionTimePorter(Dates!K$10,Dates!K$11,'Day4'!$B23)</f>
        <v>0</v>
      </c>
      <c r="L23" s="6">
        <f>averageCompletionTimePorter(Dates!L$10,Dates!L$11,'Day4'!$B23)</f>
        <v>0</v>
      </c>
      <c r="M23" s="6">
        <f>averageCompletionTimePorter(Dates!M$10,Dates!M$11,'Day4'!$B23)</f>
        <v>0</v>
      </c>
      <c r="N23" s="6">
        <f>averageCompletionTimePorter(Dates!N$10,Dates!N$11,'Day4'!$B23)</f>
        <v>0</v>
      </c>
      <c r="O23" s="6">
        <f>averageCompletionTimePorter(Dates!O$10,Dates!O$11,'Day4'!$B23)</f>
        <v>0</v>
      </c>
      <c r="P23" s="6">
        <f>averageCompletionTimePorter(Dates!P$10,Dates!P$11,'Day4'!$B23)</f>
        <v>0</v>
      </c>
      <c r="Q23" s="6">
        <f>averageCompletionTimePorter(Dates!Q$10,Dates!Q$11,'Day4'!$B23)</f>
        <v>0</v>
      </c>
      <c r="R23" s="6">
        <f>averageCompletionTimePorter(Dates!R$10,Dates!R$11,'Day4'!$B23)</f>
        <v>0</v>
      </c>
      <c r="S23" s="6">
        <f>averageCompletionTimePorter(Dates!S$10,Dates!S$11,'Day4'!$B23)</f>
        <v>0</v>
      </c>
      <c r="T23" s="6">
        <f>averageCompletionTimePorter(Dates!T$10,Dates!T$11,'Day4'!$B23)</f>
        <v>0</v>
      </c>
      <c r="U23" s="6">
        <f>averageCompletionTimePorter(Dates!$C$10,Dates!$T$11,'Day4'!$B23)</f>
        <v>0</v>
      </c>
    </row>
    <row r="25" spans="2:21" x14ac:dyDescent="0.3">
      <c r="B25" s="8" t="s">
        <v>12</v>
      </c>
      <c r="C25" s="6">
        <f>averageResponseTime(Dates!C10,Dates!C11)</f>
        <v>0</v>
      </c>
      <c r="D25" s="6">
        <f>averageResponseTime(Dates!D10,Dates!D11)</f>
        <v>0</v>
      </c>
      <c r="E25" s="6">
        <f>averageResponseTime(Dates!E10,Dates!E11)</f>
        <v>0</v>
      </c>
      <c r="F25" s="6">
        <f>averageResponseTime(Dates!F10,Dates!F11)</f>
        <v>0</v>
      </c>
      <c r="G25" s="6">
        <f>averageResponseTime(Dates!G10,Dates!G11)</f>
        <v>0</v>
      </c>
      <c r="H25" s="6">
        <f>averageResponseTime(Dates!H10,Dates!H11)</f>
        <v>0</v>
      </c>
      <c r="I25" s="6">
        <f>averageResponseTime(Dates!I10,Dates!I11)</f>
        <v>0</v>
      </c>
      <c r="J25" s="6">
        <f>averageResponseTime(Dates!J10,Dates!J11)</f>
        <v>0</v>
      </c>
      <c r="K25" s="6">
        <f>averageResponseTime(Dates!K10,Dates!K11)</f>
        <v>0</v>
      </c>
      <c r="L25" s="6">
        <f>averageResponseTime(Dates!L10,Dates!L11)</f>
        <v>0</v>
      </c>
      <c r="M25" s="6">
        <f>averageResponseTime(Dates!M10,Dates!M11)</f>
        <v>0</v>
      </c>
      <c r="N25" s="6">
        <f>averageResponseTime(Dates!N10,Dates!N11)</f>
        <v>0</v>
      </c>
      <c r="O25" s="6">
        <f>averageResponseTime(Dates!O10,Dates!O11)</f>
        <v>0</v>
      </c>
      <c r="P25" s="6">
        <f>averageResponseTime(Dates!P10,Dates!P11)</f>
        <v>0</v>
      </c>
      <c r="Q25" s="6">
        <f>averageResponseTime(Dates!Q10,Dates!Q11)</f>
        <v>0</v>
      </c>
      <c r="R25" s="6">
        <f>averageResponseTime(Dates!R10,Dates!R11)</f>
        <v>0</v>
      </c>
      <c r="S25" s="6">
        <f>averageResponseTime(Dates!S10,Dates!S11)</f>
        <v>0</v>
      </c>
      <c r="T25" s="6">
        <f>averageResponseTime(Dates!T10,Dates!T11)</f>
        <v>0</v>
      </c>
      <c r="U25" s="6">
        <f>averageResponseTime(Dates!C10,Dates!T11)</f>
        <v>0</v>
      </c>
    </row>
    <row r="26" spans="2:21" x14ac:dyDescent="0.3">
      <c r="B26" s="8">
        <f>B3</f>
        <v>0</v>
      </c>
      <c r="C26" s="6">
        <f>averageResponseTimePorter(Dates!C$10,Dates!C$11,'Day4'!$B26)</f>
        <v>0</v>
      </c>
      <c r="D26" s="6">
        <f>averageResponseTimePorter(Dates!D$10,Dates!D$11,'Day4'!$B26)</f>
        <v>0</v>
      </c>
      <c r="E26" s="6">
        <f>averageResponseTimePorter(Dates!E$10,Dates!E$11,'Day4'!$B26)</f>
        <v>0</v>
      </c>
      <c r="F26" s="6">
        <f>averageResponseTimePorter(Dates!F$10,Dates!F$11,'Day4'!$B26)</f>
        <v>0</v>
      </c>
      <c r="G26" s="6">
        <f>averageResponseTimePorter(Dates!G$10,Dates!G$11,'Day4'!$B26)</f>
        <v>0</v>
      </c>
      <c r="H26" s="6">
        <f>averageResponseTimePorter(Dates!H$10,Dates!H$11,'Day4'!$B26)</f>
        <v>0</v>
      </c>
      <c r="I26" s="6">
        <f>averageResponseTimePorter(Dates!I$10,Dates!I$11,'Day4'!$B26)</f>
        <v>0</v>
      </c>
      <c r="J26" s="6">
        <f>averageResponseTimePorter(Dates!J$10,Dates!J$11,'Day4'!$B26)</f>
        <v>0</v>
      </c>
      <c r="K26" s="6">
        <f>averageResponseTimePorter(Dates!K$10,Dates!K$11,'Day4'!$B26)</f>
        <v>0</v>
      </c>
      <c r="L26" s="6">
        <f>averageResponseTimePorter(Dates!L$10,Dates!L$11,'Day4'!$B26)</f>
        <v>0</v>
      </c>
      <c r="M26" s="6">
        <f>averageResponseTimePorter(Dates!M$10,Dates!M$11,'Day4'!$B26)</f>
        <v>0</v>
      </c>
      <c r="N26" s="6">
        <f>averageResponseTimePorter(Dates!N$10,Dates!N$11,'Day4'!$B26)</f>
        <v>0</v>
      </c>
      <c r="O26" s="6">
        <f>averageResponseTimePorter(Dates!O$10,Dates!O$11,'Day4'!$B26)</f>
        <v>0</v>
      </c>
      <c r="P26" s="6">
        <f>averageResponseTimePorter(Dates!P$10,Dates!P$11,'Day4'!$B26)</f>
        <v>0</v>
      </c>
      <c r="Q26" s="6">
        <f>averageResponseTimePorter(Dates!Q$10,Dates!Q$11,'Day4'!$B26)</f>
        <v>0</v>
      </c>
      <c r="R26" s="6">
        <f>averageResponseTimePorter(Dates!R$10,Dates!R$11,'Day4'!$B26)</f>
        <v>0</v>
      </c>
      <c r="S26" s="6">
        <f>averageResponseTimePorter(Dates!S$10,Dates!S$11,'Day4'!$B26)</f>
        <v>0</v>
      </c>
      <c r="T26" s="6">
        <f>averageResponseTimePorter(Dates!T$10,Dates!T$11,'Day4'!$B26)</f>
        <v>0</v>
      </c>
      <c r="U26" s="6">
        <f>averageResponseTimePorter(Dates!$C$10,Dates!$T$11,'Day4'!$B3)</f>
        <v>0</v>
      </c>
    </row>
    <row r="27" spans="2:21" x14ac:dyDescent="0.3">
      <c r="B27" s="8" t="str">
        <f t="shared" ref="B27:B46" si="0">B4</f>
        <v>NA4</v>
      </c>
      <c r="C27" s="6">
        <f>averageResponseTimePorter(Dates!C$10,Dates!C$11,'Day4'!$B27)</f>
        <v>0</v>
      </c>
      <c r="D27" s="6">
        <f>averageResponseTimePorter(Dates!D$10,Dates!D$11,'Day4'!$B27)</f>
        <v>0</v>
      </c>
      <c r="E27" s="6">
        <f>averageResponseTimePorter(Dates!E$10,Dates!E$11,'Day4'!$B27)</f>
        <v>0</v>
      </c>
      <c r="F27" s="6">
        <f>averageResponseTimePorter(Dates!F$10,Dates!F$11,'Day4'!$B27)</f>
        <v>0</v>
      </c>
      <c r="G27" s="6">
        <f>averageResponseTimePorter(Dates!G$10,Dates!G$11,'Day4'!$B27)</f>
        <v>0</v>
      </c>
      <c r="H27" s="6">
        <f>averageResponseTimePorter(Dates!H$10,Dates!H$11,'Day4'!$B27)</f>
        <v>0</v>
      </c>
      <c r="I27" s="6">
        <f>averageResponseTimePorter(Dates!I$10,Dates!I$11,'Day4'!$B27)</f>
        <v>0</v>
      </c>
      <c r="J27" s="6">
        <f>averageResponseTimePorter(Dates!J$10,Dates!J$11,'Day4'!$B27)</f>
        <v>0</v>
      </c>
      <c r="K27" s="6">
        <f>averageResponseTimePorter(Dates!K$10,Dates!K$11,'Day4'!$B27)</f>
        <v>0</v>
      </c>
      <c r="L27" s="6">
        <f>averageResponseTimePorter(Dates!L$10,Dates!L$11,'Day4'!$B27)</f>
        <v>0</v>
      </c>
      <c r="M27" s="6">
        <f>averageResponseTimePorter(Dates!M$10,Dates!M$11,'Day4'!$B27)</f>
        <v>0</v>
      </c>
      <c r="N27" s="6">
        <f>averageResponseTimePorter(Dates!N$10,Dates!N$11,'Day4'!$B27)</f>
        <v>0</v>
      </c>
      <c r="O27" s="6">
        <f>averageResponseTimePorter(Dates!O$10,Dates!O$11,'Day4'!$B27)</f>
        <v>0</v>
      </c>
      <c r="P27" s="6">
        <f>averageResponseTimePorter(Dates!P$10,Dates!P$11,'Day4'!$B27)</f>
        <v>0</v>
      </c>
      <c r="Q27" s="6">
        <f>averageResponseTimePorter(Dates!Q$10,Dates!Q$11,'Day4'!$B27)</f>
        <v>0</v>
      </c>
      <c r="R27" s="6">
        <f>averageResponseTimePorter(Dates!R$10,Dates!R$11,'Day4'!$B27)</f>
        <v>0</v>
      </c>
      <c r="S27" s="6">
        <f>averageResponseTimePorter(Dates!S$10,Dates!S$11,'Day4'!$B27)</f>
        <v>0</v>
      </c>
      <c r="T27" s="6">
        <f>averageResponseTimePorter(Dates!T$10,Dates!T$11,'Day4'!$B27)</f>
        <v>0</v>
      </c>
      <c r="U27" s="6">
        <f>averageResponseTimePorter(Dates!$C$10,Dates!$T$11,'Day4'!$B4)</f>
        <v>0</v>
      </c>
    </row>
    <row r="28" spans="2:21" x14ac:dyDescent="0.3">
      <c r="B28" s="8" t="str">
        <f t="shared" si="0"/>
        <v>NA5</v>
      </c>
      <c r="C28" s="6">
        <f>averageResponseTimePorter(Dates!C$10,Dates!C$11,'Day4'!$B28)</f>
        <v>0</v>
      </c>
      <c r="D28" s="6">
        <f>averageResponseTimePorter(Dates!D$10,Dates!D$11,'Day4'!$B28)</f>
        <v>0</v>
      </c>
      <c r="E28" s="6">
        <f>averageResponseTimePorter(Dates!E$10,Dates!E$11,'Day4'!$B28)</f>
        <v>0</v>
      </c>
      <c r="F28" s="6">
        <f>averageResponseTimePorter(Dates!F$10,Dates!F$11,'Day4'!$B28)</f>
        <v>0</v>
      </c>
      <c r="G28" s="6">
        <f>averageResponseTimePorter(Dates!G$10,Dates!G$11,'Day4'!$B28)</f>
        <v>0</v>
      </c>
      <c r="H28" s="6">
        <f>averageResponseTimePorter(Dates!H$10,Dates!H$11,'Day4'!$B28)</f>
        <v>0</v>
      </c>
      <c r="I28" s="6">
        <f>averageResponseTimePorter(Dates!I$10,Dates!I$11,'Day4'!$B28)</f>
        <v>0</v>
      </c>
      <c r="J28" s="6">
        <f>averageResponseTimePorter(Dates!J$10,Dates!J$11,'Day4'!$B28)</f>
        <v>0</v>
      </c>
      <c r="K28" s="6">
        <f>averageResponseTimePorter(Dates!K$10,Dates!K$11,'Day4'!$B28)</f>
        <v>0</v>
      </c>
      <c r="L28" s="6">
        <f>averageResponseTimePorter(Dates!L$10,Dates!L$11,'Day4'!$B28)</f>
        <v>0</v>
      </c>
      <c r="M28" s="6">
        <f>averageResponseTimePorter(Dates!M$10,Dates!M$11,'Day4'!$B28)</f>
        <v>0</v>
      </c>
      <c r="N28" s="6">
        <f>averageResponseTimePorter(Dates!N$10,Dates!N$11,'Day4'!$B28)</f>
        <v>0</v>
      </c>
      <c r="O28" s="6">
        <f>averageResponseTimePorter(Dates!O$10,Dates!O$11,'Day4'!$B28)</f>
        <v>0</v>
      </c>
      <c r="P28" s="6">
        <f>averageResponseTimePorter(Dates!P$10,Dates!P$11,'Day4'!$B28)</f>
        <v>0</v>
      </c>
      <c r="Q28" s="6">
        <f>averageResponseTimePorter(Dates!Q$10,Dates!Q$11,'Day4'!$B28)</f>
        <v>0</v>
      </c>
      <c r="R28" s="6">
        <f>averageResponseTimePorter(Dates!R$10,Dates!R$11,'Day4'!$B28)</f>
        <v>0</v>
      </c>
      <c r="S28" s="6">
        <f>averageResponseTimePorter(Dates!S$10,Dates!S$11,'Day4'!$B28)</f>
        <v>0</v>
      </c>
      <c r="T28" s="6">
        <f>averageResponseTimePorter(Dates!T$10,Dates!T$11,'Day4'!$B28)</f>
        <v>0</v>
      </c>
      <c r="U28" s="6">
        <f>averageResponseTimePorter(Dates!$C$10,Dates!$T$11,'Day4'!$B5)</f>
        <v>0</v>
      </c>
    </row>
    <row r="29" spans="2:21" x14ac:dyDescent="0.3">
      <c r="B29" s="8" t="str">
        <f t="shared" si="0"/>
        <v>NA6</v>
      </c>
      <c r="C29" s="6">
        <f>averageResponseTimePorter(Dates!C$10,Dates!C$11,'Day4'!$B29)</f>
        <v>0</v>
      </c>
      <c r="D29" s="6">
        <f>averageResponseTimePorter(Dates!D$10,Dates!D$11,'Day4'!$B29)</f>
        <v>0</v>
      </c>
      <c r="E29" s="6">
        <f>averageResponseTimePorter(Dates!E$10,Dates!E$11,'Day4'!$B29)</f>
        <v>0</v>
      </c>
      <c r="F29" s="6">
        <f>averageResponseTimePorter(Dates!F$10,Dates!F$11,'Day4'!$B29)</f>
        <v>0</v>
      </c>
      <c r="G29" s="6">
        <f>averageResponseTimePorter(Dates!G$10,Dates!G$11,'Day4'!$B29)</f>
        <v>0</v>
      </c>
      <c r="H29" s="6">
        <f>averageResponseTimePorter(Dates!H$10,Dates!H$11,'Day4'!$B29)</f>
        <v>0</v>
      </c>
      <c r="I29" s="6">
        <f>averageResponseTimePorter(Dates!I$10,Dates!I$11,'Day4'!$B29)</f>
        <v>0</v>
      </c>
      <c r="J29" s="6">
        <f>averageResponseTimePorter(Dates!J$10,Dates!J$11,'Day4'!$B29)</f>
        <v>0</v>
      </c>
      <c r="K29" s="6">
        <f>averageResponseTimePorter(Dates!K$10,Dates!K$11,'Day4'!$B29)</f>
        <v>0</v>
      </c>
      <c r="L29" s="6">
        <f>averageResponseTimePorter(Dates!L$10,Dates!L$11,'Day4'!$B29)</f>
        <v>0</v>
      </c>
      <c r="M29" s="6">
        <f>averageResponseTimePorter(Dates!M$10,Dates!M$11,'Day4'!$B29)</f>
        <v>0</v>
      </c>
      <c r="N29" s="6">
        <f>averageResponseTimePorter(Dates!N$10,Dates!N$11,'Day4'!$B29)</f>
        <v>0</v>
      </c>
      <c r="O29" s="6">
        <f>averageResponseTimePorter(Dates!O$10,Dates!O$11,'Day4'!$B29)</f>
        <v>0</v>
      </c>
      <c r="P29" s="6">
        <f>averageResponseTimePorter(Dates!P$10,Dates!P$11,'Day4'!$B29)</f>
        <v>0</v>
      </c>
      <c r="Q29" s="6">
        <f>averageResponseTimePorter(Dates!Q$10,Dates!Q$11,'Day4'!$B29)</f>
        <v>0</v>
      </c>
      <c r="R29" s="6">
        <f>averageResponseTimePorter(Dates!R$10,Dates!R$11,'Day4'!$B29)</f>
        <v>0</v>
      </c>
      <c r="S29" s="6">
        <f>averageResponseTimePorter(Dates!S$10,Dates!S$11,'Day4'!$B29)</f>
        <v>0</v>
      </c>
      <c r="T29" s="6">
        <f>averageResponseTimePorter(Dates!T$10,Dates!T$11,'Day4'!$B29)</f>
        <v>0</v>
      </c>
      <c r="U29" s="6">
        <f>averageResponseTimePorter(Dates!$C$10,Dates!$T$11,'Day4'!$B6)</f>
        <v>0</v>
      </c>
    </row>
    <row r="30" spans="2:21" x14ac:dyDescent="0.3">
      <c r="B30" s="8" t="str">
        <f t="shared" si="0"/>
        <v>NA7</v>
      </c>
      <c r="C30" s="6">
        <f>averageResponseTimePorter(Dates!C$10,Dates!C$11,'Day4'!$B30)</f>
        <v>0</v>
      </c>
      <c r="D30" s="6">
        <f>averageResponseTimePorter(Dates!D$10,Dates!D$11,'Day4'!$B30)</f>
        <v>0</v>
      </c>
      <c r="E30" s="6">
        <f>averageResponseTimePorter(Dates!E$10,Dates!E$11,'Day4'!$B30)</f>
        <v>0</v>
      </c>
      <c r="F30" s="6">
        <f>averageResponseTimePorter(Dates!F$10,Dates!F$11,'Day4'!$B30)</f>
        <v>0</v>
      </c>
      <c r="G30" s="6">
        <f>averageResponseTimePorter(Dates!G$10,Dates!G$11,'Day4'!$B30)</f>
        <v>0</v>
      </c>
      <c r="H30" s="6">
        <f>averageResponseTimePorter(Dates!H$10,Dates!H$11,'Day4'!$B30)</f>
        <v>0</v>
      </c>
      <c r="I30" s="6">
        <f>averageResponseTimePorter(Dates!I$10,Dates!I$11,'Day4'!$B30)</f>
        <v>0</v>
      </c>
      <c r="J30" s="6">
        <f>averageResponseTimePorter(Dates!J$10,Dates!J$11,'Day4'!$B30)</f>
        <v>0</v>
      </c>
      <c r="K30" s="6">
        <f>averageResponseTimePorter(Dates!K$10,Dates!K$11,'Day4'!$B30)</f>
        <v>0</v>
      </c>
      <c r="L30" s="6">
        <f>averageResponseTimePorter(Dates!L$10,Dates!L$11,'Day4'!$B30)</f>
        <v>0</v>
      </c>
      <c r="M30" s="6">
        <f>averageResponseTimePorter(Dates!M$10,Dates!M$11,'Day4'!$B30)</f>
        <v>0</v>
      </c>
      <c r="N30" s="6">
        <f>averageResponseTimePorter(Dates!N$10,Dates!N$11,'Day4'!$B30)</f>
        <v>0</v>
      </c>
      <c r="O30" s="6">
        <f>averageResponseTimePorter(Dates!O$10,Dates!O$11,'Day4'!$B30)</f>
        <v>0</v>
      </c>
      <c r="P30" s="6">
        <f>averageResponseTimePorter(Dates!P$10,Dates!P$11,'Day4'!$B30)</f>
        <v>0</v>
      </c>
      <c r="Q30" s="6">
        <f>averageResponseTimePorter(Dates!Q$10,Dates!Q$11,'Day4'!$B30)</f>
        <v>0</v>
      </c>
      <c r="R30" s="6">
        <f>averageResponseTimePorter(Dates!R$10,Dates!R$11,'Day4'!$B30)</f>
        <v>0</v>
      </c>
      <c r="S30" s="6">
        <f>averageResponseTimePorter(Dates!S$10,Dates!S$11,'Day4'!$B30)</f>
        <v>0</v>
      </c>
      <c r="T30" s="6">
        <f>averageResponseTimePorter(Dates!T$10,Dates!T$11,'Day4'!$B30)</f>
        <v>0</v>
      </c>
      <c r="U30" s="6">
        <f>averageResponseTimePorter(Dates!$C$10,Dates!$T$11,'Day4'!$B7)</f>
        <v>0</v>
      </c>
    </row>
    <row r="31" spans="2:21" x14ac:dyDescent="0.3">
      <c r="B31" s="8" t="str">
        <f t="shared" si="0"/>
        <v>NA8</v>
      </c>
      <c r="C31" s="6">
        <f>averageResponseTimePorter(Dates!C$10,Dates!C$11,'Day4'!$B31)</f>
        <v>0</v>
      </c>
      <c r="D31" s="6">
        <f>averageResponseTimePorter(Dates!D$10,Dates!D$11,'Day4'!$B31)</f>
        <v>0</v>
      </c>
      <c r="E31" s="6">
        <f>averageResponseTimePorter(Dates!E$10,Dates!E$11,'Day4'!$B31)</f>
        <v>0</v>
      </c>
      <c r="F31" s="6">
        <f>averageResponseTimePorter(Dates!F$10,Dates!F$11,'Day4'!$B31)</f>
        <v>0</v>
      </c>
      <c r="G31" s="6">
        <f>averageResponseTimePorter(Dates!G$10,Dates!G$11,'Day4'!$B31)</f>
        <v>0</v>
      </c>
      <c r="H31" s="6">
        <f>averageResponseTimePorter(Dates!H$10,Dates!H$11,'Day4'!$B31)</f>
        <v>0</v>
      </c>
      <c r="I31" s="6">
        <f>averageResponseTimePorter(Dates!I$10,Dates!I$11,'Day4'!$B31)</f>
        <v>0</v>
      </c>
      <c r="J31" s="6">
        <f>averageResponseTimePorter(Dates!J$10,Dates!J$11,'Day4'!$B31)</f>
        <v>0</v>
      </c>
      <c r="K31" s="6">
        <f>averageResponseTimePorter(Dates!K$10,Dates!K$11,'Day4'!$B31)</f>
        <v>0</v>
      </c>
      <c r="L31" s="6">
        <f>averageResponseTimePorter(Dates!L$10,Dates!L$11,'Day4'!$B31)</f>
        <v>0</v>
      </c>
      <c r="M31" s="6">
        <f>averageResponseTimePorter(Dates!M$10,Dates!M$11,'Day4'!$B31)</f>
        <v>0</v>
      </c>
      <c r="N31" s="6">
        <f>averageResponseTimePorter(Dates!N$10,Dates!N$11,'Day4'!$B31)</f>
        <v>0</v>
      </c>
      <c r="O31" s="6">
        <f>averageResponseTimePorter(Dates!O$10,Dates!O$11,'Day4'!$B31)</f>
        <v>0</v>
      </c>
      <c r="P31" s="6">
        <f>averageResponseTimePorter(Dates!P$10,Dates!P$11,'Day4'!$B31)</f>
        <v>0</v>
      </c>
      <c r="Q31" s="6">
        <f>averageResponseTimePorter(Dates!Q$10,Dates!Q$11,'Day4'!$B31)</f>
        <v>0</v>
      </c>
      <c r="R31" s="6">
        <f>averageResponseTimePorter(Dates!R$10,Dates!R$11,'Day4'!$B31)</f>
        <v>0</v>
      </c>
      <c r="S31" s="6">
        <f>averageResponseTimePorter(Dates!S$10,Dates!S$11,'Day4'!$B31)</f>
        <v>0</v>
      </c>
      <c r="T31" s="6">
        <f>averageResponseTimePorter(Dates!T$10,Dates!T$11,'Day4'!$B31)</f>
        <v>0</v>
      </c>
      <c r="U31" s="6">
        <f>averageResponseTimePorter(Dates!$C$10,Dates!$T$11,'Day4'!$B8)</f>
        <v>0</v>
      </c>
    </row>
    <row r="32" spans="2:21" x14ac:dyDescent="0.3">
      <c r="B32" s="8" t="str">
        <f t="shared" si="0"/>
        <v>NA9</v>
      </c>
      <c r="C32" s="6">
        <f>averageResponseTimePorter(Dates!C$10,Dates!C$11,'Day4'!$B32)</f>
        <v>0</v>
      </c>
      <c r="D32" s="6">
        <f>averageResponseTimePorter(Dates!D$10,Dates!D$11,'Day4'!$B32)</f>
        <v>0</v>
      </c>
      <c r="E32" s="6">
        <f>averageResponseTimePorter(Dates!E$10,Dates!E$11,'Day4'!$B32)</f>
        <v>0</v>
      </c>
      <c r="F32" s="6">
        <f>averageResponseTimePorter(Dates!F$10,Dates!F$11,'Day4'!$B32)</f>
        <v>0</v>
      </c>
      <c r="G32" s="6">
        <f>averageResponseTimePorter(Dates!G$10,Dates!G$11,'Day4'!$B32)</f>
        <v>0</v>
      </c>
      <c r="H32" s="6">
        <f>averageResponseTimePorter(Dates!H$10,Dates!H$11,'Day4'!$B32)</f>
        <v>0</v>
      </c>
      <c r="I32" s="6">
        <f>averageResponseTimePorter(Dates!I$10,Dates!I$11,'Day4'!$B32)</f>
        <v>0</v>
      </c>
      <c r="J32" s="6">
        <f>averageResponseTimePorter(Dates!J$10,Dates!J$11,'Day4'!$B32)</f>
        <v>0</v>
      </c>
      <c r="K32" s="6">
        <f>averageResponseTimePorter(Dates!K$10,Dates!K$11,'Day4'!$B32)</f>
        <v>0</v>
      </c>
      <c r="L32" s="6">
        <f>averageResponseTimePorter(Dates!L$10,Dates!L$11,'Day4'!$B32)</f>
        <v>0</v>
      </c>
      <c r="M32" s="6">
        <f>averageResponseTimePorter(Dates!M$10,Dates!M$11,'Day4'!$B32)</f>
        <v>0</v>
      </c>
      <c r="N32" s="6">
        <f>averageResponseTimePorter(Dates!N$10,Dates!N$11,'Day4'!$B32)</f>
        <v>0</v>
      </c>
      <c r="O32" s="6">
        <f>averageResponseTimePorter(Dates!O$10,Dates!O$11,'Day4'!$B32)</f>
        <v>0</v>
      </c>
      <c r="P32" s="6">
        <f>averageResponseTimePorter(Dates!P$10,Dates!P$11,'Day4'!$B32)</f>
        <v>0</v>
      </c>
      <c r="Q32" s="6">
        <f>averageResponseTimePorter(Dates!Q$10,Dates!Q$11,'Day4'!$B32)</f>
        <v>0</v>
      </c>
      <c r="R32" s="6">
        <f>averageResponseTimePorter(Dates!R$10,Dates!R$11,'Day4'!$B32)</f>
        <v>0</v>
      </c>
      <c r="S32" s="6">
        <f>averageResponseTimePorter(Dates!S$10,Dates!S$11,'Day4'!$B32)</f>
        <v>0</v>
      </c>
      <c r="T32" s="6">
        <f>averageResponseTimePorter(Dates!T$10,Dates!T$11,'Day4'!$B32)</f>
        <v>0</v>
      </c>
      <c r="U32" s="6">
        <f>averageResponseTimePorter(Dates!$C$10,Dates!$T$11,'Day4'!$B9)</f>
        <v>0</v>
      </c>
    </row>
    <row r="33" spans="2:21" x14ac:dyDescent="0.3">
      <c r="B33" s="8" t="str">
        <f t="shared" si="0"/>
        <v>NA10</v>
      </c>
      <c r="C33" s="6">
        <f>averageResponseTimePorter(Dates!C$10,Dates!C$11,'Day4'!$B33)</f>
        <v>0</v>
      </c>
      <c r="D33" s="6">
        <f>averageResponseTimePorter(Dates!D$10,Dates!D$11,'Day4'!$B33)</f>
        <v>0</v>
      </c>
      <c r="E33" s="6">
        <f>averageResponseTimePorter(Dates!E$10,Dates!E$11,'Day4'!$B33)</f>
        <v>0</v>
      </c>
      <c r="F33" s="6">
        <f>averageResponseTimePorter(Dates!F$10,Dates!F$11,'Day4'!$B33)</f>
        <v>0</v>
      </c>
      <c r="G33" s="6">
        <f>averageResponseTimePorter(Dates!G$10,Dates!G$11,'Day4'!$B33)</f>
        <v>0</v>
      </c>
      <c r="H33" s="6">
        <f>averageResponseTimePorter(Dates!H$10,Dates!H$11,'Day4'!$B33)</f>
        <v>0</v>
      </c>
      <c r="I33" s="6">
        <f>averageResponseTimePorter(Dates!I$10,Dates!I$11,'Day4'!$B33)</f>
        <v>0</v>
      </c>
      <c r="J33" s="6">
        <f>averageResponseTimePorter(Dates!J$10,Dates!J$11,'Day4'!$B33)</f>
        <v>0</v>
      </c>
      <c r="K33" s="6">
        <f>averageResponseTimePorter(Dates!K$10,Dates!K$11,'Day4'!$B33)</f>
        <v>0</v>
      </c>
      <c r="L33" s="6">
        <f>averageResponseTimePorter(Dates!L$10,Dates!L$11,'Day4'!$B33)</f>
        <v>0</v>
      </c>
      <c r="M33" s="6">
        <f>averageResponseTimePorter(Dates!M$10,Dates!M$11,'Day4'!$B33)</f>
        <v>0</v>
      </c>
      <c r="N33" s="6">
        <f>averageResponseTimePorter(Dates!N$10,Dates!N$11,'Day4'!$B33)</f>
        <v>0</v>
      </c>
      <c r="O33" s="6">
        <f>averageResponseTimePorter(Dates!O$10,Dates!O$11,'Day4'!$B33)</f>
        <v>0</v>
      </c>
      <c r="P33" s="6">
        <f>averageResponseTimePorter(Dates!P$10,Dates!P$11,'Day4'!$B33)</f>
        <v>0</v>
      </c>
      <c r="Q33" s="6">
        <f>averageResponseTimePorter(Dates!Q$10,Dates!Q$11,'Day4'!$B33)</f>
        <v>0</v>
      </c>
      <c r="R33" s="6">
        <f>averageResponseTimePorter(Dates!R$10,Dates!R$11,'Day4'!$B33)</f>
        <v>0</v>
      </c>
      <c r="S33" s="6">
        <f>averageResponseTimePorter(Dates!S$10,Dates!S$11,'Day4'!$B33)</f>
        <v>0</v>
      </c>
      <c r="T33" s="6">
        <f>averageResponseTimePorter(Dates!T$10,Dates!T$11,'Day4'!$B33)</f>
        <v>0</v>
      </c>
      <c r="U33" s="6">
        <f>averageResponseTimePorter(Dates!$C$10,Dates!$T$11,'Day4'!$B10)</f>
        <v>0</v>
      </c>
    </row>
    <row r="34" spans="2:21" x14ac:dyDescent="0.3">
      <c r="B34" s="8" t="str">
        <f t="shared" si="0"/>
        <v>NA11</v>
      </c>
      <c r="C34" s="6">
        <f>averageResponseTimePorter(Dates!C$10,Dates!C$11,'Day4'!$B34)</f>
        <v>0</v>
      </c>
      <c r="D34" s="6">
        <f>averageResponseTimePorter(Dates!D$10,Dates!D$11,'Day4'!$B34)</f>
        <v>0</v>
      </c>
      <c r="E34" s="6">
        <f>averageResponseTimePorter(Dates!E$10,Dates!E$11,'Day4'!$B34)</f>
        <v>0</v>
      </c>
      <c r="F34" s="6">
        <f>averageResponseTimePorter(Dates!F$10,Dates!F$11,'Day4'!$B34)</f>
        <v>0</v>
      </c>
      <c r="G34" s="6">
        <f>averageResponseTimePorter(Dates!G$10,Dates!G$11,'Day4'!$B34)</f>
        <v>0</v>
      </c>
      <c r="H34" s="6">
        <f>averageResponseTimePorter(Dates!H$10,Dates!H$11,'Day4'!$B34)</f>
        <v>0</v>
      </c>
      <c r="I34" s="6">
        <f>averageResponseTimePorter(Dates!I$10,Dates!I$11,'Day4'!$B34)</f>
        <v>0</v>
      </c>
      <c r="J34" s="6">
        <f>averageResponseTimePorter(Dates!J$10,Dates!J$11,'Day4'!$B34)</f>
        <v>0</v>
      </c>
      <c r="K34" s="6">
        <f>averageResponseTimePorter(Dates!K$10,Dates!K$11,'Day4'!$B34)</f>
        <v>0</v>
      </c>
      <c r="L34" s="6">
        <f>averageResponseTimePorter(Dates!L$10,Dates!L$11,'Day4'!$B34)</f>
        <v>0</v>
      </c>
      <c r="M34" s="6">
        <f>averageResponseTimePorter(Dates!M$10,Dates!M$11,'Day4'!$B34)</f>
        <v>0</v>
      </c>
      <c r="N34" s="6">
        <f>averageResponseTimePorter(Dates!N$10,Dates!N$11,'Day4'!$B34)</f>
        <v>0</v>
      </c>
      <c r="O34" s="6">
        <f>averageResponseTimePorter(Dates!O$10,Dates!O$11,'Day4'!$B34)</f>
        <v>0</v>
      </c>
      <c r="P34" s="6">
        <f>averageResponseTimePorter(Dates!P$10,Dates!P$11,'Day4'!$B34)</f>
        <v>0</v>
      </c>
      <c r="Q34" s="6">
        <f>averageResponseTimePorter(Dates!Q$10,Dates!Q$11,'Day4'!$B34)</f>
        <v>0</v>
      </c>
      <c r="R34" s="6">
        <f>averageResponseTimePorter(Dates!R$10,Dates!R$11,'Day4'!$B34)</f>
        <v>0</v>
      </c>
      <c r="S34" s="6">
        <f>averageResponseTimePorter(Dates!S$10,Dates!S$11,'Day4'!$B34)</f>
        <v>0</v>
      </c>
      <c r="T34" s="6">
        <f>averageResponseTimePorter(Dates!T$10,Dates!T$11,'Day4'!$B34)</f>
        <v>0</v>
      </c>
      <c r="U34" s="6">
        <f>averageResponseTimePorter(Dates!$C$10,Dates!$T$11,'Day4'!$B11)</f>
        <v>0</v>
      </c>
    </row>
    <row r="35" spans="2:21" x14ac:dyDescent="0.3">
      <c r="B35" s="8" t="str">
        <f t="shared" si="0"/>
        <v>NA12</v>
      </c>
      <c r="C35" s="6">
        <f>averageResponseTimePorter(Dates!C$10,Dates!C$11,'Day4'!$B35)</f>
        <v>0</v>
      </c>
      <c r="D35" s="6">
        <f>averageResponseTimePorter(Dates!D$10,Dates!D$11,'Day4'!$B35)</f>
        <v>0</v>
      </c>
      <c r="E35" s="6">
        <f>averageResponseTimePorter(Dates!E$10,Dates!E$11,'Day4'!$B35)</f>
        <v>0</v>
      </c>
      <c r="F35" s="6">
        <f>averageResponseTimePorter(Dates!F$10,Dates!F$11,'Day4'!$B35)</f>
        <v>0</v>
      </c>
      <c r="G35" s="6">
        <f>averageResponseTimePorter(Dates!G$10,Dates!G$11,'Day4'!$B35)</f>
        <v>0</v>
      </c>
      <c r="H35" s="6">
        <f>averageResponseTimePorter(Dates!H$10,Dates!H$11,'Day4'!$B35)</f>
        <v>0</v>
      </c>
      <c r="I35" s="6">
        <f>averageResponseTimePorter(Dates!I$10,Dates!I$11,'Day4'!$B35)</f>
        <v>0</v>
      </c>
      <c r="J35" s="6">
        <f>averageResponseTimePorter(Dates!J$10,Dates!J$11,'Day4'!$B35)</f>
        <v>0</v>
      </c>
      <c r="K35" s="6">
        <f>averageResponseTimePorter(Dates!K$10,Dates!K$11,'Day4'!$B35)</f>
        <v>0</v>
      </c>
      <c r="L35" s="6">
        <f>averageResponseTimePorter(Dates!L$10,Dates!L$11,'Day4'!$B35)</f>
        <v>0</v>
      </c>
      <c r="M35" s="6">
        <f>averageResponseTimePorter(Dates!M$10,Dates!M$11,'Day4'!$B35)</f>
        <v>0</v>
      </c>
      <c r="N35" s="6">
        <f>averageResponseTimePorter(Dates!N$10,Dates!N$11,'Day4'!$B35)</f>
        <v>0</v>
      </c>
      <c r="O35" s="6">
        <f>averageResponseTimePorter(Dates!O$10,Dates!O$11,'Day4'!$B35)</f>
        <v>0</v>
      </c>
      <c r="P35" s="6">
        <f>averageResponseTimePorter(Dates!P$10,Dates!P$11,'Day4'!$B35)</f>
        <v>0</v>
      </c>
      <c r="Q35" s="6">
        <f>averageResponseTimePorter(Dates!Q$10,Dates!Q$11,'Day4'!$B35)</f>
        <v>0</v>
      </c>
      <c r="R35" s="6">
        <f>averageResponseTimePorter(Dates!R$10,Dates!R$11,'Day4'!$B35)</f>
        <v>0</v>
      </c>
      <c r="S35" s="6">
        <f>averageResponseTimePorter(Dates!S$10,Dates!S$11,'Day4'!$B35)</f>
        <v>0</v>
      </c>
      <c r="T35" s="6">
        <f>averageResponseTimePorter(Dates!T$10,Dates!T$11,'Day4'!$B35)</f>
        <v>0</v>
      </c>
      <c r="U35" s="6">
        <f>averageResponseTimePorter(Dates!$C$10,Dates!$T$11,'Day4'!$B12)</f>
        <v>0</v>
      </c>
    </row>
    <row r="36" spans="2:21" x14ac:dyDescent="0.3">
      <c r="B36" s="8" t="str">
        <f t="shared" si="0"/>
        <v>NA13</v>
      </c>
      <c r="C36" s="6">
        <f>averageResponseTimePorter(Dates!C$10,Dates!C$11,'Day4'!$B36)</f>
        <v>0</v>
      </c>
      <c r="D36" s="6">
        <f>averageResponseTimePorter(Dates!D$10,Dates!D$11,'Day4'!$B36)</f>
        <v>0</v>
      </c>
      <c r="E36" s="6">
        <f>averageResponseTimePorter(Dates!E$10,Dates!E$11,'Day4'!$B36)</f>
        <v>0</v>
      </c>
      <c r="F36" s="6">
        <f>averageResponseTimePorter(Dates!F$10,Dates!F$11,'Day4'!$B36)</f>
        <v>0</v>
      </c>
      <c r="G36" s="6">
        <f>averageResponseTimePorter(Dates!G$10,Dates!G$11,'Day4'!$B36)</f>
        <v>0</v>
      </c>
      <c r="H36" s="6">
        <f>averageResponseTimePorter(Dates!H$10,Dates!H$11,'Day4'!$B36)</f>
        <v>0</v>
      </c>
      <c r="I36" s="6">
        <f>averageResponseTimePorter(Dates!I$10,Dates!I$11,'Day4'!$B36)</f>
        <v>0</v>
      </c>
      <c r="J36" s="6">
        <f>averageResponseTimePorter(Dates!J$10,Dates!J$11,'Day4'!$B36)</f>
        <v>0</v>
      </c>
      <c r="K36" s="6">
        <f>averageResponseTimePorter(Dates!K$10,Dates!K$11,'Day4'!$B36)</f>
        <v>0</v>
      </c>
      <c r="L36" s="6">
        <f>averageResponseTimePorter(Dates!L$10,Dates!L$11,'Day4'!$B36)</f>
        <v>0</v>
      </c>
      <c r="M36" s="6">
        <f>averageResponseTimePorter(Dates!M$10,Dates!M$11,'Day4'!$B36)</f>
        <v>0</v>
      </c>
      <c r="N36" s="6">
        <f>averageResponseTimePorter(Dates!N$10,Dates!N$11,'Day4'!$B36)</f>
        <v>0</v>
      </c>
      <c r="O36" s="6">
        <f>averageResponseTimePorter(Dates!O$10,Dates!O$11,'Day4'!$B36)</f>
        <v>0</v>
      </c>
      <c r="P36" s="6">
        <f>averageResponseTimePorter(Dates!P$10,Dates!P$11,'Day4'!$B36)</f>
        <v>0</v>
      </c>
      <c r="Q36" s="6">
        <f>averageResponseTimePorter(Dates!Q$10,Dates!Q$11,'Day4'!$B36)</f>
        <v>0</v>
      </c>
      <c r="R36" s="6">
        <f>averageResponseTimePorter(Dates!R$10,Dates!R$11,'Day4'!$B36)</f>
        <v>0</v>
      </c>
      <c r="S36" s="6">
        <f>averageResponseTimePorter(Dates!S$10,Dates!S$11,'Day4'!$B36)</f>
        <v>0</v>
      </c>
      <c r="T36" s="6">
        <f>averageResponseTimePorter(Dates!T$10,Dates!T$11,'Day4'!$B36)</f>
        <v>0</v>
      </c>
      <c r="U36" s="6">
        <f>averageResponseTimePorter(Dates!$C$10,Dates!$T$11,'Day4'!$B13)</f>
        <v>0</v>
      </c>
    </row>
    <row r="37" spans="2:21" x14ac:dyDescent="0.3">
      <c r="B37" s="8" t="str">
        <f t="shared" si="0"/>
        <v>NA14</v>
      </c>
      <c r="C37" s="6">
        <f>averageResponseTimePorter(Dates!C$10,Dates!C$11,'Day4'!$B37)</f>
        <v>0</v>
      </c>
      <c r="D37" s="6">
        <f>averageResponseTimePorter(Dates!D$10,Dates!D$11,'Day4'!$B37)</f>
        <v>0</v>
      </c>
      <c r="E37" s="6">
        <f>averageResponseTimePorter(Dates!E$10,Dates!E$11,'Day4'!$B37)</f>
        <v>0</v>
      </c>
      <c r="F37" s="6">
        <f>averageResponseTimePorter(Dates!F$10,Dates!F$11,'Day4'!$B37)</f>
        <v>0</v>
      </c>
      <c r="G37" s="6">
        <f>averageResponseTimePorter(Dates!G$10,Dates!G$11,'Day4'!$B37)</f>
        <v>0</v>
      </c>
      <c r="H37" s="6">
        <f>averageResponseTimePorter(Dates!H$10,Dates!H$11,'Day4'!$B37)</f>
        <v>0</v>
      </c>
      <c r="I37" s="6">
        <f>averageResponseTimePorter(Dates!I$10,Dates!I$11,'Day4'!$B37)</f>
        <v>0</v>
      </c>
      <c r="J37" s="6">
        <f>averageResponseTimePorter(Dates!J$10,Dates!J$11,'Day4'!$B37)</f>
        <v>0</v>
      </c>
      <c r="K37" s="6">
        <f>averageResponseTimePorter(Dates!K$10,Dates!K$11,'Day4'!$B37)</f>
        <v>0</v>
      </c>
      <c r="L37" s="6">
        <f>averageResponseTimePorter(Dates!L$10,Dates!L$11,'Day4'!$B37)</f>
        <v>0</v>
      </c>
      <c r="M37" s="6">
        <f>averageResponseTimePorter(Dates!M$10,Dates!M$11,'Day4'!$B37)</f>
        <v>0</v>
      </c>
      <c r="N37" s="6">
        <f>averageResponseTimePorter(Dates!N$10,Dates!N$11,'Day4'!$B37)</f>
        <v>0</v>
      </c>
      <c r="O37" s="6">
        <f>averageResponseTimePorter(Dates!O$10,Dates!O$11,'Day4'!$B37)</f>
        <v>0</v>
      </c>
      <c r="P37" s="6">
        <f>averageResponseTimePorter(Dates!P$10,Dates!P$11,'Day4'!$B37)</f>
        <v>0</v>
      </c>
      <c r="Q37" s="6">
        <f>averageResponseTimePorter(Dates!Q$10,Dates!Q$11,'Day4'!$B37)</f>
        <v>0</v>
      </c>
      <c r="R37" s="6">
        <f>averageResponseTimePorter(Dates!R$10,Dates!R$11,'Day4'!$B37)</f>
        <v>0</v>
      </c>
      <c r="S37" s="6">
        <f>averageResponseTimePorter(Dates!S$10,Dates!S$11,'Day4'!$B37)</f>
        <v>0</v>
      </c>
      <c r="T37" s="6">
        <f>averageResponseTimePorter(Dates!T$10,Dates!T$11,'Day4'!$B37)</f>
        <v>0</v>
      </c>
      <c r="U37" s="6">
        <f>averageResponseTimePorter(Dates!$C$10,Dates!$T$11,'Day4'!$B14)</f>
        <v>0</v>
      </c>
    </row>
    <row r="38" spans="2:21" x14ac:dyDescent="0.3">
      <c r="B38" s="8" t="str">
        <f t="shared" si="0"/>
        <v>NA15</v>
      </c>
      <c r="C38" s="6">
        <f>averageResponseTimePorter(Dates!C$10,Dates!C$11,'Day4'!$B38)</f>
        <v>0</v>
      </c>
      <c r="D38" s="6">
        <f>averageResponseTimePorter(Dates!D$10,Dates!D$11,'Day4'!$B38)</f>
        <v>0</v>
      </c>
      <c r="E38" s="6">
        <f>averageResponseTimePorter(Dates!E$10,Dates!E$11,'Day4'!$B38)</f>
        <v>0</v>
      </c>
      <c r="F38" s="6">
        <f>averageResponseTimePorter(Dates!F$10,Dates!F$11,'Day4'!$B38)</f>
        <v>0</v>
      </c>
      <c r="G38" s="6">
        <f>averageResponseTimePorter(Dates!G$10,Dates!G$11,'Day4'!$B38)</f>
        <v>0</v>
      </c>
      <c r="H38" s="6">
        <f>averageResponseTimePorter(Dates!H$10,Dates!H$11,'Day4'!$B38)</f>
        <v>0</v>
      </c>
      <c r="I38" s="6">
        <f>averageResponseTimePorter(Dates!I$10,Dates!I$11,'Day4'!$B38)</f>
        <v>0</v>
      </c>
      <c r="J38" s="6">
        <f>averageResponseTimePorter(Dates!J$10,Dates!J$11,'Day4'!$B38)</f>
        <v>0</v>
      </c>
      <c r="K38" s="6">
        <f>averageResponseTimePorter(Dates!K$10,Dates!K$11,'Day4'!$B38)</f>
        <v>0</v>
      </c>
      <c r="L38" s="6">
        <f>averageResponseTimePorter(Dates!L$10,Dates!L$11,'Day4'!$B38)</f>
        <v>0</v>
      </c>
      <c r="M38" s="6">
        <f>averageResponseTimePorter(Dates!M$10,Dates!M$11,'Day4'!$B38)</f>
        <v>0</v>
      </c>
      <c r="N38" s="6">
        <f>averageResponseTimePorter(Dates!N$10,Dates!N$11,'Day4'!$B38)</f>
        <v>0</v>
      </c>
      <c r="O38" s="6">
        <f>averageResponseTimePorter(Dates!O$10,Dates!O$11,'Day4'!$B38)</f>
        <v>0</v>
      </c>
      <c r="P38" s="6">
        <f>averageResponseTimePorter(Dates!P$10,Dates!P$11,'Day4'!$B38)</f>
        <v>0</v>
      </c>
      <c r="Q38" s="6">
        <f>averageResponseTimePorter(Dates!Q$10,Dates!Q$11,'Day4'!$B38)</f>
        <v>0</v>
      </c>
      <c r="R38" s="6">
        <f>averageResponseTimePorter(Dates!R$10,Dates!R$11,'Day4'!$B38)</f>
        <v>0</v>
      </c>
      <c r="S38" s="6">
        <f>averageResponseTimePorter(Dates!S$10,Dates!S$11,'Day4'!$B38)</f>
        <v>0</v>
      </c>
      <c r="T38" s="6">
        <f>averageResponseTimePorter(Dates!T$10,Dates!T$11,'Day4'!$B38)</f>
        <v>0</v>
      </c>
      <c r="U38" s="6">
        <f>averageResponseTimePorter(Dates!$C$10,Dates!$T$11,'Day4'!$B15)</f>
        <v>0</v>
      </c>
    </row>
    <row r="39" spans="2:21" x14ac:dyDescent="0.3">
      <c r="B39" s="8" t="str">
        <f t="shared" si="0"/>
        <v>NA16</v>
      </c>
      <c r="C39" s="6">
        <f>averageResponseTimePorter(Dates!C$10,Dates!C$11,'Day4'!$B39)</f>
        <v>0</v>
      </c>
      <c r="D39" s="6">
        <f>averageResponseTimePorter(Dates!D$10,Dates!D$11,'Day4'!$B39)</f>
        <v>0</v>
      </c>
      <c r="E39" s="6">
        <f>averageResponseTimePorter(Dates!E$10,Dates!E$11,'Day4'!$B39)</f>
        <v>0</v>
      </c>
      <c r="F39" s="6">
        <f>averageResponseTimePorter(Dates!F$10,Dates!F$11,'Day4'!$B39)</f>
        <v>0</v>
      </c>
      <c r="G39" s="6">
        <f>averageResponseTimePorter(Dates!G$10,Dates!G$11,'Day4'!$B39)</f>
        <v>0</v>
      </c>
      <c r="H39" s="6">
        <f>averageResponseTimePorter(Dates!H$10,Dates!H$11,'Day4'!$B39)</f>
        <v>0</v>
      </c>
      <c r="I39" s="6">
        <f>averageResponseTimePorter(Dates!I$10,Dates!I$11,'Day4'!$B39)</f>
        <v>0</v>
      </c>
      <c r="J39" s="6">
        <f>averageResponseTimePorter(Dates!J$10,Dates!J$11,'Day4'!$B39)</f>
        <v>0</v>
      </c>
      <c r="K39" s="6">
        <f>averageResponseTimePorter(Dates!K$10,Dates!K$11,'Day4'!$B39)</f>
        <v>0</v>
      </c>
      <c r="L39" s="6">
        <f>averageResponseTimePorter(Dates!L$10,Dates!L$11,'Day4'!$B39)</f>
        <v>0</v>
      </c>
      <c r="M39" s="6">
        <f>averageResponseTimePorter(Dates!M$10,Dates!M$11,'Day4'!$B39)</f>
        <v>0</v>
      </c>
      <c r="N39" s="6">
        <f>averageResponseTimePorter(Dates!N$10,Dates!N$11,'Day4'!$B39)</f>
        <v>0</v>
      </c>
      <c r="O39" s="6">
        <f>averageResponseTimePorter(Dates!O$10,Dates!O$11,'Day4'!$B39)</f>
        <v>0</v>
      </c>
      <c r="P39" s="6">
        <f>averageResponseTimePorter(Dates!P$10,Dates!P$11,'Day4'!$B39)</f>
        <v>0</v>
      </c>
      <c r="Q39" s="6">
        <f>averageResponseTimePorter(Dates!Q$10,Dates!Q$11,'Day4'!$B39)</f>
        <v>0</v>
      </c>
      <c r="R39" s="6">
        <f>averageResponseTimePorter(Dates!R$10,Dates!R$11,'Day4'!$B39)</f>
        <v>0</v>
      </c>
      <c r="S39" s="6">
        <f>averageResponseTimePorter(Dates!S$10,Dates!S$11,'Day4'!$B39)</f>
        <v>0</v>
      </c>
      <c r="T39" s="6">
        <f>averageResponseTimePorter(Dates!T$10,Dates!T$11,'Day4'!$B39)</f>
        <v>0</v>
      </c>
      <c r="U39" s="6">
        <f>averageResponseTimePorter(Dates!$C$10,Dates!$T$11,'Day4'!$B16)</f>
        <v>0</v>
      </c>
    </row>
    <row r="40" spans="2:21" x14ac:dyDescent="0.3">
      <c r="B40" s="8" t="str">
        <f t="shared" si="0"/>
        <v>NA17</v>
      </c>
      <c r="C40" s="6">
        <f>averageResponseTimePorter(Dates!C$10,Dates!C$11,'Day4'!$B40)</f>
        <v>0</v>
      </c>
      <c r="D40" s="6">
        <f>averageResponseTimePorter(Dates!D$10,Dates!D$11,'Day4'!$B40)</f>
        <v>0</v>
      </c>
      <c r="E40" s="6">
        <f>averageResponseTimePorter(Dates!E$10,Dates!E$11,'Day4'!$B40)</f>
        <v>0</v>
      </c>
      <c r="F40" s="6">
        <f>averageResponseTimePorter(Dates!F$10,Dates!F$11,'Day4'!$B40)</f>
        <v>0</v>
      </c>
      <c r="G40" s="6">
        <f>averageResponseTimePorter(Dates!G$10,Dates!G$11,'Day4'!$B40)</f>
        <v>0</v>
      </c>
      <c r="H40" s="6">
        <f>averageResponseTimePorter(Dates!H$10,Dates!H$11,'Day4'!$B40)</f>
        <v>0</v>
      </c>
      <c r="I40" s="6">
        <f>averageResponseTimePorter(Dates!I$10,Dates!I$11,'Day4'!$B40)</f>
        <v>0</v>
      </c>
      <c r="J40" s="6">
        <f>averageResponseTimePorter(Dates!J$10,Dates!J$11,'Day4'!$B40)</f>
        <v>0</v>
      </c>
      <c r="K40" s="6">
        <f>averageResponseTimePorter(Dates!K$10,Dates!K$11,'Day4'!$B40)</f>
        <v>0</v>
      </c>
      <c r="L40" s="6">
        <f>averageResponseTimePorter(Dates!L$10,Dates!L$11,'Day4'!$B40)</f>
        <v>0</v>
      </c>
      <c r="M40" s="6">
        <f>averageResponseTimePorter(Dates!M$10,Dates!M$11,'Day4'!$B40)</f>
        <v>0</v>
      </c>
      <c r="N40" s="6">
        <f>averageResponseTimePorter(Dates!N$10,Dates!N$11,'Day4'!$B40)</f>
        <v>0</v>
      </c>
      <c r="O40" s="6">
        <f>averageResponseTimePorter(Dates!O$10,Dates!O$11,'Day4'!$B40)</f>
        <v>0</v>
      </c>
      <c r="P40" s="6">
        <f>averageResponseTimePorter(Dates!P$10,Dates!P$11,'Day4'!$B40)</f>
        <v>0</v>
      </c>
      <c r="Q40" s="6">
        <f>averageResponseTimePorter(Dates!Q$10,Dates!Q$11,'Day4'!$B40)</f>
        <v>0</v>
      </c>
      <c r="R40" s="6">
        <f>averageResponseTimePorter(Dates!R$10,Dates!R$11,'Day4'!$B40)</f>
        <v>0</v>
      </c>
      <c r="S40" s="6">
        <f>averageResponseTimePorter(Dates!S$10,Dates!S$11,'Day4'!$B40)</f>
        <v>0</v>
      </c>
      <c r="T40" s="6">
        <f>averageResponseTimePorter(Dates!T$10,Dates!T$11,'Day4'!$B40)</f>
        <v>0</v>
      </c>
      <c r="U40" s="6">
        <f>averageResponseTimePorter(Dates!$C$10,Dates!$T$11,'Day4'!$B17)</f>
        <v>0</v>
      </c>
    </row>
    <row r="41" spans="2:21" x14ac:dyDescent="0.3">
      <c r="B41" s="8" t="str">
        <f t="shared" si="0"/>
        <v>NA18</v>
      </c>
      <c r="C41" s="6">
        <f>averageResponseTimePorter(Dates!C$10,Dates!C$11,'Day4'!$B41)</f>
        <v>0</v>
      </c>
      <c r="D41" s="6">
        <f>averageResponseTimePorter(Dates!D$10,Dates!D$11,'Day4'!$B41)</f>
        <v>0</v>
      </c>
      <c r="E41" s="6">
        <f>averageResponseTimePorter(Dates!E$10,Dates!E$11,'Day4'!$B41)</f>
        <v>0</v>
      </c>
      <c r="F41" s="6">
        <f>averageResponseTimePorter(Dates!F$10,Dates!F$11,'Day4'!$B41)</f>
        <v>0</v>
      </c>
      <c r="G41" s="6">
        <f>averageResponseTimePorter(Dates!G$10,Dates!G$11,'Day4'!$B41)</f>
        <v>0</v>
      </c>
      <c r="H41" s="6">
        <f>averageResponseTimePorter(Dates!H$10,Dates!H$11,'Day4'!$B41)</f>
        <v>0</v>
      </c>
      <c r="I41" s="6">
        <f>averageResponseTimePorter(Dates!I$10,Dates!I$11,'Day4'!$B41)</f>
        <v>0</v>
      </c>
      <c r="J41" s="6">
        <f>averageResponseTimePorter(Dates!J$10,Dates!J$11,'Day4'!$B41)</f>
        <v>0</v>
      </c>
      <c r="K41" s="6">
        <f>averageResponseTimePorter(Dates!K$10,Dates!K$11,'Day4'!$B41)</f>
        <v>0</v>
      </c>
      <c r="L41" s="6">
        <f>averageResponseTimePorter(Dates!L$10,Dates!L$11,'Day4'!$B41)</f>
        <v>0</v>
      </c>
      <c r="M41" s="6">
        <f>averageResponseTimePorter(Dates!M$10,Dates!M$11,'Day4'!$B41)</f>
        <v>0</v>
      </c>
      <c r="N41" s="6">
        <f>averageResponseTimePorter(Dates!N$10,Dates!N$11,'Day4'!$B41)</f>
        <v>0</v>
      </c>
      <c r="O41" s="6">
        <f>averageResponseTimePorter(Dates!O$10,Dates!O$11,'Day4'!$B41)</f>
        <v>0</v>
      </c>
      <c r="P41" s="6">
        <f>averageResponseTimePorter(Dates!P$10,Dates!P$11,'Day4'!$B41)</f>
        <v>0</v>
      </c>
      <c r="Q41" s="6">
        <f>averageResponseTimePorter(Dates!Q$10,Dates!Q$11,'Day4'!$B41)</f>
        <v>0</v>
      </c>
      <c r="R41" s="6">
        <f>averageResponseTimePorter(Dates!R$10,Dates!R$11,'Day4'!$B41)</f>
        <v>0</v>
      </c>
      <c r="S41" s="6">
        <f>averageResponseTimePorter(Dates!S$10,Dates!S$11,'Day4'!$B41)</f>
        <v>0</v>
      </c>
      <c r="T41" s="6">
        <f>averageResponseTimePorter(Dates!T$10,Dates!T$11,'Day4'!$B41)</f>
        <v>0</v>
      </c>
      <c r="U41" s="6">
        <f>averageResponseTimePorter(Dates!$C$10,Dates!$T$11,'Day4'!$B18)</f>
        <v>0</v>
      </c>
    </row>
    <row r="42" spans="2:21" x14ac:dyDescent="0.3">
      <c r="B42" s="8" t="str">
        <f t="shared" si="0"/>
        <v>NA19</v>
      </c>
      <c r="C42" s="6">
        <f>averageResponseTimePorter(Dates!C$10,Dates!C$11,'Day4'!$B42)</f>
        <v>0</v>
      </c>
      <c r="D42" s="6">
        <f>averageResponseTimePorter(Dates!D$10,Dates!D$11,'Day4'!$B42)</f>
        <v>0</v>
      </c>
      <c r="E42" s="6">
        <f>averageResponseTimePorter(Dates!E$10,Dates!E$11,'Day4'!$B42)</f>
        <v>0</v>
      </c>
      <c r="F42" s="6">
        <f>averageResponseTimePorter(Dates!F$10,Dates!F$11,'Day4'!$B42)</f>
        <v>0</v>
      </c>
      <c r="G42" s="6">
        <f>averageResponseTimePorter(Dates!G$10,Dates!G$11,'Day4'!$B42)</f>
        <v>0</v>
      </c>
      <c r="H42" s="6">
        <f>averageResponseTimePorter(Dates!H$10,Dates!H$11,'Day4'!$B42)</f>
        <v>0</v>
      </c>
      <c r="I42" s="6">
        <f>averageResponseTimePorter(Dates!I$10,Dates!I$11,'Day4'!$B42)</f>
        <v>0</v>
      </c>
      <c r="J42" s="6">
        <f>averageResponseTimePorter(Dates!J$10,Dates!J$11,'Day4'!$B42)</f>
        <v>0</v>
      </c>
      <c r="K42" s="6">
        <f>averageResponseTimePorter(Dates!K$10,Dates!K$11,'Day4'!$B42)</f>
        <v>0</v>
      </c>
      <c r="L42" s="6">
        <f>averageResponseTimePorter(Dates!L$10,Dates!L$11,'Day4'!$B42)</f>
        <v>0</v>
      </c>
      <c r="M42" s="6">
        <f>averageResponseTimePorter(Dates!M$10,Dates!M$11,'Day4'!$B42)</f>
        <v>0</v>
      </c>
      <c r="N42" s="6">
        <f>averageResponseTimePorter(Dates!N$10,Dates!N$11,'Day4'!$B42)</f>
        <v>0</v>
      </c>
      <c r="O42" s="6">
        <f>averageResponseTimePorter(Dates!O$10,Dates!O$11,'Day4'!$B42)</f>
        <v>0</v>
      </c>
      <c r="P42" s="6">
        <f>averageResponseTimePorter(Dates!P$10,Dates!P$11,'Day4'!$B42)</f>
        <v>0</v>
      </c>
      <c r="Q42" s="6">
        <f>averageResponseTimePorter(Dates!Q$10,Dates!Q$11,'Day4'!$B42)</f>
        <v>0</v>
      </c>
      <c r="R42" s="6">
        <f>averageResponseTimePorter(Dates!R$10,Dates!R$11,'Day4'!$B42)</f>
        <v>0</v>
      </c>
      <c r="S42" s="6">
        <f>averageResponseTimePorter(Dates!S$10,Dates!S$11,'Day4'!$B42)</f>
        <v>0</v>
      </c>
      <c r="T42" s="6">
        <f>averageResponseTimePorter(Dates!T$10,Dates!T$11,'Day4'!$B42)</f>
        <v>0</v>
      </c>
      <c r="U42" s="6">
        <f>averageResponseTimePorter(Dates!$C$10,Dates!$T$11,'Day4'!$B19)</f>
        <v>0</v>
      </c>
    </row>
    <row r="43" spans="2:21" x14ac:dyDescent="0.3">
      <c r="B43" s="8" t="str">
        <f t="shared" si="0"/>
        <v>NA20</v>
      </c>
      <c r="C43" s="6">
        <f>averageResponseTimePorter(Dates!C$10,Dates!C$11,'Day4'!$B43)</f>
        <v>0</v>
      </c>
      <c r="D43" s="6">
        <f>averageResponseTimePorter(Dates!D$10,Dates!D$11,'Day4'!$B43)</f>
        <v>0</v>
      </c>
      <c r="E43" s="6">
        <f>averageResponseTimePorter(Dates!E$10,Dates!E$11,'Day4'!$B43)</f>
        <v>0</v>
      </c>
      <c r="F43" s="6">
        <f>averageResponseTimePorter(Dates!F$10,Dates!F$11,'Day4'!$B43)</f>
        <v>0</v>
      </c>
      <c r="G43" s="6">
        <f>averageResponseTimePorter(Dates!G$10,Dates!G$11,'Day4'!$B43)</f>
        <v>0</v>
      </c>
      <c r="H43" s="6">
        <f>averageResponseTimePorter(Dates!H$10,Dates!H$11,'Day4'!$B43)</f>
        <v>0</v>
      </c>
      <c r="I43" s="6">
        <f>averageResponseTimePorter(Dates!I$10,Dates!I$11,'Day4'!$B43)</f>
        <v>0</v>
      </c>
      <c r="J43" s="6">
        <f>averageResponseTimePorter(Dates!J$10,Dates!J$11,'Day4'!$B43)</f>
        <v>0</v>
      </c>
      <c r="K43" s="6">
        <f>averageResponseTimePorter(Dates!K$10,Dates!K$11,'Day4'!$B43)</f>
        <v>0</v>
      </c>
      <c r="L43" s="6">
        <f>averageResponseTimePorter(Dates!L$10,Dates!L$11,'Day4'!$B43)</f>
        <v>0</v>
      </c>
      <c r="M43" s="6">
        <f>averageResponseTimePorter(Dates!M$10,Dates!M$11,'Day4'!$B43)</f>
        <v>0</v>
      </c>
      <c r="N43" s="6">
        <f>averageResponseTimePorter(Dates!N$10,Dates!N$11,'Day4'!$B43)</f>
        <v>0</v>
      </c>
      <c r="O43" s="6">
        <f>averageResponseTimePorter(Dates!O$10,Dates!O$11,'Day4'!$B43)</f>
        <v>0</v>
      </c>
      <c r="P43" s="6">
        <f>averageResponseTimePorter(Dates!P$10,Dates!P$11,'Day4'!$B43)</f>
        <v>0</v>
      </c>
      <c r="Q43" s="6">
        <f>averageResponseTimePorter(Dates!Q$10,Dates!Q$11,'Day4'!$B43)</f>
        <v>0</v>
      </c>
      <c r="R43" s="6">
        <f>averageResponseTimePorter(Dates!R$10,Dates!R$11,'Day4'!$B43)</f>
        <v>0</v>
      </c>
      <c r="S43" s="6">
        <f>averageResponseTimePorter(Dates!S$10,Dates!S$11,'Day4'!$B43)</f>
        <v>0</v>
      </c>
      <c r="T43" s="6">
        <f>averageResponseTimePorter(Dates!T$10,Dates!T$11,'Day4'!$B43)</f>
        <v>0</v>
      </c>
      <c r="U43" s="6">
        <f>averageResponseTimePorter(Dates!$C$10,Dates!$T$11,'Day4'!$B20)</f>
        <v>0</v>
      </c>
    </row>
    <row r="44" spans="2:21" x14ac:dyDescent="0.3">
      <c r="B44" s="8" t="str">
        <f t="shared" si="0"/>
        <v>NA21</v>
      </c>
      <c r="C44" s="6">
        <f>averageResponseTimePorter(Dates!C$10,Dates!C$11,'Day4'!$B44)</f>
        <v>0</v>
      </c>
      <c r="D44" s="6">
        <f>averageResponseTimePorter(Dates!D$10,Dates!D$11,'Day4'!$B44)</f>
        <v>0</v>
      </c>
      <c r="E44" s="6">
        <f>averageResponseTimePorter(Dates!E$10,Dates!E$11,'Day4'!$B44)</f>
        <v>0</v>
      </c>
      <c r="F44" s="6">
        <f>averageResponseTimePorter(Dates!F$10,Dates!F$11,'Day4'!$B44)</f>
        <v>0</v>
      </c>
      <c r="G44" s="6">
        <f>averageResponseTimePorter(Dates!G$10,Dates!G$11,'Day4'!$B44)</f>
        <v>0</v>
      </c>
      <c r="H44" s="6">
        <f>averageResponseTimePorter(Dates!H$10,Dates!H$11,'Day4'!$B44)</f>
        <v>0</v>
      </c>
      <c r="I44" s="6">
        <f>averageResponseTimePorter(Dates!I$10,Dates!I$11,'Day4'!$B44)</f>
        <v>0</v>
      </c>
      <c r="J44" s="6">
        <f>averageResponseTimePorter(Dates!J$10,Dates!J$11,'Day4'!$B44)</f>
        <v>0</v>
      </c>
      <c r="K44" s="6">
        <f>averageResponseTimePorter(Dates!K$10,Dates!K$11,'Day4'!$B44)</f>
        <v>0</v>
      </c>
      <c r="L44" s="6">
        <f>averageResponseTimePorter(Dates!L$10,Dates!L$11,'Day4'!$B44)</f>
        <v>0</v>
      </c>
      <c r="M44" s="6">
        <f>averageResponseTimePorter(Dates!M$10,Dates!M$11,'Day4'!$B44)</f>
        <v>0</v>
      </c>
      <c r="N44" s="6">
        <f>averageResponseTimePorter(Dates!N$10,Dates!N$11,'Day4'!$B44)</f>
        <v>0</v>
      </c>
      <c r="O44" s="6">
        <f>averageResponseTimePorter(Dates!O$10,Dates!O$11,'Day4'!$B44)</f>
        <v>0</v>
      </c>
      <c r="P44" s="6">
        <f>averageResponseTimePorter(Dates!P$10,Dates!P$11,'Day4'!$B44)</f>
        <v>0</v>
      </c>
      <c r="Q44" s="6">
        <f>averageResponseTimePorter(Dates!Q$10,Dates!Q$11,'Day4'!$B44)</f>
        <v>0</v>
      </c>
      <c r="R44" s="6">
        <f>averageResponseTimePorter(Dates!R$10,Dates!R$11,'Day4'!$B44)</f>
        <v>0</v>
      </c>
      <c r="S44" s="6">
        <f>averageResponseTimePorter(Dates!S$10,Dates!S$11,'Day4'!$B44)</f>
        <v>0</v>
      </c>
      <c r="T44" s="6">
        <f>averageResponseTimePorter(Dates!T$10,Dates!T$11,'Day4'!$B44)</f>
        <v>0</v>
      </c>
      <c r="U44" s="6">
        <f>averageResponseTimePorter(Dates!$C$10,Dates!$T$11,'Day4'!$B21)</f>
        <v>0</v>
      </c>
    </row>
    <row r="45" spans="2:21" x14ac:dyDescent="0.3">
      <c r="B45" s="8" t="str">
        <f t="shared" si="0"/>
        <v>NA22</v>
      </c>
      <c r="C45" s="6">
        <f>averageResponseTimePorter(Dates!C$10,Dates!C$11,'Day4'!$B45)</f>
        <v>0</v>
      </c>
      <c r="D45" s="6">
        <f>averageResponseTimePorter(Dates!D$10,Dates!D$11,'Day4'!$B45)</f>
        <v>0</v>
      </c>
      <c r="E45" s="6">
        <f>averageResponseTimePorter(Dates!E$10,Dates!E$11,'Day4'!$B45)</f>
        <v>0</v>
      </c>
      <c r="F45" s="6">
        <f>averageResponseTimePorter(Dates!F$10,Dates!F$11,'Day4'!$B45)</f>
        <v>0</v>
      </c>
      <c r="G45" s="6">
        <f>averageResponseTimePorter(Dates!G$10,Dates!G$11,'Day4'!$B45)</f>
        <v>0</v>
      </c>
      <c r="H45" s="6">
        <f>averageResponseTimePorter(Dates!H$10,Dates!H$11,'Day4'!$B45)</f>
        <v>0</v>
      </c>
      <c r="I45" s="6">
        <f>averageResponseTimePorter(Dates!I$10,Dates!I$11,'Day4'!$B45)</f>
        <v>0</v>
      </c>
      <c r="J45" s="6">
        <f>averageResponseTimePorter(Dates!J$10,Dates!J$11,'Day4'!$B45)</f>
        <v>0</v>
      </c>
      <c r="K45" s="6">
        <f>averageResponseTimePorter(Dates!K$10,Dates!K$11,'Day4'!$B45)</f>
        <v>0</v>
      </c>
      <c r="L45" s="6">
        <f>averageResponseTimePorter(Dates!L$10,Dates!L$11,'Day4'!$B45)</f>
        <v>0</v>
      </c>
      <c r="M45" s="6">
        <f>averageResponseTimePorter(Dates!M$10,Dates!M$11,'Day4'!$B45)</f>
        <v>0</v>
      </c>
      <c r="N45" s="6">
        <f>averageResponseTimePorter(Dates!N$10,Dates!N$11,'Day4'!$B45)</f>
        <v>0</v>
      </c>
      <c r="O45" s="6">
        <f>averageResponseTimePorter(Dates!O$10,Dates!O$11,'Day4'!$B45)</f>
        <v>0</v>
      </c>
      <c r="P45" s="6">
        <f>averageResponseTimePorter(Dates!P$10,Dates!P$11,'Day4'!$B45)</f>
        <v>0</v>
      </c>
      <c r="Q45" s="6">
        <f>averageResponseTimePorter(Dates!Q$10,Dates!Q$11,'Day4'!$B45)</f>
        <v>0</v>
      </c>
      <c r="R45" s="6">
        <f>averageResponseTimePorter(Dates!R$10,Dates!R$11,'Day4'!$B45)</f>
        <v>0</v>
      </c>
      <c r="S45" s="6">
        <f>averageResponseTimePorter(Dates!S$10,Dates!S$11,'Day4'!$B45)</f>
        <v>0</v>
      </c>
      <c r="T45" s="6">
        <f>averageResponseTimePorter(Dates!T$10,Dates!T$11,'Day4'!$B45)</f>
        <v>0</v>
      </c>
      <c r="U45" s="6">
        <f>averageResponseTimePorter(Dates!$C$10,Dates!$T$11,'Day4'!$B22)</f>
        <v>0</v>
      </c>
    </row>
    <row r="46" spans="2:21" x14ac:dyDescent="0.3">
      <c r="B46" s="8" t="str">
        <f t="shared" si="0"/>
        <v>NA23</v>
      </c>
      <c r="C46" s="6">
        <f>averageResponseTimePorter(Dates!C$10,Dates!C$11,'Day4'!$B46)</f>
        <v>0</v>
      </c>
      <c r="D46" s="6">
        <f>averageResponseTimePorter(Dates!D$10,Dates!D$11,'Day4'!$B46)</f>
        <v>0</v>
      </c>
      <c r="E46" s="6">
        <f>averageResponseTimePorter(Dates!E$10,Dates!E$11,'Day4'!$B46)</f>
        <v>0</v>
      </c>
      <c r="F46" s="6">
        <f>averageResponseTimePorter(Dates!F$10,Dates!F$11,'Day4'!$B46)</f>
        <v>0</v>
      </c>
      <c r="G46" s="6">
        <f>averageResponseTimePorter(Dates!G$10,Dates!G$11,'Day4'!$B46)</f>
        <v>0</v>
      </c>
      <c r="H46" s="6">
        <f>averageResponseTimePorter(Dates!H$10,Dates!H$11,'Day4'!$B46)</f>
        <v>0</v>
      </c>
      <c r="I46" s="6">
        <f>averageResponseTimePorter(Dates!I$10,Dates!I$11,'Day4'!$B46)</f>
        <v>0</v>
      </c>
      <c r="J46" s="6">
        <f>averageResponseTimePorter(Dates!J$10,Dates!J$11,'Day4'!$B46)</f>
        <v>0</v>
      </c>
      <c r="K46" s="6">
        <f>averageResponseTimePorter(Dates!K$10,Dates!K$11,'Day4'!$B46)</f>
        <v>0</v>
      </c>
      <c r="L46" s="6">
        <f>averageResponseTimePorter(Dates!L$10,Dates!L$11,'Day4'!$B46)</f>
        <v>0</v>
      </c>
      <c r="M46" s="6">
        <f>averageResponseTimePorter(Dates!M$10,Dates!M$11,'Day4'!$B46)</f>
        <v>0</v>
      </c>
      <c r="N46" s="6">
        <f>averageResponseTimePorter(Dates!N$10,Dates!N$11,'Day4'!$B46)</f>
        <v>0</v>
      </c>
      <c r="O46" s="6">
        <f>averageResponseTimePorter(Dates!O$10,Dates!O$11,'Day4'!$B46)</f>
        <v>0</v>
      </c>
      <c r="P46" s="6">
        <f>averageResponseTimePorter(Dates!P$10,Dates!P$11,'Day4'!$B46)</f>
        <v>0</v>
      </c>
      <c r="Q46" s="6">
        <f>averageResponseTimePorter(Dates!Q$10,Dates!Q$11,'Day4'!$B46)</f>
        <v>0</v>
      </c>
      <c r="R46" s="6">
        <f>averageResponseTimePorter(Dates!R$10,Dates!R$11,'Day4'!$B46)</f>
        <v>0</v>
      </c>
      <c r="S46" s="6">
        <f>averageResponseTimePorter(Dates!S$10,Dates!S$11,'Day4'!$B46)</f>
        <v>0</v>
      </c>
      <c r="T46" s="6">
        <f>averageResponseTimePorter(Dates!T$10,Dates!T$11,'Day4'!$B46)</f>
        <v>0</v>
      </c>
      <c r="U46" s="6">
        <f>averageResponseTimePorter(Dates!$C$10,Dates!$T$11,'Day4'!$B23)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46"/>
  <sheetViews>
    <sheetView zoomScale="50" zoomScaleNormal="50" workbookViewId="0">
      <selection activeCell="N42" sqref="N42"/>
    </sheetView>
  </sheetViews>
  <sheetFormatPr defaultRowHeight="14.4" x14ac:dyDescent="0.3"/>
  <cols>
    <col min="2" max="2" width="27.21875" style="8" customWidth="1"/>
    <col min="7" max="7" width="10.21875" customWidth="1"/>
  </cols>
  <sheetData>
    <row r="1" spans="1:21" x14ac:dyDescent="0.3">
      <c r="C1" s="4" t="s">
        <v>2</v>
      </c>
      <c r="D1" s="5">
        <v>7</v>
      </c>
      <c r="E1" s="5">
        <v>8</v>
      </c>
      <c r="F1" s="5">
        <v>9</v>
      </c>
      <c r="G1" s="5">
        <v>10</v>
      </c>
      <c r="H1" s="5">
        <v>11</v>
      </c>
      <c r="I1" s="5">
        <v>12</v>
      </c>
      <c r="J1" s="5">
        <v>13</v>
      </c>
      <c r="K1" s="5">
        <v>14</v>
      </c>
      <c r="L1" s="5">
        <v>15</v>
      </c>
      <c r="M1" s="5">
        <v>16</v>
      </c>
      <c r="N1" s="5">
        <v>17</v>
      </c>
      <c r="O1" s="5">
        <v>18</v>
      </c>
      <c r="P1" s="5">
        <v>19</v>
      </c>
      <c r="Q1" s="5">
        <v>20</v>
      </c>
      <c r="R1" s="5">
        <v>21</v>
      </c>
      <c r="S1" s="5">
        <v>22</v>
      </c>
      <c r="T1" s="5">
        <v>23</v>
      </c>
      <c r="U1" s="5" t="s">
        <v>11</v>
      </c>
    </row>
    <row r="2" spans="1:21" x14ac:dyDescent="0.3">
      <c r="A2" t="s">
        <v>4</v>
      </c>
      <c r="B2" s="8" t="s">
        <v>6</v>
      </c>
      <c r="C2" s="6">
        <f>averageCompletionTime(Dates!C12,Dates!C13)</f>
        <v>0</v>
      </c>
      <c r="D2" s="6">
        <f>averageCompletionTime(Dates!D12,Dates!D13)</f>
        <v>0</v>
      </c>
      <c r="E2" s="6">
        <f>averageCompletionTime(Dates!E12,Dates!E13)</f>
        <v>0</v>
      </c>
      <c r="F2" s="6">
        <f>averageCompletionTime(Dates!F12,Dates!F13)</f>
        <v>0</v>
      </c>
      <c r="G2" s="6">
        <f>averageCompletionTime(Dates!G12,Dates!G13)</f>
        <v>0</v>
      </c>
      <c r="H2" s="6">
        <f>averageCompletionTime(Dates!H12,Dates!H13)</f>
        <v>0</v>
      </c>
      <c r="I2" s="6">
        <f>averageCompletionTime(Dates!I12,Dates!I13)</f>
        <v>0</v>
      </c>
      <c r="J2" s="6">
        <f>averageCompletionTime(Dates!J12,Dates!J13)</f>
        <v>0</v>
      </c>
      <c r="K2" s="6">
        <f>averageCompletionTime(Dates!K12,Dates!K13)</f>
        <v>0</v>
      </c>
      <c r="L2" s="6">
        <f>averageCompletionTime(Dates!L12,Dates!L13)</f>
        <v>0</v>
      </c>
      <c r="M2" s="6">
        <f>averageCompletionTime(Dates!M12,Dates!M13)</f>
        <v>0</v>
      </c>
      <c r="N2" s="6">
        <f>averageCompletionTime(Dates!N12,Dates!N13)</f>
        <v>0</v>
      </c>
      <c r="O2" s="6">
        <f>averageCompletionTime(Dates!O12,Dates!O13)</f>
        <v>0</v>
      </c>
      <c r="P2" s="6">
        <f>averageCompletionTime(Dates!P12,Dates!P13)</f>
        <v>0</v>
      </c>
      <c r="Q2" s="6">
        <f>averageCompletionTime(Dates!Q12,Dates!Q13)</f>
        <v>0</v>
      </c>
      <c r="R2" s="6">
        <f>averageCompletionTime(Dates!R12,Dates!R13)</f>
        <v>0</v>
      </c>
      <c r="S2" s="6">
        <f>averageCompletionTime(Dates!S12,Dates!S13)</f>
        <v>0</v>
      </c>
      <c r="T2" s="6">
        <f>averageCompletionTime(Dates!T12,Dates!T13)</f>
        <v>0</v>
      </c>
      <c r="U2" s="6">
        <f>averageCompletionTime(Dates!C12,Dates!T13)</f>
        <v>0</v>
      </c>
    </row>
    <row r="3" spans="1:21" x14ac:dyDescent="0.3">
      <c r="A3" s="7" t="s">
        <v>5</v>
      </c>
      <c r="B3" s="9"/>
      <c r="C3" s="6">
        <f>averageCompletionTimePorter(Dates!C$12,Dates!C$13,'Day5'!$B3)</f>
        <v>0</v>
      </c>
      <c r="D3" s="6">
        <f>averageCompletionTimePorter(Dates!D$12,Dates!D$13,'Day5'!$B3)</f>
        <v>0</v>
      </c>
      <c r="E3" s="6">
        <f>averageCompletionTimePorter(Dates!E$12,Dates!E$13,'Day5'!$B3)</f>
        <v>0</v>
      </c>
      <c r="F3" s="6">
        <f>averageCompletionTimePorter(Dates!F$12,Dates!F$13,'Day5'!$B3)</f>
        <v>0</v>
      </c>
      <c r="G3" s="6">
        <f>averageCompletionTimePorter(Dates!G$12,Dates!G$13,'Day5'!$B3)</f>
        <v>0</v>
      </c>
      <c r="H3" s="6">
        <f>averageCompletionTimePorter(Dates!H$12,Dates!H$13,'Day5'!$B3)</f>
        <v>0</v>
      </c>
      <c r="I3" s="6">
        <f>averageCompletionTimePorter(Dates!I$12,Dates!I$13,'Day5'!$B3)</f>
        <v>0</v>
      </c>
      <c r="J3" s="6">
        <f>averageCompletionTimePorter(Dates!J$12,Dates!J$13,'Day5'!$B3)</f>
        <v>0</v>
      </c>
      <c r="K3" s="6">
        <f>averageCompletionTimePorter(Dates!K$12,Dates!K$13,'Day5'!$B3)</f>
        <v>0</v>
      </c>
      <c r="L3" s="6">
        <f>averageCompletionTimePorter(Dates!L$12,Dates!L$13,'Day5'!$B3)</f>
        <v>0</v>
      </c>
      <c r="M3" s="6">
        <f>averageCompletionTimePorter(Dates!M$12,Dates!M$13,'Day5'!$B3)</f>
        <v>0</v>
      </c>
      <c r="N3" s="6">
        <f>averageCompletionTimePorter(Dates!N$12,Dates!N$13,'Day5'!$B3)</f>
        <v>0</v>
      </c>
      <c r="O3" s="6">
        <f>averageCompletionTimePorter(Dates!O$12,Dates!O$13,'Day5'!$B3)</f>
        <v>0</v>
      </c>
      <c r="P3" s="6">
        <f>averageCompletionTimePorter(Dates!P$12,Dates!P$13,'Day5'!$B3)</f>
        <v>0</v>
      </c>
      <c r="Q3" s="6">
        <f>averageCompletionTimePorter(Dates!Q$12,Dates!Q$13,'Day5'!$B3)</f>
        <v>0</v>
      </c>
      <c r="R3" s="6">
        <f>averageCompletionTimePorter(Dates!R$12,Dates!R$13,'Day5'!$B3)</f>
        <v>0</v>
      </c>
      <c r="S3" s="6">
        <f>averageCompletionTimePorter(Dates!S$12,Dates!S$13,'Day5'!$B3)</f>
        <v>0</v>
      </c>
      <c r="T3" s="6">
        <f>averageCompletionTimePorter(Dates!T$12,Dates!T$13,'Day5'!$B3)</f>
        <v>0</v>
      </c>
      <c r="U3" s="6">
        <f>averageCompletionTimePorter(Dates!$C$12,Dates!$T$13,'Day5'!$B3)</f>
        <v>0</v>
      </c>
    </row>
    <row r="4" spans="1:21" x14ac:dyDescent="0.3">
      <c r="A4" s="7"/>
      <c r="B4" s="9" t="s">
        <v>28</v>
      </c>
      <c r="C4" s="6">
        <f>averageCompletionTimePorter(Dates!C$12,Dates!C$13,'Day5'!$B4)</f>
        <v>0</v>
      </c>
      <c r="D4" s="6">
        <f>averageCompletionTimePorter(Dates!D$12,Dates!D$13,'Day5'!$B4)</f>
        <v>0</v>
      </c>
      <c r="E4" s="6">
        <f>averageCompletionTimePorter(Dates!E$12,Dates!E$13,'Day5'!$B4)</f>
        <v>0</v>
      </c>
      <c r="F4" s="6">
        <f>averageCompletionTimePorter(Dates!F$12,Dates!F$13,'Day5'!$B4)</f>
        <v>0</v>
      </c>
      <c r="G4" s="6">
        <f>averageCompletionTimePorter(Dates!G$12,Dates!G$13,'Day5'!$B4)</f>
        <v>0</v>
      </c>
      <c r="H4" s="6">
        <f>averageCompletionTimePorter(Dates!H$12,Dates!H$13,'Day5'!$B4)</f>
        <v>0</v>
      </c>
      <c r="I4" s="6">
        <f>averageCompletionTimePorter(Dates!I$12,Dates!I$13,'Day5'!$B4)</f>
        <v>0</v>
      </c>
      <c r="J4" s="6">
        <f>averageCompletionTimePorter(Dates!J$12,Dates!J$13,'Day5'!$B4)</f>
        <v>0</v>
      </c>
      <c r="K4" s="6">
        <f>averageCompletionTimePorter(Dates!K$12,Dates!K$13,'Day5'!$B4)</f>
        <v>0</v>
      </c>
      <c r="L4" s="6">
        <f>averageCompletionTimePorter(Dates!L$12,Dates!L$13,'Day5'!$B4)</f>
        <v>0</v>
      </c>
      <c r="M4" s="6">
        <f>averageCompletionTimePorter(Dates!M$12,Dates!M$13,'Day5'!$B4)</f>
        <v>0</v>
      </c>
      <c r="N4" s="6">
        <f>averageCompletionTimePorter(Dates!N$12,Dates!N$13,'Day5'!$B4)</f>
        <v>0</v>
      </c>
      <c r="O4" s="6">
        <f>averageCompletionTimePorter(Dates!O$12,Dates!O$13,'Day5'!$B4)</f>
        <v>0</v>
      </c>
      <c r="P4" s="6">
        <f>averageCompletionTimePorter(Dates!P$12,Dates!P$13,'Day5'!$B4)</f>
        <v>0</v>
      </c>
      <c r="Q4" s="6">
        <f>averageCompletionTimePorter(Dates!Q$12,Dates!Q$13,'Day5'!$B4)</f>
        <v>0</v>
      </c>
      <c r="R4" s="6">
        <f>averageCompletionTimePorter(Dates!R$12,Dates!R$13,'Day5'!$B4)</f>
        <v>0</v>
      </c>
      <c r="S4" s="6">
        <f>averageCompletionTimePorter(Dates!S$12,Dates!S$13,'Day5'!$B4)</f>
        <v>0</v>
      </c>
      <c r="T4" s="6">
        <f>averageCompletionTimePorter(Dates!T$12,Dates!T$13,'Day5'!$B4)</f>
        <v>0</v>
      </c>
      <c r="U4" s="6">
        <f>averageCompletionTimePorter(Dates!$C$12,Dates!$T$13,'Day5'!$B4)</f>
        <v>0</v>
      </c>
    </row>
    <row r="5" spans="1:21" x14ac:dyDescent="0.3">
      <c r="A5" s="7"/>
      <c r="B5" s="9" t="s">
        <v>29</v>
      </c>
      <c r="C5" s="6">
        <f>averageCompletionTimePorter(Dates!C$12,Dates!C$13,'Day5'!$B5)</f>
        <v>0</v>
      </c>
      <c r="D5" s="6">
        <f>averageCompletionTimePorter(Dates!D$12,Dates!D$13,'Day5'!$B5)</f>
        <v>0</v>
      </c>
      <c r="E5" s="6">
        <f>averageCompletionTimePorter(Dates!E$12,Dates!E$13,'Day5'!$B5)</f>
        <v>0</v>
      </c>
      <c r="F5" s="6">
        <f>averageCompletionTimePorter(Dates!F$12,Dates!F$13,'Day5'!$B5)</f>
        <v>0</v>
      </c>
      <c r="G5" s="6">
        <f>averageCompletionTimePorter(Dates!G$12,Dates!G$13,'Day5'!$B5)</f>
        <v>0</v>
      </c>
      <c r="H5" s="6">
        <f>averageCompletionTimePorter(Dates!H$12,Dates!H$13,'Day5'!$B5)</f>
        <v>0</v>
      </c>
      <c r="I5" s="6">
        <f>averageCompletionTimePorter(Dates!I$12,Dates!I$13,'Day5'!$B5)</f>
        <v>0</v>
      </c>
      <c r="J5" s="6">
        <f>averageCompletionTimePorter(Dates!J$12,Dates!J$13,'Day5'!$B5)</f>
        <v>0</v>
      </c>
      <c r="K5" s="6">
        <f>averageCompletionTimePorter(Dates!K$12,Dates!K$13,'Day5'!$B5)</f>
        <v>0</v>
      </c>
      <c r="L5" s="6">
        <f>averageCompletionTimePorter(Dates!L$12,Dates!L$13,'Day5'!$B5)</f>
        <v>0</v>
      </c>
      <c r="M5" s="6">
        <f>averageCompletionTimePorter(Dates!M$12,Dates!M$13,'Day5'!$B5)</f>
        <v>0</v>
      </c>
      <c r="N5" s="6">
        <f>averageCompletionTimePorter(Dates!N$12,Dates!N$13,'Day5'!$B5)</f>
        <v>0</v>
      </c>
      <c r="O5" s="6">
        <f>averageCompletionTimePorter(Dates!O$12,Dates!O$13,'Day5'!$B5)</f>
        <v>0</v>
      </c>
      <c r="P5" s="6">
        <f>averageCompletionTimePorter(Dates!P$12,Dates!P$13,'Day5'!$B5)</f>
        <v>0</v>
      </c>
      <c r="Q5" s="6">
        <f>averageCompletionTimePorter(Dates!Q$12,Dates!Q$13,'Day5'!$B5)</f>
        <v>0</v>
      </c>
      <c r="R5" s="6">
        <f>averageCompletionTimePorter(Dates!R$12,Dates!R$13,'Day5'!$B5)</f>
        <v>0</v>
      </c>
      <c r="S5" s="6">
        <f>averageCompletionTimePorter(Dates!S$12,Dates!S$13,'Day5'!$B5)</f>
        <v>0</v>
      </c>
      <c r="T5" s="6">
        <f>averageCompletionTimePorter(Dates!T$12,Dates!T$13,'Day5'!$B5)</f>
        <v>0</v>
      </c>
      <c r="U5" s="6">
        <f>averageCompletionTimePorter(Dates!$C$12,Dates!$T$13,'Day5'!$B5)</f>
        <v>0</v>
      </c>
    </row>
    <row r="6" spans="1:21" x14ac:dyDescent="0.3">
      <c r="A6" s="7"/>
      <c r="B6" s="9" t="s">
        <v>30</v>
      </c>
      <c r="C6" s="6">
        <f>averageCompletionTimePorter(Dates!C$12,Dates!C$13,'Day5'!$B6)</f>
        <v>0</v>
      </c>
      <c r="D6" s="6">
        <f>averageCompletionTimePorter(Dates!D$12,Dates!D$13,'Day5'!$B6)</f>
        <v>0</v>
      </c>
      <c r="E6" s="6">
        <f>averageCompletionTimePorter(Dates!E$12,Dates!E$13,'Day5'!$B6)</f>
        <v>0</v>
      </c>
      <c r="F6" s="6">
        <f>averageCompletionTimePorter(Dates!F$12,Dates!F$13,'Day5'!$B6)</f>
        <v>0</v>
      </c>
      <c r="G6" s="6">
        <f>averageCompletionTimePorter(Dates!G$12,Dates!G$13,'Day5'!$B6)</f>
        <v>0</v>
      </c>
      <c r="H6" s="6">
        <f>averageCompletionTimePorter(Dates!H$12,Dates!H$13,'Day5'!$B6)</f>
        <v>0</v>
      </c>
      <c r="I6" s="6">
        <f>averageCompletionTimePorter(Dates!I$12,Dates!I$13,'Day5'!$B6)</f>
        <v>0</v>
      </c>
      <c r="J6" s="6">
        <f>averageCompletionTimePorter(Dates!J$12,Dates!J$13,'Day5'!$B6)</f>
        <v>0</v>
      </c>
      <c r="K6" s="6">
        <f>averageCompletionTimePorter(Dates!K$12,Dates!K$13,'Day5'!$B6)</f>
        <v>0</v>
      </c>
      <c r="L6" s="6">
        <f>averageCompletionTimePorter(Dates!L$12,Dates!L$13,'Day5'!$B6)</f>
        <v>0</v>
      </c>
      <c r="M6" s="6">
        <f>averageCompletionTimePorter(Dates!M$12,Dates!M$13,'Day5'!$B6)</f>
        <v>0</v>
      </c>
      <c r="N6" s="6">
        <f>averageCompletionTimePorter(Dates!N$12,Dates!N$13,'Day5'!$B6)</f>
        <v>0</v>
      </c>
      <c r="O6" s="6">
        <f>averageCompletionTimePorter(Dates!O$12,Dates!O$13,'Day5'!$B6)</f>
        <v>0</v>
      </c>
      <c r="P6" s="6">
        <f>averageCompletionTimePorter(Dates!P$12,Dates!P$13,'Day5'!$B6)</f>
        <v>0</v>
      </c>
      <c r="Q6" s="6">
        <f>averageCompletionTimePorter(Dates!Q$12,Dates!Q$13,'Day5'!$B6)</f>
        <v>0</v>
      </c>
      <c r="R6" s="6">
        <f>averageCompletionTimePorter(Dates!R$12,Dates!R$13,'Day5'!$B6)</f>
        <v>0</v>
      </c>
      <c r="S6" s="6">
        <f>averageCompletionTimePorter(Dates!S$12,Dates!S$13,'Day5'!$B6)</f>
        <v>0</v>
      </c>
      <c r="T6" s="6">
        <f>averageCompletionTimePorter(Dates!T$12,Dates!T$13,'Day5'!$B6)</f>
        <v>0</v>
      </c>
      <c r="U6" s="6">
        <f>averageCompletionTimePorter(Dates!$C$12,Dates!$T$13,'Day5'!$B6)</f>
        <v>0</v>
      </c>
    </row>
    <row r="7" spans="1:21" x14ac:dyDescent="0.3">
      <c r="A7" s="7"/>
      <c r="B7" s="9" t="s">
        <v>31</v>
      </c>
      <c r="C7" s="6">
        <f>averageCompletionTimePorter(Dates!C$12,Dates!C$13,'Day5'!$B7)</f>
        <v>0</v>
      </c>
      <c r="D7" s="6">
        <f>averageCompletionTimePorter(Dates!D$12,Dates!D$13,'Day5'!$B7)</f>
        <v>0</v>
      </c>
      <c r="E7" s="6">
        <f>averageCompletionTimePorter(Dates!E$12,Dates!E$13,'Day5'!$B7)</f>
        <v>0</v>
      </c>
      <c r="F7" s="6">
        <f>averageCompletionTimePorter(Dates!F$12,Dates!F$13,'Day5'!$B7)</f>
        <v>0</v>
      </c>
      <c r="G7" s="6">
        <f>averageCompletionTimePorter(Dates!G$12,Dates!G$13,'Day5'!$B7)</f>
        <v>0</v>
      </c>
      <c r="H7" s="6">
        <f>averageCompletionTimePorter(Dates!H$12,Dates!H$13,'Day5'!$B7)</f>
        <v>0</v>
      </c>
      <c r="I7" s="6">
        <f>averageCompletionTimePorter(Dates!I$12,Dates!I$13,'Day5'!$B7)</f>
        <v>0</v>
      </c>
      <c r="J7" s="6">
        <f>averageCompletionTimePorter(Dates!J$12,Dates!J$13,'Day5'!$B7)</f>
        <v>0</v>
      </c>
      <c r="K7" s="6">
        <f>averageCompletionTimePorter(Dates!K$12,Dates!K$13,'Day5'!$B7)</f>
        <v>0</v>
      </c>
      <c r="L7" s="6">
        <f>averageCompletionTimePorter(Dates!L$12,Dates!L$13,'Day5'!$B7)</f>
        <v>0</v>
      </c>
      <c r="M7" s="6">
        <f>averageCompletionTimePorter(Dates!M$12,Dates!M$13,'Day5'!$B7)</f>
        <v>0</v>
      </c>
      <c r="N7" s="6">
        <f>averageCompletionTimePorter(Dates!N$12,Dates!N$13,'Day5'!$B7)</f>
        <v>0</v>
      </c>
      <c r="O7" s="6">
        <f>averageCompletionTimePorter(Dates!O$12,Dates!O$13,'Day5'!$B7)</f>
        <v>0</v>
      </c>
      <c r="P7" s="6">
        <f>averageCompletionTimePorter(Dates!P$12,Dates!P$13,'Day5'!$B7)</f>
        <v>0</v>
      </c>
      <c r="Q7" s="6">
        <f>averageCompletionTimePorter(Dates!Q$12,Dates!Q$13,'Day5'!$B7)</f>
        <v>0</v>
      </c>
      <c r="R7" s="6">
        <f>averageCompletionTimePorter(Dates!R$12,Dates!R$13,'Day5'!$B7)</f>
        <v>0</v>
      </c>
      <c r="S7" s="6">
        <f>averageCompletionTimePorter(Dates!S$12,Dates!S$13,'Day5'!$B7)</f>
        <v>0</v>
      </c>
      <c r="T7" s="6">
        <f>averageCompletionTimePorter(Dates!T$12,Dates!T$13,'Day5'!$B7)</f>
        <v>0</v>
      </c>
      <c r="U7" s="6">
        <f>averageCompletionTimePorter(Dates!$C$12,Dates!$T$13,'Day5'!$B7)</f>
        <v>0</v>
      </c>
    </row>
    <row r="8" spans="1:21" x14ac:dyDescent="0.3">
      <c r="A8" s="7"/>
      <c r="B8" s="9" t="s">
        <v>32</v>
      </c>
      <c r="C8" s="6">
        <f>averageCompletionTimePorter(Dates!C$12,Dates!C$13,'Day5'!$B8)</f>
        <v>0</v>
      </c>
      <c r="D8" s="6">
        <f>averageCompletionTimePorter(Dates!D$12,Dates!D$13,'Day5'!$B8)</f>
        <v>0</v>
      </c>
      <c r="E8" s="6">
        <f>averageCompletionTimePorter(Dates!E$12,Dates!E$13,'Day5'!$B8)</f>
        <v>0</v>
      </c>
      <c r="F8" s="6">
        <f>averageCompletionTimePorter(Dates!F$12,Dates!F$13,'Day5'!$B8)</f>
        <v>0</v>
      </c>
      <c r="G8" s="6">
        <f>averageCompletionTimePorter(Dates!G$12,Dates!G$13,'Day5'!$B8)</f>
        <v>0</v>
      </c>
      <c r="H8" s="6">
        <f>averageCompletionTimePorter(Dates!H$12,Dates!H$13,'Day5'!$B8)</f>
        <v>0</v>
      </c>
      <c r="I8" s="6">
        <f>averageCompletionTimePorter(Dates!I$12,Dates!I$13,'Day5'!$B8)</f>
        <v>0</v>
      </c>
      <c r="J8" s="6">
        <f>averageCompletionTimePorter(Dates!J$12,Dates!J$13,'Day5'!$B8)</f>
        <v>0</v>
      </c>
      <c r="K8" s="6">
        <f>averageCompletionTimePorter(Dates!K$12,Dates!K$13,'Day5'!$B8)</f>
        <v>0</v>
      </c>
      <c r="L8" s="6">
        <f>averageCompletionTimePorter(Dates!L$12,Dates!L$13,'Day5'!$B8)</f>
        <v>0</v>
      </c>
      <c r="M8" s="6">
        <f>averageCompletionTimePorter(Dates!M$12,Dates!M$13,'Day5'!$B8)</f>
        <v>0</v>
      </c>
      <c r="N8" s="6">
        <f>averageCompletionTimePorter(Dates!N$12,Dates!N$13,'Day5'!$B8)</f>
        <v>0</v>
      </c>
      <c r="O8" s="6">
        <f>averageCompletionTimePorter(Dates!O$12,Dates!O$13,'Day5'!$B8)</f>
        <v>0</v>
      </c>
      <c r="P8" s="6">
        <f>averageCompletionTimePorter(Dates!P$12,Dates!P$13,'Day5'!$B8)</f>
        <v>0</v>
      </c>
      <c r="Q8" s="6">
        <f>averageCompletionTimePorter(Dates!Q$12,Dates!Q$13,'Day5'!$B8)</f>
        <v>0</v>
      </c>
      <c r="R8" s="6">
        <f>averageCompletionTimePorter(Dates!R$12,Dates!R$13,'Day5'!$B8)</f>
        <v>0</v>
      </c>
      <c r="S8" s="6">
        <f>averageCompletionTimePorter(Dates!S$12,Dates!S$13,'Day5'!$B8)</f>
        <v>0</v>
      </c>
      <c r="T8" s="6">
        <f>averageCompletionTimePorter(Dates!T$12,Dates!T$13,'Day5'!$B8)</f>
        <v>0</v>
      </c>
      <c r="U8" s="6">
        <f>averageCompletionTimePorter(Dates!$C$12,Dates!$T$13,'Day5'!$B8)</f>
        <v>0</v>
      </c>
    </row>
    <row r="9" spans="1:21" x14ac:dyDescent="0.3">
      <c r="A9" s="7"/>
      <c r="B9" s="9" t="s">
        <v>33</v>
      </c>
      <c r="C9" s="6">
        <f>averageCompletionTimePorter(Dates!C$12,Dates!C$13,'Day5'!$B9)</f>
        <v>0</v>
      </c>
      <c r="D9" s="6">
        <f>averageCompletionTimePorter(Dates!D$12,Dates!D$13,'Day5'!$B9)</f>
        <v>0</v>
      </c>
      <c r="E9" s="6">
        <f>averageCompletionTimePorter(Dates!E$12,Dates!E$13,'Day5'!$B9)</f>
        <v>0</v>
      </c>
      <c r="F9" s="6">
        <f>averageCompletionTimePorter(Dates!F$12,Dates!F$13,'Day5'!$B9)</f>
        <v>0</v>
      </c>
      <c r="G9" s="6">
        <f>averageCompletionTimePorter(Dates!G$12,Dates!G$13,'Day5'!$B9)</f>
        <v>0</v>
      </c>
      <c r="H9" s="6">
        <f>averageCompletionTimePorter(Dates!H$12,Dates!H$13,'Day5'!$B9)</f>
        <v>0</v>
      </c>
      <c r="I9" s="6">
        <f>averageCompletionTimePorter(Dates!I$12,Dates!I$13,'Day5'!$B9)</f>
        <v>0</v>
      </c>
      <c r="J9" s="6">
        <f>averageCompletionTimePorter(Dates!J$12,Dates!J$13,'Day5'!$B9)</f>
        <v>0</v>
      </c>
      <c r="K9" s="6">
        <f>averageCompletionTimePorter(Dates!K$12,Dates!K$13,'Day5'!$B9)</f>
        <v>0</v>
      </c>
      <c r="L9" s="6">
        <f>averageCompletionTimePorter(Dates!L$12,Dates!L$13,'Day5'!$B9)</f>
        <v>0</v>
      </c>
      <c r="M9" s="6">
        <f>averageCompletionTimePorter(Dates!M$12,Dates!M$13,'Day5'!$B9)</f>
        <v>0</v>
      </c>
      <c r="N9" s="6">
        <f>averageCompletionTimePorter(Dates!N$12,Dates!N$13,'Day5'!$B9)</f>
        <v>0</v>
      </c>
      <c r="O9" s="6">
        <f>averageCompletionTimePorter(Dates!O$12,Dates!O$13,'Day5'!$B9)</f>
        <v>0</v>
      </c>
      <c r="P9" s="6">
        <f>averageCompletionTimePorter(Dates!P$12,Dates!P$13,'Day5'!$B9)</f>
        <v>0</v>
      </c>
      <c r="Q9" s="6">
        <f>averageCompletionTimePorter(Dates!Q$12,Dates!Q$13,'Day5'!$B9)</f>
        <v>0</v>
      </c>
      <c r="R9" s="6">
        <f>averageCompletionTimePorter(Dates!R$12,Dates!R$13,'Day5'!$B9)</f>
        <v>0</v>
      </c>
      <c r="S9" s="6">
        <f>averageCompletionTimePorter(Dates!S$12,Dates!S$13,'Day5'!$B9)</f>
        <v>0</v>
      </c>
      <c r="T9" s="6">
        <f>averageCompletionTimePorter(Dates!T$12,Dates!T$13,'Day5'!$B9)</f>
        <v>0</v>
      </c>
      <c r="U9" s="6">
        <f>averageCompletionTimePorter(Dates!$C$12,Dates!$T$13,'Day5'!$B9)</f>
        <v>0</v>
      </c>
    </row>
    <row r="10" spans="1:21" x14ac:dyDescent="0.3">
      <c r="A10" s="7"/>
      <c r="B10" s="9" t="s">
        <v>34</v>
      </c>
      <c r="C10" s="6">
        <f>averageCompletionTimePorter(Dates!C$12,Dates!C$13,'Day5'!$B10)</f>
        <v>0</v>
      </c>
      <c r="D10" s="6">
        <f>averageCompletionTimePorter(Dates!D$12,Dates!D$13,'Day5'!$B10)</f>
        <v>0</v>
      </c>
      <c r="E10" s="6">
        <f>averageCompletionTimePorter(Dates!E$12,Dates!E$13,'Day5'!$B10)</f>
        <v>0</v>
      </c>
      <c r="F10" s="6">
        <f>averageCompletionTimePorter(Dates!F$12,Dates!F$13,'Day5'!$B10)</f>
        <v>0</v>
      </c>
      <c r="G10" s="6">
        <f>averageCompletionTimePorter(Dates!G$12,Dates!G$13,'Day5'!$B10)</f>
        <v>0</v>
      </c>
      <c r="H10" s="6">
        <f>averageCompletionTimePorter(Dates!H$12,Dates!H$13,'Day5'!$B10)</f>
        <v>0</v>
      </c>
      <c r="I10" s="6">
        <f>averageCompletionTimePorter(Dates!I$12,Dates!I$13,'Day5'!$B10)</f>
        <v>0</v>
      </c>
      <c r="J10" s="6">
        <f>averageCompletionTimePorter(Dates!J$12,Dates!J$13,'Day5'!$B10)</f>
        <v>0</v>
      </c>
      <c r="K10" s="6">
        <f>averageCompletionTimePorter(Dates!K$12,Dates!K$13,'Day5'!$B10)</f>
        <v>0</v>
      </c>
      <c r="L10" s="6">
        <f>averageCompletionTimePorter(Dates!L$12,Dates!L$13,'Day5'!$B10)</f>
        <v>0</v>
      </c>
      <c r="M10" s="6">
        <f>averageCompletionTimePorter(Dates!M$12,Dates!M$13,'Day5'!$B10)</f>
        <v>0</v>
      </c>
      <c r="N10" s="6">
        <f>averageCompletionTimePorter(Dates!N$12,Dates!N$13,'Day5'!$B10)</f>
        <v>0</v>
      </c>
      <c r="O10" s="6">
        <f>averageCompletionTimePorter(Dates!O$12,Dates!O$13,'Day5'!$B10)</f>
        <v>0</v>
      </c>
      <c r="P10" s="6">
        <f>averageCompletionTimePorter(Dates!P$12,Dates!P$13,'Day5'!$B10)</f>
        <v>0</v>
      </c>
      <c r="Q10" s="6">
        <f>averageCompletionTimePorter(Dates!Q$12,Dates!Q$13,'Day5'!$B10)</f>
        <v>0</v>
      </c>
      <c r="R10" s="6">
        <f>averageCompletionTimePorter(Dates!R$12,Dates!R$13,'Day5'!$B10)</f>
        <v>0</v>
      </c>
      <c r="S10" s="6">
        <f>averageCompletionTimePorter(Dates!S$12,Dates!S$13,'Day5'!$B10)</f>
        <v>0</v>
      </c>
      <c r="T10" s="6">
        <f>averageCompletionTimePorter(Dates!T$12,Dates!T$13,'Day5'!$B10)</f>
        <v>0</v>
      </c>
      <c r="U10" s="6">
        <f>averageCompletionTimePorter(Dates!$C$12,Dates!$T$13,'Day5'!$B10)</f>
        <v>0</v>
      </c>
    </row>
    <row r="11" spans="1:21" x14ac:dyDescent="0.3">
      <c r="A11" s="7"/>
      <c r="B11" s="9" t="s">
        <v>35</v>
      </c>
      <c r="C11" s="6">
        <f>averageCompletionTimePorter(Dates!C$12,Dates!C$13,'Day5'!$B11)</f>
        <v>0</v>
      </c>
      <c r="D11" s="6">
        <f>averageCompletionTimePorter(Dates!D$12,Dates!D$13,'Day5'!$B11)</f>
        <v>0</v>
      </c>
      <c r="E11" s="6">
        <f>averageCompletionTimePorter(Dates!E$12,Dates!E$13,'Day5'!$B11)</f>
        <v>0</v>
      </c>
      <c r="F11" s="6">
        <f>averageCompletionTimePorter(Dates!F$12,Dates!F$13,'Day5'!$B11)</f>
        <v>0</v>
      </c>
      <c r="G11" s="6">
        <f>averageCompletionTimePorter(Dates!G$12,Dates!G$13,'Day5'!$B11)</f>
        <v>0</v>
      </c>
      <c r="H11" s="6">
        <f>averageCompletionTimePorter(Dates!H$12,Dates!H$13,'Day5'!$B11)</f>
        <v>0</v>
      </c>
      <c r="I11" s="6">
        <f>averageCompletionTimePorter(Dates!I$12,Dates!I$13,'Day5'!$B11)</f>
        <v>0</v>
      </c>
      <c r="J11" s="6">
        <f>averageCompletionTimePorter(Dates!J$12,Dates!J$13,'Day5'!$B11)</f>
        <v>0</v>
      </c>
      <c r="K11" s="6">
        <f>averageCompletionTimePorter(Dates!K$12,Dates!K$13,'Day5'!$B11)</f>
        <v>0</v>
      </c>
      <c r="L11" s="6">
        <f>averageCompletionTimePorter(Dates!L$12,Dates!L$13,'Day5'!$B11)</f>
        <v>0</v>
      </c>
      <c r="M11" s="6">
        <f>averageCompletionTimePorter(Dates!M$12,Dates!M$13,'Day5'!$B11)</f>
        <v>0</v>
      </c>
      <c r="N11" s="6">
        <f>averageCompletionTimePorter(Dates!N$12,Dates!N$13,'Day5'!$B11)</f>
        <v>0</v>
      </c>
      <c r="O11" s="6">
        <f>averageCompletionTimePorter(Dates!O$12,Dates!O$13,'Day5'!$B11)</f>
        <v>0</v>
      </c>
      <c r="P11" s="6">
        <f>averageCompletionTimePorter(Dates!P$12,Dates!P$13,'Day5'!$B11)</f>
        <v>0</v>
      </c>
      <c r="Q11" s="6">
        <f>averageCompletionTimePorter(Dates!Q$12,Dates!Q$13,'Day5'!$B11)</f>
        <v>0</v>
      </c>
      <c r="R11" s="6">
        <f>averageCompletionTimePorter(Dates!R$12,Dates!R$13,'Day5'!$B11)</f>
        <v>0</v>
      </c>
      <c r="S11" s="6">
        <f>averageCompletionTimePorter(Dates!S$12,Dates!S$13,'Day5'!$B11)</f>
        <v>0</v>
      </c>
      <c r="T11" s="6">
        <f>averageCompletionTimePorter(Dates!T$12,Dates!T$13,'Day5'!$B11)</f>
        <v>0</v>
      </c>
      <c r="U11" s="6">
        <f>averageCompletionTimePorter(Dates!$C$12,Dates!$T$13,'Day5'!$B11)</f>
        <v>0</v>
      </c>
    </row>
    <row r="12" spans="1:21" x14ac:dyDescent="0.3">
      <c r="A12" s="7"/>
      <c r="B12" s="9" t="s">
        <v>36</v>
      </c>
      <c r="C12" s="6">
        <f>averageCompletionTimePorter(Dates!C$12,Dates!C$13,'Day5'!$B12)</f>
        <v>0</v>
      </c>
      <c r="D12" s="6">
        <f>averageCompletionTimePorter(Dates!D$12,Dates!D$13,'Day5'!$B12)</f>
        <v>0</v>
      </c>
      <c r="E12" s="6">
        <f>averageCompletionTimePorter(Dates!E$12,Dates!E$13,'Day5'!$B12)</f>
        <v>0</v>
      </c>
      <c r="F12" s="6">
        <f>averageCompletionTimePorter(Dates!F$12,Dates!F$13,'Day5'!$B12)</f>
        <v>0</v>
      </c>
      <c r="G12" s="6">
        <f>averageCompletionTimePorter(Dates!G$12,Dates!G$13,'Day5'!$B12)</f>
        <v>0</v>
      </c>
      <c r="H12" s="6">
        <f>averageCompletionTimePorter(Dates!H$12,Dates!H$13,'Day5'!$B12)</f>
        <v>0</v>
      </c>
      <c r="I12" s="6">
        <f>averageCompletionTimePorter(Dates!I$12,Dates!I$13,'Day5'!$B12)</f>
        <v>0</v>
      </c>
      <c r="J12" s="6">
        <f>averageCompletionTimePorter(Dates!J$12,Dates!J$13,'Day5'!$B12)</f>
        <v>0</v>
      </c>
      <c r="K12" s="6">
        <f>averageCompletionTimePorter(Dates!K$12,Dates!K$13,'Day5'!$B12)</f>
        <v>0</v>
      </c>
      <c r="L12" s="6">
        <f>averageCompletionTimePorter(Dates!L$12,Dates!L$13,'Day5'!$B12)</f>
        <v>0</v>
      </c>
      <c r="M12" s="6">
        <f>averageCompletionTimePorter(Dates!M$12,Dates!M$13,'Day5'!$B12)</f>
        <v>0</v>
      </c>
      <c r="N12" s="6">
        <f>averageCompletionTimePorter(Dates!N$12,Dates!N$13,'Day5'!$B12)</f>
        <v>0</v>
      </c>
      <c r="O12" s="6">
        <f>averageCompletionTimePorter(Dates!O$12,Dates!O$13,'Day5'!$B12)</f>
        <v>0</v>
      </c>
      <c r="P12" s="6">
        <f>averageCompletionTimePorter(Dates!P$12,Dates!P$13,'Day5'!$B12)</f>
        <v>0</v>
      </c>
      <c r="Q12" s="6">
        <f>averageCompletionTimePorter(Dates!Q$12,Dates!Q$13,'Day5'!$B12)</f>
        <v>0</v>
      </c>
      <c r="R12" s="6">
        <f>averageCompletionTimePorter(Dates!R$12,Dates!R$13,'Day5'!$B12)</f>
        <v>0</v>
      </c>
      <c r="S12" s="6">
        <f>averageCompletionTimePorter(Dates!S$12,Dates!S$13,'Day5'!$B12)</f>
        <v>0</v>
      </c>
      <c r="T12" s="6">
        <f>averageCompletionTimePorter(Dates!T$12,Dates!T$13,'Day5'!$B12)</f>
        <v>0</v>
      </c>
      <c r="U12" s="6">
        <f>averageCompletionTimePorter(Dates!$C$12,Dates!$T$13,'Day5'!$B12)</f>
        <v>0</v>
      </c>
    </row>
    <row r="13" spans="1:21" x14ac:dyDescent="0.3">
      <c r="A13" s="7"/>
      <c r="B13" s="9" t="s">
        <v>37</v>
      </c>
      <c r="C13" s="6">
        <f>averageCompletionTimePorter(Dates!C$12,Dates!C$13,'Day5'!$B13)</f>
        <v>0</v>
      </c>
      <c r="D13" s="6">
        <f>averageCompletionTimePorter(Dates!D$12,Dates!D$13,'Day5'!$B13)</f>
        <v>0</v>
      </c>
      <c r="E13" s="6">
        <f>averageCompletionTimePorter(Dates!E$12,Dates!E$13,'Day5'!$B13)</f>
        <v>0</v>
      </c>
      <c r="F13" s="6">
        <f>averageCompletionTimePorter(Dates!F$12,Dates!F$13,'Day5'!$B13)</f>
        <v>0</v>
      </c>
      <c r="G13" s="6">
        <f>averageCompletionTimePorter(Dates!G$12,Dates!G$13,'Day5'!$B13)</f>
        <v>0</v>
      </c>
      <c r="H13" s="6">
        <f>averageCompletionTimePorter(Dates!H$12,Dates!H$13,'Day5'!$B13)</f>
        <v>0</v>
      </c>
      <c r="I13" s="6">
        <f>averageCompletionTimePorter(Dates!I$12,Dates!I$13,'Day5'!$B13)</f>
        <v>0</v>
      </c>
      <c r="J13" s="6">
        <f>averageCompletionTimePorter(Dates!J$12,Dates!J$13,'Day5'!$B13)</f>
        <v>0</v>
      </c>
      <c r="K13" s="6">
        <f>averageCompletionTimePorter(Dates!K$12,Dates!K$13,'Day5'!$B13)</f>
        <v>0</v>
      </c>
      <c r="L13" s="6">
        <f>averageCompletionTimePorter(Dates!L$12,Dates!L$13,'Day5'!$B13)</f>
        <v>0</v>
      </c>
      <c r="M13" s="6">
        <f>averageCompletionTimePorter(Dates!M$12,Dates!M$13,'Day5'!$B13)</f>
        <v>0</v>
      </c>
      <c r="N13" s="6">
        <f>averageCompletionTimePorter(Dates!N$12,Dates!N$13,'Day5'!$B13)</f>
        <v>0</v>
      </c>
      <c r="O13" s="6">
        <f>averageCompletionTimePorter(Dates!O$12,Dates!O$13,'Day5'!$B13)</f>
        <v>0</v>
      </c>
      <c r="P13" s="6">
        <f>averageCompletionTimePorter(Dates!P$12,Dates!P$13,'Day5'!$B13)</f>
        <v>0</v>
      </c>
      <c r="Q13" s="6">
        <f>averageCompletionTimePorter(Dates!Q$12,Dates!Q$13,'Day5'!$B13)</f>
        <v>0</v>
      </c>
      <c r="R13" s="6">
        <f>averageCompletionTimePorter(Dates!R$12,Dates!R$13,'Day5'!$B13)</f>
        <v>0</v>
      </c>
      <c r="S13" s="6">
        <f>averageCompletionTimePorter(Dates!S$12,Dates!S$13,'Day5'!$B13)</f>
        <v>0</v>
      </c>
      <c r="T13" s="6">
        <f>averageCompletionTimePorter(Dates!T$12,Dates!T$13,'Day5'!$B13)</f>
        <v>0</v>
      </c>
      <c r="U13" s="6">
        <f>averageCompletionTimePorter(Dates!$C$12,Dates!$T$13,'Day5'!$B13)</f>
        <v>0</v>
      </c>
    </row>
    <row r="14" spans="1:21" x14ac:dyDescent="0.3">
      <c r="B14" s="9" t="s">
        <v>13</v>
      </c>
      <c r="C14" s="6">
        <f>averageCompletionTimePorter(Dates!C$12,Dates!C$13,'Day5'!$B14)</f>
        <v>0</v>
      </c>
      <c r="D14" s="6">
        <f>averageCompletionTimePorter(Dates!D$12,Dates!D$13,'Day5'!$B14)</f>
        <v>0</v>
      </c>
      <c r="E14" s="6">
        <f>averageCompletionTimePorter(Dates!E$12,Dates!E$13,'Day5'!$B14)</f>
        <v>0</v>
      </c>
      <c r="F14" s="6">
        <f>averageCompletionTimePorter(Dates!F$12,Dates!F$13,'Day5'!$B14)</f>
        <v>0</v>
      </c>
      <c r="G14" s="6">
        <f>averageCompletionTimePorter(Dates!G$12,Dates!G$13,'Day5'!$B14)</f>
        <v>0</v>
      </c>
      <c r="H14" s="6">
        <f>averageCompletionTimePorter(Dates!H$12,Dates!H$13,'Day5'!$B14)</f>
        <v>0</v>
      </c>
      <c r="I14" s="6">
        <f>averageCompletionTimePorter(Dates!I$12,Dates!I$13,'Day5'!$B14)</f>
        <v>0</v>
      </c>
      <c r="J14" s="6">
        <f>averageCompletionTimePorter(Dates!J$12,Dates!J$13,'Day5'!$B14)</f>
        <v>0</v>
      </c>
      <c r="K14" s="6">
        <f>averageCompletionTimePorter(Dates!K$12,Dates!K$13,'Day5'!$B14)</f>
        <v>0</v>
      </c>
      <c r="L14" s="6">
        <f>averageCompletionTimePorter(Dates!L$12,Dates!L$13,'Day5'!$B14)</f>
        <v>0</v>
      </c>
      <c r="M14" s="6">
        <f>averageCompletionTimePorter(Dates!M$12,Dates!M$13,'Day5'!$B14)</f>
        <v>0</v>
      </c>
      <c r="N14" s="6">
        <f>averageCompletionTimePorter(Dates!N$12,Dates!N$13,'Day5'!$B14)</f>
        <v>0</v>
      </c>
      <c r="O14" s="6">
        <f>averageCompletionTimePorter(Dates!O$12,Dates!O$13,'Day5'!$B14)</f>
        <v>0</v>
      </c>
      <c r="P14" s="6">
        <f>averageCompletionTimePorter(Dates!P$12,Dates!P$13,'Day5'!$B14)</f>
        <v>0</v>
      </c>
      <c r="Q14" s="6">
        <f>averageCompletionTimePorter(Dates!Q$12,Dates!Q$13,'Day5'!$B14)</f>
        <v>0</v>
      </c>
      <c r="R14" s="6">
        <f>averageCompletionTimePorter(Dates!R$12,Dates!R$13,'Day5'!$B14)</f>
        <v>0</v>
      </c>
      <c r="S14" s="6">
        <f>averageCompletionTimePorter(Dates!S$12,Dates!S$13,'Day5'!$B14)</f>
        <v>0</v>
      </c>
      <c r="T14" s="6">
        <f>averageCompletionTimePorter(Dates!T$12,Dates!T$13,'Day5'!$B14)</f>
        <v>0</v>
      </c>
      <c r="U14" s="6">
        <f>averageCompletionTimePorter(Dates!$C$12,Dates!$T$13,'Day5'!$B14)</f>
        <v>0</v>
      </c>
    </row>
    <row r="15" spans="1:21" x14ac:dyDescent="0.3">
      <c r="B15" s="9" t="s">
        <v>14</v>
      </c>
      <c r="C15" s="6">
        <f>averageCompletionTimePorter(Dates!C$12,Dates!C$13,'Day5'!$B15)</f>
        <v>0</v>
      </c>
      <c r="D15" s="6">
        <f>averageCompletionTimePorter(Dates!D$12,Dates!D$13,'Day5'!$B15)</f>
        <v>0</v>
      </c>
      <c r="E15" s="6">
        <f>averageCompletionTimePorter(Dates!E$12,Dates!E$13,'Day5'!$B15)</f>
        <v>0</v>
      </c>
      <c r="F15" s="6">
        <f>averageCompletionTimePorter(Dates!F$12,Dates!F$13,'Day5'!$B15)</f>
        <v>0</v>
      </c>
      <c r="G15" s="6">
        <f>averageCompletionTimePorter(Dates!G$12,Dates!G$13,'Day5'!$B15)</f>
        <v>0</v>
      </c>
      <c r="H15" s="6">
        <f>averageCompletionTimePorter(Dates!H$12,Dates!H$13,'Day5'!$B15)</f>
        <v>0</v>
      </c>
      <c r="I15" s="6">
        <f>averageCompletionTimePorter(Dates!I$12,Dates!I$13,'Day5'!$B15)</f>
        <v>0</v>
      </c>
      <c r="J15" s="6">
        <f>averageCompletionTimePorter(Dates!J$12,Dates!J$13,'Day5'!$B15)</f>
        <v>0</v>
      </c>
      <c r="K15" s="6">
        <f>averageCompletionTimePorter(Dates!K$12,Dates!K$13,'Day5'!$B15)</f>
        <v>0</v>
      </c>
      <c r="L15" s="6">
        <f>averageCompletionTimePorter(Dates!L$12,Dates!L$13,'Day5'!$B15)</f>
        <v>0</v>
      </c>
      <c r="M15" s="6">
        <f>averageCompletionTimePorter(Dates!M$12,Dates!M$13,'Day5'!$B15)</f>
        <v>0</v>
      </c>
      <c r="N15" s="6">
        <f>averageCompletionTimePorter(Dates!N$12,Dates!N$13,'Day5'!$B15)</f>
        <v>0</v>
      </c>
      <c r="O15" s="6">
        <f>averageCompletionTimePorter(Dates!O$12,Dates!O$13,'Day5'!$B15)</f>
        <v>0</v>
      </c>
      <c r="P15" s="6">
        <f>averageCompletionTimePorter(Dates!P$12,Dates!P$13,'Day5'!$B15)</f>
        <v>0</v>
      </c>
      <c r="Q15" s="6">
        <f>averageCompletionTimePorter(Dates!Q$12,Dates!Q$13,'Day5'!$B15)</f>
        <v>0</v>
      </c>
      <c r="R15" s="6">
        <f>averageCompletionTimePorter(Dates!R$12,Dates!R$13,'Day5'!$B15)</f>
        <v>0</v>
      </c>
      <c r="S15" s="6">
        <f>averageCompletionTimePorter(Dates!S$12,Dates!S$13,'Day5'!$B15)</f>
        <v>0</v>
      </c>
      <c r="T15" s="6">
        <f>averageCompletionTimePorter(Dates!T$12,Dates!T$13,'Day5'!$B15)</f>
        <v>0</v>
      </c>
      <c r="U15" s="6">
        <f>averageCompletionTimePorter(Dates!$C$12,Dates!$T$13,'Day5'!$B15)</f>
        <v>0</v>
      </c>
    </row>
    <row r="16" spans="1:21" x14ac:dyDescent="0.3">
      <c r="B16" s="9" t="s">
        <v>15</v>
      </c>
      <c r="C16" s="6">
        <f>averageCompletionTimePorter(Dates!C$12,Dates!C$13,'Day5'!$B16)</f>
        <v>0</v>
      </c>
      <c r="D16" s="6">
        <f>averageCompletionTimePorter(Dates!D$12,Dates!D$13,'Day5'!$B16)</f>
        <v>0</v>
      </c>
      <c r="E16" s="6">
        <f>averageCompletionTimePorter(Dates!E$12,Dates!E$13,'Day5'!$B16)</f>
        <v>0</v>
      </c>
      <c r="F16" s="6">
        <f>averageCompletionTimePorter(Dates!F$12,Dates!F$13,'Day5'!$B16)</f>
        <v>0</v>
      </c>
      <c r="G16" s="6">
        <f>averageCompletionTimePorter(Dates!G$12,Dates!G$13,'Day5'!$B16)</f>
        <v>0</v>
      </c>
      <c r="H16" s="6">
        <f>averageCompletionTimePorter(Dates!H$12,Dates!H$13,'Day5'!$B16)</f>
        <v>0</v>
      </c>
      <c r="I16" s="6">
        <f>averageCompletionTimePorter(Dates!I$12,Dates!I$13,'Day5'!$B16)</f>
        <v>0</v>
      </c>
      <c r="J16" s="6">
        <f>averageCompletionTimePorter(Dates!J$12,Dates!J$13,'Day5'!$B16)</f>
        <v>0</v>
      </c>
      <c r="K16" s="6">
        <f>averageCompletionTimePorter(Dates!K$12,Dates!K$13,'Day5'!$B16)</f>
        <v>0</v>
      </c>
      <c r="L16" s="6">
        <f>averageCompletionTimePorter(Dates!L$12,Dates!L$13,'Day5'!$B16)</f>
        <v>0</v>
      </c>
      <c r="M16" s="6">
        <f>averageCompletionTimePorter(Dates!M$12,Dates!M$13,'Day5'!$B16)</f>
        <v>0</v>
      </c>
      <c r="N16" s="6">
        <f>averageCompletionTimePorter(Dates!N$12,Dates!N$13,'Day5'!$B16)</f>
        <v>0</v>
      </c>
      <c r="O16" s="6">
        <f>averageCompletionTimePorter(Dates!O$12,Dates!O$13,'Day5'!$B16)</f>
        <v>0</v>
      </c>
      <c r="P16" s="6">
        <f>averageCompletionTimePorter(Dates!P$12,Dates!P$13,'Day5'!$B16)</f>
        <v>0</v>
      </c>
      <c r="Q16" s="6">
        <f>averageCompletionTimePorter(Dates!Q$12,Dates!Q$13,'Day5'!$B16)</f>
        <v>0</v>
      </c>
      <c r="R16" s="6">
        <f>averageCompletionTimePorter(Dates!R$12,Dates!R$13,'Day5'!$B16)</f>
        <v>0</v>
      </c>
      <c r="S16" s="6">
        <f>averageCompletionTimePorter(Dates!S$12,Dates!S$13,'Day5'!$B16)</f>
        <v>0</v>
      </c>
      <c r="T16" s="6">
        <f>averageCompletionTimePorter(Dates!T$12,Dates!T$13,'Day5'!$B16)</f>
        <v>0</v>
      </c>
      <c r="U16" s="6">
        <f>averageCompletionTimePorter(Dates!$C$12,Dates!$T$13,'Day5'!$B16)</f>
        <v>0</v>
      </c>
    </row>
    <row r="17" spans="2:21" x14ac:dyDescent="0.3">
      <c r="B17" s="9" t="s">
        <v>16</v>
      </c>
      <c r="C17" s="6">
        <f>averageCompletionTimePorter(Dates!C$12,Dates!C$13,'Day5'!$B17)</f>
        <v>0</v>
      </c>
      <c r="D17" s="6">
        <f>averageCompletionTimePorter(Dates!D$12,Dates!D$13,'Day5'!$B17)</f>
        <v>0</v>
      </c>
      <c r="E17" s="6">
        <f>averageCompletionTimePorter(Dates!E$12,Dates!E$13,'Day5'!$B17)</f>
        <v>0</v>
      </c>
      <c r="F17" s="6">
        <f>averageCompletionTimePorter(Dates!F$12,Dates!F$13,'Day5'!$B17)</f>
        <v>0</v>
      </c>
      <c r="G17" s="6">
        <f>averageCompletionTimePorter(Dates!G$12,Dates!G$13,'Day5'!$B17)</f>
        <v>0</v>
      </c>
      <c r="H17" s="6">
        <f>averageCompletionTimePorter(Dates!H$12,Dates!H$13,'Day5'!$B17)</f>
        <v>0</v>
      </c>
      <c r="I17" s="6">
        <f>averageCompletionTimePorter(Dates!I$12,Dates!I$13,'Day5'!$B17)</f>
        <v>0</v>
      </c>
      <c r="J17" s="6">
        <f>averageCompletionTimePorter(Dates!J$12,Dates!J$13,'Day5'!$B17)</f>
        <v>0</v>
      </c>
      <c r="K17" s="6">
        <f>averageCompletionTimePorter(Dates!K$12,Dates!K$13,'Day5'!$B17)</f>
        <v>0</v>
      </c>
      <c r="L17" s="6">
        <f>averageCompletionTimePorter(Dates!L$12,Dates!L$13,'Day5'!$B17)</f>
        <v>0</v>
      </c>
      <c r="M17" s="6">
        <f>averageCompletionTimePorter(Dates!M$12,Dates!M$13,'Day5'!$B17)</f>
        <v>0</v>
      </c>
      <c r="N17" s="6">
        <f>averageCompletionTimePorter(Dates!N$12,Dates!N$13,'Day5'!$B17)</f>
        <v>0</v>
      </c>
      <c r="O17" s="6">
        <f>averageCompletionTimePorter(Dates!O$12,Dates!O$13,'Day5'!$B17)</f>
        <v>0</v>
      </c>
      <c r="P17" s="6">
        <f>averageCompletionTimePorter(Dates!P$12,Dates!P$13,'Day5'!$B17)</f>
        <v>0</v>
      </c>
      <c r="Q17" s="6">
        <f>averageCompletionTimePorter(Dates!Q$12,Dates!Q$13,'Day5'!$B17)</f>
        <v>0</v>
      </c>
      <c r="R17" s="6">
        <f>averageCompletionTimePorter(Dates!R$12,Dates!R$13,'Day5'!$B17)</f>
        <v>0</v>
      </c>
      <c r="S17" s="6">
        <f>averageCompletionTimePorter(Dates!S$12,Dates!S$13,'Day5'!$B17)</f>
        <v>0</v>
      </c>
      <c r="T17" s="6">
        <f>averageCompletionTimePorter(Dates!T$12,Dates!T$13,'Day5'!$B17)</f>
        <v>0</v>
      </c>
      <c r="U17" s="6">
        <f>averageCompletionTimePorter(Dates!$C$12,Dates!$T$13,'Day5'!$B17)</f>
        <v>0</v>
      </c>
    </row>
    <row r="18" spans="2:21" x14ac:dyDescent="0.3">
      <c r="B18" s="9" t="s">
        <v>17</v>
      </c>
      <c r="C18" s="6">
        <f>averageCompletionTimePorter(Dates!C$12,Dates!C$13,'Day5'!$B18)</f>
        <v>0</v>
      </c>
      <c r="D18" s="6">
        <f>averageCompletionTimePorter(Dates!D$12,Dates!D$13,'Day5'!$B18)</f>
        <v>0</v>
      </c>
      <c r="E18" s="6">
        <f>averageCompletionTimePorter(Dates!E$12,Dates!E$13,'Day5'!$B18)</f>
        <v>0</v>
      </c>
      <c r="F18" s="6">
        <f>averageCompletionTimePorter(Dates!F$12,Dates!F$13,'Day5'!$B18)</f>
        <v>0</v>
      </c>
      <c r="G18" s="6">
        <f>averageCompletionTimePorter(Dates!G$12,Dates!G$13,'Day5'!$B18)</f>
        <v>0</v>
      </c>
      <c r="H18" s="6">
        <f>averageCompletionTimePorter(Dates!H$12,Dates!H$13,'Day5'!$B18)</f>
        <v>0</v>
      </c>
      <c r="I18" s="6">
        <f>averageCompletionTimePorter(Dates!I$12,Dates!I$13,'Day5'!$B18)</f>
        <v>0</v>
      </c>
      <c r="J18" s="6">
        <f>averageCompletionTimePorter(Dates!J$12,Dates!J$13,'Day5'!$B18)</f>
        <v>0</v>
      </c>
      <c r="K18" s="6">
        <f>averageCompletionTimePorter(Dates!K$12,Dates!K$13,'Day5'!$B18)</f>
        <v>0</v>
      </c>
      <c r="L18" s="6">
        <f>averageCompletionTimePorter(Dates!L$12,Dates!L$13,'Day5'!$B18)</f>
        <v>0</v>
      </c>
      <c r="M18" s="6">
        <f>averageCompletionTimePorter(Dates!M$12,Dates!M$13,'Day5'!$B18)</f>
        <v>0</v>
      </c>
      <c r="N18" s="6">
        <f>averageCompletionTimePorter(Dates!N$12,Dates!N$13,'Day5'!$B18)</f>
        <v>0</v>
      </c>
      <c r="O18" s="6">
        <f>averageCompletionTimePorter(Dates!O$12,Dates!O$13,'Day5'!$B18)</f>
        <v>0</v>
      </c>
      <c r="P18" s="6">
        <f>averageCompletionTimePorter(Dates!P$12,Dates!P$13,'Day5'!$B18)</f>
        <v>0</v>
      </c>
      <c r="Q18" s="6">
        <f>averageCompletionTimePorter(Dates!Q$12,Dates!Q$13,'Day5'!$B18)</f>
        <v>0</v>
      </c>
      <c r="R18" s="6">
        <f>averageCompletionTimePorter(Dates!R$12,Dates!R$13,'Day5'!$B18)</f>
        <v>0</v>
      </c>
      <c r="S18" s="6">
        <f>averageCompletionTimePorter(Dates!S$12,Dates!S$13,'Day5'!$B18)</f>
        <v>0</v>
      </c>
      <c r="T18" s="6">
        <f>averageCompletionTimePorter(Dates!T$12,Dates!T$13,'Day5'!$B18)</f>
        <v>0</v>
      </c>
      <c r="U18" s="6">
        <f>averageCompletionTimePorter(Dates!$C$12,Dates!$T$13,'Day5'!$B18)</f>
        <v>0</v>
      </c>
    </row>
    <row r="19" spans="2:21" x14ac:dyDescent="0.3">
      <c r="B19" s="9" t="s">
        <v>18</v>
      </c>
      <c r="C19" s="6">
        <f>averageCompletionTimePorter(Dates!C$12,Dates!C$13,'Day5'!$B19)</f>
        <v>0</v>
      </c>
      <c r="D19" s="6">
        <f>averageCompletionTimePorter(Dates!D$12,Dates!D$13,'Day5'!$B19)</f>
        <v>0</v>
      </c>
      <c r="E19" s="6">
        <f>averageCompletionTimePorter(Dates!E$12,Dates!E$13,'Day5'!$B19)</f>
        <v>0</v>
      </c>
      <c r="F19" s="6">
        <f>averageCompletionTimePorter(Dates!F$12,Dates!F$13,'Day5'!$B19)</f>
        <v>0</v>
      </c>
      <c r="G19" s="6">
        <f>averageCompletionTimePorter(Dates!G$12,Dates!G$13,'Day5'!$B19)</f>
        <v>0</v>
      </c>
      <c r="H19" s="6">
        <f>averageCompletionTimePorter(Dates!H$12,Dates!H$13,'Day5'!$B19)</f>
        <v>0</v>
      </c>
      <c r="I19" s="6">
        <f>averageCompletionTimePorter(Dates!I$12,Dates!I$13,'Day5'!$B19)</f>
        <v>0</v>
      </c>
      <c r="J19" s="6">
        <f>averageCompletionTimePorter(Dates!J$12,Dates!J$13,'Day5'!$B19)</f>
        <v>0</v>
      </c>
      <c r="K19" s="6">
        <f>averageCompletionTimePorter(Dates!K$12,Dates!K$13,'Day5'!$B19)</f>
        <v>0</v>
      </c>
      <c r="L19" s="6">
        <f>averageCompletionTimePorter(Dates!L$12,Dates!L$13,'Day5'!$B19)</f>
        <v>0</v>
      </c>
      <c r="M19" s="6">
        <f>averageCompletionTimePorter(Dates!M$12,Dates!M$13,'Day5'!$B19)</f>
        <v>0</v>
      </c>
      <c r="N19" s="6">
        <f>averageCompletionTimePorter(Dates!N$12,Dates!N$13,'Day5'!$B19)</f>
        <v>0</v>
      </c>
      <c r="O19" s="6">
        <f>averageCompletionTimePorter(Dates!O$12,Dates!O$13,'Day5'!$B19)</f>
        <v>0</v>
      </c>
      <c r="P19" s="6">
        <f>averageCompletionTimePorter(Dates!P$12,Dates!P$13,'Day5'!$B19)</f>
        <v>0</v>
      </c>
      <c r="Q19" s="6">
        <f>averageCompletionTimePorter(Dates!Q$12,Dates!Q$13,'Day5'!$B19)</f>
        <v>0</v>
      </c>
      <c r="R19" s="6">
        <f>averageCompletionTimePorter(Dates!R$12,Dates!R$13,'Day5'!$B19)</f>
        <v>0</v>
      </c>
      <c r="S19" s="6">
        <f>averageCompletionTimePorter(Dates!S$12,Dates!S$13,'Day5'!$B19)</f>
        <v>0</v>
      </c>
      <c r="T19" s="6">
        <f>averageCompletionTimePorter(Dates!T$12,Dates!T$13,'Day5'!$B19)</f>
        <v>0</v>
      </c>
      <c r="U19" s="6">
        <f>averageCompletionTimePorter(Dates!$C$12,Dates!$T$13,'Day5'!$B19)</f>
        <v>0</v>
      </c>
    </row>
    <row r="20" spans="2:21" x14ac:dyDescent="0.3">
      <c r="B20" s="9" t="s">
        <v>19</v>
      </c>
      <c r="C20" s="6">
        <f>averageCompletionTimePorter(Dates!C$12,Dates!C$13,'Day5'!$B20)</f>
        <v>0</v>
      </c>
      <c r="D20" s="6">
        <f>averageCompletionTimePorter(Dates!D$12,Dates!D$13,'Day5'!$B20)</f>
        <v>0</v>
      </c>
      <c r="E20" s="6">
        <f>averageCompletionTimePorter(Dates!E$12,Dates!E$13,'Day5'!$B20)</f>
        <v>0</v>
      </c>
      <c r="F20" s="6">
        <f>averageCompletionTimePorter(Dates!F$12,Dates!F$13,'Day5'!$B20)</f>
        <v>0</v>
      </c>
      <c r="G20" s="6">
        <f>averageCompletionTimePorter(Dates!G$12,Dates!G$13,'Day5'!$B20)</f>
        <v>0</v>
      </c>
      <c r="H20" s="6">
        <f>averageCompletionTimePorter(Dates!H$12,Dates!H$13,'Day5'!$B20)</f>
        <v>0</v>
      </c>
      <c r="I20" s="6">
        <f>averageCompletionTimePorter(Dates!I$12,Dates!I$13,'Day5'!$B20)</f>
        <v>0</v>
      </c>
      <c r="J20" s="6">
        <f>averageCompletionTimePorter(Dates!J$12,Dates!J$13,'Day5'!$B20)</f>
        <v>0</v>
      </c>
      <c r="K20" s="6">
        <f>averageCompletionTimePorter(Dates!K$12,Dates!K$13,'Day5'!$B20)</f>
        <v>0</v>
      </c>
      <c r="L20" s="6">
        <f>averageCompletionTimePorter(Dates!L$12,Dates!L$13,'Day5'!$B20)</f>
        <v>0</v>
      </c>
      <c r="M20" s="6">
        <f>averageCompletionTimePorter(Dates!M$12,Dates!M$13,'Day5'!$B20)</f>
        <v>0</v>
      </c>
      <c r="N20" s="6">
        <f>averageCompletionTimePorter(Dates!N$12,Dates!N$13,'Day5'!$B20)</f>
        <v>0</v>
      </c>
      <c r="O20" s="6">
        <f>averageCompletionTimePorter(Dates!O$12,Dates!O$13,'Day5'!$B20)</f>
        <v>0</v>
      </c>
      <c r="P20" s="6">
        <f>averageCompletionTimePorter(Dates!P$12,Dates!P$13,'Day5'!$B20)</f>
        <v>0</v>
      </c>
      <c r="Q20" s="6">
        <f>averageCompletionTimePorter(Dates!Q$12,Dates!Q$13,'Day5'!$B20)</f>
        <v>0</v>
      </c>
      <c r="R20" s="6">
        <f>averageCompletionTimePorter(Dates!R$12,Dates!R$13,'Day5'!$B20)</f>
        <v>0</v>
      </c>
      <c r="S20" s="6">
        <f>averageCompletionTimePorter(Dates!S$12,Dates!S$13,'Day5'!$B20)</f>
        <v>0</v>
      </c>
      <c r="T20" s="6">
        <f>averageCompletionTimePorter(Dates!T$12,Dates!T$13,'Day5'!$B20)</f>
        <v>0</v>
      </c>
      <c r="U20" s="6">
        <f>averageCompletionTimePorter(Dates!$C$12,Dates!$T$13,'Day5'!$B20)</f>
        <v>0</v>
      </c>
    </row>
    <row r="21" spans="2:21" x14ac:dyDescent="0.3">
      <c r="B21" s="9" t="s">
        <v>20</v>
      </c>
      <c r="C21" s="6">
        <f>averageCompletionTimePorter(Dates!C$12,Dates!C$13,'Day5'!$B21)</f>
        <v>0</v>
      </c>
      <c r="D21" s="6">
        <f>averageCompletionTimePorter(Dates!D$12,Dates!D$13,'Day5'!$B21)</f>
        <v>0</v>
      </c>
      <c r="E21" s="6">
        <f>averageCompletionTimePorter(Dates!E$12,Dates!E$13,'Day5'!$B21)</f>
        <v>0</v>
      </c>
      <c r="F21" s="6">
        <f>averageCompletionTimePorter(Dates!F$12,Dates!F$13,'Day5'!$B21)</f>
        <v>0</v>
      </c>
      <c r="G21" s="6">
        <f>averageCompletionTimePorter(Dates!G$12,Dates!G$13,'Day5'!$B21)</f>
        <v>0</v>
      </c>
      <c r="H21" s="6">
        <f>averageCompletionTimePorter(Dates!H$12,Dates!H$13,'Day5'!$B21)</f>
        <v>0</v>
      </c>
      <c r="I21" s="6">
        <f>averageCompletionTimePorter(Dates!I$12,Dates!I$13,'Day5'!$B21)</f>
        <v>0</v>
      </c>
      <c r="J21" s="6">
        <f>averageCompletionTimePorter(Dates!J$12,Dates!J$13,'Day5'!$B21)</f>
        <v>0</v>
      </c>
      <c r="K21" s="6">
        <f>averageCompletionTimePorter(Dates!K$12,Dates!K$13,'Day5'!$B21)</f>
        <v>0</v>
      </c>
      <c r="L21" s="6">
        <f>averageCompletionTimePorter(Dates!L$12,Dates!L$13,'Day5'!$B21)</f>
        <v>0</v>
      </c>
      <c r="M21" s="6">
        <f>averageCompletionTimePorter(Dates!M$12,Dates!M$13,'Day5'!$B21)</f>
        <v>0</v>
      </c>
      <c r="N21" s="6">
        <f>averageCompletionTimePorter(Dates!N$12,Dates!N$13,'Day5'!$B21)</f>
        <v>0</v>
      </c>
      <c r="O21" s="6">
        <f>averageCompletionTimePorter(Dates!O$12,Dates!O$13,'Day5'!$B21)</f>
        <v>0</v>
      </c>
      <c r="P21" s="6">
        <f>averageCompletionTimePorter(Dates!P$12,Dates!P$13,'Day5'!$B21)</f>
        <v>0</v>
      </c>
      <c r="Q21" s="6">
        <f>averageCompletionTimePorter(Dates!Q$12,Dates!Q$13,'Day5'!$B21)</f>
        <v>0</v>
      </c>
      <c r="R21" s="6">
        <f>averageCompletionTimePorter(Dates!R$12,Dates!R$13,'Day5'!$B21)</f>
        <v>0</v>
      </c>
      <c r="S21" s="6">
        <f>averageCompletionTimePorter(Dates!S$12,Dates!S$13,'Day5'!$B21)</f>
        <v>0</v>
      </c>
      <c r="T21" s="6">
        <f>averageCompletionTimePorter(Dates!T$12,Dates!T$13,'Day5'!$B21)</f>
        <v>0</v>
      </c>
      <c r="U21" s="6">
        <f>averageCompletionTimePorter(Dates!$C$12,Dates!$T$13,'Day5'!$B21)</f>
        <v>0</v>
      </c>
    </row>
    <row r="22" spans="2:21" x14ac:dyDescent="0.3">
      <c r="B22" s="9" t="s">
        <v>21</v>
      </c>
      <c r="C22" s="6">
        <f>averageCompletionTimePorter(Dates!C$12,Dates!C$13,'Day5'!$B22)</f>
        <v>0</v>
      </c>
      <c r="D22" s="6">
        <f>averageCompletionTimePorter(Dates!D$12,Dates!D$13,'Day5'!$B22)</f>
        <v>0</v>
      </c>
      <c r="E22" s="6">
        <f>averageCompletionTimePorter(Dates!E$12,Dates!E$13,'Day5'!$B22)</f>
        <v>0</v>
      </c>
      <c r="F22" s="6">
        <f>averageCompletionTimePorter(Dates!F$12,Dates!F$13,'Day5'!$B22)</f>
        <v>0</v>
      </c>
      <c r="G22" s="6">
        <f>averageCompletionTimePorter(Dates!G$12,Dates!G$13,'Day5'!$B22)</f>
        <v>0</v>
      </c>
      <c r="H22" s="6">
        <f>averageCompletionTimePorter(Dates!H$12,Dates!H$13,'Day5'!$B22)</f>
        <v>0</v>
      </c>
      <c r="I22" s="6">
        <f>averageCompletionTimePorter(Dates!I$12,Dates!I$13,'Day5'!$B22)</f>
        <v>0</v>
      </c>
      <c r="J22" s="6">
        <f>averageCompletionTimePorter(Dates!J$12,Dates!J$13,'Day5'!$B22)</f>
        <v>0</v>
      </c>
      <c r="K22" s="6">
        <f>averageCompletionTimePorter(Dates!K$12,Dates!K$13,'Day5'!$B22)</f>
        <v>0</v>
      </c>
      <c r="L22" s="6">
        <f>averageCompletionTimePorter(Dates!L$12,Dates!L$13,'Day5'!$B22)</f>
        <v>0</v>
      </c>
      <c r="M22" s="6">
        <f>averageCompletionTimePorter(Dates!M$12,Dates!M$13,'Day5'!$B22)</f>
        <v>0</v>
      </c>
      <c r="N22" s="6">
        <f>averageCompletionTimePorter(Dates!N$12,Dates!N$13,'Day5'!$B22)</f>
        <v>0</v>
      </c>
      <c r="O22" s="6">
        <f>averageCompletionTimePorter(Dates!O$12,Dates!O$13,'Day5'!$B22)</f>
        <v>0</v>
      </c>
      <c r="P22" s="6">
        <f>averageCompletionTimePorter(Dates!P$12,Dates!P$13,'Day5'!$B22)</f>
        <v>0</v>
      </c>
      <c r="Q22" s="6">
        <f>averageCompletionTimePorter(Dates!Q$12,Dates!Q$13,'Day5'!$B22)</f>
        <v>0</v>
      </c>
      <c r="R22" s="6">
        <f>averageCompletionTimePorter(Dates!R$12,Dates!R$13,'Day5'!$B22)</f>
        <v>0</v>
      </c>
      <c r="S22" s="6">
        <f>averageCompletionTimePorter(Dates!S$12,Dates!S$13,'Day5'!$B22)</f>
        <v>0</v>
      </c>
      <c r="T22" s="6">
        <f>averageCompletionTimePorter(Dates!T$12,Dates!T$13,'Day5'!$B22)</f>
        <v>0</v>
      </c>
      <c r="U22" s="6">
        <f>averageCompletionTimePorter(Dates!$C$12,Dates!$T$13,'Day5'!$B22)</f>
        <v>0</v>
      </c>
    </row>
    <row r="23" spans="2:21" x14ac:dyDescent="0.3">
      <c r="B23" s="9" t="s">
        <v>22</v>
      </c>
      <c r="C23" s="6">
        <f>averageCompletionTimePorter(Dates!C$12,Dates!C$13,'Day5'!$B23)</f>
        <v>0</v>
      </c>
      <c r="D23" s="6">
        <f>averageCompletionTimePorter(Dates!D$12,Dates!D$13,'Day5'!$B23)</f>
        <v>0</v>
      </c>
      <c r="E23" s="6">
        <f>averageCompletionTimePorter(Dates!E$12,Dates!E$13,'Day5'!$B23)</f>
        <v>0</v>
      </c>
      <c r="F23" s="6">
        <f>averageCompletionTimePorter(Dates!F$12,Dates!F$13,'Day5'!$B23)</f>
        <v>0</v>
      </c>
      <c r="G23" s="6">
        <f>averageCompletionTimePorter(Dates!G$12,Dates!G$13,'Day5'!$B23)</f>
        <v>0</v>
      </c>
      <c r="H23" s="6">
        <f>averageCompletionTimePorter(Dates!H$12,Dates!H$13,'Day5'!$B23)</f>
        <v>0</v>
      </c>
      <c r="I23" s="6">
        <f>averageCompletionTimePorter(Dates!I$12,Dates!I$13,'Day5'!$B23)</f>
        <v>0</v>
      </c>
      <c r="J23" s="6">
        <f>averageCompletionTimePorter(Dates!J$12,Dates!J$13,'Day5'!$B23)</f>
        <v>0</v>
      </c>
      <c r="K23" s="6">
        <f>averageCompletionTimePorter(Dates!K$12,Dates!K$13,'Day5'!$B23)</f>
        <v>0</v>
      </c>
      <c r="L23" s="6">
        <f>averageCompletionTimePorter(Dates!L$12,Dates!L$13,'Day5'!$B23)</f>
        <v>0</v>
      </c>
      <c r="M23" s="6">
        <f>averageCompletionTimePorter(Dates!M$12,Dates!M$13,'Day5'!$B23)</f>
        <v>0</v>
      </c>
      <c r="N23" s="6">
        <f>averageCompletionTimePorter(Dates!N$12,Dates!N$13,'Day5'!$B23)</f>
        <v>0</v>
      </c>
      <c r="O23" s="6">
        <f>averageCompletionTimePorter(Dates!O$12,Dates!O$13,'Day5'!$B23)</f>
        <v>0</v>
      </c>
      <c r="P23" s="6">
        <f>averageCompletionTimePorter(Dates!P$12,Dates!P$13,'Day5'!$B23)</f>
        <v>0</v>
      </c>
      <c r="Q23" s="6">
        <f>averageCompletionTimePorter(Dates!Q$12,Dates!Q$13,'Day5'!$B23)</f>
        <v>0</v>
      </c>
      <c r="R23" s="6">
        <f>averageCompletionTimePorter(Dates!R$12,Dates!R$13,'Day5'!$B23)</f>
        <v>0</v>
      </c>
      <c r="S23" s="6">
        <f>averageCompletionTimePorter(Dates!S$12,Dates!S$13,'Day5'!$B23)</f>
        <v>0</v>
      </c>
      <c r="T23" s="6">
        <f>averageCompletionTimePorter(Dates!T$12,Dates!T$13,'Day5'!$B23)</f>
        <v>0</v>
      </c>
      <c r="U23" s="6">
        <f>averageCompletionTimePorter(Dates!$C$12,Dates!$T$13,'Day5'!$B23)</f>
        <v>0</v>
      </c>
    </row>
    <row r="25" spans="2:21" x14ac:dyDescent="0.3">
      <c r="B25" s="8" t="s">
        <v>12</v>
      </c>
      <c r="C25" s="6">
        <f>averageResponseTime(Dates!C12,Dates!C13)</f>
        <v>0</v>
      </c>
      <c r="D25" s="6">
        <f>averageResponseTime(Dates!D12,Dates!D13)</f>
        <v>0</v>
      </c>
      <c r="E25" s="6">
        <f>averageResponseTime(Dates!E12,Dates!E13)</f>
        <v>0</v>
      </c>
      <c r="F25" s="6">
        <f>averageResponseTime(Dates!F12,Dates!F13)</f>
        <v>0</v>
      </c>
      <c r="G25" s="6">
        <f>averageResponseTime(Dates!G12,Dates!G13)</f>
        <v>0</v>
      </c>
      <c r="H25" s="6">
        <f>averageResponseTime(Dates!H12,Dates!H13)</f>
        <v>0</v>
      </c>
      <c r="I25" s="6">
        <f>averageResponseTime(Dates!I12,Dates!I13)</f>
        <v>0</v>
      </c>
      <c r="J25" s="6">
        <f>averageResponseTime(Dates!J12,Dates!J13)</f>
        <v>0</v>
      </c>
      <c r="K25" s="6">
        <f>averageResponseTime(Dates!K12,Dates!K13)</f>
        <v>0</v>
      </c>
      <c r="L25" s="6">
        <f>averageResponseTime(Dates!L12,Dates!L13)</f>
        <v>0</v>
      </c>
      <c r="M25" s="6">
        <f>averageResponseTime(Dates!M12,Dates!M13)</f>
        <v>0</v>
      </c>
      <c r="N25" s="6">
        <f>averageResponseTime(Dates!N12,Dates!N13)</f>
        <v>0</v>
      </c>
      <c r="O25" s="6">
        <f>averageResponseTime(Dates!O12,Dates!O13)</f>
        <v>0</v>
      </c>
      <c r="P25" s="6">
        <f>averageResponseTime(Dates!P12,Dates!P13)</f>
        <v>0</v>
      </c>
      <c r="Q25" s="6">
        <f>averageResponseTime(Dates!Q12,Dates!Q13)</f>
        <v>0</v>
      </c>
      <c r="R25" s="6">
        <f>averageResponseTime(Dates!R12,Dates!R13)</f>
        <v>0</v>
      </c>
      <c r="S25" s="6">
        <f>averageResponseTime(Dates!S12,Dates!S13)</f>
        <v>0</v>
      </c>
      <c r="T25" s="6">
        <f>averageResponseTime(Dates!T12,Dates!T13)</f>
        <v>0</v>
      </c>
      <c r="U25" s="6">
        <f>averageResponseTime(Dates!C12,Dates!T13)</f>
        <v>0</v>
      </c>
    </row>
    <row r="26" spans="2:21" x14ac:dyDescent="0.3">
      <c r="B26" s="8">
        <f>B3</f>
        <v>0</v>
      </c>
      <c r="C26" s="6">
        <f>averageResponseTimePorter(Dates!C$12,Dates!C$13,'Day5'!$B26)</f>
        <v>0</v>
      </c>
      <c r="D26" s="6">
        <f>averageResponseTimePorter(Dates!D$12,Dates!D$13,'Day5'!$B26)</f>
        <v>0</v>
      </c>
      <c r="E26" s="6">
        <f>averageResponseTimePorter(Dates!E$12,Dates!E$13,'Day5'!$B26)</f>
        <v>0</v>
      </c>
      <c r="F26" s="6">
        <f>averageResponseTimePorter(Dates!F$12,Dates!F$13,'Day5'!$B26)</f>
        <v>0</v>
      </c>
      <c r="G26" s="6">
        <f>averageResponseTimePorter(Dates!G$12,Dates!G$13,'Day5'!$B26)</f>
        <v>0</v>
      </c>
      <c r="H26" s="6">
        <f>averageResponseTimePorter(Dates!H$12,Dates!H$13,'Day5'!$B26)</f>
        <v>0</v>
      </c>
      <c r="I26" s="6">
        <f>averageResponseTimePorter(Dates!I$12,Dates!I$13,'Day5'!$B26)</f>
        <v>0</v>
      </c>
      <c r="J26" s="6">
        <f>averageResponseTimePorter(Dates!J$12,Dates!J$13,'Day5'!$B26)</f>
        <v>0</v>
      </c>
      <c r="K26" s="6">
        <f>averageResponseTimePorter(Dates!K$12,Dates!K$13,'Day5'!$B26)</f>
        <v>0</v>
      </c>
      <c r="L26" s="6">
        <f>averageResponseTimePorter(Dates!L$12,Dates!L$13,'Day5'!$B26)</f>
        <v>0</v>
      </c>
      <c r="M26" s="6">
        <f>averageResponseTimePorter(Dates!M$12,Dates!M$13,'Day5'!$B26)</f>
        <v>0</v>
      </c>
      <c r="N26" s="6">
        <f>averageResponseTimePorter(Dates!N$12,Dates!N$13,'Day5'!$B26)</f>
        <v>0</v>
      </c>
      <c r="O26" s="6">
        <f>averageResponseTimePorter(Dates!O$12,Dates!O$13,'Day5'!$B26)</f>
        <v>0</v>
      </c>
      <c r="P26" s="6">
        <f>averageResponseTimePorter(Dates!P$12,Dates!P$13,'Day5'!$B26)</f>
        <v>0</v>
      </c>
      <c r="Q26" s="6">
        <f>averageResponseTimePorter(Dates!Q$12,Dates!Q$13,'Day5'!$B26)</f>
        <v>0</v>
      </c>
      <c r="R26" s="6">
        <f>averageResponseTimePorter(Dates!R$12,Dates!R$13,'Day5'!$B26)</f>
        <v>0</v>
      </c>
      <c r="S26" s="6">
        <f>averageResponseTimePorter(Dates!S$12,Dates!S$13,'Day5'!$B26)</f>
        <v>0</v>
      </c>
      <c r="T26" s="6">
        <f>averageResponseTimePorter(Dates!T$12,Dates!T$13,'Day5'!$B26)</f>
        <v>0</v>
      </c>
      <c r="U26" s="6">
        <f>averageResponseTimePorter(Dates!$C$12,Dates!$T$13,'Day5'!$B3)</f>
        <v>0</v>
      </c>
    </row>
    <row r="27" spans="2:21" x14ac:dyDescent="0.3">
      <c r="B27" s="8" t="str">
        <f t="shared" ref="B27:B46" si="0">B4</f>
        <v>NA4</v>
      </c>
      <c r="C27" s="6">
        <f>averageResponseTimePorter(Dates!C$12,Dates!C$13,'Day5'!$B27)</f>
        <v>0</v>
      </c>
      <c r="D27" s="6">
        <f>averageResponseTimePorter(Dates!D$12,Dates!D$13,'Day5'!$B27)</f>
        <v>0</v>
      </c>
      <c r="E27" s="6">
        <f>averageResponseTimePorter(Dates!E$12,Dates!E$13,'Day5'!$B27)</f>
        <v>0</v>
      </c>
      <c r="F27" s="6">
        <f>averageResponseTimePorter(Dates!F$12,Dates!F$13,'Day5'!$B27)</f>
        <v>0</v>
      </c>
      <c r="G27" s="6">
        <f>averageResponseTimePorter(Dates!G$12,Dates!G$13,'Day5'!$B27)</f>
        <v>0</v>
      </c>
      <c r="H27" s="6">
        <f>averageResponseTimePorter(Dates!H$12,Dates!H$13,'Day5'!$B27)</f>
        <v>0</v>
      </c>
      <c r="I27" s="6">
        <f>averageResponseTimePorter(Dates!I$12,Dates!I$13,'Day5'!$B27)</f>
        <v>0</v>
      </c>
      <c r="J27" s="6">
        <f>averageResponseTimePorter(Dates!J$12,Dates!J$13,'Day5'!$B27)</f>
        <v>0</v>
      </c>
      <c r="K27" s="6">
        <f>averageResponseTimePorter(Dates!K$12,Dates!K$13,'Day5'!$B27)</f>
        <v>0</v>
      </c>
      <c r="L27" s="6">
        <f>averageResponseTimePorter(Dates!L$12,Dates!L$13,'Day5'!$B27)</f>
        <v>0</v>
      </c>
      <c r="M27" s="6">
        <f>averageResponseTimePorter(Dates!M$12,Dates!M$13,'Day5'!$B27)</f>
        <v>0</v>
      </c>
      <c r="N27" s="6">
        <f>averageResponseTimePorter(Dates!N$12,Dates!N$13,'Day5'!$B27)</f>
        <v>0</v>
      </c>
      <c r="O27" s="6">
        <f>averageResponseTimePorter(Dates!O$12,Dates!O$13,'Day5'!$B27)</f>
        <v>0</v>
      </c>
      <c r="P27" s="6">
        <f>averageResponseTimePorter(Dates!P$12,Dates!P$13,'Day5'!$B27)</f>
        <v>0</v>
      </c>
      <c r="Q27" s="6">
        <f>averageResponseTimePorter(Dates!Q$12,Dates!Q$13,'Day5'!$B27)</f>
        <v>0</v>
      </c>
      <c r="R27" s="6">
        <f>averageResponseTimePorter(Dates!R$12,Dates!R$13,'Day5'!$B27)</f>
        <v>0</v>
      </c>
      <c r="S27" s="6">
        <f>averageResponseTimePorter(Dates!S$12,Dates!S$13,'Day5'!$B27)</f>
        <v>0</v>
      </c>
      <c r="T27" s="6">
        <f>averageResponseTimePorter(Dates!T$12,Dates!T$13,'Day5'!$B27)</f>
        <v>0</v>
      </c>
      <c r="U27" s="6">
        <f>averageResponseTimePorter(Dates!$C$12,Dates!$T$13,'Day5'!$B4)</f>
        <v>0</v>
      </c>
    </row>
    <row r="28" spans="2:21" x14ac:dyDescent="0.3">
      <c r="B28" s="8" t="str">
        <f t="shared" si="0"/>
        <v>NA5</v>
      </c>
      <c r="C28" s="6">
        <f>averageResponseTimePorter(Dates!C$12,Dates!C$13,'Day5'!$B28)</f>
        <v>0</v>
      </c>
      <c r="D28" s="6">
        <f>averageResponseTimePorter(Dates!D$12,Dates!D$13,'Day5'!$B28)</f>
        <v>0</v>
      </c>
      <c r="E28" s="6">
        <f>averageResponseTimePorter(Dates!E$12,Dates!E$13,'Day5'!$B28)</f>
        <v>0</v>
      </c>
      <c r="F28" s="6">
        <f>averageResponseTimePorter(Dates!F$12,Dates!F$13,'Day5'!$B28)</f>
        <v>0</v>
      </c>
      <c r="G28" s="6">
        <f>averageResponseTimePorter(Dates!G$12,Dates!G$13,'Day5'!$B28)</f>
        <v>0</v>
      </c>
      <c r="H28" s="6">
        <f>averageResponseTimePorter(Dates!H$12,Dates!H$13,'Day5'!$B28)</f>
        <v>0</v>
      </c>
      <c r="I28" s="6">
        <f>averageResponseTimePorter(Dates!I$12,Dates!I$13,'Day5'!$B28)</f>
        <v>0</v>
      </c>
      <c r="J28" s="6">
        <f>averageResponseTimePorter(Dates!J$12,Dates!J$13,'Day5'!$B28)</f>
        <v>0</v>
      </c>
      <c r="K28" s="6">
        <f>averageResponseTimePorter(Dates!K$12,Dates!K$13,'Day5'!$B28)</f>
        <v>0</v>
      </c>
      <c r="L28" s="6">
        <f>averageResponseTimePorter(Dates!L$12,Dates!L$13,'Day5'!$B28)</f>
        <v>0</v>
      </c>
      <c r="M28" s="6">
        <f>averageResponseTimePorter(Dates!M$12,Dates!M$13,'Day5'!$B28)</f>
        <v>0</v>
      </c>
      <c r="N28" s="6">
        <f>averageResponseTimePorter(Dates!N$12,Dates!N$13,'Day5'!$B28)</f>
        <v>0</v>
      </c>
      <c r="O28" s="6">
        <f>averageResponseTimePorter(Dates!O$12,Dates!O$13,'Day5'!$B28)</f>
        <v>0</v>
      </c>
      <c r="P28" s="6">
        <f>averageResponseTimePorter(Dates!P$12,Dates!P$13,'Day5'!$B28)</f>
        <v>0</v>
      </c>
      <c r="Q28" s="6">
        <f>averageResponseTimePorter(Dates!Q$12,Dates!Q$13,'Day5'!$B28)</f>
        <v>0</v>
      </c>
      <c r="R28" s="6">
        <f>averageResponseTimePorter(Dates!R$12,Dates!R$13,'Day5'!$B28)</f>
        <v>0</v>
      </c>
      <c r="S28" s="6">
        <f>averageResponseTimePorter(Dates!S$12,Dates!S$13,'Day5'!$B28)</f>
        <v>0</v>
      </c>
      <c r="T28" s="6">
        <f>averageResponseTimePorter(Dates!T$12,Dates!T$13,'Day5'!$B28)</f>
        <v>0</v>
      </c>
      <c r="U28" s="6">
        <f>averageResponseTimePorter(Dates!$C$12,Dates!$T$13,'Day5'!$B5)</f>
        <v>0</v>
      </c>
    </row>
    <row r="29" spans="2:21" x14ac:dyDescent="0.3">
      <c r="B29" s="8" t="str">
        <f t="shared" si="0"/>
        <v>NA6</v>
      </c>
      <c r="C29" s="6">
        <f>averageResponseTimePorter(Dates!C$12,Dates!C$13,'Day5'!$B29)</f>
        <v>0</v>
      </c>
      <c r="D29" s="6">
        <f>averageResponseTimePorter(Dates!D$12,Dates!D$13,'Day5'!$B29)</f>
        <v>0</v>
      </c>
      <c r="E29" s="6">
        <f>averageResponseTimePorter(Dates!E$12,Dates!E$13,'Day5'!$B29)</f>
        <v>0</v>
      </c>
      <c r="F29" s="6">
        <f>averageResponseTimePorter(Dates!F$12,Dates!F$13,'Day5'!$B29)</f>
        <v>0</v>
      </c>
      <c r="G29" s="6">
        <f>averageResponseTimePorter(Dates!G$12,Dates!G$13,'Day5'!$B29)</f>
        <v>0</v>
      </c>
      <c r="H29" s="6">
        <f>averageResponseTimePorter(Dates!H$12,Dates!H$13,'Day5'!$B29)</f>
        <v>0</v>
      </c>
      <c r="I29" s="6">
        <f>averageResponseTimePorter(Dates!I$12,Dates!I$13,'Day5'!$B29)</f>
        <v>0</v>
      </c>
      <c r="J29" s="6">
        <f>averageResponseTimePorter(Dates!J$12,Dates!J$13,'Day5'!$B29)</f>
        <v>0</v>
      </c>
      <c r="K29" s="6">
        <f>averageResponseTimePorter(Dates!K$12,Dates!K$13,'Day5'!$B29)</f>
        <v>0</v>
      </c>
      <c r="L29" s="6">
        <f>averageResponseTimePorter(Dates!L$12,Dates!L$13,'Day5'!$B29)</f>
        <v>0</v>
      </c>
      <c r="M29" s="6">
        <f>averageResponseTimePorter(Dates!M$12,Dates!M$13,'Day5'!$B29)</f>
        <v>0</v>
      </c>
      <c r="N29" s="6">
        <f>averageResponseTimePorter(Dates!N$12,Dates!N$13,'Day5'!$B29)</f>
        <v>0</v>
      </c>
      <c r="O29" s="6">
        <f>averageResponseTimePorter(Dates!O$12,Dates!O$13,'Day5'!$B29)</f>
        <v>0</v>
      </c>
      <c r="P29" s="6">
        <f>averageResponseTimePorter(Dates!P$12,Dates!P$13,'Day5'!$B29)</f>
        <v>0</v>
      </c>
      <c r="Q29" s="6">
        <f>averageResponseTimePorter(Dates!Q$12,Dates!Q$13,'Day5'!$B29)</f>
        <v>0</v>
      </c>
      <c r="R29" s="6">
        <f>averageResponseTimePorter(Dates!R$12,Dates!R$13,'Day5'!$B29)</f>
        <v>0</v>
      </c>
      <c r="S29" s="6">
        <f>averageResponseTimePorter(Dates!S$12,Dates!S$13,'Day5'!$B29)</f>
        <v>0</v>
      </c>
      <c r="T29" s="6">
        <f>averageResponseTimePorter(Dates!T$12,Dates!T$13,'Day5'!$B29)</f>
        <v>0</v>
      </c>
      <c r="U29" s="6">
        <f>averageResponseTimePorter(Dates!$C$12,Dates!$T$13,'Day5'!$B6)</f>
        <v>0</v>
      </c>
    </row>
    <row r="30" spans="2:21" x14ac:dyDescent="0.3">
      <c r="B30" s="8" t="str">
        <f t="shared" si="0"/>
        <v>NA7</v>
      </c>
      <c r="C30" s="6">
        <f>averageResponseTimePorter(Dates!C$12,Dates!C$13,'Day5'!$B30)</f>
        <v>0</v>
      </c>
      <c r="D30" s="6">
        <f>averageResponseTimePorter(Dates!D$12,Dates!D$13,'Day5'!$B30)</f>
        <v>0</v>
      </c>
      <c r="E30" s="6">
        <f>averageResponseTimePorter(Dates!E$12,Dates!E$13,'Day5'!$B30)</f>
        <v>0</v>
      </c>
      <c r="F30" s="6">
        <f>averageResponseTimePorter(Dates!F$12,Dates!F$13,'Day5'!$B30)</f>
        <v>0</v>
      </c>
      <c r="G30" s="6">
        <f>averageResponseTimePorter(Dates!G$12,Dates!G$13,'Day5'!$B30)</f>
        <v>0</v>
      </c>
      <c r="H30" s="6">
        <f>averageResponseTimePorter(Dates!H$12,Dates!H$13,'Day5'!$B30)</f>
        <v>0</v>
      </c>
      <c r="I30" s="6">
        <f>averageResponseTimePorter(Dates!I$12,Dates!I$13,'Day5'!$B30)</f>
        <v>0</v>
      </c>
      <c r="J30" s="6">
        <f>averageResponseTimePorter(Dates!J$12,Dates!J$13,'Day5'!$B30)</f>
        <v>0</v>
      </c>
      <c r="K30" s="6">
        <f>averageResponseTimePorter(Dates!K$12,Dates!K$13,'Day5'!$B30)</f>
        <v>0</v>
      </c>
      <c r="L30" s="6">
        <f>averageResponseTimePorter(Dates!L$12,Dates!L$13,'Day5'!$B30)</f>
        <v>0</v>
      </c>
      <c r="M30" s="6">
        <f>averageResponseTimePorter(Dates!M$12,Dates!M$13,'Day5'!$B30)</f>
        <v>0</v>
      </c>
      <c r="N30" s="6">
        <f>averageResponseTimePorter(Dates!N$12,Dates!N$13,'Day5'!$B30)</f>
        <v>0</v>
      </c>
      <c r="O30" s="6">
        <f>averageResponseTimePorter(Dates!O$12,Dates!O$13,'Day5'!$B30)</f>
        <v>0</v>
      </c>
      <c r="P30" s="6">
        <f>averageResponseTimePorter(Dates!P$12,Dates!P$13,'Day5'!$B30)</f>
        <v>0</v>
      </c>
      <c r="Q30" s="6">
        <f>averageResponseTimePorter(Dates!Q$12,Dates!Q$13,'Day5'!$B30)</f>
        <v>0</v>
      </c>
      <c r="R30" s="6">
        <f>averageResponseTimePorter(Dates!R$12,Dates!R$13,'Day5'!$B30)</f>
        <v>0</v>
      </c>
      <c r="S30" s="6">
        <f>averageResponseTimePorter(Dates!S$12,Dates!S$13,'Day5'!$B30)</f>
        <v>0</v>
      </c>
      <c r="T30" s="6">
        <f>averageResponseTimePorter(Dates!T$12,Dates!T$13,'Day5'!$B30)</f>
        <v>0</v>
      </c>
      <c r="U30" s="6">
        <f>averageResponseTimePorter(Dates!$C$12,Dates!$T$13,'Day5'!$B7)</f>
        <v>0</v>
      </c>
    </row>
    <row r="31" spans="2:21" x14ac:dyDescent="0.3">
      <c r="B31" s="8" t="str">
        <f t="shared" si="0"/>
        <v>NA8</v>
      </c>
      <c r="C31" s="6">
        <f>averageResponseTimePorter(Dates!C$12,Dates!C$13,'Day5'!$B31)</f>
        <v>0</v>
      </c>
      <c r="D31" s="6">
        <f>averageResponseTimePorter(Dates!D$12,Dates!D$13,'Day5'!$B31)</f>
        <v>0</v>
      </c>
      <c r="E31" s="6">
        <f>averageResponseTimePorter(Dates!E$12,Dates!E$13,'Day5'!$B31)</f>
        <v>0</v>
      </c>
      <c r="F31" s="6">
        <f>averageResponseTimePorter(Dates!F$12,Dates!F$13,'Day5'!$B31)</f>
        <v>0</v>
      </c>
      <c r="G31" s="6">
        <f>averageResponseTimePorter(Dates!G$12,Dates!G$13,'Day5'!$B31)</f>
        <v>0</v>
      </c>
      <c r="H31" s="6">
        <f>averageResponseTimePorter(Dates!H$12,Dates!H$13,'Day5'!$B31)</f>
        <v>0</v>
      </c>
      <c r="I31" s="6">
        <f>averageResponseTimePorter(Dates!I$12,Dates!I$13,'Day5'!$B31)</f>
        <v>0</v>
      </c>
      <c r="J31" s="6">
        <f>averageResponseTimePorter(Dates!J$12,Dates!J$13,'Day5'!$B31)</f>
        <v>0</v>
      </c>
      <c r="K31" s="6">
        <f>averageResponseTimePorter(Dates!K$12,Dates!K$13,'Day5'!$B31)</f>
        <v>0</v>
      </c>
      <c r="L31" s="6">
        <f>averageResponseTimePorter(Dates!L$12,Dates!L$13,'Day5'!$B31)</f>
        <v>0</v>
      </c>
      <c r="M31" s="6">
        <f>averageResponseTimePorter(Dates!M$12,Dates!M$13,'Day5'!$B31)</f>
        <v>0</v>
      </c>
      <c r="N31" s="6">
        <f>averageResponseTimePorter(Dates!N$12,Dates!N$13,'Day5'!$B31)</f>
        <v>0</v>
      </c>
      <c r="O31" s="6">
        <f>averageResponseTimePorter(Dates!O$12,Dates!O$13,'Day5'!$B31)</f>
        <v>0</v>
      </c>
      <c r="P31" s="6">
        <f>averageResponseTimePorter(Dates!P$12,Dates!P$13,'Day5'!$B31)</f>
        <v>0</v>
      </c>
      <c r="Q31" s="6">
        <f>averageResponseTimePorter(Dates!Q$12,Dates!Q$13,'Day5'!$B31)</f>
        <v>0</v>
      </c>
      <c r="R31" s="6">
        <f>averageResponseTimePorter(Dates!R$12,Dates!R$13,'Day5'!$B31)</f>
        <v>0</v>
      </c>
      <c r="S31" s="6">
        <f>averageResponseTimePorter(Dates!S$12,Dates!S$13,'Day5'!$B31)</f>
        <v>0</v>
      </c>
      <c r="T31" s="6">
        <f>averageResponseTimePorter(Dates!T$12,Dates!T$13,'Day5'!$B31)</f>
        <v>0</v>
      </c>
      <c r="U31" s="6">
        <f>averageResponseTimePorter(Dates!$C$12,Dates!$T$13,'Day5'!$B8)</f>
        <v>0</v>
      </c>
    </row>
    <row r="32" spans="2:21" x14ac:dyDescent="0.3">
      <c r="B32" s="8" t="str">
        <f t="shared" si="0"/>
        <v>NA9</v>
      </c>
      <c r="C32" s="6">
        <f>averageResponseTimePorter(Dates!C$12,Dates!C$13,'Day5'!$B32)</f>
        <v>0</v>
      </c>
      <c r="D32" s="6">
        <f>averageResponseTimePorter(Dates!D$12,Dates!D$13,'Day5'!$B32)</f>
        <v>0</v>
      </c>
      <c r="E32" s="6">
        <f>averageResponseTimePorter(Dates!E$12,Dates!E$13,'Day5'!$B32)</f>
        <v>0</v>
      </c>
      <c r="F32" s="6">
        <f>averageResponseTimePorter(Dates!F$12,Dates!F$13,'Day5'!$B32)</f>
        <v>0</v>
      </c>
      <c r="G32" s="6">
        <f>averageResponseTimePorter(Dates!G$12,Dates!G$13,'Day5'!$B32)</f>
        <v>0</v>
      </c>
      <c r="H32" s="6">
        <f>averageResponseTimePorter(Dates!H$12,Dates!H$13,'Day5'!$B32)</f>
        <v>0</v>
      </c>
      <c r="I32" s="6">
        <f>averageResponseTimePorter(Dates!I$12,Dates!I$13,'Day5'!$B32)</f>
        <v>0</v>
      </c>
      <c r="J32" s="6">
        <f>averageResponseTimePorter(Dates!J$12,Dates!J$13,'Day5'!$B32)</f>
        <v>0</v>
      </c>
      <c r="K32" s="6">
        <f>averageResponseTimePorter(Dates!K$12,Dates!K$13,'Day5'!$B32)</f>
        <v>0</v>
      </c>
      <c r="L32" s="6">
        <f>averageResponseTimePorter(Dates!L$12,Dates!L$13,'Day5'!$B32)</f>
        <v>0</v>
      </c>
      <c r="M32" s="6">
        <f>averageResponseTimePorter(Dates!M$12,Dates!M$13,'Day5'!$B32)</f>
        <v>0</v>
      </c>
      <c r="N32" s="6">
        <f>averageResponseTimePorter(Dates!N$12,Dates!N$13,'Day5'!$B32)</f>
        <v>0</v>
      </c>
      <c r="O32" s="6">
        <f>averageResponseTimePorter(Dates!O$12,Dates!O$13,'Day5'!$B32)</f>
        <v>0</v>
      </c>
      <c r="P32" s="6">
        <f>averageResponseTimePorter(Dates!P$12,Dates!P$13,'Day5'!$B32)</f>
        <v>0</v>
      </c>
      <c r="Q32" s="6">
        <f>averageResponseTimePorter(Dates!Q$12,Dates!Q$13,'Day5'!$B32)</f>
        <v>0</v>
      </c>
      <c r="R32" s="6">
        <f>averageResponseTimePorter(Dates!R$12,Dates!R$13,'Day5'!$B32)</f>
        <v>0</v>
      </c>
      <c r="S32" s="6">
        <f>averageResponseTimePorter(Dates!S$12,Dates!S$13,'Day5'!$B32)</f>
        <v>0</v>
      </c>
      <c r="T32" s="6">
        <f>averageResponseTimePorter(Dates!T$12,Dates!T$13,'Day5'!$B32)</f>
        <v>0</v>
      </c>
      <c r="U32" s="6">
        <f>averageResponseTimePorter(Dates!$C$12,Dates!$T$13,'Day5'!$B9)</f>
        <v>0</v>
      </c>
    </row>
    <row r="33" spans="2:21" x14ac:dyDescent="0.3">
      <c r="B33" s="8" t="str">
        <f t="shared" si="0"/>
        <v>NA10</v>
      </c>
      <c r="C33" s="6">
        <f>averageResponseTimePorter(Dates!C$12,Dates!C$13,'Day5'!$B33)</f>
        <v>0</v>
      </c>
      <c r="D33" s="6">
        <f>averageResponseTimePorter(Dates!D$12,Dates!D$13,'Day5'!$B33)</f>
        <v>0</v>
      </c>
      <c r="E33" s="6">
        <f>averageResponseTimePorter(Dates!E$12,Dates!E$13,'Day5'!$B33)</f>
        <v>0</v>
      </c>
      <c r="F33" s="6">
        <f>averageResponseTimePorter(Dates!F$12,Dates!F$13,'Day5'!$B33)</f>
        <v>0</v>
      </c>
      <c r="G33" s="6">
        <f>averageResponseTimePorter(Dates!G$12,Dates!G$13,'Day5'!$B33)</f>
        <v>0</v>
      </c>
      <c r="H33" s="6">
        <f>averageResponseTimePorter(Dates!H$12,Dates!H$13,'Day5'!$B33)</f>
        <v>0</v>
      </c>
      <c r="I33" s="6">
        <f>averageResponseTimePorter(Dates!I$12,Dates!I$13,'Day5'!$B33)</f>
        <v>0</v>
      </c>
      <c r="J33" s="6">
        <f>averageResponseTimePorter(Dates!J$12,Dates!J$13,'Day5'!$B33)</f>
        <v>0</v>
      </c>
      <c r="K33" s="6">
        <f>averageResponseTimePorter(Dates!K$12,Dates!K$13,'Day5'!$B33)</f>
        <v>0</v>
      </c>
      <c r="L33" s="6">
        <f>averageResponseTimePorter(Dates!L$12,Dates!L$13,'Day5'!$B33)</f>
        <v>0</v>
      </c>
      <c r="M33" s="6">
        <f>averageResponseTimePorter(Dates!M$12,Dates!M$13,'Day5'!$B33)</f>
        <v>0</v>
      </c>
      <c r="N33" s="6">
        <f>averageResponseTimePorter(Dates!N$12,Dates!N$13,'Day5'!$B33)</f>
        <v>0</v>
      </c>
      <c r="O33" s="6">
        <f>averageResponseTimePorter(Dates!O$12,Dates!O$13,'Day5'!$B33)</f>
        <v>0</v>
      </c>
      <c r="P33" s="6">
        <f>averageResponseTimePorter(Dates!P$12,Dates!P$13,'Day5'!$B33)</f>
        <v>0</v>
      </c>
      <c r="Q33" s="6">
        <f>averageResponseTimePorter(Dates!Q$12,Dates!Q$13,'Day5'!$B33)</f>
        <v>0</v>
      </c>
      <c r="R33" s="6">
        <f>averageResponseTimePorter(Dates!R$12,Dates!R$13,'Day5'!$B33)</f>
        <v>0</v>
      </c>
      <c r="S33" s="6">
        <f>averageResponseTimePorter(Dates!S$12,Dates!S$13,'Day5'!$B33)</f>
        <v>0</v>
      </c>
      <c r="T33" s="6">
        <f>averageResponseTimePorter(Dates!T$12,Dates!T$13,'Day5'!$B33)</f>
        <v>0</v>
      </c>
      <c r="U33" s="6">
        <f>averageResponseTimePorter(Dates!$C$12,Dates!$T$13,'Day5'!$B10)</f>
        <v>0</v>
      </c>
    </row>
    <row r="34" spans="2:21" x14ac:dyDescent="0.3">
      <c r="B34" s="8" t="str">
        <f t="shared" si="0"/>
        <v>NA11</v>
      </c>
      <c r="C34" s="6">
        <f>averageResponseTimePorter(Dates!C$12,Dates!C$13,'Day5'!$B34)</f>
        <v>0</v>
      </c>
      <c r="D34" s="6">
        <f>averageResponseTimePorter(Dates!D$12,Dates!D$13,'Day5'!$B34)</f>
        <v>0</v>
      </c>
      <c r="E34" s="6">
        <f>averageResponseTimePorter(Dates!E$12,Dates!E$13,'Day5'!$B34)</f>
        <v>0</v>
      </c>
      <c r="F34" s="6">
        <f>averageResponseTimePorter(Dates!F$12,Dates!F$13,'Day5'!$B34)</f>
        <v>0</v>
      </c>
      <c r="G34" s="6">
        <f>averageResponseTimePorter(Dates!G$12,Dates!G$13,'Day5'!$B34)</f>
        <v>0</v>
      </c>
      <c r="H34" s="6">
        <f>averageResponseTimePorter(Dates!H$12,Dates!H$13,'Day5'!$B34)</f>
        <v>0</v>
      </c>
      <c r="I34" s="6">
        <f>averageResponseTimePorter(Dates!I$12,Dates!I$13,'Day5'!$B34)</f>
        <v>0</v>
      </c>
      <c r="J34" s="6">
        <f>averageResponseTimePorter(Dates!J$12,Dates!J$13,'Day5'!$B34)</f>
        <v>0</v>
      </c>
      <c r="K34" s="6">
        <f>averageResponseTimePorter(Dates!K$12,Dates!K$13,'Day5'!$B34)</f>
        <v>0</v>
      </c>
      <c r="L34" s="6">
        <f>averageResponseTimePorter(Dates!L$12,Dates!L$13,'Day5'!$B34)</f>
        <v>0</v>
      </c>
      <c r="M34" s="6">
        <f>averageResponseTimePorter(Dates!M$12,Dates!M$13,'Day5'!$B34)</f>
        <v>0</v>
      </c>
      <c r="N34" s="6">
        <f>averageResponseTimePorter(Dates!N$12,Dates!N$13,'Day5'!$B34)</f>
        <v>0</v>
      </c>
      <c r="O34" s="6">
        <f>averageResponseTimePorter(Dates!O$12,Dates!O$13,'Day5'!$B34)</f>
        <v>0</v>
      </c>
      <c r="P34" s="6">
        <f>averageResponseTimePorter(Dates!P$12,Dates!P$13,'Day5'!$B34)</f>
        <v>0</v>
      </c>
      <c r="Q34" s="6">
        <f>averageResponseTimePorter(Dates!Q$12,Dates!Q$13,'Day5'!$B34)</f>
        <v>0</v>
      </c>
      <c r="R34" s="6">
        <f>averageResponseTimePorter(Dates!R$12,Dates!R$13,'Day5'!$B34)</f>
        <v>0</v>
      </c>
      <c r="S34" s="6">
        <f>averageResponseTimePorter(Dates!S$12,Dates!S$13,'Day5'!$B34)</f>
        <v>0</v>
      </c>
      <c r="T34" s="6">
        <f>averageResponseTimePorter(Dates!T$12,Dates!T$13,'Day5'!$B34)</f>
        <v>0</v>
      </c>
      <c r="U34" s="6">
        <f>averageResponseTimePorter(Dates!$C$12,Dates!$T$13,'Day5'!$B11)</f>
        <v>0</v>
      </c>
    </row>
    <row r="35" spans="2:21" x14ac:dyDescent="0.3">
      <c r="B35" s="8" t="str">
        <f t="shared" si="0"/>
        <v>NA12</v>
      </c>
      <c r="C35" s="6">
        <f>averageResponseTimePorter(Dates!C$12,Dates!C$13,'Day5'!$B35)</f>
        <v>0</v>
      </c>
      <c r="D35" s="6">
        <f>averageResponseTimePorter(Dates!D$12,Dates!D$13,'Day5'!$B35)</f>
        <v>0</v>
      </c>
      <c r="E35" s="6">
        <f>averageResponseTimePorter(Dates!E$12,Dates!E$13,'Day5'!$B35)</f>
        <v>0</v>
      </c>
      <c r="F35" s="6">
        <f>averageResponseTimePorter(Dates!F$12,Dates!F$13,'Day5'!$B35)</f>
        <v>0</v>
      </c>
      <c r="G35" s="6">
        <f>averageResponseTimePorter(Dates!G$12,Dates!G$13,'Day5'!$B35)</f>
        <v>0</v>
      </c>
      <c r="H35" s="6">
        <f>averageResponseTimePorter(Dates!H$12,Dates!H$13,'Day5'!$B35)</f>
        <v>0</v>
      </c>
      <c r="I35" s="6">
        <f>averageResponseTimePorter(Dates!I$12,Dates!I$13,'Day5'!$B35)</f>
        <v>0</v>
      </c>
      <c r="J35" s="6">
        <f>averageResponseTimePorter(Dates!J$12,Dates!J$13,'Day5'!$B35)</f>
        <v>0</v>
      </c>
      <c r="K35" s="6">
        <f>averageResponseTimePorter(Dates!K$12,Dates!K$13,'Day5'!$B35)</f>
        <v>0</v>
      </c>
      <c r="L35" s="6">
        <f>averageResponseTimePorter(Dates!L$12,Dates!L$13,'Day5'!$B35)</f>
        <v>0</v>
      </c>
      <c r="M35" s="6">
        <f>averageResponseTimePorter(Dates!M$12,Dates!M$13,'Day5'!$B35)</f>
        <v>0</v>
      </c>
      <c r="N35" s="6">
        <f>averageResponseTimePorter(Dates!N$12,Dates!N$13,'Day5'!$B35)</f>
        <v>0</v>
      </c>
      <c r="O35" s="6">
        <f>averageResponseTimePorter(Dates!O$12,Dates!O$13,'Day5'!$B35)</f>
        <v>0</v>
      </c>
      <c r="P35" s="6">
        <f>averageResponseTimePorter(Dates!P$12,Dates!P$13,'Day5'!$B35)</f>
        <v>0</v>
      </c>
      <c r="Q35" s="6">
        <f>averageResponseTimePorter(Dates!Q$12,Dates!Q$13,'Day5'!$B35)</f>
        <v>0</v>
      </c>
      <c r="R35" s="6">
        <f>averageResponseTimePorter(Dates!R$12,Dates!R$13,'Day5'!$B35)</f>
        <v>0</v>
      </c>
      <c r="S35" s="6">
        <f>averageResponseTimePorter(Dates!S$12,Dates!S$13,'Day5'!$B35)</f>
        <v>0</v>
      </c>
      <c r="T35" s="6">
        <f>averageResponseTimePorter(Dates!T$12,Dates!T$13,'Day5'!$B35)</f>
        <v>0</v>
      </c>
      <c r="U35" s="6">
        <f>averageResponseTimePorter(Dates!$C$12,Dates!$T$13,'Day5'!$B12)</f>
        <v>0</v>
      </c>
    </row>
    <row r="36" spans="2:21" x14ac:dyDescent="0.3">
      <c r="B36" s="8" t="str">
        <f t="shared" si="0"/>
        <v>NA13</v>
      </c>
      <c r="C36" s="6">
        <f>averageResponseTimePorter(Dates!C$12,Dates!C$13,'Day5'!$B36)</f>
        <v>0</v>
      </c>
      <c r="D36" s="6">
        <f>averageResponseTimePorter(Dates!D$12,Dates!D$13,'Day5'!$B36)</f>
        <v>0</v>
      </c>
      <c r="E36" s="6">
        <f>averageResponseTimePorter(Dates!E$12,Dates!E$13,'Day5'!$B36)</f>
        <v>0</v>
      </c>
      <c r="F36" s="6">
        <f>averageResponseTimePorter(Dates!F$12,Dates!F$13,'Day5'!$B36)</f>
        <v>0</v>
      </c>
      <c r="G36" s="6">
        <f>averageResponseTimePorter(Dates!G$12,Dates!G$13,'Day5'!$B36)</f>
        <v>0</v>
      </c>
      <c r="H36" s="6">
        <f>averageResponseTimePorter(Dates!H$12,Dates!H$13,'Day5'!$B36)</f>
        <v>0</v>
      </c>
      <c r="I36" s="6">
        <f>averageResponseTimePorter(Dates!I$12,Dates!I$13,'Day5'!$B36)</f>
        <v>0</v>
      </c>
      <c r="J36" s="6">
        <f>averageResponseTimePorter(Dates!J$12,Dates!J$13,'Day5'!$B36)</f>
        <v>0</v>
      </c>
      <c r="K36" s="6">
        <f>averageResponseTimePorter(Dates!K$12,Dates!K$13,'Day5'!$B36)</f>
        <v>0</v>
      </c>
      <c r="L36" s="6">
        <f>averageResponseTimePorter(Dates!L$12,Dates!L$13,'Day5'!$B36)</f>
        <v>0</v>
      </c>
      <c r="M36" s="6">
        <f>averageResponseTimePorter(Dates!M$12,Dates!M$13,'Day5'!$B36)</f>
        <v>0</v>
      </c>
      <c r="N36" s="6">
        <f>averageResponseTimePorter(Dates!N$12,Dates!N$13,'Day5'!$B36)</f>
        <v>0</v>
      </c>
      <c r="O36" s="6">
        <f>averageResponseTimePorter(Dates!O$12,Dates!O$13,'Day5'!$B36)</f>
        <v>0</v>
      </c>
      <c r="P36" s="6">
        <f>averageResponseTimePorter(Dates!P$12,Dates!P$13,'Day5'!$B36)</f>
        <v>0</v>
      </c>
      <c r="Q36" s="6">
        <f>averageResponseTimePorter(Dates!Q$12,Dates!Q$13,'Day5'!$B36)</f>
        <v>0</v>
      </c>
      <c r="R36" s="6">
        <f>averageResponseTimePorter(Dates!R$12,Dates!R$13,'Day5'!$B36)</f>
        <v>0</v>
      </c>
      <c r="S36" s="6">
        <f>averageResponseTimePorter(Dates!S$12,Dates!S$13,'Day5'!$B36)</f>
        <v>0</v>
      </c>
      <c r="T36" s="6">
        <f>averageResponseTimePorter(Dates!T$12,Dates!T$13,'Day5'!$B36)</f>
        <v>0</v>
      </c>
      <c r="U36" s="6">
        <f>averageResponseTimePorter(Dates!$C$12,Dates!$T$13,'Day5'!$B13)</f>
        <v>0</v>
      </c>
    </row>
    <row r="37" spans="2:21" x14ac:dyDescent="0.3">
      <c r="B37" s="8" t="str">
        <f t="shared" si="0"/>
        <v>NA14</v>
      </c>
      <c r="C37" s="6">
        <f>averageResponseTimePorter(Dates!C$12,Dates!C$13,'Day5'!$B37)</f>
        <v>0</v>
      </c>
      <c r="D37" s="6">
        <f>averageResponseTimePorter(Dates!D$12,Dates!D$13,'Day5'!$B37)</f>
        <v>0</v>
      </c>
      <c r="E37" s="6">
        <f>averageResponseTimePorter(Dates!E$12,Dates!E$13,'Day5'!$B37)</f>
        <v>0</v>
      </c>
      <c r="F37" s="6">
        <f>averageResponseTimePorter(Dates!F$12,Dates!F$13,'Day5'!$B37)</f>
        <v>0</v>
      </c>
      <c r="G37" s="6">
        <f>averageResponseTimePorter(Dates!G$12,Dates!G$13,'Day5'!$B37)</f>
        <v>0</v>
      </c>
      <c r="H37" s="6">
        <f>averageResponseTimePorter(Dates!H$12,Dates!H$13,'Day5'!$B37)</f>
        <v>0</v>
      </c>
      <c r="I37" s="6">
        <f>averageResponseTimePorter(Dates!I$12,Dates!I$13,'Day5'!$B37)</f>
        <v>0</v>
      </c>
      <c r="J37" s="6">
        <f>averageResponseTimePorter(Dates!J$12,Dates!J$13,'Day5'!$B37)</f>
        <v>0</v>
      </c>
      <c r="K37" s="6">
        <f>averageResponseTimePorter(Dates!K$12,Dates!K$13,'Day5'!$B37)</f>
        <v>0</v>
      </c>
      <c r="L37" s="6">
        <f>averageResponseTimePorter(Dates!L$12,Dates!L$13,'Day5'!$B37)</f>
        <v>0</v>
      </c>
      <c r="M37" s="6">
        <f>averageResponseTimePorter(Dates!M$12,Dates!M$13,'Day5'!$B37)</f>
        <v>0</v>
      </c>
      <c r="N37" s="6">
        <f>averageResponseTimePorter(Dates!N$12,Dates!N$13,'Day5'!$B37)</f>
        <v>0</v>
      </c>
      <c r="O37" s="6">
        <f>averageResponseTimePorter(Dates!O$12,Dates!O$13,'Day5'!$B37)</f>
        <v>0</v>
      </c>
      <c r="P37" s="6">
        <f>averageResponseTimePorter(Dates!P$12,Dates!P$13,'Day5'!$B37)</f>
        <v>0</v>
      </c>
      <c r="Q37" s="6">
        <f>averageResponseTimePorter(Dates!Q$12,Dates!Q$13,'Day5'!$B37)</f>
        <v>0</v>
      </c>
      <c r="R37" s="6">
        <f>averageResponseTimePorter(Dates!R$12,Dates!R$13,'Day5'!$B37)</f>
        <v>0</v>
      </c>
      <c r="S37" s="6">
        <f>averageResponseTimePorter(Dates!S$12,Dates!S$13,'Day5'!$B37)</f>
        <v>0</v>
      </c>
      <c r="T37" s="6">
        <f>averageResponseTimePorter(Dates!T$12,Dates!T$13,'Day5'!$B37)</f>
        <v>0</v>
      </c>
      <c r="U37" s="6">
        <f>averageResponseTimePorter(Dates!$C$12,Dates!$T$13,'Day5'!$B14)</f>
        <v>0</v>
      </c>
    </row>
    <row r="38" spans="2:21" x14ac:dyDescent="0.3">
      <c r="B38" s="8" t="str">
        <f t="shared" si="0"/>
        <v>NA15</v>
      </c>
      <c r="C38" s="6">
        <f>averageResponseTimePorter(Dates!C$12,Dates!C$13,'Day5'!$B38)</f>
        <v>0</v>
      </c>
      <c r="D38" s="6">
        <f>averageResponseTimePorter(Dates!D$12,Dates!D$13,'Day5'!$B38)</f>
        <v>0</v>
      </c>
      <c r="E38" s="6">
        <f>averageResponseTimePorter(Dates!E$12,Dates!E$13,'Day5'!$B38)</f>
        <v>0</v>
      </c>
      <c r="F38" s="6">
        <f>averageResponseTimePorter(Dates!F$12,Dates!F$13,'Day5'!$B38)</f>
        <v>0</v>
      </c>
      <c r="G38" s="6">
        <f>averageResponseTimePorter(Dates!G$12,Dates!G$13,'Day5'!$B38)</f>
        <v>0</v>
      </c>
      <c r="H38" s="6">
        <f>averageResponseTimePorter(Dates!H$12,Dates!H$13,'Day5'!$B38)</f>
        <v>0</v>
      </c>
      <c r="I38" s="6">
        <f>averageResponseTimePorter(Dates!I$12,Dates!I$13,'Day5'!$B38)</f>
        <v>0</v>
      </c>
      <c r="J38" s="6">
        <f>averageResponseTimePorter(Dates!J$12,Dates!J$13,'Day5'!$B38)</f>
        <v>0</v>
      </c>
      <c r="K38" s="6">
        <f>averageResponseTimePorter(Dates!K$12,Dates!K$13,'Day5'!$B38)</f>
        <v>0</v>
      </c>
      <c r="L38" s="6">
        <f>averageResponseTimePorter(Dates!L$12,Dates!L$13,'Day5'!$B38)</f>
        <v>0</v>
      </c>
      <c r="M38" s="6">
        <f>averageResponseTimePorter(Dates!M$12,Dates!M$13,'Day5'!$B38)</f>
        <v>0</v>
      </c>
      <c r="N38" s="6">
        <f>averageResponseTimePorter(Dates!N$12,Dates!N$13,'Day5'!$B38)</f>
        <v>0</v>
      </c>
      <c r="O38" s="6">
        <f>averageResponseTimePorter(Dates!O$12,Dates!O$13,'Day5'!$B38)</f>
        <v>0</v>
      </c>
      <c r="P38" s="6">
        <f>averageResponseTimePorter(Dates!P$12,Dates!P$13,'Day5'!$B38)</f>
        <v>0</v>
      </c>
      <c r="Q38" s="6">
        <f>averageResponseTimePorter(Dates!Q$12,Dates!Q$13,'Day5'!$B38)</f>
        <v>0</v>
      </c>
      <c r="R38" s="6">
        <f>averageResponseTimePorter(Dates!R$12,Dates!R$13,'Day5'!$B38)</f>
        <v>0</v>
      </c>
      <c r="S38" s="6">
        <f>averageResponseTimePorter(Dates!S$12,Dates!S$13,'Day5'!$B38)</f>
        <v>0</v>
      </c>
      <c r="T38" s="6">
        <f>averageResponseTimePorter(Dates!T$12,Dates!T$13,'Day5'!$B38)</f>
        <v>0</v>
      </c>
      <c r="U38" s="6">
        <f>averageResponseTimePorter(Dates!$C$12,Dates!$T$13,'Day5'!$B15)</f>
        <v>0</v>
      </c>
    </row>
    <row r="39" spans="2:21" x14ac:dyDescent="0.3">
      <c r="B39" s="8" t="str">
        <f t="shared" si="0"/>
        <v>NA16</v>
      </c>
      <c r="C39" s="6">
        <f>averageResponseTimePorter(Dates!C$12,Dates!C$13,'Day5'!$B39)</f>
        <v>0</v>
      </c>
      <c r="D39" s="6">
        <f>averageResponseTimePorter(Dates!D$12,Dates!D$13,'Day5'!$B39)</f>
        <v>0</v>
      </c>
      <c r="E39" s="6">
        <f>averageResponseTimePorter(Dates!E$12,Dates!E$13,'Day5'!$B39)</f>
        <v>0</v>
      </c>
      <c r="F39" s="6">
        <f>averageResponseTimePorter(Dates!F$12,Dates!F$13,'Day5'!$B39)</f>
        <v>0</v>
      </c>
      <c r="G39" s="6">
        <f>averageResponseTimePorter(Dates!G$12,Dates!G$13,'Day5'!$B39)</f>
        <v>0</v>
      </c>
      <c r="H39" s="6">
        <f>averageResponseTimePorter(Dates!H$12,Dates!H$13,'Day5'!$B39)</f>
        <v>0</v>
      </c>
      <c r="I39" s="6">
        <f>averageResponseTimePorter(Dates!I$12,Dates!I$13,'Day5'!$B39)</f>
        <v>0</v>
      </c>
      <c r="J39" s="6">
        <f>averageResponseTimePorter(Dates!J$12,Dates!J$13,'Day5'!$B39)</f>
        <v>0</v>
      </c>
      <c r="K39" s="6">
        <f>averageResponseTimePorter(Dates!K$12,Dates!K$13,'Day5'!$B39)</f>
        <v>0</v>
      </c>
      <c r="L39" s="6">
        <f>averageResponseTimePorter(Dates!L$12,Dates!L$13,'Day5'!$B39)</f>
        <v>0</v>
      </c>
      <c r="M39" s="6">
        <f>averageResponseTimePorter(Dates!M$12,Dates!M$13,'Day5'!$B39)</f>
        <v>0</v>
      </c>
      <c r="N39" s="6">
        <f>averageResponseTimePorter(Dates!N$12,Dates!N$13,'Day5'!$B39)</f>
        <v>0</v>
      </c>
      <c r="O39" s="6">
        <f>averageResponseTimePorter(Dates!O$12,Dates!O$13,'Day5'!$B39)</f>
        <v>0</v>
      </c>
      <c r="P39" s="6">
        <f>averageResponseTimePorter(Dates!P$12,Dates!P$13,'Day5'!$B39)</f>
        <v>0</v>
      </c>
      <c r="Q39" s="6">
        <f>averageResponseTimePorter(Dates!Q$12,Dates!Q$13,'Day5'!$B39)</f>
        <v>0</v>
      </c>
      <c r="R39" s="6">
        <f>averageResponseTimePorter(Dates!R$12,Dates!R$13,'Day5'!$B39)</f>
        <v>0</v>
      </c>
      <c r="S39" s="6">
        <f>averageResponseTimePorter(Dates!S$12,Dates!S$13,'Day5'!$B39)</f>
        <v>0</v>
      </c>
      <c r="T39" s="6">
        <f>averageResponseTimePorter(Dates!T$12,Dates!T$13,'Day5'!$B39)</f>
        <v>0</v>
      </c>
      <c r="U39" s="6">
        <f>averageResponseTimePorter(Dates!$C$12,Dates!$T$13,'Day5'!$B16)</f>
        <v>0</v>
      </c>
    </row>
    <row r="40" spans="2:21" x14ac:dyDescent="0.3">
      <c r="B40" s="8" t="str">
        <f t="shared" si="0"/>
        <v>NA17</v>
      </c>
      <c r="C40" s="6">
        <f>averageResponseTimePorter(Dates!C$12,Dates!C$13,'Day5'!$B40)</f>
        <v>0</v>
      </c>
      <c r="D40" s="6">
        <f>averageResponseTimePorter(Dates!D$12,Dates!D$13,'Day5'!$B40)</f>
        <v>0</v>
      </c>
      <c r="E40" s="6">
        <f>averageResponseTimePorter(Dates!E$12,Dates!E$13,'Day5'!$B40)</f>
        <v>0</v>
      </c>
      <c r="F40" s="6">
        <f>averageResponseTimePorter(Dates!F$12,Dates!F$13,'Day5'!$B40)</f>
        <v>0</v>
      </c>
      <c r="G40" s="6">
        <f>averageResponseTimePorter(Dates!G$12,Dates!G$13,'Day5'!$B40)</f>
        <v>0</v>
      </c>
      <c r="H40" s="6">
        <f>averageResponseTimePorter(Dates!H$12,Dates!H$13,'Day5'!$B40)</f>
        <v>0</v>
      </c>
      <c r="I40" s="6">
        <f>averageResponseTimePorter(Dates!I$12,Dates!I$13,'Day5'!$B40)</f>
        <v>0</v>
      </c>
      <c r="J40" s="6">
        <f>averageResponseTimePorter(Dates!J$12,Dates!J$13,'Day5'!$B40)</f>
        <v>0</v>
      </c>
      <c r="K40" s="6">
        <f>averageResponseTimePorter(Dates!K$12,Dates!K$13,'Day5'!$B40)</f>
        <v>0</v>
      </c>
      <c r="L40" s="6">
        <f>averageResponseTimePorter(Dates!L$12,Dates!L$13,'Day5'!$B40)</f>
        <v>0</v>
      </c>
      <c r="M40" s="6">
        <f>averageResponseTimePorter(Dates!M$12,Dates!M$13,'Day5'!$B40)</f>
        <v>0</v>
      </c>
      <c r="N40" s="6">
        <f>averageResponseTimePorter(Dates!N$12,Dates!N$13,'Day5'!$B40)</f>
        <v>0</v>
      </c>
      <c r="O40" s="6">
        <f>averageResponseTimePorter(Dates!O$12,Dates!O$13,'Day5'!$B40)</f>
        <v>0</v>
      </c>
      <c r="P40" s="6">
        <f>averageResponseTimePorter(Dates!P$12,Dates!P$13,'Day5'!$B40)</f>
        <v>0</v>
      </c>
      <c r="Q40" s="6">
        <f>averageResponseTimePorter(Dates!Q$12,Dates!Q$13,'Day5'!$B40)</f>
        <v>0</v>
      </c>
      <c r="R40" s="6">
        <f>averageResponseTimePorter(Dates!R$12,Dates!R$13,'Day5'!$B40)</f>
        <v>0</v>
      </c>
      <c r="S40" s="6">
        <f>averageResponseTimePorter(Dates!S$12,Dates!S$13,'Day5'!$B40)</f>
        <v>0</v>
      </c>
      <c r="T40" s="6">
        <f>averageResponseTimePorter(Dates!T$12,Dates!T$13,'Day5'!$B40)</f>
        <v>0</v>
      </c>
      <c r="U40" s="6">
        <f>averageResponseTimePorter(Dates!$C$12,Dates!$T$13,'Day5'!$B17)</f>
        <v>0</v>
      </c>
    </row>
    <row r="41" spans="2:21" x14ac:dyDescent="0.3">
      <c r="B41" s="8" t="str">
        <f t="shared" si="0"/>
        <v>NA18</v>
      </c>
      <c r="C41" s="6">
        <f>averageResponseTimePorter(Dates!C$12,Dates!C$13,'Day5'!$B41)</f>
        <v>0</v>
      </c>
      <c r="D41" s="6">
        <f>averageResponseTimePorter(Dates!D$12,Dates!D$13,'Day5'!$B41)</f>
        <v>0</v>
      </c>
      <c r="E41" s="6">
        <f>averageResponseTimePorter(Dates!E$12,Dates!E$13,'Day5'!$B41)</f>
        <v>0</v>
      </c>
      <c r="F41" s="6">
        <f>averageResponseTimePorter(Dates!F$12,Dates!F$13,'Day5'!$B41)</f>
        <v>0</v>
      </c>
      <c r="G41" s="6">
        <f>averageResponseTimePorter(Dates!G$12,Dates!G$13,'Day5'!$B41)</f>
        <v>0</v>
      </c>
      <c r="H41" s="6">
        <f>averageResponseTimePorter(Dates!H$12,Dates!H$13,'Day5'!$B41)</f>
        <v>0</v>
      </c>
      <c r="I41" s="6">
        <f>averageResponseTimePorter(Dates!I$12,Dates!I$13,'Day5'!$B41)</f>
        <v>0</v>
      </c>
      <c r="J41" s="6">
        <f>averageResponseTimePorter(Dates!J$12,Dates!J$13,'Day5'!$B41)</f>
        <v>0</v>
      </c>
      <c r="K41" s="6">
        <f>averageResponseTimePorter(Dates!K$12,Dates!K$13,'Day5'!$B41)</f>
        <v>0</v>
      </c>
      <c r="L41" s="6">
        <f>averageResponseTimePorter(Dates!L$12,Dates!L$13,'Day5'!$B41)</f>
        <v>0</v>
      </c>
      <c r="M41" s="6">
        <f>averageResponseTimePorter(Dates!M$12,Dates!M$13,'Day5'!$B41)</f>
        <v>0</v>
      </c>
      <c r="N41" s="6">
        <f>averageResponseTimePorter(Dates!N$12,Dates!N$13,'Day5'!$B41)</f>
        <v>0</v>
      </c>
      <c r="O41" s="6">
        <f>averageResponseTimePorter(Dates!O$12,Dates!O$13,'Day5'!$B41)</f>
        <v>0</v>
      </c>
      <c r="P41" s="6">
        <f>averageResponseTimePorter(Dates!P$12,Dates!P$13,'Day5'!$B41)</f>
        <v>0</v>
      </c>
      <c r="Q41" s="6">
        <f>averageResponseTimePorter(Dates!Q$12,Dates!Q$13,'Day5'!$B41)</f>
        <v>0</v>
      </c>
      <c r="R41" s="6">
        <f>averageResponseTimePorter(Dates!R$12,Dates!R$13,'Day5'!$B41)</f>
        <v>0</v>
      </c>
      <c r="S41" s="6">
        <f>averageResponseTimePorter(Dates!S$12,Dates!S$13,'Day5'!$B41)</f>
        <v>0</v>
      </c>
      <c r="T41" s="6">
        <f>averageResponseTimePorter(Dates!T$12,Dates!T$13,'Day5'!$B41)</f>
        <v>0</v>
      </c>
      <c r="U41" s="6">
        <f>averageResponseTimePorter(Dates!$C$12,Dates!$T$13,'Day5'!$B18)</f>
        <v>0</v>
      </c>
    </row>
    <row r="42" spans="2:21" x14ac:dyDescent="0.3">
      <c r="B42" s="8" t="str">
        <f t="shared" si="0"/>
        <v>NA19</v>
      </c>
      <c r="C42" s="6">
        <f>averageResponseTimePorter(Dates!C$12,Dates!C$13,'Day5'!$B42)</f>
        <v>0</v>
      </c>
      <c r="D42" s="6">
        <f>averageResponseTimePorter(Dates!D$12,Dates!D$13,'Day5'!$B42)</f>
        <v>0</v>
      </c>
      <c r="E42" s="6">
        <f>averageResponseTimePorter(Dates!E$12,Dates!E$13,'Day5'!$B42)</f>
        <v>0</v>
      </c>
      <c r="F42" s="6">
        <f>averageResponseTimePorter(Dates!F$12,Dates!F$13,'Day5'!$B42)</f>
        <v>0</v>
      </c>
      <c r="G42" s="6">
        <f>averageResponseTimePorter(Dates!G$12,Dates!G$13,'Day5'!$B42)</f>
        <v>0</v>
      </c>
      <c r="H42" s="6">
        <f>averageResponseTimePorter(Dates!H$12,Dates!H$13,'Day5'!$B42)</f>
        <v>0</v>
      </c>
      <c r="I42" s="6">
        <f>averageResponseTimePorter(Dates!I$12,Dates!I$13,'Day5'!$B42)</f>
        <v>0</v>
      </c>
      <c r="J42" s="6">
        <f>averageResponseTimePorter(Dates!J$12,Dates!J$13,'Day5'!$B42)</f>
        <v>0</v>
      </c>
      <c r="K42" s="6">
        <f>averageResponseTimePorter(Dates!K$12,Dates!K$13,'Day5'!$B42)</f>
        <v>0</v>
      </c>
      <c r="L42" s="6">
        <f>averageResponseTimePorter(Dates!L$12,Dates!L$13,'Day5'!$B42)</f>
        <v>0</v>
      </c>
      <c r="M42" s="6">
        <f>averageResponseTimePorter(Dates!M$12,Dates!M$13,'Day5'!$B42)</f>
        <v>0</v>
      </c>
      <c r="N42" s="6">
        <f>averageResponseTimePorter(Dates!N$12,Dates!N$13,'Day5'!$B42)</f>
        <v>0</v>
      </c>
      <c r="O42" s="6">
        <f>averageResponseTimePorter(Dates!O$12,Dates!O$13,'Day5'!$B42)</f>
        <v>0</v>
      </c>
      <c r="P42" s="6">
        <f>averageResponseTimePorter(Dates!P$12,Dates!P$13,'Day5'!$B42)</f>
        <v>0</v>
      </c>
      <c r="Q42" s="6">
        <f>averageResponseTimePorter(Dates!Q$12,Dates!Q$13,'Day5'!$B42)</f>
        <v>0</v>
      </c>
      <c r="R42" s="6">
        <f>averageResponseTimePorter(Dates!R$12,Dates!R$13,'Day5'!$B42)</f>
        <v>0</v>
      </c>
      <c r="S42" s="6">
        <f>averageResponseTimePorter(Dates!S$12,Dates!S$13,'Day5'!$B42)</f>
        <v>0</v>
      </c>
      <c r="T42" s="6">
        <f>averageResponseTimePorter(Dates!T$12,Dates!T$13,'Day5'!$B42)</f>
        <v>0</v>
      </c>
      <c r="U42" s="6">
        <f>averageResponseTimePorter(Dates!$C$12,Dates!$T$13,'Day5'!$B19)</f>
        <v>0</v>
      </c>
    </row>
    <row r="43" spans="2:21" x14ac:dyDescent="0.3">
      <c r="B43" s="8" t="str">
        <f t="shared" si="0"/>
        <v>NA20</v>
      </c>
      <c r="C43" s="6">
        <f>averageResponseTimePorter(Dates!C$12,Dates!C$13,'Day5'!$B43)</f>
        <v>0</v>
      </c>
      <c r="D43" s="6">
        <f>averageResponseTimePorter(Dates!D$12,Dates!D$13,'Day5'!$B43)</f>
        <v>0</v>
      </c>
      <c r="E43" s="6">
        <f>averageResponseTimePorter(Dates!E$12,Dates!E$13,'Day5'!$B43)</f>
        <v>0</v>
      </c>
      <c r="F43" s="6">
        <f>averageResponseTimePorter(Dates!F$12,Dates!F$13,'Day5'!$B43)</f>
        <v>0</v>
      </c>
      <c r="G43" s="6">
        <f>averageResponseTimePorter(Dates!G$12,Dates!G$13,'Day5'!$B43)</f>
        <v>0</v>
      </c>
      <c r="H43" s="6">
        <f>averageResponseTimePorter(Dates!H$12,Dates!H$13,'Day5'!$B43)</f>
        <v>0</v>
      </c>
      <c r="I43" s="6">
        <f>averageResponseTimePorter(Dates!I$12,Dates!I$13,'Day5'!$B43)</f>
        <v>0</v>
      </c>
      <c r="J43" s="6">
        <f>averageResponseTimePorter(Dates!J$12,Dates!J$13,'Day5'!$B43)</f>
        <v>0</v>
      </c>
      <c r="K43" s="6">
        <f>averageResponseTimePorter(Dates!K$12,Dates!K$13,'Day5'!$B43)</f>
        <v>0</v>
      </c>
      <c r="L43" s="6">
        <f>averageResponseTimePorter(Dates!L$12,Dates!L$13,'Day5'!$B43)</f>
        <v>0</v>
      </c>
      <c r="M43" s="6">
        <f>averageResponseTimePorter(Dates!M$12,Dates!M$13,'Day5'!$B43)</f>
        <v>0</v>
      </c>
      <c r="N43" s="6">
        <f>averageResponseTimePorter(Dates!N$12,Dates!N$13,'Day5'!$B43)</f>
        <v>0</v>
      </c>
      <c r="O43" s="6">
        <f>averageResponseTimePorter(Dates!O$12,Dates!O$13,'Day5'!$B43)</f>
        <v>0</v>
      </c>
      <c r="P43" s="6">
        <f>averageResponseTimePorter(Dates!P$12,Dates!P$13,'Day5'!$B43)</f>
        <v>0</v>
      </c>
      <c r="Q43" s="6">
        <f>averageResponseTimePorter(Dates!Q$12,Dates!Q$13,'Day5'!$B43)</f>
        <v>0</v>
      </c>
      <c r="R43" s="6">
        <f>averageResponseTimePorter(Dates!R$12,Dates!R$13,'Day5'!$B43)</f>
        <v>0</v>
      </c>
      <c r="S43" s="6">
        <f>averageResponseTimePorter(Dates!S$12,Dates!S$13,'Day5'!$B43)</f>
        <v>0</v>
      </c>
      <c r="T43" s="6">
        <f>averageResponseTimePorter(Dates!T$12,Dates!T$13,'Day5'!$B43)</f>
        <v>0</v>
      </c>
      <c r="U43" s="6">
        <f>averageResponseTimePorter(Dates!$C$12,Dates!$T$13,'Day5'!$B20)</f>
        <v>0</v>
      </c>
    </row>
    <row r="44" spans="2:21" x14ac:dyDescent="0.3">
      <c r="B44" s="8" t="str">
        <f t="shared" si="0"/>
        <v>NA21</v>
      </c>
      <c r="C44" s="6">
        <f>averageResponseTimePorter(Dates!C$12,Dates!C$13,'Day5'!$B44)</f>
        <v>0</v>
      </c>
      <c r="D44" s="6">
        <f>averageResponseTimePorter(Dates!D$12,Dates!D$13,'Day5'!$B44)</f>
        <v>0</v>
      </c>
      <c r="E44" s="6">
        <f>averageResponseTimePorter(Dates!E$12,Dates!E$13,'Day5'!$B44)</f>
        <v>0</v>
      </c>
      <c r="F44" s="6">
        <f>averageResponseTimePorter(Dates!F$12,Dates!F$13,'Day5'!$B44)</f>
        <v>0</v>
      </c>
      <c r="G44" s="6">
        <f>averageResponseTimePorter(Dates!G$12,Dates!G$13,'Day5'!$B44)</f>
        <v>0</v>
      </c>
      <c r="H44" s="6">
        <f>averageResponseTimePorter(Dates!H$12,Dates!H$13,'Day5'!$B44)</f>
        <v>0</v>
      </c>
      <c r="I44" s="6">
        <f>averageResponseTimePorter(Dates!I$12,Dates!I$13,'Day5'!$B44)</f>
        <v>0</v>
      </c>
      <c r="J44" s="6">
        <f>averageResponseTimePorter(Dates!J$12,Dates!J$13,'Day5'!$B44)</f>
        <v>0</v>
      </c>
      <c r="K44" s="6">
        <f>averageResponseTimePorter(Dates!K$12,Dates!K$13,'Day5'!$B44)</f>
        <v>0</v>
      </c>
      <c r="L44" s="6">
        <f>averageResponseTimePorter(Dates!L$12,Dates!L$13,'Day5'!$B44)</f>
        <v>0</v>
      </c>
      <c r="M44" s="6">
        <f>averageResponseTimePorter(Dates!M$12,Dates!M$13,'Day5'!$B44)</f>
        <v>0</v>
      </c>
      <c r="N44" s="6">
        <f>averageResponseTimePorter(Dates!N$12,Dates!N$13,'Day5'!$B44)</f>
        <v>0</v>
      </c>
      <c r="O44" s="6">
        <f>averageResponseTimePorter(Dates!O$12,Dates!O$13,'Day5'!$B44)</f>
        <v>0</v>
      </c>
      <c r="P44" s="6">
        <f>averageResponseTimePorter(Dates!P$12,Dates!P$13,'Day5'!$B44)</f>
        <v>0</v>
      </c>
      <c r="Q44" s="6">
        <f>averageResponseTimePorter(Dates!Q$12,Dates!Q$13,'Day5'!$B44)</f>
        <v>0</v>
      </c>
      <c r="R44" s="6">
        <f>averageResponseTimePorter(Dates!R$12,Dates!R$13,'Day5'!$B44)</f>
        <v>0</v>
      </c>
      <c r="S44" s="6">
        <f>averageResponseTimePorter(Dates!S$12,Dates!S$13,'Day5'!$B44)</f>
        <v>0</v>
      </c>
      <c r="T44" s="6">
        <f>averageResponseTimePorter(Dates!T$12,Dates!T$13,'Day5'!$B44)</f>
        <v>0</v>
      </c>
      <c r="U44" s="6">
        <f>averageResponseTimePorter(Dates!$C$12,Dates!$T$13,'Day5'!$B21)</f>
        <v>0</v>
      </c>
    </row>
    <row r="45" spans="2:21" x14ac:dyDescent="0.3">
      <c r="B45" s="8" t="str">
        <f t="shared" si="0"/>
        <v>NA22</v>
      </c>
      <c r="C45" s="6">
        <f>averageResponseTimePorter(Dates!C$12,Dates!C$13,'Day5'!$B45)</f>
        <v>0</v>
      </c>
      <c r="D45" s="6">
        <f>averageResponseTimePorter(Dates!D$12,Dates!D$13,'Day5'!$B45)</f>
        <v>0</v>
      </c>
      <c r="E45" s="6">
        <f>averageResponseTimePorter(Dates!E$12,Dates!E$13,'Day5'!$B45)</f>
        <v>0</v>
      </c>
      <c r="F45" s="6">
        <f>averageResponseTimePorter(Dates!F$12,Dates!F$13,'Day5'!$B45)</f>
        <v>0</v>
      </c>
      <c r="G45" s="6">
        <f>averageResponseTimePorter(Dates!G$12,Dates!G$13,'Day5'!$B45)</f>
        <v>0</v>
      </c>
      <c r="H45" s="6">
        <f>averageResponseTimePorter(Dates!H$12,Dates!H$13,'Day5'!$B45)</f>
        <v>0</v>
      </c>
      <c r="I45" s="6">
        <f>averageResponseTimePorter(Dates!I$12,Dates!I$13,'Day5'!$B45)</f>
        <v>0</v>
      </c>
      <c r="J45" s="6">
        <f>averageResponseTimePorter(Dates!J$12,Dates!J$13,'Day5'!$B45)</f>
        <v>0</v>
      </c>
      <c r="K45" s="6">
        <f>averageResponseTimePorter(Dates!K$12,Dates!K$13,'Day5'!$B45)</f>
        <v>0</v>
      </c>
      <c r="L45" s="6">
        <f>averageResponseTimePorter(Dates!L$12,Dates!L$13,'Day5'!$B45)</f>
        <v>0</v>
      </c>
      <c r="M45" s="6">
        <f>averageResponseTimePorter(Dates!M$12,Dates!M$13,'Day5'!$B45)</f>
        <v>0</v>
      </c>
      <c r="N45" s="6">
        <f>averageResponseTimePorter(Dates!N$12,Dates!N$13,'Day5'!$B45)</f>
        <v>0</v>
      </c>
      <c r="O45" s="6">
        <f>averageResponseTimePorter(Dates!O$12,Dates!O$13,'Day5'!$B45)</f>
        <v>0</v>
      </c>
      <c r="P45" s="6">
        <f>averageResponseTimePorter(Dates!P$12,Dates!P$13,'Day5'!$B45)</f>
        <v>0</v>
      </c>
      <c r="Q45" s="6">
        <f>averageResponseTimePorter(Dates!Q$12,Dates!Q$13,'Day5'!$B45)</f>
        <v>0</v>
      </c>
      <c r="R45" s="6">
        <f>averageResponseTimePorter(Dates!R$12,Dates!R$13,'Day5'!$B45)</f>
        <v>0</v>
      </c>
      <c r="S45" s="6">
        <f>averageResponseTimePorter(Dates!S$12,Dates!S$13,'Day5'!$B45)</f>
        <v>0</v>
      </c>
      <c r="T45" s="6">
        <f>averageResponseTimePorter(Dates!T$12,Dates!T$13,'Day5'!$B45)</f>
        <v>0</v>
      </c>
      <c r="U45" s="6">
        <f>averageResponseTimePorter(Dates!$C$12,Dates!$T$13,'Day5'!$B22)</f>
        <v>0</v>
      </c>
    </row>
    <row r="46" spans="2:21" x14ac:dyDescent="0.3">
      <c r="B46" s="8" t="str">
        <f t="shared" si="0"/>
        <v>NA23</v>
      </c>
      <c r="C46" s="6">
        <f>averageResponseTimePorter(Dates!C$12,Dates!C$13,'Day5'!$B46)</f>
        <v>0</v>
      </c>
      <c r="D46" s="6">
        <f>averageResponseTimePorter(Dates!D$12,Dates!D$13,'Day5'!$B46)</f>
        <v>0</v>
      </c>
      <c r="E46" s="6">
        <f>averageResponseTimePorter(Dates!E$12,Dates!E$13,'Day5'!$B46)</f>
        <v>0</v>
      </c>
      <c r="F46" s="6">
        <f>averageResponseTimePorter(Dates!F$12,Dates!F$13,'Day5'!$B46)</f>
        <v>0</v>
      </c>
      <c r="G46" s="6">
        <f>averageResponseTimePorter(Dates!G$12,Dates!G$13,'Day5'!$B46)</f>
        <v>0</v>
      </c>
      <c r="H46" s="6">
        <f>averageResponseTimePorter(Dates!H$12,Dates!H$13,'Day5'!$B46)</f>
        <v>0</v>
      </c>
      <c r="I46" s="6">
        <f>averageResponseTimePorter(Dates!I$12,Dates!I$13,'Day5'!$B46)</f>
        <v>0</v>
      </c>
      <c r="J46" s="6">
        <f>averageResponseTimePorter(Dates!J$12,Dates!J$13,'Day5'!$B46)</f>
        <v>0</v>
      </c>
      <c r="K46" s="6">
        <f>averageResponseTimePorter(Dates!K$12,Dates!K$13,'Day5'!$B46)</f>
        <v>0</v>
      </c>
      <c r="L46" s="6">
        <f>averageResponseTimePorter(Dates!L$12,Dates!L$13,'Day5'!$B46)</f>
        <v>0</v>
      </c>
      <c r="M46" s="6">
        <f>averageResponseTimePorter(Dates!M$12,Dates!M$13,'Day5'!$B46)</f>
        <v>0</v>
      </c>
      <c r="N46" s="6">
        <f>averageResponseTimePorter(Dates!N$12,Dates!N$13,'Day5'!$B46)</f>
        <v>0</v>
      </c>
      <c r="O46" s="6">
        <f>averageResponseTimePorter(Dates!O$12,Dates!O$13,'Day5'!$B46)</f>
        <v>0</v>
      </c>
      <c r="P46" s="6">
        <f>averageResponseTimePorter(Dates!P$12,Dates!P$13,'Day5'!$B46)</f>
        <v>0</v>
      </c>
      <c r="Q46" s="6">
        <f>averageResponseTimePorter(Dates!Q$12,Dates!Q$13,'Day5'!$B46)</f>
        <v>0</v>
      </c>
      <c r="R46" s="6">
        <f>averageResponseTimePorter(Dates!R$12,Dates!R$13,'Day5'!$B46)</f>
        <v>0</v>
      </c>
      <c r="S46" s="6">
        <f>averageResponseTimePorter(Dates!S$12,Dates!S$13,'Day5'!$B46)</f>
        <v>0</v>
      </c>
      <c r="T46" s="6">
        <f>averageResponseTimePorter(Dates!T$12,Dates!T$13,'Day5'!$B46)</f>
        <v>0</v>
      </c>
      <c r="U46" s="6">
        <f>averageResponseTimePorter(Dates!$C$12,Dates!$T$13,'Day5'!$B23)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S6"/>
  <sheetViews>
    <sheetView zoomScale="60" zoomScaleNormal="60" workbookViewId="0">
      <selection activeCell="N3" sqref="N3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6" t="s">
        <v>27</v>
      </c>
      <c r="H1" s="16"/>
      <c r="I1" s="16"/>
      <c r="J1" s="16"/>
      <c r="K1" s="16"/>
      <c r="L1" s="16"/>
    </row>
    <row r="2" spans="2:19" ht="18" x14ac:dyDescent="0.35">
      <c r="G2" s="10" t="s">
        <v>24</v>
      </c>
      <c r="H2" s="10">
        <v>1</v>
      </c>
      <c r="I2" s="10">
        <v>2</v>
      </c>
      <c r="J2" s="10">
        <v>3</v>
      </c>
      <c r="K2" s="10">
        <v>4</v>
      </c>
      <c r="L2" s="10">
        <v>5</v>
      </c>
    </row>
    <row r="3" spans="2:19" ht="18" x14ac:dyDescent="0.35">
      <c r="G3" s="10" t="s">
        <v>25</v>
      </c>
      <c r="H3" s="11">
        <f>'Day1'!$U$2</f>
        <v>0</v>
      </c>
      <c r="I3" s="11">
        <f>'Day2'!$U$2</f>
        <v>0</v>
      </c>
      <c r="J3" s="11">
        <f>'Day3'!$U$2</f>
        <v>0</v>
      </c>
      <c r="K3" s="11">
        <f>'Day4'!$U$2</f>
        <v>0</v>
      </c>
      <c r="L3" s="11">
        <f>'Day5'!$U$2</f>
        <v>0</v>
      </c>
    </row>
    <row r="4" spans="2:19" ht="18" x14ac:dyDescent="0.35">
      <c r="G4" s="10" t="s">
        <v>26</v>
      </c>
      <c r="H4" s="11">
        <f>'Day1'!$U$25</f>
        <v>0</v>
      </c>
      <c r="I4" s="11">
        <f>'Day2'!$U$25</f>
        <v>0</v>
      </c>
      <c r="J4" s="11">
        <f>'Day3'!$U$25</f>
        <v>0</v>
      </c>
      <c r="K4" s="11">
        <f>'Day4'!$U$25</f>
        <v>0</v>
      </c>
      <c r="L4" s="11">
        <f>'Day5'!$U$25</f>
        <v>0</v>
      </c>
    </row>
    <row r="6" spans="2:19" ht="23.4" x14ac:dyDescent="0.45">
      <c r="B6" s="13" t="s">
        <v>23</v>
      </c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5"/>
    </row>
  </sheetData>
  <mergeCells count="2">
    <mergeCell ref="B6:S6"/>
    <mergeCell ref="G1:L1"/>
  </mergeCells>
  <pageMargins left="0.7" right="0.7" top="0.75" bottom="0.75" header="0.3" footer="0.3"/>
  <pageSetup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Dates</vt:lpstr>
      <vt:lpstr>Day1</vt:lpstr>
      <vt:lpstr>Day2</vt:lpstr>
      <vt:lpstr>Day3</vt:lpstr>
      <vt:lpstr>Day4</vt:lpstr>
      <vt:lpstr>Day5</vt:lpstr>
      <vt:lpstr>Dashboard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Vitaliy Kondratiev</dc:creator>
  <cp:lastModifiedBy>Vitaliy Kondratiev</cp:lastModifiedBy>
  <dcterms:created xsi:type="dcterms:W3CDTF">2014-02-27T05:08:09Z</dcterms:created>
  <dcterms:modified xsi:type="dcterms:W3CDTF">2014-03-04T20:26:34Z</dcterms:modified>
</cp:coreProperties>
</file>