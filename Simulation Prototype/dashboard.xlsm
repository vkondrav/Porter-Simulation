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Vitaliy\Documents\GitHub\Porter-Simulation\Simulation Prototype\"/>
    </mc:Choice>
  </mc:AlternateContent>
  <bookViews>
    <workbookView xWindow="0" yWindow="0" windowWidth="16392" windowHeight="6456" firstSheet="2" activeTab="7"/>
  </bookViews>
  <sheets>
    <sheet name="Sheet1" sheetId="1" r:id="rId1"/>
    <sheet name="Dates" sheetId="2" r:id="rId2"/>
    <sheet name="Day1" sheetId="3" r:id="rId3"/>
    <sheet name="Day2" sheetId="8" r:id="rId4"/>
    <sheet name="Day3" sheetId="9" r:id="rId5"/>
    <sheet name="Day4" sheetId="10" r:id="rId6"/>
    <sheet name="Day5" sheetId="11" r:id="rId7"/>
    <sheet name="Dashboard" sheetId="12" r:id="rId8"/>
  </sheets>
  <functionGroups builtInGroupCount="18"/>
  <calcPr calcId="152511" calcMode="manual" calcOnSave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T25" i="3" l="1"/>
  <c r="Q25" i="3"/>
  <c r="E25" i="3"/>
  <c r="I25" i="3"/>
  <c r="M25" i="3"/>
  <c r="K25" i="3"/>
  <c r="U25" i="3"/>
  <c r="D25" i="3"/>
  <c r="L25" i="3"/>
  <c r="N25" i="3"/>
  <c r="R25" i="3"/>
  <c r="F25" i="3"/>
  <c r="J25" i="3"/>
  <c r="C25" i="3"/>
  <c r="O25" i="3"/>
  <c r="S25" i="3"/>
  <c r="G25" i="3"/>
  <c r="U2" i="3"/>
  <c r="P25" i="3"/>
  <c r="H25" i="3"/>
  <c r="R2" i="3"/>
  <c r="E2" i="3"/>
  <c r="I2" i="3"/>
  <c r="M2" i="3"/>
  <c r="Q2" i="3"/>
  <c r="F2" i="3"/>
  <c r="N2" i="3"/>
  <c r="T2" i="3"/>
  <c r="K2" i="3"/>
  <c r="D2" i="3"/>
  <c r="L2" i="3"/>
  <c r="S2" i="3"/>
  <c r="J2" i="3"/>
  <c r="C2" i="3"/>
  <c r="G2" i="3"/>
  <c r="O2" i="3"/>
  <c r="H2" i="3"/>
  <c r="P2" i="3"/>
  <c r="B27" i="11" l="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26" i="11"/>
  <c r="B27" i="10"/>
  <c r="B28" i="10"/>
  <c r="B29" i="10"/>
  <c r="B30" i="10"/>
  <c r="B31" i="10"/>
  <c r="B32" i="10"/>
  <c r="B33" i="10"/>
  <c r="B34" i="10"/>
  <c r="B35" i="10"/>
  <c r="B36" i="10"/>
  <c r="B37" i="10"/>
  <c r="B38" i="10"/>
  <c r="B39" i="10"/>
  <c r="B40" i="10"/>
  <c r="B41" i="10"/>
  <c r="B42" i="10"/>
  <c r="B43" i="10"/>
  <c r="B44" i="10"/>
  <c r="B45" i="10"/>
  <c r="B46" i="10"/>
  <c r="B26" i="10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26" i="9"/>
  <c r="B27" i="8"/>
  <c r="B28" i="8"/>
  <c r="B29" i="8"/>
  <c r="B30" i="8"/>
  <c r="B31" i="8"/>
  <c r="B32" i="8"/>
  <c r="B33" i="8"/>
  <c r="B34" i="8"/>
  <c r="B35" i="8"/>
  <c r="B36" i="8"/>
  <c r="B37" i="8"/>
  <c r="B38" i="8"/>
  <c r="B39" i="8"/>
  <c r="B40" i="8"/>
  <c r="B41" i="8"/>
  <c r="B42" i="8"/>
  <c r="B43" i="8"/>
  <c r="B44" i="8"/>
  <c r="B45" i="8"/>
  <c r="B46" i="8"/>
  <c r="B26" i="8"/>
  <c r="B45" i="3" l="1"/>
  <c r="B46" i="3"/>
  <c r="B37" i="3"/>
  <c r="B38" i="3"/>
  <c r="B39" i="3"/>
  <c r="B40" i="3"/>
  <c r="B41" i="3"/>
  <c r="B42" i="3"/>
  <c r="B43" i="3"/>
  <c r="B44" i="3"/>
  <c r="B27" i="3" l="1"/>
  <c r="B28" i="3"/>
  <c r="B29" i="3"/>
  <c r="B30" i="3"/>
  <c r="B31" i="3"/>
  <c r="B32" i="3"/>
  <c r="B33" i="3"/>
  <c r="B34" i="3"/>
  <c r="B35" i="3"/>
  <c r="B36" i="3"/>
  <c r="B26" i="3"/>
  <c r="T5" i="2" l="1"/>
  <c r="E12" i="2"/>
  <c r="I12" i="2"/>
  <c r="M12" i="2"/>
  <c r="Q12" i="2"/>
  <c r="F13" i="2"/>
  <c r="J13" i="2"/>
  <c r="N13" i="2"/>
  <c r="R13" i="2"/>
  <c r="C13" i="2"/>
  <c r="E10" i="2"/>
  <c r="I10" i="2"/>
  <c r="M10" i="2"/>
  <c r="Q10" i="2"/>
  <c r="F11" i="2"/>
  <c r="J11" i="2"/>
  <c r="N11" i="2"/>
  <c r="R11" i="2"/>
  <c r="C11" i="2"/>
  <c r="T8" i="2"/>
  <c r="H8" i="2"/>
  <c r="L8" i="2"/>
  <c r="P8" i="2"/>
  <c r="E9" i="2"/>
  <c r="I9" i="2"/>
  <c r="M9" i="2"/>
  <c r="Q9" i="2"/>
  <c r="D8" i="2"/>
  <c r="C8" i="2"/>
  <c r="F6" i="2"/>
  <c r="J6" i="2"/>
  <c r="N6" i="2"/>
  <c r="R6" i="2"/>
  <c r="G7" i="2"/>
  <c r="K7" i="2"/>
  <c r="O7" i="2"/>
  <c r="C7" i="2"/>
  <c r="F12" i="2"/>
  <c r="J12" i="2"/>
  <c r="N12" i="2"/>
  <c r="R12" i="2"/>
  <c r="G13" i="2"/>
  <c r="K13" i="2"/>
  <c r="O13" i="2"/>
  <c r="S13" i="2"/>
  <c r="C12" i="2"/>
  <c r="F10" i="2"/>
  <c r="J10" i="2"/>
  <c r="N10" i="2"/>
  <c r="R10" i="2"/>
  <c r="G11" i="2"/>
  <c r="K11" i="2"/>
  <c r="O11" i="2"/>
  <c r="S11" i="2"/>
  <c r="C10" i="2"/>
  <c r="E8" i="2"/>
  <c r="I8" i="2"/>
  <c r="M8" i="2"/>
  <c r="Q8" i="2"/>
  <c r="F9" i="2"/>
  <c r="J9" i="2"/>
  <c r="N9" i="2"/>
  <c r="R9" i="2"/>
  <c r="D7" i="2"/>
  <c r="S7" i="2"/>
  <c r="G6" i="2"/>
  <c r="K6" i="2"/>
  <c r="O6" i="2"/>
  <c r="S6" i="2"/>
  <c r="H7" i="2"/>
  <c r="L7" i="2"/>
  <c r="P7" i="2"/>
  <c r="C6" i="2"/>
  <c r="T13" i="2"/>
  <c r="G12" i="2"/>
  <c r="K12" i="2"/>
  <c r="O12" i="2"/>
  <c r="S12" i="2"/>
  <c r="H13" i="2"/>
  <c r="L13" i="2"/>
  <c r="P13" i="2"/>
  <c r="D13" i="2"/>
  <c r="T11" i="2"/>
  <c r="G10" i="2"/>
  <c r="K10" i="2"/>
  <c r="O10" i="2"/>
  <c r="S10" i="2"/>
  <c r="H11" i="2"/>
  <c r="L11" i="2"/>
  <c r="P11" i="2"/>
  <c r="D11" i="2"/>
  <c r="T9" i="2"/>
  <c r="F8" i="2"/>
  <c r="J8" i="2"/>
  <c r="N8" i="2"/>
  <c r="R8" i="2"/>
  <c r="G9" i="2"/>
  <c r="K9" i="2"/>
  <c r="O9" i="2"/>
  <c r="S9" i="2"/>
  <c r="D6" i="2"/>
  <c r="T6" i="2"/>
  <c r="H6" i="2"/>
  <c r="L6" i="2"/>
  <c r="P6" i="2"/>
  <c r="E7" i="2"/>
  <c r="I7" i="2"/>
  <c r="M7" i="2"/>
  <c r="Q7" i="2"/>
  <c r="T12" i="2"/>
  <c r="H12" i="2"/>
  <c r="L12" i="2"/>
  <c r="P12" i="2"/>
  <c r="E13" i="2"/>
  <c r="I13" i="2"/>
  <c r="M13" i="2"/>
  <c r="Q13" i="2"/>
  <c r="D12" i="2"/>
  <c r="T10" i="2"/>
  <c r="H10" i="2"/>
  <c r="L10" i="2"/>
  <c r="P10" i="2"/>
  <c r="E11" i="2"/>
  <c r="I11" i="2"/>
  <c r="M11" i="2"/>
  <c r="Q11" i="2"/>
  <c r="D10" i="2"/>
  <c r="T7" i="2"/>
  <c r="G8" i="2"/>
  <c r="K8" i="2"/>
  <c r="O8" i="2"/>
  <c r="S8" i="2"/>
  <c r="H9" i="2"/>
  <c r="L9" i="2"/>
  <c r="P9" i="2"/>
  <c r="D9" i="2"/>
  <c r="C9" i="2"/>
  <c r="E6" i="2"/>
  <c r="I6" i="2"/>
  <c r="M6" i="2"/>
  <c r="Q6" i="2"/>
  <c r="F7" i="2"/>
  <c r="J7" i="2"/>
  <c r="N7" i="2"/>
  <c r="R7" i="2"/>
  <c r="C4" i="2"/>
  <c r="E5" i="2"/>
  <c r="G5" i="2"/>
  <c r="Q5" i="2"/>
  <c r="M5" i="2"/>
  <c r="I5" i="2"/>
  <c r="Q4" i="2"/>
  <c r="M4" i="2"/>
  <c r="I4" i="2"/>
  <c r="C5" i="2"/>
  <c r="E4" i="2"/>
  <c r="G4" i="2"/>
  <c r="P5" i="2"/>
  <c r="L5" i="2"/>
  <c r="H5" i="2"/>
  <c r="P4" i="2"/>
  <c r="L4" i="2"/>
  <c r="H4" i="2"/>
  <c r="D4" i="2"/>
  <c r="F5" i="2"/>
  <c r="S5" i="2"/>
  <c r="O5" i="2"/>
  <c r="K5" i="2"/>
  <c r="S4" i="2"/>
  <c r="O4" i="2"/>
  <c r="K4" i="2"/>
  <c r="T4" i="2"/>
  <c r="D5" i="2"/>
  <c r="F4" i="2"/>
  <c r="R5" i="2"/>
  <c r="N5" i="2"/>
  <c r="J5" i="2"/>
  <c r="R4" i="2"/>
  <c r="N4" i="2"/>
  <c r="J4" i="2"/>
  <c r="K25" i="9"/>
  <c r="P2" i="11"/>
  <c r="J25" i="9"/>
  <c r="T25" i="11"/>
  <c r="K25" i="11"/>
  <c r="E2" i="9"/>
  <c r="Q2" i="8"/>
  <c r="R25" i="10"/>
  <c r="H2" i="11"/>
  <c r="G25" i="8"/>
  <c r="Q2" i="10"/>
  <c r="D25" i="10"/>
  <c r="S25" i="8"/>
  <c r="F25" i="9"/>
  <c r="F2" i="8"/>
  <c r="P25" i="11"/>
  <c r="J2" i="11"/>
  <c r="T2" i="10"/>
  <c r="K25" i="8"/>
  <c r="N25" i="9"/>
  <c r="F25" i="8"/>
  <c r="L25" i="10"/>
  <c r="U2" i="8"/>
  <c r="C25" i="11"/>
  <c r="P25" i="10"/>
  <c r="G2" i="8"/>
  <c r="E2" i="10"/>
  <c r="U25" i="9"/>
  <c r="F25" i="10"/>
  <c r="L25" i="11"/>
  <c r="J25" i="8"/>
  <c r="R2" i="11"/>
  <c r="N25" i="11"/>
  <c r="I25" i="9"/>
  <c r="Q2" i="11"/>
  <c r="T25" i="8"/>
  <c r="L2" i="8"/>
  <c r="P2" i="10"/>
  <c r="L25" i="9"/>
  <c r="R25" i="8"/>
  <c r="F25" i="11"/>
  <c r="S25" i="11"/>
  <c r="O25" i="9"/>
  <c r="T2" i="9"/>
  <c r="U2" i="11"/>
  <c r="U25" i="11"/>
  <c r="J2" i="8"/>
  <c r="N2" i="9"/>
  <c r="J2" i="9"/>
  <c r="D2" i="11"/>
  <c r="O25" i="10"/>
  <c r="C25" i="10"/>
  <c r="S25" i="10"/>
  <c r="K2" i="11"/>
  <c r="H25" i="10"/>
  <c r="N2" i="8"/>
  <c r="C2" i="10"/>
  <c r="M2" i="8"/>
  <c r="H25" i="8"/>
  <c r="I2" i="10"/>
  <c r="I2" i="11"/>
  <c r="L2" i="10"/>
  <c r="N2" i="10"/>
  <c r="H2" i="8"/>
  <c r="S2" i="8"/>
  <c r="C2" i="8"/>
  <c r="L2" i="9"/>
  <c r="O2" i="9"/>
  <c r="R2" i="10"/>
  <c r="J25" i="10"/>
  <c r="I25" i="10"/>
  <c r="O25" i="11"/>
  <c r="T25" i="10"/>
  <c r="M25" i="10"/>
  <c r="K25" i="10"/>
  <c r="N25" i="8"/>
  <c r="G2" i="9"/>
  <c r="E25" i="8"/>
  <c r="F2" i="9"/>
  <c r="F2" i="11"/>
  <c r="J25" i="11"/>
  <c r="F2" i="10"/>
  <c r="K2" i="9"/>
  <c r="S2" i="11"/>
  <c r="E25" i="10"/>
  <c r="C25" i="9"/>
  <c r="E25" i="11"/>
  <c r="Q2" i="9"/>
  <c r="H2" i="9"/>
  <c r="G2" i="11"/>
  <c r="I2" i="9"/>
  <c r="P25" i="9"/>
  <c r="M2" i="9"/>
  <c r="K2" i="8"/>
  <c r="H25" i="9"/>
  <c r="D25" i="11"/>
  <c r="D2" i="8"/>
  <c r="C25" i="8"/>
  <c r="L25" i="8"/>
  <c r="N25" i="10"/>
  <c r="G2" i="10"/>
  <c r="T2" i="11"/>
  <c r="R25" i="11"/>
  <c r="L2" i="11"/>
  <c r="H25" i="11"/>
  <c r="I2" i="8"/>
  <c r="P2" i="9"/>
  <c r="Q25" i="10"/>
  <c r="R2" i="8"/>
  <c r="R2" i="9"/>
  <c r="Q25" i="8"/>
  <c r="D2" i="10"/>
  <c r="O2" i="10"/>
  <c r="D25" i="8"/>
  <c r="D25" i="9"/>
  <c r="U25" i="8"/>
  <c r="J2" i="10"/>
  <c r="S2" i="10"/>
  <c r="S2" i="9"/>
  <c r="T2" i="8"/>
  <c r="O2" i="8"/>
  <c r="M25" i="9"/>
  <c r="Q25" i="11"/>
  <c r="E2" i="8"/>
  <c r="K2" i="10"/>
  <c r="E2" i="11"/>
  <c r="M2" i="11"/>
  <c r="G25" i="10"/>
  <c r="S25" i="9"/>
  <c r="T25" i="9"/>
  <c r="I25" i="11"/>
  <c r="N2" i="11"/>
  <c r="D2" i="9"/>
  <c r="G25" i="9"/>
  <c r="R25" i="9"/>
  <c r="M25" i="11"/>
  <c r="H2" i="10"/>
  <c r="P25" i="8"/>
  <c r="C2" i="11"/>
  <c r="E25" i="9"/>
  <c r="M25" i="8"/>
  <c r="O25" i="8"/>
  <c r="P2" i="8"/>
  <c r="U25" i="10"/>
  <c r="U2" i="9"/>
  <c r="Q25" i="9"/>
  <c r="O2" i="11"/>
  <c r="U2" i="10"/>
  <c r="G25" i="11"/>
  <c r="I25" i="8"/>
  <c r="M2" i="10"/>
  <c r="C2" i="9"/>
  <c r="K4" i="12" l="1"/>
  <c r="K3" i="12"/>
  <c r="I4" i="12"/>
  <c r="J3" i="12"/>
  <c r="H4" i="12"/>
  <c r="J4" i="12"/>
  <c r="H3" i="12"/>
  <c r="L4" i="12"/>
  <c r="I3" i="12"/>
  <c r="L3" i="12"/>
  <c r="L23" i="10"/>
  <c r="L8" i="10"/>
  <c r="S34" i="11"/>
  <c r="G38" i="11"/>
  <c r="R40" i="11"/>
  <c r="N23" i="10"/>
  <c r="C3" i="11"/>
  <c r="U39" i="11"/>
  <c r="L7" i="11"/>
  <c r="Q29" i="10"/>
  <c r="D23" i="10"/>
  <c r="S14" i="11"/>
  <c r="F27" i="11"/>
  <c r="G3" i="3"/>
  <c r="G23" i="10"/>
  <c r="K36" i="11"/>
  <c r="G10" i="8"/>
  <c r="Q18" i="11"/>
  <c r="S13" i="9"/>
  <c r="I18" i="9"/>
  <c r="G7" i="10"/>
  <c r="M35" i="9"/>
  <c r="J30" i="10"/>
  <c r="E43" i="10"/>
  <c r="T22" i="11"/>
  <c r="H38" i="10"/>
  <c r="I13" i="11"/>
  <c r="I6" i="9"/>
  <c r="P33" i="9"/>
  <c r="U14" i="3"/>
  <c r="J4" i="3"/>
  <c r="F38" i="11"/>
  <c r="N9" i="10"/>
  <c r="S6" i="10"/>
  <c r="K20" i="11"/>
  <c r="T4" i="10"/>
  <c r="H29" i="10"/>
  <c r="S17" i="10"/>
  <c r="P13" i="11"/>
  <c r="N10" i="11"/>
  <c r="D45" i="11"/>
  <c r="T14" i="3"/>
  <c r="F38" i="9"/>
  <c r="H19" i="11"/>
  <c r="U45" i="10"/>
  <c r="G27" i="9"/>
  <c r="C32" i="10"/>
  <c r="C37" i="10"/>
  <c r="C19" i="9"/>
  <c r="L20" i="11"/>
  <c r="D33" i="11"/>
  <c r="N32" i="8"/>
  <c r="R33" i="8"/>
  <c r="S16" i="10"/>
  <c r="P34" i="10"/>
  <c r="M14" i="11"/>
  <c r="C10" i="9"/>
  <c r="D39" i="11"/>
  <c r="P18" i="10"/>
  <c r="K3" i="10"/>
  <c r="K9" i="11"/>
  <c r="O26" i="11"/>
  <c r="L37" i="11"/>
  <c r="H6" i="9"/>
  <c r="U18" i="10"/>
  <c r="D18" i="10"/>
  <c r="O31" i="10"/>
  <c r="M44" i="8"/>
  <c r="I42" i="10"/>
  <c r="K28" i="10"/>
  <c r="G37" i="10"/>
  <c r="P26" i="11"/>
  <c r="T4" i="9"/>
  <c r="F40" i="10"/>
  <c r="Q12" i="10"/>
  <c r="I31" i="8"/>
  <c r="I9" i="10"/>
  <c r="T34" i="10"/>
  <c r="I33" i="11"/>
  <c r="S37" i="9"/>
  <c r="N26" i="10"/>
  <c r="F6" i="11"/>
  <c r="C27" i="11"/>
  <c r="P4" i="10"/>
  <c r="U8" i="11"/>
  <c r="T42" i="10"/>
  <c r="F21" i="10"/>
  <c r="L12" i="10"/>
  <c r="R21" i="11"/>
  <c r="U34" i="11"/>
  <c r="R20" i="3"/>
  <c r="P44" i="10"/>
  <c r="O5" i="3"/>
  <c r="L46" i="11"/>
  <c r="L11" i="11"/>
  <c r="D45" i="10"/>
  <c r="T42" i="11"/>
  <c r="P15" i="9"/>
  <c r="C9" i="10"/>
  <c r="R16" i="10"/>
  <c r="K19" i="10"/>
  <c r="S33" i="11"/>
  <c r="M27" i="9"/>
  <c r="D32" i="3"/>
  <c r="F10" i="10"/>
  <c r="H8" i="9"/>
  <c r="K27" i="11"/>
  <c r="J23" i="8"/>
  <c r="S9" i="8"/>
  <c r="P43" i="11"/>
  <c r="K28" i="11"/>
  <c r="J13" i="11"/>
  <c r="U15" i="11"/>
  <c r="P35" i="10"/>
  <c r="O28" i="11"/>
  <c r="O29" i="11"/>
  <c r="R10" i="10"/>
  <c r="J22" i="11"/>
  <c r="R6" i="11"/>
  <c r="Q23" i="9"/>
  <c r="T28" i="3"/>
  <c r="F41" i="9"/>
  <c r="C9" i="9"/>
  <c r="C41" i="10"/>
  <c r="U30" i="10"/>
  <c r="S17" i="11"/>
  <c r="S3" i="11"/>
  <c r="D36" i="3"/>
  <c r="Q38" i="11"/>
  <c r="N37" i="11"/>
  <c r="M23" i="10"/>
  <c r="M22" i="10"/>
  <c r="H29" i="11"/>
  <c r="U7" i="11"/>
  <c r="C7" i="10"/>
  <c r="H14" i="10"/>
  <c r="S36" i="3"/>
  <c r="K18" i="11"/>
  <c r="R27" i="9"/>
  <c r="N3" i="10"/>
  <c r="U5" i="3"/>
  <c r="Q45" i="10"/>
  <c r="E9" i="9"/>
  <c r="S6" i="11"/>
  <c r="F33" i="9"/>
  <c r="Q30" i="3"/>
  <c r="P23" i="11"/>
  <c r="D28" i="9"/>
  <c r="T28" i="8"/>
  <c r="R28" i="11"/>
  <c r="C34" i="9"/>
  <c r="Q46" i="11"/>
  <c r="N19" i="11"/>
  <c r="G42" i="9"/>
  <c r="C8" i="11"/>
  <c r="G6" i="9"/>
  <c r="E38" i="9"/>
  <c r="I19" i="3"/>
  <c r="M35" i="11"/>
  <c r="D20" i="8"/>
  <c r="Q20" i="11"/>
  <c r="C26" i="10"/>
  <c r="P37" i="11"/>
  <c r="E4" i="3"/>
  <c r="U10" i="11"/>
  <c r="P8" i="11"/>
  <c r="S10" i="11"/>
  <c r="I16" i="11"/>
  <c r="R42" i="10"/>
  <c r="I35" i="8"/>
  <c r="E5" i="9"/>
  <c r="K16" i="8"/>
  <c r="G4" i="8"/>
  <c r="H30" i="8"/>
  <c r="J26" i="3"/>
  <c r="G20" i="11"/>
  <c r="C30" i="9"/>
  <c r="F32" i="10"/>
  <c r="P32" i="8"/>
  <c r="T22" i="9"/>
  <c r="I9" i="11"/>
  <c r="J33" i="8"/>
  <c r="R21" i="9"/>
  <c r="R19" i="8"/>
  <c r="N35" i="10"/>
  <c r="M35" i="10"/>
  <c r="E17" i="10"/>
  <c r="F5" i="10"/>
  <c r="O38" i="11"/>
  <c r="T45" i="9"/>
  <c r="E35" i="10"/>
  <c r="N31" i="10"/>
  <c r="F23" i="11"/>
  <c r="S11" i="11"/>
  <c r="C21" i="11"/>
  <c r="D46" i="10"/>
  <c r="R35" i="10"/>
  <c r="T6" i="11"/>
  <c r="C4" i="3"/>
  <c r="G30" i="9"/>
  <c r="J29" i="11"/>
  <c r="E16" i="10"/>
  <c r="D35" i="11"/>
  <c r="N26" i="8"/>
  <c r="S27" i="11"/>
  <c r="S5" i="8"/>
  <c r="M36" i="10"/>
  <c r="T8" i="8"/>
  <c r="G39" i="10"/>
  <c r="S16" i="11"/>
  <c r="C13" i="8"/>
  <c r="T40" i="11"/>
  <c r="N19" i="10"/>
  <c r="M9" i="9"/>
  <c r="F11" i="11"/>
  <c r="M18" i="10"/>
  <c r="I33" i="9"/>
  <c r="F11" i="8"/>
  <c r="Q14" i="11"/>
  <c r="G33" i="10"/>
  <c r="C43" i="11"/>
  <c r="T17" i="10"/>
  <c r="I41" i="9"/>
  <c r="O13" i="11"/>
  <c r="Q29" i="11"/>
  <c r="N38" i="8"/>
  <c r="F10" i="3"/>
  <c r="O39" i="9"/>
  <c r="S27" i="9"/>
  <c r="Q13" i="11"/>
  <c r="M23" i="8"/>
  <c r="P20" i="10"/>
  <c r="H43" i="11"/>
  <c r="O36" i="8"/>
  <c r="M43" i="3"/>
  <c r="P46" i="10"/>
  <c r="D16" i="8"/>
  <c r="G14" i="9"/>
  <c r="R9" i="11"/>
  <c r="E30" i="10"/>
  <c r="F41" i="10"/>
  <c r="G29" i="11"/>
  <c r="G16" i="9"/>
  <c r="R20" i="8"/>
  <c r="R43" i="11"/>
  <c r="R37" i="3"/>
  <c r="I23" i="10"/>
  <c r="T22" i="10"/>
  <c r="T15" i="11"/>
  <c r="G5" i="9"/>
  <c r="I6" i="3"/>
  <c r="J11" i="10"/>
  <c r="J34" i="11"/>
  <c r="E22" i="10"/>
  <c r="E45" i="8"/>
  <c r="O23" i="10"/>
  <c r="G34" i="11"/>
  <c r="S36" i="8"/>
  <c r="E22" i="8"/>
  <c r="Q41" i="10"/>
  <c r="R44" i="11"/>
  <c r="L9" i="11"/>
  <c r="U4" i="10"/>
  <c r="N21" i="11"/>
  <c r="P36" i="9"/>
  <c r="C32" i="11"/>
  <c r="F17" i="10"/>
  <c r="R36" i="3"/>
  <c r="H16" i="11"/>
  <c r="M15" i="9"/>
  <c r="G10" i="10"/>
  <c r="U28" i="9"/>
  <c r="H5" i="8"/>
  <c r="O3" i="11"/>
  <c r="F37" i="9"/>
  <c r="N46" i="11"/>
  <c r="O37" i="11"/>
  <c r="K20" i="8"/>
  <c r="T31" i="10"/>
  <c r="G32" i="10"/>
  <c r="L36" i="10"/>
  <c r="R36" i="10"/>
  <c r="R18" i="11"/>
  <c r="J45" i="3"/>
  <c r="M7" i="11"/>
  <c r="Q3" i="11"/>
  <c r="U13" i="10"/>
  <c r="Q20" i="10"/>
  <c r="Q15" i="10"/>
  <c r="G17" i="8"/>
  <c r="J17" i="8"/>
  <c r="U16" i="9"/>
  <c r="J33" i="11"/>
  <c r="H37" i="11"/>
  <c r="U15" i="9"/>
  <c r="P23" i="10"/>
  <c r="T35" i="11"/>
  <c r="C40" i="10"/>
  <c r="I8" i="10"/>
  <c r="F30" i="10"/>
  <c r="R13" i="11"/>
  <c r="J18" i="11"/>
  <c r="M45" i="3"/>
  <c r="D27" i="3"/>
  <c r="T9" i="11"/>
  <c r="I10" i="11"/>
  <c r="Q5" i="8"/>
  <c r="U5" i="10"/>
  <c r="G21" i="9"/>
  <c r="R13" i="10"/>
  <c r="H45" i="9"/>
  <c r="Q23" i="10"/>
  <c r="E34" i="10"/>
  <c r="Q16" i="9"/>
  <c r="D20" i="11"/>
  <c r="Q38" i="9"/>
  <c r="F32" i="11"/>
  <c r="K45" i="9"/>
  <c r="K40" i="9"/>
  <c r="U4" i="11"/>
  <c r="L4" i="11"/>
  <c r="R36" i="11"/>
  <c r="N5" i="11"/>
  <c r="O6" i="10"/>
  <c r="H11" i="10"/>
  <c r="F37" i="11"/>
  <c r="J28" i="11"/>
  <c r="S42" i="11"/>
  <c r="I27" i="9"/>
  <c r="U8" i="10"/>
  <c r="Q34" i="11"/>
  <c r="Q31" i="10"/>
  <c r="L42" i="8"/>
  <c r="C17" i="11"/>
  <c r="Q37" i="8"/>
  <c r="H39" i="9"/>
  <c r="Q31" i="9"/>
  <c r="D43" i="3"/>
  <c r="G15" i="9"/>
  <c r="H18" i="10"/>
  <c r="S5" i="10"/>
  <c r="H32" i="10"/>
  <c r="C14" i="9"/>
  <c r="R15" i="3"/>
  <c r="I18" i="11"/>
  <c r="T3" i="10"/>
  <c r="S3" i="9"/>
  <c r="G8" i="8"/>
  <c r="G7" i="8"/>
  <c r="J23" i="9"/>
  <c r="R29" i="9"/>
  <c r="G35" i="10"/>
  <c r="Q37" i="10"/>
  <c r="Q7" i="11"/>
  <c r="K7" i="9"/>
  <c r="O21" i="9"/>
  <c r="N37" i="10"/>
  <c r="I11" i="9"/>
  <c r="C29" i="11"/>
  <c r="H44" i="8"/>
  <c r="E28" i="10"/>
  <c r="K17" i="11"/>
  <c r="T14" i="10"/>
  <c r="N16" i="8"/>
  <c r="I38" i="11"/>
  <c r="E7" i="11"/>
  <c r="O45" i="11"/>
  <c r="D16" i="9"/>
  <c r="C26" i="9"/>
  <c r="R27" i="10"/>
  <c r="T16" i="11"/>
  <c r="G41" i="8"/>
  <c r="O7" i="9"/>
  <c r="U21" i="9"/>
  <c r="U3" i="11"/>
  <c r="E36" i="10"/>
  <c r="J27" i="10"/>
  <c r="F13" i="9"/>
  <c r="C30" i="10"/>
  <c r="R41" i="10"/>
  <c r="U9" i="3"/>
  <c r="R27" i="11"/>
  <c r="S28" i="11"/>
  <c r="L41" i="11"/>
  <c r="K44" i="10"/>
  <c r="Q9" i="11"/>
  <c r="C5" i="10"/>
  <c r="E13" i="11"/>
  <c r="M32" i="3"/>
  <c r="R3" i="10"/>
  <c r="H14" i="8"/>
  <c r="G21" i="11"/>
  <c r="O39" i="10"/>
  <c r="N41" i="10"/>
  <c r="L12" i="11"/>
  <c r="E39" i="11"/>
  <c r="L33" i="11"/>
  <c r="K22" i="10"/>
  <c r="L14" i="10"/>
  <c r="F39" i="11"/>
  <c r="L33" i="8"/>
  <c r="G44" i="8"/>
  <c r="P5" i="9"/>
  <c r="D21" i="9"/>
  <c r="G11" i="8"/>
  <c r="M34" i="11"/>
  <c r="P37" i="10"/>
  <c r="E30" i="9"/>
  <c r="E21" i="10"/>
  <c r="H30" i="11"/>
  <c r="T29" i="10"/>
  <c r="I15" i="3"/>
  <c r="E44" i="8"/>
  <c r="D27" i="10"/>
  <c r="P3" i="11"/>
  <c r="S16" i="8"/>
  <c r="O19" i="11"/>
  <c r="P42" i="10"/>
  <c r="N15" i="11"/>
  <c r="F34" i="8"/>
  <c r="O3" i="10"/>
  <c r="P40" i="10"/>
  <c r="L33" i="10"/>
  <c r="O12" i="10"/>
  <c r="D11" i="11"/>
  <c r="K13" i="8"/>
  <c r="N29" i="10"/>
  <c r="I12" i="10"/>
  <c r="I19" i="11"/>
  <c r="N11" i="10"/>
  <c r="T36" i="10"/>
  <c r="F13" i="8"/>
  <c r="S22" i="11"/>
  <c r="M31" i="8"/>
  <c r="E32" i="11"/>
  <c r="S27" i="8"/>
  <c r="I22" i="11"/>
  <c r="O29" i="9"/>
  <c r="P21" i="11"/>
  <c r="H13" i="11"/>
  <c r="J22" i="10"/>
  <c r="F40" i="9"/>
  <c r="I29" i="10"/>
  <c r="M39" i="10"/>
  <c r="R18" i="10"/>
  <c r="P45" i="9"/>
  <c r="L43" i="10"/>
  <c r="T45" i="3"/>
  <c r="Q6" i="10"/>
  <c r="P10" i="11"/>
  <c r="P4" i="11"/>
  <c r="K34" i="10"/>
  <c r="Q37" i="11"/>
  <c r="J3" i="8"/>
  <c r="R7" i="10"/>
  <c r="G3" i="9"/>
  <c r="N7" i="9"/>
  <c r="M14" i="10"/>
  <c r="P31" i="11"/>
  <c r="D5" i="11"/>
  <c r="E42" i="11"/>
  <c r="H7" i="10"/>
  <c r="P9" i="11"/>
  <c r="C15" i="11"/>
  <c r="F18" i="10"/>
  <c r="I22" i="9"/>
  <c r="F29" i="11"/>
  <c r="P46" i="9"/>
  <c r="H12" i="8"/>
  <c r="H20" i="10"/>
  <c r="L15" i="10"/>
  <c r="J16" i="9"/>
  <c r="R45" i="10"/>
  <c r="Q19" i="10"/>
  <c r="N13" i="11"/>
  <c r="D3" i="11"/>
  <c r="L6" i="8"/>
  <c r="C27" i="10"/>
  <c r="O28" i="9"/>
  <c r="E11" i="10"/>
  <c r="F40" i="11"/>
  <c r="C10" i="3"/>
  <c r="J17" i="11"/>
  <c r="U15" i="10"/>
  <c r="I3" i="11"/>
  <c r="I21" i="10"/>
  <c r="N29" i="11"/>
  <c r="E35" i="11"/>
  <c r="Q40" i="10"/>
  <c r="F16" i="11"/>
  <c r="P45" i="10"/>
  <c r="L26" i="8"/>
  <c r="P7" i="9"/>
  <c r="G13" i="8"/>
  <c r="M16" i="9"/>
  <c r="H18" i="8"/>
  <c r="L20" i="9"/>
  <c r="I5" i="11"/>
  <c r="I19" i="9"/>
  <c r="L38" i="10"/>
  <c r="C8" i="10"/>
  <c r="R33" i="9"/>
  <c r="F8" i="10"/>
  <c r="I18" i="10"/>
  <c r="E31" i="11"/>
  <c r="K44" i="9"/>
  <c r="H33" i="9"/>
  <c r="M17" i="11"/>
  <c r="F20" i="8"/>
  <c r="J17" i="9"/>
  <c r="P22" i="3"/>
  <c r="Q22" i="9"/>
  <c r="G8" i="3"/>
  <c r="L8" i="9"/>
  <c r="C12" i="10"/>
  <c r="S44" i="11"/>
  <c r="F28" i="10"/>
  <c r="I19" i="10"/>
  <c r="G32" i="11"/>
  <c r="C18" i="8"/>
  <c r="G22" i="11"/>
  <c r="R39" i="10"/>
  <c r="D37" i="10"/>
  <c r="R31" i="9"/>
  <c r="G27" i="11"/>
  <c r="I32" i="11"/>
  <c r="J4" i="9"/>
  <c r="O14" i="10"/>
  <c r="J35" i="9"/>
  <c r="U21" i="10"/>
  <c r="T28" i="11"/>
  <c r="T29" i="9"/>
  <c r="F31" i="10"/>
  <c r="L41" i="9"/>
  <c r="N44" i="9"/>
  <c r="M38" i="10"/>
  <c r="Q23" i="8"/>
  <c r="M39" i="3"/>
  <c r="O11" i="10"/>
  <c r="L38" i="11"/>
  <c r="O18" i="3"/>
  <c r="M32" i="9"/>
  <c r="P13" i="10"/>
  <c r="K10" i="11"/>
  <c r="M7" i="8"/>
  <c r="G21" i="10"/>
  <c r="D12" i="10"/>
  <c r="P19" i="10"/>
  <c r="M42" i="10"/>
  <c r="L22" i="3"/>
  <c r="S13" i="8"/>
  <c r="F17" i="3"/>
  <c r="H6" i="11"/>
  <c r="J16" i="11"/>
  <c r="E17" i="3"/>
  <c r="L36" i="11"/>
  <c r="L11" i="10"/>
  <c r="G6" i="11"/>
  <c r="D41" i="8"/>
  <c r="N16" i="9"/>
  <c r="M5" i="10"/>
  <c r="C23" i="9"/>
  <c r="F42" i="10"/>
  <c r="F42" i="9"/>
  <c r="I3" i="10"/>
  <c r="R40" i="8"/>
  <c r="I32" i="8"/>
  <c r="G8" i="11"/>
  <c r="J23" i="11"/>
  <c r="S23" i="9"/>
  <c r="S21" i="3"/>
  <c r="R42" i="9"/>
  <c r="U22" i="11"/>
  <c r="O20" i="11"/>
  <c r="E34" i="11"/>
  <c r="Q16" i="10"/>
  <c r="M30" i="11"/>
  <c r="M7" i="9"/>
  <c r="Q21" i="11"/>
  <c r="N5" i="10"/>
  <c r="K15" i="3"/>
  <c r="S16" i="9"/>
  <c r="C46" i="11"/>
  <c r="R37" i="11"/>
  <c r="R22" i="11"/>
  <c r="U6" i="9"/>
  <c r="H28" i="3"/>
  <c r="R23" i="8"/>
  <c r="S34" i="8"/>
  <c r="N12" i="9"/>
  <c r="K33" i="8"/>
  <c r="P43" i="3"/>
  <c r="Q5" i="9"/>
  <c r="G12" i="11"/>
  <c r="R35" i="9"/>
  <c r="L5" i="11"/>
  <c r="K12" i="11"/>
  <c r="O4" i="11"/>
  <c r="R28" i="9"/>
  <c r="H41" i="9"/>
  <c r="T23" i="11"/>
  <c r="E20" i="11"/>
  <c r="R8" i="10"/>
  <c r="J10" i="9"/>
  <c r="U34" i="3"/>
  <c r="T13" i="11"/>
  <c r="S4" i="10"/>
  <c r="L32" i="9"/>
  <c r="S20" i="11"/>
  <c r="K41" i="10"/>
  <c r="H34" i="11"/>
  <c r="R3" i="11"/>
  <c r="T4" i="11"/>
  <c r="F15" i="10"/>
  <c r="E29" i="10"/>
  <c r="J39" i="11"/>
  <c r="O4" i="10"/>
  <c r="U8" i="8"/>
  <c r="R32" i="9"/>
  <c r="N38" i="10"/>
  <c r="O11" i="11"/>
  <c r="E3" i="11"/>
  <c r="O37" i="9"/>
  <c r="I20" i="3"/>
  <c r="E33" i="8"/>
  <c r="U41" i="10"/>
  <c r="I41" i="10"/>
  <c r="E44" i="10"/>
  <c r="U13" i="11"/>
  <c r="C15" i="10"/>
  <c r="D41" i="11"/>
  <c r="P15" i="10"/>
  <c r="F7" i="10"/>
  <c r="J26" i="10"/>
  <c r="T38" i="11"/>
  <c r="D19" i="10"/>
  <c r="K36" i="3"/>
  <c r="J29" i="8"/>
  <c r="H21" i="8"/>
  <c r="U23" i="10"/>
  <c r="R19" i="10"/>
  <c r="D17" i="10"/>
  <c r="I43" i="8"/>
  <c r="D30" i="3"/>
  <c r="T28" i="9"/>
  <c r="T12" i="11"/>
  <c r="P14" i="9"/>
  <c r="S30" i="11"/>
  <c r="R11" i="11"/>
  <c r="L43" i="3"/>
  <c r="E22" i="3"/>
  <c r="K42" i="11"/>
  <c r="O42" i="9"/>
  <c r="U18" i="11"/>
  <c r="T33" i="10"/>
  <c r="M34" i="9"/>
  <c r="J3" i="3"/>
  <c r="D37" i="11"/>
  <c r="D34" i="11"/>
  <c r="R13" i="8"/>
  <c r="G3" i="10"/>
  <c r="P45" i="11"/>
  <c r="C18" i="10"/>
  <c r="P22" i="9"/>
  <c r="P27" i="11"/>
  <c r="L39" i="10"/>
  <c r="C41" i="11"/>
  <c r="H45" i="10"/>
  <c r="U34" i="10"/>
  <c r="D4" i="10"/>
  <c r="D40" i="11"/>
  <c r="Q15" i="11"/>
  <c r="I29" i="9"/>
  <c r="F31" i="11"/>
  <c r="H23" i="9"/>
  <c r="F20" i="9"/>
  <c r="S7" i="8"/>
  <c r="S15" i="11"/>
  <c r="G19" i="10"/>
  <c r="C30" i="11"/>
  <c r="F26" i="8"/>
  <c r="G17" i="11"/>
  <c r="E10" i="9"/>
  <c r="S12" i="10"/>
  <c r="O42" i="3"/>
  <c r="O5" i="10"/>
  <c r="J40" i="11"/>
  <c r="E10" i="3"/>
  <c r="S13" i="10"/>
  <c r="S38" i="10"/>
  <c r="O4" i="8"/>
  <c r="H38" i="9"/>
  <c r="C15" i="9"/>
  <c r="G23" i="9"/>
  <c r="U31" i="3"/>
  <c r="M45" i="10"/>
  <c r="Q4" i="8"/>
  <c r="R33" i="11"/>
  <c r="N46" i="9"/>
  <c r="I10" i="9"/>
  <c r="K14" i="10"/>
  <c r="L19" i="3"/>
  <c r="G8" i="10"/>
  <c r="O26" i="3"/>
  <c r="C17" i="9"/>
  <c r="N17" i="10"/>
  <c r="P7" i="11"/>
  <c r="C14" i="11"/>
  <c r="C18" i="11"/>
  <c r="P36" i="11"/>
  <c r="F17" i="11"/>
  <c r="R46" i="10"/>
  <c r="J14" i="10"/>
  <c r="D42" i="8"/>
  <c r="G14" i="10"/>
  <c r="D14" i="9"/>
  <c r="O16" i="3"/>
  <c r="E37" i="10"/>
  <c r="R16" i="9"/>
  <c r="R38" i="10"/>
  <c r="N29" i="3"/>
  <c r="M13" i="11"/>
  <c r="I45" i="8"/>
  <c r="U33" i="11"/>
  <c r="L13" i="11"/>
  <c r="S36" i="10"/>
  <c r="M19" i="11"/>
  <c r="T40" i="8"/>
  <c r="S28" i="10"/>
  <c r="G43" i="11"/>
  <c r="R9" i="10"/>
  <c r="J16" i="10"/>
  <c r="T42" i="9"/>
  <c r="I19" i="8"/>
  <c r="N13" i="8"/>
  <c r="P23" i="3"/>
  <c r="U35" i="3"/>
  <c r="O9" i="10"/>
  <c r="G31" i="10"/>
  <c r="Q8" i="11"/>
  <c r="E16" i="11"/>
  <c r="P36" i="10"/>
  <c r="Q35" i="11"/>
  <c r="J44" i="8"/>
  <c r="G42" i="3"/>
  <c r="H16" i="10"/>
  <c r="L40" i="3"/>
  <c r="K40" i="10"/>
  <c r="H39" i="11"/>
  <c r="I30" i="3"/>
  <c r="G30" i="11"/>
  <c r="R9" i="9"/>
  <c r="R32" i="8"/>
  <c r="K41" i="8"/>
  <c r="R28" i="3"/>
  <c r="T3" i="11"/>
  <c r="H46" i="3"/>
  <c r="O28" i="10"/>
  <c r="I41" i="8"/>
  <c r="L8" i="11"/>
  <c r="U30" i="9"/>
  <c r="M31" i="11"/>
  <c r="Q14" i="10"/>
  <c r="O40" i="10"/>
  <c r="C29" i="8"/>
  <c r="D7" i="11"/>
  <c r="R26" i="10"/>
  <c r="G39" i="9"/>
  <c r="P5" i="11"/>
  <c r="N18" i="10"/>
  <c r="E8" i="10"/>
  <c r="I6" i="11"/>
  <c r="M37" i="11"/>
  <c r="U26" i="8"/>
  <c r="J27" i="9"/>
  <c r="C35" i="10"/>
  <c r="L29" i="9"/>
  <c r="Q26" i="3"/>
  <c r="J35" i="11"/>
  <c r="J15" i="10"/>
  <c r="Q39" i="11"/>
  <c r="D28" i="11"/>
  <c r="M17" i="10"/>
  <c r="M33" i="10"/>
  <c r="H44" i="10"/>
  <c r="I26" i="10"/>
  <c r="G33" i="8"/>
  <c r="O3" i="8"/>
  <c r="L21" i="10"/>
  <c r="U12" i="11"/>
  <c r="T23" i="10"/>
  <c r="Q44" i="11"/>
  <c r="O7" i="10"/>
  <c r="H26" i="11"/>
  <c r="G35" i="11"/>
  <c r="O12" i="11"/>
  <c r="H11" i="11"/>
  <c r="T19" i="10"/>
  <c r="S31" i="8"/>
  <c r="R5" i="11"/>
  <c r="F26" i="11"/>
  <c r="M33" i="8"/>
  <c r="O35" i="10"/>
  <c r="T17" i="8"/>
  <c r="K33" i="3"/>
  <c r="I28" i="10"/>
  <c r="O20" i="3"/>
  <c r="D40" i="9"/>
  <c r="I13" i="3"/>
  <c r="G41" i="11"/>
  <c r="I22" i="10"/>
  <c r="M20" i="9"/>
  <c r="J9" i="11"/>
  <c r="H22" i="11"/>
  <c r="L11" i="3"/>
  <c r="G17" i="9"/>
  <c r="G38" i="9"/>
  <c r="J17" i="10"/>
  <c r="O27" i="11"/>
  <c r="E16" i="9"/>
  <c r="I27" i="11"/>
  <c r="G10" i="3"/>
  <c r="D43" i="10"/>
  <c r="S43" i="9"/>
  <c r="M9" i="3"/>
  <c r="E15" i="9"/>
  <c r="C16" i="9"/>
  <c r="D15" i="11"/>
  <c r="K46" i="11"/>
  <c r="F44" i="11"/>
  <c r="R19" i="11"/>
  <c r="U6" i="8"/>
  <c r="S31" i="9"/>
  <c r="F41" i="11"/>
  <c r="T41" i="11"/>
  <c r="D11" i="10"/>
  <c r="S35" i="11"/>
  <c r="D19" i="3"/>
  <c r="R3" i="9"/>
  <c r="C7" i="11"/>
  <c r="K32" i="9"/>
  <c r="F46" i="8"/>
  <c r="J23" i="10"/>
  <c r="P11" i="11"/>
  <c r="R15" i="10"/>
  <c r="E27" i="10"/>
  <c r="M10" i="9"/>
  <c r="K43" i="10"/>
  <c r="O30" i="11"/>
  <c r="D16" i="3"/>
  <c r="E38" i="11"/>
  <c r="L14" i="9"/>
  <c r="Q28" i="11"/>
  <c r="F6" i="10"/>
  <c r="L5" i="10"/>
  <c r="M34" i="8"/>
  <c r="L31" i="10"/>
  <c r="H36" i="8"/>
  <c r="G43" i="8"/>
  <c r="L7" i="9"/>
  <c r="Q21" i="10"/>
  <c r="L8" i="8"/>
  <c r="N35" i="9"/>
  <c r="D23" i="11"/>
  <c r="E6" i="8"/>
  <c r="E43" i="11"/>
  <c r="H4" i="9"/>
  <c r="J45" i="9"/>
  <c r="H46" i="9"/>
  <c r="E26" i="10"/>
  <c r="T41" i="8"/>
  <c r="J15" i="11"/>
  <c r="U20" i="3"/>
  <c r="N6" i="10"/>
  <c r="L22" i="8"/>
  <c r="K37" i="8"/>
  <c r="P45" i="3"/>
  <c r="F38" i="8"/>
  <c r="U23" i="11"/>
  <c r="I35" i="9"/>
  <c r="G46" i="10"/>
  <c r="T31" i="11"/>
  <c r="P30" i="10"/>
  <c r="O20" i="10"/>
  <c r="U38" i="11"/>
  <c r="I9" i="9"/>
  <c r="U36" i="11"/>
  <c r="D14" i="11"/>
  <c r="F39" i="3"/>
  <c r="Q39" i="3"/>
  <c r="H40" i="8"/>
  <c r="N22" i="10"/>
  <c r="G5" i="11"/>
  <c r="R38" i="3"/>
  <c r="E29" i="11"/>
  <c r="T21" i="10"/>
  <c r="E40" i="11"/>
  <c r="G19" i="9"/>
  <c r="E37" i="11"/>
  <c r="D20" i="10"/>
  <c r="I38" i="9"/>
  <c r="N34" i="9"/>
  <c r="O18" i="10"/>
  <c r="I8" i="8"/>
  <c r="H17" i="3"/>
  <c r="N9" i="11"/>
  <c r="O23" i="11"/>
  <c r="G34" i="9"/>
  <c r="U44" i="11"/>
  <c r="F27" i="3"/>
  <c r="S21" i="11"/>
  <c r="J32" i="10"/>
  <c r="U31" i="11"/>
  <c r="J7" i="11"/>
  <c r="L3" i="10"/>
  <c r="F35" i="9"/>
  <c r="E17" i="11"/>
  <c r="U5" i="8"/>
  <c r="K5" i="11"/>
  <c r="C21" i="3"/>
  <c r="M18" i="3"/>
  <c r="U32" i="10"/>
  <c r="M40" i="10"/>
  <c r="K21" i="11"/>
  <c r="R4" i="11"/>
  <c r="G11" i="9"/>
  <c r="Q19" i="11"/>
  <c r="M46" i="9"/>
  <c r="L28" i="11"/>
  <c r="K26" i="9"/>
  <c r="J3" i="11"/>
  <c r="N46" i="10"/>
  <c r="C45" i="11"/>
  <c r="Q43" i="9"/>
  <c r="S40" i="9"/>
  <c r="U23" i="9"/>
  <c r="T12" i="9"/>
  <c r="O10" i="10"/>
  <c r="G12" i="10"/>
  <c r="Q36" i="10"/>
  <c r="F33" i="10"/>
  <c r="N23" i="9"/>
  <c r="M5" i="3"/>
  <c r="I17" i="10"/>
  <c r="I7" i="8"/>
  <c r="M31" i="10"/>
  <c r="M30" i="9"/>
  <c r="D33" i="8"/>
  <c r="K9" i="8"/>
  <c r="R3" i="3"/>
  <c r="Q46" i="8"/>
  <c r="F15" i="3"/>
  <c r="S22" i="3"/>
  <c r="O19" i="10"/>
  <c r="N45" i="3"/>
  <c r="K11" i="3"/>
  <c r="S44" i="10"/>
  <c r="G46" i="11"/>
  <c r="Q9" i="9"/>
  <c r="M45" i="11"/>
  <c r="M9" i="10"/>
  <c r="U36" i="8"/>
  <c r="I43" i="3"/>
  <c r="L17" i="8"/>
  <c r="J28" i="9"/>
  <c r="L29" i="11"/>
  <c r="R21" i="8"/>
  <c r="R27" i="3"/>
  <c r="H10" i="11"/>
  <c r="U23" i="8"/>
  <c r="Q36" i="11"/>
  <c r="P29" i="9"/>
  <c r="S4" i="9"/>
  <c r="F36" i="9"/>
  <c r="L17" i="9"/>
  <c r="M14" i="8"/>
  <c r="Q28" i="9"/>
  <c r="O26" i="10"/>
  <c r="U16" i="11"/>
  <c r="C16" i="3"/>
  <c r="U44" i="3"/>
  <c r="L3" i="3"/>
  <c r="U33" i="10"/>
  <c r="K5" i="3"/>
  <c r="O17" i="11"/>
  <c r="N39" i="10"/>
  <c r="E32" i="10"/>
  <c r="D22" i="11"/>
  <c r="S45" i="11"/>
  <c r="K44" i="8"/>
  <c r="M37" i="9"/>
  <c r="O10" i="8"/>
  <c r="Q9" i="10"/>
  <c r="U22" i="10"/>
  <c r="M41" i="10"/>
  <c r="S30" i="8"/>
  <c r="K27" i="9"/>
  <c r="K41" i="11"/>
  <c r="Q10" i="9"/>
  <c r="I39" i="10"/>
  <c r="M15" i="10"/>
  <c r="T16" i="9"/>
  <c r="T15" i="10"/>
  <c r="I11" i="8"/>
  <c r="F5" i="9"/>
  <c r="O33" i="11"/>
  <c r="F13" i="10"/>
  <c r="J40" i="3"/>
  <c r="U11" i="8"/>
  <c r="D41" i="3"/>
  <c r="P15" i="3"/>
  <c r="K26" i="3"/>
  <c r="R17" i="11"/>
  <c r="T14" i="8"/>
  <c r="U31" i="10"/>
  <c r="G20" i="3"/>
  <c r="L29" i="10"/>
  <c r="D35" i="3"/>
  <c r="H41" i="3"/>
  <c r="U35" i="8"/>
  <c r="G46" i="9"/>
  <c r="R23" i="9"/>
  <c r="D32" i="9"/>
  <c r="L6" i="9"/>
  <c r="S40" i="11"/>
  <c r="N30" i="10"/>
  <c r="P27" i="10"/>
  <c r="L5" i="8"/>
  <c r="Q34" i="10"/>
  <c r="T45" i="11"/>
  <c r="U7" i="10"/>
  <c r="N4" i="10"/>
  <c r="T22" i="3"/>
  <c r="Q32" i="11"/>
  <c r="H18" i="11"/>
  <c r="D22" i="8"/>
  <c r="E16" i="3"/>
  <c r="I16" i="9"/>
  <c r="Q29" i="9"/>
  <c r="C28" i="3"/>
  <c r="E14" i="8"/>
  <c r="K12" i="9"/>
  <c r="T7" i="10"/>
  <c r="K17" i="8"/>
  <c r="D29" i="10"/>
  <c r="L17" i="3"/>
  <c r="C7" i="8"/>
  <c r="L46" i="3"/>
  <c r="O34" i="10"/>
  <c r="R15" i="9"/>
  <c r="R38" i="9"/>
  <c r="H43" i="10"/>
  <c r="M6" i="10"/>
  <c r="N33" i="9"/>
  <c r="J8" i="3"/>
  <c r="G4" i="9"/>
  <c r="G15" i="8"/>
  <c r="R12" i="11"/>
  <c r="O14" i="8"/>
  <c r="G11" i="11"/>
  <c r="C34" i="11"/>
  <c r="U26" i="10"/>
  <c r="I12" i="9"/>
  <c r="U27" i="8"/>
  <c r="I26" i="9"/>
  <c r="L35" i="3"/>
  <c r="F8" i="11"/>
  <c r="F7" i="11"/>
  <c r="Q8" i="10"/>
  <c r="E13" i="3"/>
  <c r="D42" i="3"/>
  <c r="E31" i="8"/>
  <c r="M19" i="8"/>
  <c r="E15" i="8"/>
  <c r="D12" i="11"/>
  <c r="G39" i="11"/>
  <c r="F3" i="11"/>
  <c r="U3" i="9"/>
  <c r="O39" i="11"/>
  <c r="K9" i="9"/>
  <c r="F5" i="11"/>
  <c r="J27" i="11"/>
  <c r="K33" i="9"/>
  <c r="M42" i="8"/>
  <c r="K15" i="9"/>
  <c r="I10" i="3"/>
  <c r="K8" i="11"/>
  <c r="U10" i="9"/>
  <c r="T46" i="10"/>
  <c r="C35" i="11"/>
  <c r="G44" i="10"/>
  <c r="S18" i="9"/>
  <c r="I16" i="3"/>
  <c r="T32" i="11"/>
  <c r="I37" i="3"/>
  <c r="K39" i="3"/>
  <c r="R40" i="10"/>
  <c r="M46" i="10"/>
  <c r="C3" i="3"/>
  <c r="D28" i="3"/>
  <c r="F42" i="11"/>
  <c r="E45" i="10"/>
  <c r="K5" i="8"/>
  <c r="E33" i="3"/>
  <c r="J27" i="8"/>
  <c r="T44" i="10"/>
  <c r="H15" i="9"/>
  <c r="U6" i="3"/>
  <c r="D10" i="8"/>
  <c r="Q17" i="10"/>
  <c r="D38" i="9"/>
  <c r="R30" i="10"/>
  <c r="N28" i="8"/>
  <c r="G15" i="11"/>
  <c r="S17" i="8"/>
  <c r="R23" i="10"/>
  <c r="D29" i="11"/>
  <c r="M41" i="9"/>
  <c r="E14" i="9"/>
  <c r="K34" i="9"/>
  <c r="N15" i="3"/>
  <c r="C12" i="11"/>
  <c r="U29" i="11"/>
  <c r="P6" i="3"/>
  <c r="U14" i="9"/>
  <c r="S30" i="10"/>
  <c r="O44" i="10"/>
  <c r="G5" i="8"/>
  <c r="M42" i="3"/>
  <c r="P42" i="9"/>
  <c r="F39" i="9"/>
  <c r="P21" i="9"/>
  <c r="E14" i="10"/>
  <c r="H9" i="11"/>
  <c r="M40" i="3"/>
  <c r="D10" i="9"/>
  <c r="P33" i="8"/>
  <c r="J20" i="11"/>
  <c r="M23" i="9"/>
  <c r="Q19" i="8"/>
  <c r="N21" i="10"/>
  <c r="L27" i="8"/>
  <c r="I29" i="3"/>
  <c r="S5" i="3"/>
  <c r="E19" i="11"/>
  <c r="J26" i="9"/>
  <c r="O31" i="8"/>
  <c r="K35" i="11"/>
  <c r="P10" i="9"/>
  <c r="H31" i="3"/>
  <c r="H40" i="11"/>
  <c r="I6" i="8"/>
  <c r="D5" i="10"/>
  <c r="E34" i="3"/>
  <c r="F17" i="9"/>
  <c r="P41" i="10"/>
  <c r="R20" i="11"/>
  <c r="U31" i="9"/>
  <c r="Q41" i="8"/>
  <c r="N36" i="3"/>
  <c r="D13" i="8"/>
  <c r="U44" i="9"/>
  <c r="H17" i="9"/>
  <c r="K13" i="11"/>
  <c r="U13" i="8"/>
  <c r="K31" i="11"/>
  <c r="P21" i="8"/>
  <c r="M16" i="11"/>
  <c r="U21" i="3"/>
  <c r="M18" i="11"/>
  <c r="R17" i="8"/>
  <c r="Q7" i="3"/>
  <c r="K39" i="8"/>
  <c r="O35" i="9"/>
  <c r="L27" i="10"/>
  <c r="Q30" i="10"/>
  <c r="R43" i="9"/>
  <c r="J12" i="11"/>
  <c r="D38" i="10"/>
  <c r="G26" i="11"/>
  <c r="S43" i="10"/>
  <c r="P39" i="10"/>
  <c r="K22" i="8"/>
  <c r="L35" i="9"/>
  <c r="E9" i="3"/>
  <c r="E12" i="9"/>
  <c r="C28" i="11"/>
  <c r="M11" i="11"/>
  <c r="G5" i="10"/>
  <c r="U16" i="10"/>
  <c r="D4" i="9"/>
  <c r="U11" i="3"/>
  <c r="Q16" i="11"/>
  <c r="P17" i="8"/>
  <c r="G5" i="3"/>
  <c r="H8" i="3"/>
  <c r="C21" i="9"/>
  <c r="M33" i="11"/>
  <c r="U4" i="8"/>
  <c r="F46" i="9"/>
  <c r="M30" i="10"/>
  <c r="U17" i="3"/>
  <c r="J11" i="11"/>
  <c r="S37" i="11"/>
  <c r="I38" i="8"/>
  <c r="C33" i="3"/>
  <c r="O8" i="3"/>
  <c r="O34" i="3"/>
  <c r="E9" i="8"/>
  <c r="D31" i="10"/>
  <c r="G7" i="9"/>
  <c r="E29" i="9"/>
  <c r="T34" i="11"/>
  <c r="F3" i="8"/>
  <c r="F44" i="10"/>
  <c r="M14" i="9"/>
  <c r="T5" i="11"/>
  <c r="R15" i="8"/>
  <c r="E33" i="11"/>
  <c r="D36" i="8"/>
  <c r="U39" i="10"/>
  <c r="R41" i="9"/>
  <c r="U11" i="11"/>
  <c r="N18" i="9"/>
  <c r="O29" i="10"/>
  <c r="J12" i="10"/>
  <c r="J8" i="11"/>
  <c r="U17" i="10"/>
  <c r="S4" i="8"/>
  <c r="J41" i="3"/>
  <c r="I39" i="9"/>
  <c r="G43" i="9"/>
  <c r="U35" i="10"/>
  <c r="S40" i="3"/>
  <c r="U21" i="11"/>
  <c r="S20" i="9"/>
  <c r="H29" i="3"/>
  <c r="E41" i="10"/>
  <c r="O9" i="11"/>
  <c r="M19" i="9"/>
  <c r="S42" i="8"/>
  <c r="G13" i="3"/>
  <c r="R16" i="11"/>
  <c r="C36" i="9"/>
  <c r="F30" i="3"/>
  <c r="T4" i="8"/>
  <c r="P29" i="11"/>
  <c r="G29" i="3"/>
  <c r="T35" i="8"/>
  <c r="P20" i="11"/>
  <c r="J44" i="10"/>
  <c r="C41" i="9"/>
  <c r="M43" i="10"/>
  <c r="K16" i="10"/>
  <c r="M32" i="11"/>
  <c r="C9" i="11"/>
  <c r="J34" i="8"/>
  <c r="G16" i="8"/>
  <c r="N28" i="9"/>
  <c r="G19" i="11"/>
  <c r="J29" i="9"/>
  <c r="S12" i="11"/>
  <c r="Q18" i="3"/>
  <c r="F16" i="3"/>
  <c r="T38" i="10"/>
  <c r="R34" i="11"/>
  <c r="Q6" i="11"/>
  <c r="F41" i="3"/>
  <c r="F12" i="10"/>
  <c r="P34" i="8"/>
  <c r="I34" i="10"/>
  <c r="L45" i="11"/>
  <c r="F4" i="8"/>
  <c r="T17" i="11"/>
  <c r="N19" i="9"/>
  <c r="P18" i="3"/>
  <c r="L4" i="10"/>
  <c r="Q10" i="10"/>
  <c r="S41" i="11"/>
  <c r="C37" i="9"/>
  <c r="D30" i="10"/>
  <c r="J21" i="10"/>
  <c r="S23" i="11"/>
  <c r="N34" i="11"/>
  <c r="Q26" i="10"/>
  <c r="L45" i="10"/>
  <c r="R37" i="9"/>
  <c r="H12" i="10"/>
  <c r="L31" i="8"/>
  <c r="L37" i="3"/>
  <c r="S30" i="9"/>
  <c r="U44" i="8"/>
  <c r="E31" i="10"/>
  <c r="P11" i="3"/>
  <c r="D8" i="9"/>
  <c r="M20" i="10"/>
  <c r="K35" i="9"/>
  <c r="J30" i="8"/>
  <c r="K11" i="11"/>
  <c r="T8" i="9"/>
  <c r="O31" i="11"/>
  <c r="T26" i="11"/>
  <c r="R40" i="9"/>
  <c r="S8" i="3"/>
  <c r="R29" i="10"/>
  <c r="M13" i="9"/>
  <c r="K35" i="3"/>
  <c r="J41" i="9"/>
  <c r="M26" i="10"/>
  <c r="R14" i="3"/>
  <c r="L39" i="9"/>
  <c r="E26" i="9"/>
  <c r="R46" i="3"/>
  <c r="K20" i="9"/>
  <c r="C28" i="10"/>
  <c r="H13" i="8"/>
  <c r="F32" i="3"/>
  <c r="D44" i="9"/>
  <c r="U37" i="3"/>
  <c r="T5" i="8"/>
  <c r="T30" i="8"/>
  <c r="I4" i="8"/>
  <c r="M38" i="11"/>
  <c r="G40" i="11"/>
  <c r="Q36" i="9"/>
  <c r="P15" i="11"/>
  <c r="R26" i="3"/>
  <c r="U41" i="3"/>
  <c r="Q30" i="11"/>
  <c r="N8" i="10"/>
  <c r="H32" i="8"/>
  <c r="E20" i="3"/>
  <c r="L9" i="8"/>
  <c r="I28" i="9"/>
  <c r="K41" i="9"/>
  <c r="L23" i="9"/>
  <c r="I13" i="9"/>
  <c r="J15" i="8"/>
  <c r="T30" i="11"/>
  <c r="U22" i="9"/>
  <c r="J16" i="8"/>
  <c r="U18" i="9"/>
  <c r="Q28" i="8"/>
  <c r="L20" i="10"/>
  <c r="P33" i="11"/>
  <c r="Q15" i="9"/>
  <c r="Q11" i="8"/>
  <c r="G17" i="3"/>
  <c r="Q43" i="11"/>
  <c r="R46" i="8"/>
  <c r="H20" i="3"/>
  <c r="T44" i="8"/>
  <c r="E23" i="3"/>
  <c r="P8" i="9"/>
  <c r="O7" i="11"/>
  <c r="L46" i="8"/>
  <c r="S18" i="11"/>
  <c r="J37" i="8"/>
  <c r="D44" i="3"/>
  <c r="E35" i="3"/>
  <c r="K4" i="8"/>
  <c r="E6" i="3"/>
  <c r="H3" i="9"/>
  <c r="Q3" i="8"/>
  <c r="N13" i="10"/>
  <c r="L40" i="10"/>
  <c r="G41" i="9"/>
  <c r="U26" i="3"/>
  <c r="R5" i="10"/>
  <c r="D13" i="11"/>
  <c r="O12" i="8"/>
  <c r="I8" i="11"/>
  <c r="P38" i="11"/>
  <c r="E21" i="11"/>
  <c r="O19" i="3"/>
  <c r="K13" i="10"/>
  <c r="T8" i="10"/>
  <c r="L10" i="11"/>
  <c r="I39" i="11"/>
  <c r="L23" i="11"/>
  <c r="G7" i="11"/>
  <c r="H14" i="9"/>
  <c r="N33" i="10"/>
  <c r="Q40" i="3"/>
  <c r="K20" i="10"/>
  <c r="P32" i="10"/>
  <c r="S8" i="10"/>
  <c r="D20" i="9"/>
  <c r="N12" i="8"/>
  <c r="P29" i="10"/>
  <c r="C34" i="10"/>
  <c r="J14" i="3"/>
  <c r="C17" i="3"/>
  <c r="H5" i="11"/>
  <c r="S38" i="11"/>
  <c r="M3" i="3"/>
  <c r="E11" i="3"/>
  <c r="H34" i="3"/>
  <c r="L41" i="10"/>
  <c r="R29" i="11"/>
  <c r="H19" i="3"/>
  <c r="O42" i="8"/>
  <c r="J10" i="11"/>
  <c r="G41" i="3"/>
  <c r="M26" i="8"/>
  <c r="O7" i="8"/>
  <c r="E36" i="8"/>
  <c r="O46" i="8"/>
  <c r="T11" i="11"/>
  <c r="M38" i="9"/>
  <c r="H8" i="11"/>
  <c r="J34" i="9"/>
  <c r="Q42" i="3"/>
  <c r="M22" i="9"/>
  <c r="F6" i="8"/>
  <c r="U38" i="8"/>
  <c r="P6" i="8"/>
  <c r="E42" i="8"/>
  <c r="C36" i="11"/>
  <c r="M41" i="8"/>
  <c r="O45" i="8"/>
  <c r="Q41" i="3"/>
  <c r="P22" i="11"/>
  <c r="I16" i="8"/>
  <c r="E6" i="9"/>
  <c r="E45" i="3"/>
  <c r="R38" i="11"/>
  <c r="C39" i="9"/>
  <c r="E7" i="3"/>
  <c r="Q40" i="8"/>
  <c r="G11" i="3"/>
  <c r="O15" i="9"/>
  <c r="K32" i="8"/>
  <c r="C13" i="11"/>
  <c r="F9" i="3"/>
  <c r="G27" i="3"/>
  <c r="H26" i="9"/>
  <c r="S37" i="10"/>
  <c r="Q4" i="3"/>
  <c r="T11" i="10"/>
  <c r="R17" i="10"/>
  <c r="P44" i="3"/>
  <c r="P30" i="11"/>
  <c r="H12" i="11"/>
  <c r="F22" i="8"/>
  <c r="I30" i="8"/>
  <c r="G37" i="11"/>
  <c r="H35" i="9"/>
  <c r="N3" i="9"/>
  <c r="C5" i="11"/>
  <c r="Q38" i="10"/>
  <c r="T31" i="3"/>
  <c r="G13" i="11"/>
  <c r="S5" i="9"/>
  <c r="N14" i="10"/>
  <c r="C8" i="8"/>
  <c r="F35" i="10"/>
  <c r="P27" i="8"/>
  <c r="K37" i="11"/>
  <c r="Q8" i="9"/>
  <c r="P17" i="9"/>
  <c r="P46" i="8"/>
  <c r="O21" i="10"/>
  <c r="C39" i="11"/>
  <c r="U3" i="3"/>
  <c r="R14" i="11"/>
  <c r="K6" i="3"/>
  <c r="H23" i="10"/>
  <c r="D5" i="9"/>
  <c r="O41" i="10"/>
  <c r="G16" i="10"/>
  <c r="H26" i="8"/>
  <c r="F9" i="8"/>
  <c r="H23" i="8"/>
  <c r="O7" i="3"/>
  <c r="J11" i="9"/>
  <c r="F46" i="10"/>
  <c r="D23" i="8"/>
  <c r="J8" i="10"/>
  <c r="J5" i="9"/>
  <c r="T20" i="8"/>
  <c r="G40" i="9"/>
  <c r="E27" i="8"/>
  <c r="P31" i="3"/>
  <c r="S32" i="9"/>
  <c r="S6" i="9"/>
  <c r="P3" i="3"/>
  <c r="G42" i="11"/>
  <c r="T6" i="9"/>
  <c r="K29" i="9"/>
  <c r="E44" i="11"/>
  <c r="E38" i="8"/>
  <c r="K43" i="9"/>
  <c r="L6" i="10"/>
  <c r="E7" i="8"/>
  <c r="R23" i="11"/>
  <c r="J12" i="3"/>
  <c r="J37" i="11"/>
  <c r="T9" i="9"/>
  <c r="G31" i="8"/>
  <c r="J46" i="3"/>
  <c r="R28" i="10"/>
  <c r="F6" i="9"/>
  <c r="U23" i="3"/>
  <c r="O11" i="9"/>
  <c r="F37" i="8"/>
  <c r="M21" i="8"/>
  <c r="U19" i="11"/>
  <c r="C44" i="8"/>
  <c r="L10" i="8"/>
  <c r="O22" i="10"/>
  <c r="Q29" i="8"/>
  <c r="D45" i="3"/>
  <c r="P19" i="9"/>
  <c r="J7" i="3"/>
  <c r="T39" i="11"/>
  <c r="H20" i="8"/>
  <c r="G19" i="3"/>
  <c r="K21" i="10"/>
  <c r="M18" i="9"/>
  <c r="F29" i="9"/>
  <c r="E46" i="11"/>
  <c r="G15" i="3"/>
  <c r="R38" i="8"/>
  <c r="N11" i="8"/>
  <c r="U38" i="3"/>
  <c r="H27" i="10"/>
  <c r="U29" i="10"/>
  <c r="P12" i="11"/>
  <c r="T10" i="11"/>
  <c r="O42" i="10"/>
  <c r="U20" i="11"/>
  <c r="U42" i="11"/>
  <c r="S5" i="11"/>
  <c r="E28" i="11"/>
  <c r="I20" i="11"/>
  <c r="J41" i="11"/>
  <c r="C45" i="10"/>
  <c r="S38" i="8"/>
  <c r="J42" i="10"/>
  <c r="T7" i="8"/>
  <c r="I44" i="9"/>
  <c r="F46" i="11"/>
  <c r="I45" i="9"/>
  <c r="S31" i="11"/>
  <c r="G18" i="8"/>
  <c r="O35" i="3"/>
  <c r="Q29" i="3"/>
  <c r="K26" i="10"/>
  <c r="L40" i="11"/>
  <c r="T27" i="11"/>
  <c r="C4" i="11"/>
  <c r="S7" i="9"/>
  <c r="T45" i="10"/>
  <c r="Q10" i="11"/>
  <c r="F36" i="11"/>
  <c r="O43" i="8"/>
  <c r="Q11" i="3"/>
  <c r="D15" i="9"/>
  <c r="J6" i="3"/>
  <c r="T37" i="11"/>
  <c r="G36" i="3"/>
  <c r="J30" i="3"/>
  <c r="U39" i="8"/>
  <c r="H30" i="9"/>
  <c r="L9" i="10"/>
  <c r="K17" i="3"/>
  <c r="L10" i="10"/>
  <c r="U19" i="10"/>
  <c r="O33" i="8"/>
  <c r="D22" i="9"/>
  <c r="Q19" i="3"/>
  <c r="P43" i="9"/>
  <c r="M27" i="10"/>
  <c r="L31" i="11"/>
  <c r="K19" i="11"/>
  <c r="M37" i="10"/>
  <c r="N13" i="9"/>
  <c r="G35" i="3"/>
  <c r="G18" i="11"/>
  <c r="I15" i="11"/>
  <c r="H9" i="3"/>
  <c r="D46" i="8"/>
  <c r="D18" i="8"/>
  <c r="D4" i="8"/>
  <c r="R31" i="10"/>
  <c r="P30" i="8"/>
  <c r="C31" i="8"/>
  <c r="O18" i="8"/>
  <c r="G28" i="3"/>
  <c r="N6" i="11"/>
  <c r="F21" i="11"/>
  <c r="I34" i="8"/>
  <c r="N12" i="3"/>
  <c r="L39" i="8"/>
  <c r="O21" i="8"/>
  <c r="J3" i="9"/>
  <c r="U45" i="11"/>
  <c r="L22" i="10"/>
  <c r="T32" i="10"/>
  <c r="H21" i="3"/>
  <c r="R45" i="3"/>
  <c r="M40" i="9"/>
  <c r="K12" i="10"/>
  <c r="I6" i="10"/>
  <c r="T43" i="11"/>
  <c r="H39" i="3"/>
  <c r="S4" i="11"/>
  <c r="S22" i="9"/>
  <c r="O5" i="9"/>
  <c r="P7" i="3"/>
  <c r="K3" i="8"/>
  <c r="L13" i="10"/>
  <c r="N7" i="10"/>
  <c r="Q35" i="10"/>
  <c r="I12" i="11"/>
  <c r="C10" i="8"/>
  <c r="H34" i="9"/>
  <c r="J36" i="3"/>
  <c r="Q32" i="10"/>
  <c r="D22" i="3"/>
  <c r="M10" i="3"/>
  <c r="H7" i="9"/>
  <c r="R12" i="10"/>
  <c r="S27" i="3"/>
  <c r="C22" i="11"/>
  <c r="F23" i="8"/>
  <c r="J22" i="3"/>
  <c r="I36" i="10"/>
  <c r="S35" i="8"/>
  <c r="P5" i="3"/>
  <c r="R19" i="3"/>
  <c r="J37" i="3"/>
  <c r="U46" i="10"/>
  <c r="R12" i="8"/>
  <c r="U41" i="9"/>
  <c r="C28" i="8"/>
  <c r="Q9" i="8"/>
  <c r="O21" i="11"/>
  <c r="G26" i="8"/>
  <c r="M8" i="3"/>
  <c r="E31" i="9"/>
  <c r="E34" i="9"/>
  <c r="I23" i="9"/>
  <c r="O42" i="11"/>
  <c r="P28" i="11"/>
  <c r="G43" i="10"/>
  <c r="T41" i="9"/>
  <c r="S44" i="9"/>
  <c r="S26" i="10"/>
  <c r="M17" i="3"/>
  <c r="F3" i="9"/>
  <c r="G20" i="8"/>
  <c r="O31" i="9"/>
  <c r="R10" i="9"/>
  <c r="I44" i="8"/>
  <c r="D16" i="10"/>
  <c r="O12" i="9"/>
  <c r="N39" i="3"/>
  <c r="Q33" i="3"/>
  <c r="K23" i="10"/>
  <c r="E35" i="8"/>
  <c r="I5" i="10"/>
  <c r="S43" i="3"/>
  <c r="D28" i="10"/>
  <c r="R32" i="11"/>
  <c r="J32" i="8"/>
  <c r="H29" i="8"/>
  <c r="O29" i="8"/>
  <c r="N13" i="3"/>
  <c r="N4" i="8"/>
  <c r="M8" i="11"/>
  <c r="N40" i="9"/>
  <c r="T38" i="8"/>
  <c r="K26" i="8"/>
  <c r="F16" i="8"/>
  <c r="O38" i="3"/>
  <c r="R34" i="3"/>
  <c r="M43" i="8"/>
  <c r="D17" i="3"/>
  <c r="O38" i="10"/>
  <c r="C34" i="3"/>
  <c r="N18" i="8"/>
  <c r="O30" i="10"/>
  <c r="L19" i="8"/>
  <c r="D12" i="8"/>
  <c r="J39" i="8"/>
  <c r="F32" i="8"/>
  <c r="H21" i="10"/>
  <c r="S3" i="10"/>
  <c r="D43" i="9"/>
  <c r="L21" i="11"/>
  <c r="N39" i="9"/>
  <c r="J30" i="9"/>
  <c r="C36" i="3"/>
  <c r="U45" i="3"/>
  <c r="T33" i="11"/>
  <c r="D30" i="11"/>
  <c r="F34" i="10"/>
  <c r="F42" i="8"/>
  <c r="S11" i="3"/>
  <c r="H9" i="9"/>
  <c r="L13" i="9"/>
  <c r="K16" i="11"/>
  <c r="O46" i="11"/>
  <c r="J13" i="10"/>
  <c r="Q42" i="8"/>
  <c r="O45" i="10"/>
  <c r="M11" i="8"/>
  <c r="N42" i="11"/>
  <c r="M37" i="8"/>
  <c r="L26" i="10"/>
  <c r="D9" i="9"/>
  <c r="E39" i="3"/>
  <c r="N30" i="9"/>
  <c r="O26" i="9"/>
  <c r="G28" i="9"/>
  <c r="Q34" i="8"/>
  <c r="C14" i="3"/>
  <c r="S33" i="9"/>
  <c r="J9" i="8"/>
  <c r="C32" i="9"/>
  <c r="J36" i="9"/>
  <c r="K28" i="8"/>
  <c r="Q17" i="11"/>
  <c r="D27" i="9"/>
  <c r="L22" i="11"/>
  <c r="M4" i="3"/>
  <c r="O17" i="3"/>
  <c r="K19" i="8"/>
  <c r="E40" i="8"/>
  <c r="L14" i="8"/>
  <c r="P12" i="3"/>
  <c r="Q34" i="3"/>
  <c r="C3" i="10"/>
  <c r="F8" i="3"/>
  <c r="Q4" i="11"/>
  <c r="Q11" i="10"/>
  <c r="R32" i="10"/>
  <c r="M27" i="11"/>
  <c r="D6" i="3"/>
  <c r="S20" i="8"/>
  <c r="S13" i="11"/>
  <c r="R5" i="8"/>
  <c r="G38" i="8"/>
  <c r="E13" i="10"/>
  <c r="H36" i="11"/>
  <c r="K30" i="10"/>
  <c r="H44" i="3"/>
  <c r="H33" i="11"/>
  <c r="J39" i="3"/>
  <c r="L16" i="9"/>
  <c r="R37" i="10"/>
  <c r="G45" i="10"/>
  <c r="F5" i="8"/>
  <c r="Q42" i="9"/>
  <c r="K18" i="10"/>
  <c r="N20" i="9"/>
  <c r="N16" i="3"/>
  <c r="E38" i="10"/>
  <c r="F23" i="10"/>
  <c r="O45" i="9"/>
  <c r="N18" i="11"/>
  <c r="M10" i="11"/>
  <c r="U6" i="11"/>
  <c r="C23" i="8"/>
  <c r="O32" i="3"/>
  <c r="F26" i="9"/>
  <c r="C20" i="3"/>
  <c r="K44" i="3"/>
  <c r="D21" i="3"/>
  <c r="M31" i="3"/>
  <c r="E30" i="11"/>
  <c r="K21" i="8"/>
  <c r="D23" i="9"/>
  <c r="O33" i="9"/>
  <c r="C33" i="10"/>
  <c r="Q20" i="9"/>
  <c r="L13" i="8"/>
  <c r="F43" i="11"/>
  <c r="T40" i="9"/>
  <c r="D29" i="9"/>
  <c r="K4" i="10"/>
  <c r="S45" i="3"/>
  <c r="P18" i="8"/>
  <c r="H31" i="10"/>
  <c r="M19" i="10"/>
  <c r="Q17" i="9"/>
  <c r="D26" i="3"/>
  <c r="P9" i="10"/>
  <c r="F7" i="9"/>
  <c r="I46" i="8"/>
  <c r="D17" i="11"/>
  <c r="P33" i="3"/>
  <c r="N41" i="9"/>
  <c r="F43" i="8"/>
  <c r="C20" i="9"/>
  <c r="C44" i="11"/>
  <c r="D41" i="10"/>
  <c r="J23" i="3"/>
  <c r="F9" i="11"/>
  <c r="J43" i="11"/>
  <c r="U22" i="8"/>
  <c r="E5" i="11"/>
  <c r="C23" i="11"/>
  <c r="H28" i="8"/>
  <c r="I26" i="11"/>
  <c r="U18" i="8"/>
  <c r="I37" i="9"/>
  <c r="M10" i="10"/>
  <c r="E45" i="11"/>
  <c r="O19" i="8"/>
  <c r="Q41" i="9"/>
  <c r="F19" i="3"/>
  <c r="P6" i="9"/>
  <c r="N14" i="3"/>
  <c r="L4" i="9"/>
  <c r="L30" i="10"/>
  <c r="R18" i="8"/>
  <c r="M44" i="11"/>
  <c r="M23" i="3"/>
  <c r="D37" i="3"/>
  <c r="O38" i="8"/>
  <c r="C45" i="3"/>
  <c r="T30" i="3"/>
  <c r="D21" i="11"/>
  <c r="R17" i="9"/>
  <c r="D41" i="9"/>
  <c r="D9" i="8"/>
  <c r="E10" i="8"/>
  <c r="D8" i="11"/>
  <c r="H46" i="11"/>
  <c r="K22" i="11"/>
  <c r="C3" i="8"/>
  <c r="K37" i="3"/>
  <c r="J19" i="3"/>
  <c r="G22" i="9"/>
  <c r="T21" i="3"/>
  <c r="L37" i="10"/>
  <c r="M6" i="9"/>
  <c r="N45" i="10"/>
  <c r="S14" i="3"/>
  <c r="I3" i="8"/>
  <c r="J18" i="3"/>
  <c r="M12" i="9"/>
  <c r="G28" i="8"/>
  <c r="D15" i="3"/>
  <c r="L15" i="11"/>
  <c r="Q13" i="9"/>
  <c r="N14" i="11"/>
  <c r="S18" i="10"/>
  <c r="L42" i="10"/>
  <c r="E26" i="11"/>
  <c r="T41" i="10"/>
  <c r="S46" i="10"/>
  <c r="T13" i="8"/>
  <c r="H38" i="11"/>
  <c r="S40" i="8"/>
  <c r="J32" i="3"/>
  <c r="G31" i="3"/>
  <c r="H17" i="11"/>
  <c r="R14" i="10"/>
  <c r="P45" i="8"/>
  <c r="T33" i="9"/>
  <c r="G13" i="9"/>
  <c r="S39" i="10"/>
  <c r="E35" i="9"/>
  <c r="H42" i="10"/>
  <c r="O35" i="11"/>
  <c r="G36" i="8"/>
  <c r="T10" i="10"/>
  <c r="M43" i="9"/>
  <c r="D12" i="3"/>
  <c r="S26" i="11"/>
  <c r="D29" i="3"/>
  <c r="F11" i="10"/>
  <c r="H42" i="8"/>
  <c r="C10" i="11"/>
  <c r="C31" i="11"/>
  <c r="R43" i="10"/>
  <c r="U40" i="3"/>
  <c r="D27" i="8"/>
  <c r="L44" i="8"/>
  <c r="U37" i="11"/>
  <c r="U45" i="9"/>
  <c r="T38" i="9"/>
  <c r="M42" i="9"/>
  <c r="L44" i="11"/>
  <c r="C41" i="8"/>
  <c r="E4" i="11"/>
  <c r="K17" i="10"/>
  <c r="K32" i="10"/>
  <c r="F10" i="9"/>
  <c r="M46" i="11"/>
  <c r="U12" i="9"/>
  <c r="N43" i="10"/>
  <c r="T10" i="9"/>
  <c r="D46" i="11"/>
  <c r="P34" i="3"/>
  <c r="E41" i="11"/>
  <c r="D18" i="9"/>
  <c r="D42" i="11"/>
  <c r="Q12" i="3"/>
  <c r="K38" i="10"/>
  <c r="C32" i="8"/>
  <c r="G23" i="11"/>
  <c r="F33" i="11"/>
  <c r="D38" i="11"/>
  <c r="E3" i="8"/>
  <c r="P16" i="11"/>
  <c r="F12" i="11"/>
  <c r="C40" i="3"/>
  <c r="E23" i="11"/>
  <c r="O34" i="8"/>
  <c r="L27" i="3"/>
  <c r="K30" i="9"/>
  <c r="N34" i="3"/>
  <c r="K44" i="11"/>
  <c r="T22" i="8"/>
  <c r="N38" i="9"/>
  <c r="F16" i="9"/>
  <c r="N8" i="8"/>
  <c r="O10" i="3"/>
  <c r="O8" i="10"/>
  <c r="H3" i="8"/>
  <c r="M28" i="3"/>
  <c r="M35" i="8"/>
  <c r="L39" i="11"/>
  <c r="R13" i="3"/>
  <c r="S39" i="9"/>
  <c r="N39" i="8"/>
  <c r="H10" i="10"/>
  <c r="F12" i="3"/>
  <c r="D10" i="11"/>
  <c r="I45" i="10"/>
  <c r="S3" i="8"/>
  <c r="I32" i="3"/>
  <c r="H8" i="8"/>
  <c r="E37" i="3"/>
  <c r="N16" i="11"/>
  <c r="P14" i="8"/>
  <c r="P23" i="8"/>
  <c r="D32" i="11"/>
  <c r="N29" i="9"/>
  <c r="C42" i="8"/>
  <c r="T36" i="11"/>
  <c r="U12" i="3"/>
  <c r="M13" i="10"/>
  <c r="G23" i="8"/>
  <c r="H40" i="10"/>
  <c r="E20" i="10"/>
  <c r="G14" i="3"/>
  <c r="K38" i="9"/>
  <c r="N27" i="10"/>
  <c r="K4" i="3"/>
  <c r="T44" i="11"/>
  <c r="K15" i="10"/>
  <c r="M16" i="3"/>
  <c r="T19" i="3"/>
  <c r="U16" i="8"/>
  <c r="O17" i="8"/>
  <c r="P41" i="3"/>
  <c r="F8" i="8"/>
  <c r="Q14" i="3"/>
  <c r="O14" i="3"/>
  <c r="L26" i="9"/>
  <c r="E8" i="8"/>
  <c r="T42" i="8"/>
  <c r="P10" i="3"/>
  <c r="G21" i="3"/>
  <c r="O43" i="11"/>
  <c r="K19" i="3"/>
  <c r="G33" i="3"/>
  <c r="F3" i="10"/>
  <c r="E14" i="3"/>
  <c r="Q26" i="11"/>
  <c r="I31" i="3"/>
  <c r="K10" i="3"/>
  <c r="H34" i="8"/>
  <c r="D15" i="8"/>
  <c r="R22" i="3"/>
  <c r="S17" i="9"/>
  <c r="G26" i="3"/>
  <c r="P34" i="11"/>
  <c r="J7" i="8"/>
  <c r="Q16" i="3"/>
  <c r="G45" i="8"/>
  <c r="I37" i="8"/>
  <c r="D30" i="8"/>
  <c r="O23" i="3"/>
  <c r="N35" i="8"/>
  <c r="D31" i="9"/>
  <c r="E20" i="9"/>
  <c r="S46" i="3"/>
  <c r="T35" i="10"/>
  <c r="Q31" i="11"/>
  <c r="I11" i="11"/>
  <c r="G45" i="3"/>
  <c r="U46" i="11"/>
  <c r="I14" i="9"/>
  <c r="D18" i="11"/>
  <c r="R26" i="11"/>
  <c r="M9" i="8"/>
  <c r="D30" i="9"/>
  <c r="T11" i="3"/>
  <c r="I37" i="10"/>
  <c r="I44" i="10"/>
  <c r="N3" i="11"/>
  <c r="G21" i="8"/>
  <c r="O12" i="3"/>
  <c r="E5" i="8"/>
  <c r="N42" i="8"/>
  <c r="U35" i="9"/>
  <c r="L3" i="11"/>
  <c r="F14" i="9"/>
  <c r="C19" i="10"/>
  <c r="T27" i="8"/>
  <c r="P27" i="3"/>
  <c r="F6" i="3"/>
  <c r="P9" i="9"/>
  <c r="G28" i="10"/>
  <c r="J31" i="8"/>
  <c r="L17" i="10"/>
  <c r="P9" i="3"/>
  <c r="L26" i="11"/>
  <c r="O4" i="3"/>
  <c r="R4" i="10"/>
  <c r="P16" i="10"/>
  <c r="M22" i="11"/>
  <c r="Q42" i="11"/>
  <c r="K32" i="3"/>
  <c r="Q22" i="3"/>
  <c r="H20" i="9"/>
  <c r="L34" i="10"/>
  <c r="H20" i="11"/>
  <c r="K6" i="8"/>
  <c r="E33" i="9"/>
  <c r="C16" i="10"/>
  <c r="H39" i="10"/>
  <c r="C26" i="11"/>
  <c r="P33" i="10"/>
  <c r="S17" i="3"/>
  <c r="L5" i="9"/>
  <c r="K34" i="8"/>
  <c r="M21" i="11"/>
  <c r="J4" i="11"/>
  <c r="T46" i="11"/>
  <c r="Q21" i="3"/>
  <c r="K23" i="9"/>
  <c r="H18" i="3"/>
  <c r="D43" i="11"/>
  <c r="N32" i="11"/>
  <c r="I36" i="9"/>
  <c r="K46" i="8"/>
  <c r="P22" i="10"/>
  <c r="O44" i="3"/>
  <c r="S42" i="3"/>
  <c r="T34" i="3"/>
  <c r="S41" i="9"/>
  <c r="U26" i="11"/>
  <c r="J44" i="9"/>
  <c r="O3" i="3"/>
  <c r="C26" i="8"/>
  <c r="P8" i="8"/>
  <c r="L30" i="9"/>
  <c r="E28" i="3"/>
  <c r="M36" i="8"/>
  <c r="O9" i="8"/>
  <c r="M21" i="10"/>
  <c r="C42" i="11"/>
  <c r="C27" i="8"/>
  <c r="M12" i="10"/>
  <c r="C42" i="10"/>
  <c r="P8" i="3"/>
  <c r="T32" i="9"/>
  <c r="D4" i="3"/>
  <c r="M6" i="3"/>
  <c r="D7" i="3"/>
  <c r="L44" i="3"/>
  <c r="F45" i="8"/>
  <c r="I29" i="11"/>
  <c r="H4" i="11"/>
  <c r="M4" i="11"/>
  <c r="Q44" i="3"/>
  <c r="N41" i="11"/>
  <c r="Q32" i="9"/>
  <c r="I36" i="8"/>
  <c r="D44" i="11"/>
  <c r="O16" i="11"/>
  <c r="J46" i="9"/>
  <c r="G12" i="3"/>
  <c r="H42" i="9"/>
  <c r="T30" i="10"/>
  <c r="C8" i="3"/>
  <c r="J13" i="9"/>
  <c r="N46" i="3"/>
  <c r="E4" i="10"/>
  <c r="S16" i="3"/>
  <c r="H40" i="9"/>
  <c r="H41" i="11"/>
  <c r="N40" i="11"/>
  <c r="G4" i="10"/>
  <c r="R9" i="3"/>
  <c r="D6" i="8"/>
  <c r="D7" i="8"/>
  <c r="P6" i="11"/>
  <c r="T17" i="3"/>
  <c r="I38" i="10"/>
  <c r="U17" i="9"/>
  <c r="T31" i="8"/>
  <c r="S33" i="10"/>
  <c r="H7" i="3"/>
  <c r="T29" i="8"/>
  <c r="K3" i="3"/>
  <c r="F44" i="8"/>
  <c r="J44" i="3"/>
  <c r="J6" i="10"/>
  <c r="E40" i="9"/>
  <c r="Q3" i="10"/>
  <c r="O15" i="11"/>
  <c r="M3" i="10"/>
  <c r="I28" i="3"/>
  <c r="Q45" i="8"/>
  <c r="E5" i="3"/>
  <c r="R16" i="8"/>
  <c r="R18" i="3"/>
  <c r="R39" i="11"/>
  <c r="T12" i="3"/>
  <c r="U14" i="8"/>
  <c r="C16" i="8"/>
  <c r="I33" i="10"/>
  <c r="M40" i="11"/>
  <c r="K7" i="8"/>
  <c r="G6" i="10"/>
  <c r="U9" i="11"/>
  <c r="U36" i="9"/>
  <c r="F15" i="8"/>
  <c r="M29" i="10"/>
  <c r="I37" i="11"/>
  <c r="G40" i="3"/>
  <c r="H11" i="9"/>
  <c r="C22" i="3"/>
  <c r="N9" i="8"/>
  <c r="I4" i="3"/>
  <c r="P16" i="9"/>
  <c r="T26" i="10"/>
  <c r="K22" i="3"/>
  <c r="P31" i="10"/>
  <c r="U29" i="8"/>
  <c r="C37" i="8"/>
  <c r="O16" i="10"/>
  <c r="D3" i="10"/>
  <c r="J11" i="3"/>
  <c r="O39" i="8"/>
  <c r="F35" i="8"/>
  <c r="G20" i="9"/>
  <c r="Q39" i="8"/>
  <c r="E20" i="8"/>
  <c r="K8" i="8"/>
  <c r="K29" i="10"/>
  <c r="D33" i="3"/>
  <c r="K32" i="11"/>
  <c r="K37" i="10"/>
  <c r="K42" i="10"/>
  <c r="I44" i="3"/>
  <c r="J22" i="9"/>
  <c r="L42" i="11"/>
  <c r="S8" i="8"/>
  <c r="N30" i="11"/>
  <c r="P26" i="10"/>
  <c r="N38" i="3"/>
  <c r="M14" i="3"/>
  <c r="F26" i="3"/>
  <c r="K12" i="3"/>
  <c r="K30" i="8"/>
  <c r="S18" i="8"/>
  <c r="J42" i="8"/>
  <c r="I29" i="8"/>
  <c r="E6" i="11"/>
  <c r="T16" i="10"/>
  <c r="J36" i="11"/>
  <c r="R14" i="9"/>
  <c r="P31" i="8"/>
  <c r="S32" i="3"/>
  <c r="H44" i="9"/>
  <c r="K16" i="9"/>
  <c r="I12" i="8"/>
  <c r="S37" i="8"/>
  <c r="D3" i="8"/>
  <c r="M21" i="3"/>
  <c r="G19" i="8"/>
  <c r="U39" i="3"/>
  <c r="N30" i="8"/>
  <c r="O20" i="8"/>
  <c r="O32" i="9"/>
  <c r="C38" i="10"/>
  <c r="R8" i="11"/>
  <c r="U37" i="10"/>
  <c r="R7" i="8"/>
  <c r="D34" i="8"/>
  <c r="J19" i="9"/>
  <c r="C38" i="11"/>
  <c r="T32" i="8"/>
  <c r="E42" i="10"/>
  <c r="J35" i="10"/>
  <c r="F22" i="9"/>
  <c r="O13" i="10"/>
  <c r="C14" i="10"/>
  <c r="S29" i="9"/>
  <c r="J20" i="9"/>
  <c r="K11" i="9"/>
  <c r="U28" i="3"/>
  <c r="U19" i="3"/>
  <c r="M36" i="3"/>
  <c r="I41" i="3"/>
  <c r="P40" i="3"/>
  <c r="D33" i="9"/>
  <c r="N45" i="8"/>
  <c r="I46" i="10"/>
  <c r="N29" i="8"/>
  <c r="M18" i="8"/>
  <c r="S34" i="9"/>
  <c r="S9" i="10"/>
  <c r="S15" i="9"/>
  <c r="G23" i="3"/>
  <c r="N27" i="8"/>
  <c r="N40" i="8"/>
  <c r="U32" i="9"/>
  <c r="S20" i="3"/>
  <c r="T21" i="9"/>
  <c r="P41" i="8"/>
  <c r="L41" i="8"/>
  <c r="P10" i="10"/>
  <c r="K31" i="8"/>
  <c r="M16" i="10"/>
  <c r="I14" i="3"/>
  <c r="L12" i="3"/>
  <c r="S7" i="3"/>
  <c r="T26" i="8"/>
  <c r="Q11" i="9"/>
  <c r="E21" i="3"/>
  <c r="P10" i="8"/>
  <c r="D42" i="10"/>
  <c r="M5" i="8"/>
  <c r="E29" i="8"/>
  <c r="H38" i="3"/>
  <c r="P26" i="3"/>
  <c r="Q32" i="3"/>
  <c r="S32" i="8"/>
  <c r="K45" i="3"/>
  <c r="T8" i="3"/>
  <c r="P13" i="8"/>
  <c r="S11" i="9"/>
  <c r="L10" i="9"/>
  <c r="K33" i="10"/>
  <c r="H6" i="8"/>
  <c r="L18" i="11"/>
  <c r="E28" i="8"/>
  <c r="I20" i="9"/>
  <c r="P17" i="11"/>
  <c r="P46" i="3"/>
  <c r="U35" i="11"/>
  <c r="S22" i="10"/>
  <c r="D42" i="9"/>
  <c r="G18" i="9"/>
  <c r="M46" i="3"/>
  <c r="H28" i="11"/>
  <c r="T44" i="9"/>
  <c r="L9" i="3"/>
  <c r="S34" i="3"/>
  <c r="Q46" i="10"/>
  <c r="Q46" i="3"/>
  <c r="F41" i="8"/>
  <c r="U18" i="3"/>
  <c r="Q39" i="10"/>
  <c r="P28" i="8"/>
  <c r="N45" i="11"/>
  <c r="O40" i="3"/>
  <c r="N27" i="11"/>
  <c r="S40" i="10"/>
  <c r="E18" i="9"/>
  <c r="T35" i="9"/>
  <c r="R20" i="10"/>
  <c r="U17" i="11"/>
  <c r="T20" i="11"/>
  <c r="T9" i="3"/>
  <c r="S31" i="10"/>
  <c r="R8" i="9"/>
  <c r="C15" i="8"/>
  <c r="R6" i="8"/>
  <c r="M38" i="3"/>
  <c r="H11" i="8"/>
  <c r="J19" i="11"/>
  <c r="G38" i="10"/>
  <c r="T3" i="3"/>
  <c r="R22" i="8"/>
  <c r="H46" i="10"/>
  <c r="F8" i="9"/>
  <c r="S46" i="11"/>
  <c r="K8" i="9"/>
  <c r="K40" i="11"/>
  <c r="P40" i="9"/>
  <c r="G9" i="11"/>
  <c r="C33" i="8"/>
  <c r="S39" i="3"/>
  <c r="J7" i="9"/>
  <c r="R6" i="3"/>
  <c r="M44" i="9"/>
  <c r="O5" i="8"/>
  <c r="L17" i="11"/>
  <c r="C5" i="8"/>
  <c r="D7" i="10"/>
  <c r="U27" i="3"/>
  <c r="T15" i="8"/>
  <c r="U30" i="3"/>
  <c r="K35" i="10"/>
  <c r="K38" i="8"/>
  <c r="T45" i="8"/>
  <c r="K23" i="8"/>
  <c r="N5" i="8"/>
  <c r="H33" i="3"/>
  <c r="N23" i="11"/>
  <c r="P41" i="9"/>
  <c r="G30" i="10"/>
  <c r="H37" i="10"/>
  <c r="K28" i="3"/>
  <c r="C7" i="9"/>
  <c r="F28" i="3"/>
  <c r="Q18" i="8"/>
  <c r="N14" i="9"/>
  <c r="R33" i="3"/>
  <c r="D21" i="10"/>
  <c r="J26" i="8"/>
  <c r="D8" i="3"/>
  <c r="T34" i="8"/>
  <c r="K27" i="8"/>
  <c r="K35" i="8"/>
  <c r="Q4" i="10"/>
  <c r="R40" i="3"/>
  <c r="R27" i="8"/>
  <c r="D35" i="8"/>
  <c r="H28" i="9"/>
  <c r="L34" i="11"/>
  <c r="I31" i="10"/>
  <c r="E46" i="10"/>
  <c r="N17" i="3"/>
  <c r="O10" i="9"/>
  <c r="E23" i="10"/>
  <c r="I10" i="10"/>
  <c r="R46" i="9"/>
  <c r="O22" i="11"/>
  <c r="I11" i="10"/>
  <c r="M31" i="9"/>
  <c r="O33" i="3"/>
  <c r="U22" i="3"/>
  <c r="F28" i="9"/>
  <c r="H45" i="8"/>
  <c r="N27" i="3"/>
  <c r="L21" i="9"/>
  <c r="H41" i="10"/>
  <c r="U32" i="3"/>
  <c r="E16" i="8"/>
  <c r="R39" i="8"/>
  <c r="H10" i="9"/>
  <c r="T9" i="10"/>
  <c r="C39" i="10"/>
  <c r="C36" i="10"/>
  <c r="T37" i="9"/>
  <c r="D35" i="10"/>
  <c r="S33" i="3"/>
  <c r="L21" i="8"/>
  <c r="E27" i="9"/>
  <c r="S19" i="10"/>
  <c r="I16" i="10"/>
  <c r="I44" i="11"/>
  <c r="N40" i="10"/>
  <c r="L44" i="9"/>
  <c r="Q43" i="10"/>
  <c r="C13" i="10"/>
  <c r="L14" i="11"/>
  <c r="H15" i="10"/>
  <c r="U40" i="9"/>
  <c r="N23" i="3"/>
  <c r="H15" i="3"/>
  <c r="R9" i="8"/>
  <c r="D46" i="9"/>
  <c r="P4" i="3"/>
  <c r="C11" i="10"/>
  <c r="P13" i="3"/>
  <c r="P35" i="8"/>
  <c r="Q17" i="8"/>
  <c r="I5" i="9"/>
  <c r="Q23" i="11"/>
  <c r="L16" i="8"/>
  <c r="N15" i="9"/>
  <c r="P22" i="8"/>
  <c r="J6" i="11"/>
  <c r="N21" i="9"/>
  <c r="I26" i="3"/>
  <c r="J46" i="11"/>
  <c r="L28" i="3"/>
  <c r="T34" i="9"/>
  <c r="E40" i="3"/>
  <c r="S6" i="3"/>
  <c r="J38" i="3"/>
  <c r="P29" i="8"/>
  <c r="H37" i="3"/>
  <c r="I42" i="3"/>
  <c r="F19" i="11"/>
  <c r="D14" i="8"/>
  <c r="K12" i="8"/>
  <c r="T14" i="9"/>
  <c r="K33" i="11"/>
  <c r="Q8" i="8"/>
  <c r="Q33" i="9"/>
  <c r="R34" i="8"/>
  <c r="I3" i="9"/>
  <c r="N34" i="8"/>
  <c r="N37" i="8"/>
  <c r="J31" i="10"/>
  <c r="E34" i="8"/>
  <c r="N41" i="8"/>
  <c r="T33" i="3"/>
  <c r="K6" i="9"/>
  <c r="D10" i="3"/>
  <c r="F43" i="9"/>
  <c r="K37" i="9"/>
  <c r="H33" i="8"/>
  <c r="R26" i="9"/>
  <c r="J42" i="11"/>
  <c r="I42" i="9"/>
  <c r="D12" i="9"/>
  <c r="C43" i="3"/>
  <c r="Q23" i="3"/>
  <c r="Q4" i="9"/>
  <c r="C43" i="8"/>
  <c r="N27" i="9"/>
  <c r="O36" i="9"/>
  <c r="Q16" i="8"/>
  <c r="L33" i="9"/>
  <c r="C6" i="9"/>
  <c r="C27" i="3"/>
  <c r="D44" i="8"/>
  <c r="K31" i="3"/>
  <c r="C43" i="10"/>
  <c r="P30" i="9"/>
  <c r="M44" i="10"/>
  <c r="C6" i="11"/>
  <c r="I32" i="10"/>
  <c r="T44" i="3"/>
  <c r="K40" i="8"/>
  <c r="O17" i="10"/>
  <c r="D8" i="8"/>
  <c r="O27" i="8"/>
  <c r="U7" i="8"/>
  <c r="H15" i="11"/>
  <c r="S46" i="8"/>
  <c r="M29" i="3"/>
  <c r="F44" i="3"/>
  <c r="O30" i="9"/>
  <c r="P13" i="9"/>
  <c r="J38" i="10"/>
  <c r="R4" i="9"/>
  <c r="L7" i="8"/>
  <c r="O13" i="8"/>
  <c r="C14" i="8"/>
  <c r="Q38" i="8"/>
  <c r="Q6" i="3"/>
  <c r="O22" i="3"/>
  <c r="K29" i="3"/>
  <c r="J38" i="11"/>
  <c r="I13" i="8"/>
  <c r="I46" i="9"/>
  <c r="F37" i="10"/>
  <c r="N43" i="8"/>
  <c r="S42" i="9"/>
  <c r="F15" i="11"/>
  <c r="E31" i="3"/>
  <c r="R10" i="3"/>
  <c r="M11" i="3"/>
  <c r="F30" i="8"/>
  <c r="N30" i="3"/>
  <c r="L31" i="3"/>
  <c r="K46" i="9"/>
  <c r="F27" i="9"/>
  <c r="C19" i="11"/>
  <c r="H36" i="3"/>
  <c r="R44" i="10"/>
  <c r="I18" i="3"/>
  <c r="N8" i="3"/>
  <c r="E36" i="3"/>
  <c r="T29" i="11"/>
  <c r="C34" i="8"/>
  <c r="D39" i="9"/>
  <c r="I39" i="8"/>
  <c r="I9" i="3"/>
  <c r="I14" i="11"/>
  <c r="U9" i="8"/>
  <c r="K20" i="3"/>
  <c r="I21" i="11"/>
  <c r="J43" i="10"/>
  <c r="R34" i="9"/>
  <c r="U36" i="3"/>
  <c r="N36" i="9"/>
  <c r="O23" i="9"/>
  <c r="E13" i="9"/>
  <c r="M30" i="8"/>
  <c r="F4" i="9"/>
  <c r="N31" i="11"/>
  <c r="T19" i="8"/>
  <c r="N35" i="3"/>
  <c r="T6" i="10"/>
  <c r="G32" i="9"/>
  <c r="F13" i="11"/>
  <c r="G20" i="10"/>
  <c r="I43" i="10"/>
  <c r="M11" i="9"/>
  <c r="Q31" i="3"/>
  <c r="Q26" i="9"/>
  <c r="G30" i="8"/>
  <c r="H14" i="11"/>
  <c r="Q3" i="3"/>
  <c r="L43" i="9"/>
  <c r="L44" i="10"/>
  <c r="P18" i="11"/>
  <c r="G42" i="8"/>
  <c r="H14" i="3"/>
  <c r="D9" i="11"/>
  <c r="M6" i="8"/>
  <c r="N16" i="10"/>
  <c r="T14" i="11"/>
  <c r="T33" i="8"/>
  <c r="R14" i="8"/>
  <c r="G42" i="10"/>
  <c r="H4" i="8"/>
  <c r="D26" i="11"/>
  <c r="R33" i="10"/>
  <c r="U27" i="10"/>
  <c r="Q46" i="9"/>
  <c r="R5" i="3"/>
  <c r="I7" i="3"/>
  <c r="L15" i="3"/>
  <c r="S29" i="11"/>
  <c r="F21" i="9"/>
  <c r="G39" i="3"/>
  <c r="H33" i="10"/>
  <c r="U29" i="9"/>
  <c r="O32" i="10"/>
  <c r="G40" i="8"/>
  <c r="E40" i="10"/>
  <c r="M28" i="10"/>
  <c r="R30" i="8"/>
  <c r="K27" i="3"/>
  <c r="P46" i="11"/>
  <c r="P5" i="8"/>
  <c r="J26" i="11"/>
  <c r="H5" i="9"/>
  <c r="H31" i="8"/>
  <c r="S29" i="10"/>
  <c r="L16" i="3"/>
  <c r="Q33" i="8"/>
  <c r="C16" i="11"/>
  <c r="R42" i="11"/>
  <c r="G35" i="8"/>
  <c r="S45" i="8"/>
  <c r="D27" i="11"/>
  <c r="T13" i="10"/>
  <c r="C36" i="8"/>
  <c r="C37" i="3"/>
  <c r="C31" i="10"/>
  <c r="T43" i="9"/>
  <c r="E46" i="9"/>
  <c r="T35" i="3"/>
  <c r="C3" i="9"/>
  <c r="H5" i="3"/>
  <c r="E27" i="3"/>
  <c r="O10" i="11"/>
  <c r="O16" i="8"/>
  <c r="L7" i="3"/>
  <c r="Q18" i="9"/>
  <c r="D36" i="9"/>
  <c r="M8" i="8"/>
  <c r="L23" i="3"/>
  <c r="D31" i="8"/>
  <c r="D19" i="11"/>
  <c r="J32" i="11"/>
  <c r="O37" i="10"/>
  <c r="O15" i="8"/>
  <c r="P4" i="8"/>
  <c r="L15" i="9"/>
  <c r="T4" i="3"/>
  <c r="J20" i="10"/>
  <c r="I11" i="3"/>
  <c r="S36" i="11"/>
  <c r="F9" i="10"/>
  <c r="I35" i="11"/>
  <c r="E12" i="10"/>
  <c r="F10" i="11"/>
  <c r="K39" i="10"/>
  <c r="H32" i="9"/>
  <c r="G9" i="3"/>
  <c r="I26" i="8"/>
  <c r="F22" i="3"/>
  <c r="I34" i="11"/>
  <c r="G6" i="8"/>
  <c r="O18" i="9"/>
  <c r="K10" i="9"/>
  <c r="J20" i="3"/>
  <c r="O46" i="3"/>
  <c r="G29" i="8"/>
  <c r="C39" i="3"/>
  <c r="H16" i="3"/>
  <c r="N31" i="3"/>
  <c r="U13" i="3"/>
  <c r="I31" i="11"/>
  <c r="T12" i="10"/>
  <c r="F14" i="10"/>
  <c r="J5" i="10"/>
  <c r="E23" i="9"/>
  <c r="E21" i="9"/>
  <c r="N32" i="3"/>
  <c r="R35" i="3"/>
  <c r="S19" i="11"/>
  <c r="T27" i="10"/>
  <c r="R12" i="9"/>
  <c r="M7" i="10"/>
  <c r="L16" i="10"/>
  <c r="M13" i="8"/>
  <c r="F30" i="11"/>
  <c r="M23" i="11"/>
  <c r="T17" i="9"/>
  <c r="F36" i="10"/>
  <c r="H27" i="11"/>
  <c r="G14" i="11"/>
  <c r="H5" i="10"/>
  <c r="H35" i="11"/>
  <c r="R21" i="10"/>
  <c r="L38" i="9"/>
  <c r="P28" i="9"/>
  <c r="N28" i="10"/>
  <c r="C29" i="10"/>
  <c r="R43" i="3"/>
  <c r="K22" i="9"/>
  <c r="Q42" i="10"/>
  <c r="O32" i="8"/>
  <c r="P37" i="8"/>
  <c r="F17" i="8"/>
  <c r="U12" i="8"/>
  <c r="E39" i="9"/>
  <c r="E43" i="9"/>
  <c r="U39" i="9"/>
  <c r="D18" i="3"/>
  <c r="I34" i="3"/>
  <c r="O16" i="9"/>
  <c r="H43" i="8"/>
  <c r="N3" i="3"/>
  <c r="N31" i="8"/>
  <c r="T16" i="8"/>
  <c r="I27" i="10"/>
  <c r="F33" i="8"/>
  <c r="D34" i="9"/>
  <c r="S11" i="10"/>
  <c r="K7" i="10"/>
  <c r="S35" i="3"/>
  <c r="H4" i="10"/>
  <c r="I7" i="11"/>
  <c r="J33" i="10"/>
  <c r="E39" i="8"/>
  <c r="U32" i="8"/>
  <c r="S29" i="8"/>
  <c r="C43" i="9"/>
  <c r="U10" i="3"/>
  <c r="K23" i="3"/>
  <c r="G39" i="8"/>
  <c r="I22" i="3"/>
  <c r="S41" i="10"/>
  <c r="E41" i="9"/>
  <c r="O37" i="8"/>
  <c r="E4" i="9"/>
  <c r="M34" i="3"/>
  <c r="C18" i="3"/>
  <c r="U4" i="3"/>
  <c r="I5" i="3"/>
  <c r="N31" i="9"/>
  <c r="C23" i="3"/>
  <c r="Q43" i="3"/>
  <c r="P40" i="11"/>
  <c r="L30" i="11"/>
  <c r="H19" i="8"/>
  <c r="D26" i="8"/>
  <c r="H30" i="3"/>
  <c r="K9" i="3"/>
  <c r="M41" i="11"/>
  <c r="D19" i="8"/>
  <c r="J33" i="3"/>
  <c r="H35" i="8"/>
  <c r="H37" i="9"/>
  <c r="K18" i="9"/>
  <c r="Q44" i="10"/>
  <c r="P20" i="3"/>
  <c r="J43" i="8"/>
  <c r="D33" i="10"/>
  <c r="T8" i="11"/>
  <c r="P35" i="3"/>
  <c r="R39" i="9"/>
  <c r="C38" i="8"/>
  <c r="C13" i="9"/>
  <c r="O15" i="3"/>
  <c r="G26" i="10"/>
  <c r="L4" i="3"/>
  <c r="Q27" i="10"/>
  <c r="U43" i="10"/>
  <c r="C23" i="10"/>
  <c r="R22" i="9"/>
  <c r="U42" i="9"/>
  <c r="K16" i="3"/>
  <c r="Q33" i="10"/>
  <c r="E5" i="10"/>
  <c r="R44" i="3"/>
  <c r="L5" i="3"/>
  <c r="K14" i="11"/>
  <c r="L29" i="8"/>
  <c r="P6" i="10"/>
  <c r="S32" i="11"/>
  <c r="N15" i="10"/>
  <c r="Q41" i="11"/>
  <c r="C40" i="8"/>
  <c r="P44" i="8"/>
  <c r="E9" i="11"/>
  <c r="F20" i="11"/>
  <c r="I20" i="8"/>
  <c r="K14" i="8"/>
  <c r="J21" i="9"/>
  <c r="C31" i="9"/>
  <c r="N45" i="9"/>
  <c r="S7" i="10"/>
  <c r="U28" i="11"/>
  <c r="N20" i="3"/>
  <c r="I23" i="8"/>
  <c r="U26" i="9"/>
  <c r="U33" i="3"/>
  <c r="D32" i="10"/>
  <c r="L38" i="3"/>
  <c r="N41" i="3"/>
  <c r="I17" i="11"/>
  <c r="I46" i="11"/>
  <c r="O13" i="3"/>
  <c r="I43" i="11"/>
  <c r="I36" i="11"/>
  <c r="J41" i="8"/>
  <c r="N14" i="8"/>
  <c r="N38" i="11"/>
  <c r="C46" i="8"/>
  <c r="Q6" i="8"/>
  <c r="L4" i="8"/>
  <c r="P3" i="8"/>
  <c r="N7" i="3"/>
  <c r="M36" i="9"/>
  <c r="I8" i="9"/>
  <c r="K17" i="9"/>
  <c r="D40" i="3"/>
  <c r="H17" i="10"/>
  <c r="U43" i="3"/>
  <c r="R7" i="3"/>
  <c r="H45" i="3"/>
  <c r="E11" i="8"/>
  <c r="K10" i="8"/>
  <c r="E19" i="9"/>
  <c r="E18" i="8"/>
  <c r="K43" i="8"/>
  <c r="K30" i="11"/>
  <c r="O30" i="3"/>
  <c r="Q22" i="10"/>
  <c r="G37" i="9"/>
  <c r="E15" i="3"/>
  <c r="H43" i="9"/>
  <c r="I20" i="10"/>
  <c r="S12" i="9"/>
  <c r="S7" i="11"/>
  <c r="D13" i="10"/>
  <c r="H23" i="3"/>
  <c r="K7" i="11"/>
  <c r="P14" i="3"/>
  <c r="N44" i="10"/>
  <c r="R11" i="10"/>
  <c r="E6" i="10"/>
  <c r="L36" i="8"/>
  <c r="N34" i="10"/>
  <c r="S23" i="10"/>
  <c r="M32" i="10"/>
  <c r="J18" i="9"/>
  <c r="J19" i="8"/>
  <c r="C33" i="11"/>
  <c r="D11" i="3"/>
  <c r="C4" i="10"/>
  <c r="L35" i="10"/>
  <c r="P19" i="8"/>
  <c r="G29" i="10"/>
  <c r="U19" i="9"/>
  <c r="R45" i="11"/>
  <c r="T20" i="9"/>
  <c r="R43" i="8"/>
  <c r="E44" i="3"/>
  <c r="Q7" i="10"/>
  <c r="S8" i="9"/>
  <c r="U43" i="9"/>
  <c r="F18" i="11"/>
  <c r="Q30" i="9"/>
  <c r="I38" i="3"/>
  <c r="H6" i="3"/>
  <c r="J10" i="10"/>
  <c r="U30" i="11"/>
  <c r="T7" i="9"/>
  <c r="D46" i="3"/>
  <c r="M42" i="11"/>
  <c r="L7" i="10"/>
  <c r="M3" i="8"/>
  <c r="J45" i="8"/>
  <c r="F46" i="3"/>
  <c r="F22" i="11"/>
  <c r="D16" i="11"/>
  <c r="M45" i="8"/>
  <c r="N26" i="9"/>
  <c r="M29" i="8"/>
  <c r="R17" i="3"/>
  <c r="H13" i="3"/>
  <c r="E44" i="9"/>
  <c r="M20" i="3"/>
  <c r="F23" i="3"/>
  <c r="I17" i="8"/>
  <c r="C30" i="3"/>
  <c r="C37" i="11"/>
  <c r="N42" i="9"/>
  <c r="O11" i="3"/>
  <c r="H41" i="8"/>
  <c r="T18" i="10"/>
  <c r="D44" i="10"/>
  <c r="Q27" i="8"/>
  <c r="N11" i="3"/>
  <c r="J13" i="3"/>
  <c r="U8" i="3"/>
  <c r="E26" i="3"/>
  <c r="L13" i="3"/>
  <c r="D3" i="3"/>
  <c r="J35" i="8"/>
  <c r="M40" i="8"/>
  <c r="G10" i="11"/>
  <c r="E32" i="3"/>
  <c r="R46" i="11"/>
  <c r="L34" i="3"/>
  <c r="H34" i="10"/>
  <c r="S9" i="11"/>
  <c r="G12" i="8"/>
  <c r="Q19" i="9"/>
  <c r="O30" i="8"/>
  <c r="O8" i="9"/>
  <c r="D45" i="8"/>
  <c r="S35" i="10"/>
  <c r="E46" i="3"/>
  <c r="H22" i="3"/>
  <c r="G16" i="3"/>
  <c r="H16" i="8"/>
  <c r="S30" i="3"/>
  <c r="C41" i="3"/>
  <c r="U9" i="10"/>
  <c r="R44" i="8"/>
  <c r="K18" i="8"/>
  <c r="J45" i="11"/>
  <c r="N10" i="10"/>
  <c r="F40" i="8"/>
  <c r="C19" i="3"/>
  <c r="C44" i="3"/>
  <c r="O33" i="10"/>
  <c r="J15" i="9"/>
  <c r="O22" i="8"/>
  <c r="I7" i="9"/>
  <c r="D45" i="9"/>
  <c r="U46" i="9"/>
  <c r="K8" i="3"/>
  <c r="P42" i="11"/>
  <c r="E30" i="3"/>
  <c r="K14" i="3"/>
  <c r="R42" i="8"/>
  <c r="F34" i="11"/>
  <c r="F31" i="9"/>
  <c r="P7" i="10"/>
  <c r="N23" i="8"/>
  <c r="H19" i="9"/>
  <c r="T36" i="9"/>
  <c r="F34" i="3"/>
  <c r="K10" i="10"/>
  <c r="F12" i="9"/>
  <c r="E30" i="8"/>
  <c r="L19" i="11"/>
  <c r="S36" i="9"/>
  <c r="F40" i="3"/>
  <c r="T29" i="3"/>
  <c r="C38" i="9"/>
  <c r="E10" i="11"/>
  <c r="O36" i="11"/>
  <c r="C26" i="3"/>
  <c r="T19" i="11"/>
  <c r="K45" i="8"/>
  <c r="K3" i="11"/>
  <c r="C44" i="9"/>
  <c r="I4" i="10"/>
  <c r="J36" i="8"/>
  <c r="S43" i="8"/>
  <c r="S42" i="10"/>
  <c r="U20" i="8"/>
  <c r="U28" i="10"/>
  <c r="L40" i="8"/>
  <c r="P38" i="9"/>
  <c r="C7" i="3"/>
  <c r="L40" i="9"/>
  <c r="T27" i="3"/>
  <c r="R10" i="8"/>
  <c r="H9" i="10"/>
  <c r="E23" i="8"/>
  <c r="T11" i="9"/>
  <c r="H9" i="8"/>
  <c r="E38" i="3"/>
  <c r="L28" i="8"/>
  <c r="R45" i="9"/>
  <c r="R37" i="8"/>
  <c r="K13" i="3"/>
  <c r="R28" i="8"/>
  <c r="L34" i="9"/>
  <c r="R41" i="8"/>
  <c r="C22" i="10"/>
  <c r="D31" i="11"/>
  <c r="O35" i="8"/>
  <c r="T11" i="8"/>
  <c r="R8" i="3"/>
  <c r="R29" i="3"/>
  <c r="F37" i="3"/>
  <c r="C9" i="3"/>
  <c r="F4" i="10"/>
  <c r="C19" i="8"/>
  <c r="O3" i="9"/>
  <c r="U40" i="10"/>
  <c r="E8" i="11"/>
  <c r="M3" i="9"/>
  <c r="F19" i="10"/>
  <c r="K36" i="9"/>
  <c r="P34" i="9"/>
  <c r="F11" i="3"/>
  <c r="D35" i="9"/>
  <c r="J5" i="3"/>
  <c r="T6" i="3"/>
  <c r="T20" i="10"/>
  <c r="C20" i="11"/>
  <c r="G31" i="11"/>
  <c r="P38" i="8"/>
  <c r="D37" i="9"/>
  <c r="O40" i="11"/>
  <c r="P44" i="11"/>
  <c r="E19" i="3"/>
  <c r="N33" i="8"/>
  <c r="S29" i="3"/>
  <c r="N8" i="9"/>
  <c r="O18" i="11"/>
  <c r="T42" i="3"/>
  <c r="T19" i="9"/>
  <c r="H27" i="8"/>
  <c r="O27" i="9"/>
  <c r="F35" i="3"/>
  <c r="N20" i="11"/>
  <c r="J6" i="9"/>
  <c r="J40" i="8"/>
  <c r="K11" i="8"/>
  <c r="L11" i="9"/>
  <c r="G45" i="11"/>
  <c r="D14" i="3"/>
  <c r="M45" i="9"/>
  <c r="O28" i="8"/>
  <c r="N20" i="10"/>
  <c r="G38" i="3"/>
  <c r="P3" i="10"/>
  <c r="H31" i="9"/>
  <c r="E42" i="3"/>
  <c r="C20" i="8"/>
  <c r="R8" i="8"/>
  <c r="G10" i="9"/>
  <c r="O34" i="9"/>
  <c r="G36" i="9"/>
  <c r="G34" i="8"/>
  <c r="C15" i="3"/>
  <c r="K11" i="10"/>
  <c r="E3" i="10"/>
  <c r="M28" i="11"/>
  <c r="U12" i="10"/>
  <c r="I28" i="8"/>
  <c r="U10" i="8"/>
  <c r="J15" i="3"/>
  <c r="L27" i="9"/>
  <c r="L46" i="9"/>
  <c r="G34" i="3"/>
  <c r="M6" i="11"/>
  <c r="S22" i="8"/>
  <c r="S19" i="9"/>
  <c r="P29" i="3"/>
  <c r="S45" i="10"/>
  <c r="F18" i="8"/>
  <c r="I35" i="3"/>
  <c r="M17" i="9"/>
  <c r="K43" i="11"/>
  <c r="H38" i="8"/>
  <c r="T7" i="3"/>
  <c r="U40" i="11"/>
  <c r="F28" i="8"/>
  <c r="K5" i="9"/>
  <c r="K46" i="3"/>
  <c r="P43" i="8"/>
  <c r="D39" i="8"/>
  <c r="J6" i="8"/>
  <c r="P43" i="10"/>
  <c r="H17" i="8"/>
  <c r="O20" i="9"/>
  <c r="G9" i="10"/>
  <c r="U41" i="11"/>
  <c r="E26" i="8"/>
  <c r="I45" i="11"/>
  <c r="I10" i="8"/>
  <c r="N17" i="11"/>
  <c r="G3" i="11"/>
  <c r="P39" i="9"/>
  <c r="O46" i="10"/>
  <c r="N7" i="11"/>
  <c r="N19" i="3"/>
  <c r="P7" i="8"/>
  <c r="R22" i="10"/>
  <c r="I46" i="3"/>
  <c r="N15" i="8"/>
  <c r="M4" i="10"/>
  <c r="L18" i="8"/>
  <c r="O32" i="11"/>
  <c r="E33" i="10"/>
  <c r="L43" i="8"/>
  <c r="J9" i="10"/>
  <c r="K31" i="9"/>
  <c r="I15" i="10"/>
  <c r="N42" i="10"/>
  <c r="O21" i="3"/>
  <c r="K26" i="11"/>
  <c r="C22" i="9"/>
  <c r="J4" i="8"/>
  <c r="C17" i="8"/>
  <c r="T26" i="3"/>
  <c r="R44" i="9"/>
  <c r="D31" i="3"/>
  <c r="E37" i="8"/>
  <c r="H35" i="3"/>
  <c r="Q45" i="11"/>
  <c r="Q3" i="9"/>
  <c r="K4" i="9"/>
  <c r="T5" i="10"/>
  <c r="S38" i="3"/>
  <c r="O22" i="9"/>
  <c r="L12" i="9"/>
  <c r="I31" i="9"/>
  <c r="L3" i="9"/>
  <c r="K42" i="9"/>
  <c r="Q5" i="11"/>
  <c r="M29" i="11"/>
  <c r="O43" i="10"/>
  <c r="T18" i="9"/>
  <c r="P17" i="10"/>
  <c r="J34" i="3"/>
  <c r="D4" i="11"/>
  <c r="C12" i="9"/>
  <c r="U43" i="11"/>
  <c r="C38" i="3"/>
  <c r="R11" i="9"/>
  <c r="J40" i="9"/>
  <c r="I18" i="8"/>
  <c r="Q12" i="11"/>
  <c r="F26" i="10"/>
  <c r="H32" i="11"/>
  <c r="H10" i="3"/>
  <c r="M7" i="3"/>
  <c r="H19" i="10"/>
  <c r="L33" i="3"/>
  <c r="R34" i="10"/>
  <c r="I42" i="11"/>
  <c r="P11" i="10"/>
  <c r="H22" i="8"/>
  <c r="G27" i="10"/>
  <c r="C29" i="9"/>
  <c r="F18" i="9"/>
  <c r="O38" i="9"/>
  <c r="G28" i="11"/>
  <c r="F33" i="3"/>
  <c r="R36" i="8"/>
  <c r="U11" i="10"/>
  <c r="N46" i="8"/>
  <c r="L36" i="3"/>
  <c r="L10" i="3"/>
  <c r="I15" i="9"/>
  <c r="F45" i="11"/>
  <c r="Q40" i="11"/>
  <c r="P26" i="9"/>
  <c r="S13" i="3"/>
  <c r="U28" i="8"/>
  <c r="N17" i="9"/>
  <c r="I27" i="3"/>
  <c r="P11" i="8"/>
  <c r="I40" i="10"/>
  <c r="R6" i="10"/>
  <c r="F23" i="9"/>
  <c r="N19" i="8"/>
  <c r="R15" i="11"/>
  <c r="N36" i="8"/>
  <c r="E8" i="3"/>
  <c r="K36" i="10"/>
  <c r="I14" i="8"/>
  <c r="Q30" i="8"/>
  <c r="F4" i="11"/>
  <c r="S12" i="3"/>
  <c r="J19" i="10"/>
  <c r="K13" i="9"/>
  <c r="K4" i="11"/>
  <c r="K42" i="3"/>
  <c r="G27" i="8"/>
  <c r="M4" i="8"/>
  <c r="I8" i="3"/>
  <c r="C20" i="10"/>
  <c r="J28" i="10"/>
  <c r="T5" i="9"/>
  <c r="O23" i="8"/>
  <c r="D39" i="10"/>
  <c r="E12" i="11"/>
  <c r="N9" i="3"/>
  <c r="U7" i="3"/>
  <c r="K14" i="9"/>
  <c r="J35" i="3"/>
  <c r="J36" i="10"/>
  <c r="M20" i="11"/>
  <c r="T16" i="3"/>
  <c r="N5" i="9"/>
  <c r="L20" i="8"/>
  <c r="P19" i="11"/>
  <c r="H30" i="10"/>
  <c r="L26" i="3"/>
  <c r="G9" i="8"/>
  <c r="F45" i="10"/>
  <c r="U36" i="10"/>
  <c r="R4" i="3"/>
  <c r="J21" i="3"/>
  <c r="C4" i="8"/>
  <c r="C32" i="3"/>
  <c r="G15" i="10"/>
  <c r="P28" i="3"/>
  <c r="U3" i="8"/>
  <c r="Q7" i="8"/>
  <c r="G22" i="10"/>
  <c r="L45" i="8"/>
  <c r="J12" i="8"/>
  <c r="E15" i="11"/>
  <c r="C46" i="10"/>
  <c r="C35" i="9"/>
  <c r="S38" i="9"/>
  <c r="I32" i="9"/>
  <c r="C6" i="3"/>
  <c r="Q45" i="3"/>
  <c r="T10" i="8"/>
  <c r="G33" i="11"/>
  <c r="C8" i="9"/>
  <c r="M38" i="8"/>
  <c r="L32" i="11"/>
  <c r="S14" i="9"/>
  <c r="J30" i="11"/>
  <c r="M46" i="8"/>
  <c r="U3" i="10"/>
  <c r="D20" i="3"/>
  <c r="M11" i="10"/>
  <c r="G40" i="10"/>
  <c r="Q28" i="3"/>
  <c r="E7" i="9"/>
  <c r="J10" i="8"/>
  <c r="Q27" i="11"/>
  <c r="L35" i="11"/>
  <c r="F42" i="3"/>
  <c r="Q37" i="3"/>
  <c r="H40" i="3"/>
  <c r="F9" i="9"/>
  <c r="N10" i="3"/>
  <c r="M27" i="3"/>
  <c r="L45" i="3"/>
  <c r="U10" i="10"/>
  <c r="I23" i="3"/>
  <c r="O5" i="11"/>
  <c r="Q15" i="3"/>
  <c r="M35" i="3"/>
  <c r="E13" i="8"/>
  <c r="D29" i="8"/>
  <c r="J34" i="10"/>
  <c r="R35" i="8"/>
  <c r="E19" i="10"/>
  <c r="U14" i="10"/>
  <c r="Q35" i="3"/>
  <c r="T46" i="8"/>
  <c r="M39" i="8"/>
  <c r="L18" i="3"/>
  <c r="T43" i="10"/>
  <c r="F27" i="10"/>
  <c r="O43" i="9"/>
  <c r="G22" i="3"/>
  <c r="P12" i="10"/>
  <c r="R41" i="11"/>
  <c r="M26" i="11"/>
  <c r="T13" i="9"/>
  <c r="I22" i="8"/>
  <c r="F45" i="3"/>
  <c r="C46" i="3"/>
  <c r="T18" i="11"/>
  <c r="L30" i="8"/>
  <c r="J8" i="8"/>
  <c r="N37" i="3"/>
  <c r="U33" i="9"/>
  <c r="J14" i="9"/>
  <c r="H11" i="3"/>
  <c r="S37" i="3"/>
  <c r="D14" i="10"/>
  <c r="D5" i="3"/>
  <c r="O34" i="11"/>
  <c r="E37" i="9"/>
  <c r="C35" i="8"/>
  <c r="R11" i="3"/>
  <c r="O40" i="9"/>
  <c r="R16" i="3"/>
  <c r="D34" i="10"/>
  <c r="J12" i="9"/>
  <c r="U11" i="9"/>
  <c r="K45" i="10"/>
  <c r="M37" i="3"/>
  <c r="P42" i="3"/>
  <c r="S28" i="8"/>
  <c r="T18" i="3"/>
  <c r="C42" i="9"/>
  <c r="G34" i="10"/>
  <c r="G35" i="9"/>
  <c r="I12" i="3"/>
  <c r="Q13" i="8"/>
  <c r="G36" i="11"/>
  <c r="I28" i="11"/>
  <c r="K3" i="9"/>
  <c r="Q27" i="9"/>
  <c r="H12" i="9"/>
  <c r="J43" i="3"/>
  <c r="T10" i="3"/>
  <c r="P32" i="9"/>
  <c r="R21" i="3"/>
  <c r="F39" i="8"/>
  <c r="P23" i="9"/>
  <c r="N33" i="3"/>
  <c r="F29" i="3"/>
  <c r="K6" i="10"/>
  <c r="C6" i="10"/>
  <c r="I14" i="10"/>
  <c r="J45" i="10"/>
  <c r="T32" i="3"/>
  <c r="E42" i="9"/>
  <c r="L21" i="3"/>
  <c r="I40" i="8"/>
  <c r="M29" i="9"/>
  <c r="E36" i="9"/>
  <c r="L14" i="3"/>
  <c r="N20" i="8"/>
  <c r="S45" i="9"/>
  <c r="J28" i="8"/>
  <c r="E43" i="8"/>
  <c r="K30" i="3"/>
  <c r="O36" i="10"/>
  <c r="I33" i="8"/>
  <c r="N6" i="9"/>
  <c r="O6" i="9"/>
  <c r="E36" i="11"/>
  <c r="O27" i="10"/>
  <c r="R35" i="11"/>
  <c r="H23" i="11"/>
  <c r="J8" i="9"/>
  <c r="L8" i="3"/>
  <c r="T7" i="11"/>
  <c r="E39" i="10"/>
  <c r="K45" i="11"/>
  <c r="S23" i="3"/>
  <c r="G29" i="9"/>
  <c r="C21" i="10"/>
  <c r="Q11" i="11"/>
  <c r="S9" i="3"/>
  <c r="G33" i="9"/>
  <c r="T28" i="10"/>
  <c r="C40" i="9"/>
  <c r="I4" i="11"/>
  <c r="O44" i="9"/>
  <c r="G32" i="3"/>
  <c r="E22" i="9"/>
  <c r="P20" i="9"/>
  <c r="T15" i="9"/>
  <c r="K29" i="11"/>
  <c r="C21" i="8"/>
  <c r="G30" i="3"/>
  <c r="Q12" i="9"/>
  <c r="G44" i="9"/>
  <c r="G9" i="9"/>
  <c r="F10" i="8"/>
  <c r="Q10" i="8"/>
  <c r="S41" i="8"/>
  <c r="R32" i="3"/>
  <c r="H27" i="9"/>
  <c r="S21" i="8"/>
  <c r="H12" i="3"/>
  <c r="C45" i="9"/>
  <c r="J32" i="9"/>
  <c r="J37" i="9"/>
  <c r="N44" i="11"/>
  <c r="G41" i="10"/>
  <c r="J29" i="10"/>
  <c r="E7" i="10"/>
  <c r="T37" i="8"/>
  <c r="E11" i="11"/>
  <c r="L35" i="8"/>
  <c r="U29" i="3"/>
  <c r="S15" i="3"/>
  <c r="Q12" i="8"/>
  <c r="D39" i="3"/>
  <c r="F43" i="10"/>
  <c r="H26" i="3"/>
  <c r="F15" i="9"/>
  <c r="F12" i="8"/>
  <c r="M12" i="11"/>
  <c r="J9" i="9"/>
  <c r="E18" i="10"/>
  <c r="P37" i="9"/>
  <c r="L37" i="9"/>
  <c r="M44" i="3"/>
  <c r="J5" i="8"/>
  <c r="H21" i="9"/>
  <c r="U17" i="8"/>
  <c r="G43" i="3"/>
  <c r="H42" i="3"/>
  <c r="F29" i="8"/>
  <c r="I34" i="9"/>
  <c r="K23" i="11"/>
  <c r="G36" i="10"/>
  <c r="P19" i="3"/>
  <c r="C29" i="3"/>
  <c r="E18" i="3"/>
  <c r="U21" i="8"/>
  <c r="H26" i="10"/>
  <c r="F36" i="8"/>
  <c r="M15" i="3"/>
  <c r="Q36" i="3"/>
  <c r="J38" i="9"/>
  <c r="R45" i="8"/>
  <c r="C31" i="3"/>
  <c r="C4" i="9"/>
  <c r="P21" i="10"/>
  <c r="J31" i="3"/>
  <c r="D19" i="9"/>
  <c r="L3" i="8"/>
  <c r="D32" i="8"/>
  <c r="O39" i="3"/>
  <c r="N28" i="11"/>
  <c r="K46" i="10"/>
  <c r="F45" i="9"/>
  <c r="O26" i="8"/>
  <c r="C28" i="9"/>
  <c r="D21" i="8"/>
  <c r="D15" i="10"/>
  <c r="C45" i="8"/>
  <c r="O8" i="11"/>
  <c r="F28" i="11"/>
  <c r="U20" i="10"/>
  <c r="U15" i="8"/>
  <c r="O43" i="3"/>
  <c r="L32" i="8"/>
  <c r="P15" i="8"/>
  <c r="R42" i="3"/>
  <c r="M12" i="8"/>
  <c r="G6" i="3"/>
  <c r="M5" i="9"/>
  <c r="J43" i="9"/>
  <c r="P21" i="3"/>
  <c r="N43" i="9"/>
  <c r="P30" i="3"/>
  <c r="D17" i="8"/>
  <c r="M10" i="8"/>
  <c r="D13" i="9"/>
  <c r="J39" i="10"/>
  <c r="I40" i="11"/>
  <c r="E11" i="9"/>
  <c r="E4" i="8"/>
  <c r="H7" i="8"/>
  <c r="J5" i="11"/>
  <c r="D38" i="8"/>
  <c r="O41" i="9"/>
  <c r="I23" i="11"/>
  <c r="T3" i="8"/>
  <c r="I45" i="3"/>
  <c r="H27" i="3"/>
  <c r="Q5" i="10"/>
  <c r="O14" i="9"/>
  <c r="J39" i="9"/>
  <c r="S14" i="8"/>
  <c r="P28" i="10"/>
  <c r="D40" i="8"/>
  <c r="M30" i="3"/>
  <c r="I42" i="8"/>
  <c r="L34" i="8"/>
  <c r="H8" i="10"/>
  <c r="J10" i="3"/>
  <c r="I43" i="9"/>
  <c r="Q43" i="8"/>
  <c r="T38" i="3"/>
  <c r="H36" i="10"/>
  <c r="L6" i="11"/>
  <c r="N11" i="9"/>
  <c r="J13" i="8"/>
  <c r="H10" i="8"/>
  <c r="M15" i="8"/>
  <c r="F4" i="3"/>
  <c r="P39" i="11"/>
  <c r="J46" i="8"/>
  <c r="D7" i="9"/>
  <c r="C11" i="8"/>
  <c r="N10" i="9"/>
  <c r="N5" i="3"/>
  <c r="E41" i="3"/>
  <c r="K42" i="8"/>
  <c r="F22" i="10"/>
  <c r="E3" i="3"/>
  <c r="N17" i="8"/>
  <c r="K9" i="10"/>
  <c r="N4" i="3"/>
  <c r="J42" i="3"/>
  <c r="L12" i="8"/>
  <c r="O45" i="3"/>
  <c r="G26" i="9"/>
  <c r="T26" i="9"/>
  <c r="C10" i="10"/>
  <c r="P40" i="8"/>
  <c r="T39" i="8"/>
  <c r="D43" i="8"/>
  <c r="Q21" i="9"/>
  <c r="R7" i="9"/>
  <c r="S3" i="3"/>
  <c r="I40" i="9"/>
  <c r="H3" i="3"/>
  <c r="T21" i="11"/>
  <c r="G46" i="3"/>
  <c r="L42" i="3"/>
  <c r="D6" i="9"/>
  <c r="S10" i="9"/>
  <c r="H32" i="3"/>
  <c r="G18" i="3"/>
  <c r="N43" i="3"/>
  <c r="N43" i="11"/>
  <c r="N22" i="8"/>
  <c r="U37" i="9"/>
  <c r="Q13" i="3"/>
  <c r="N18" i="3"/>
  <c r="N3" i="8"/>
  <c r="U44" i="10"/>
  <c r="P32" i="11"/>
  <c r="C11" i="3"/>
  <c r="C9" i="8"/>
  <c r="S31" i="3"/>
  <c r="P39" i="3"/>
  <c r="U37" i="8"/>
  <c r="N22" i="9"/>
  <c r="T20" i="3"/>
  <c r="C30" i="8"/>
  <c r="P36" i="3"/>
  <c r="L32" i="10"/>
  <c r="C27" i="9"/>
  <c r="C5" i="3"/>
  <c r="K41" i="3"/>
  <c r="N28" i="3"/>
  <c r="Q45" i="9"/>
  <c r="F44" i="9"/>
  <c r="O31" i="3"/>
  <c r="P38" i="3"/>
  <c r="P35" i="11"/>
  <c r="I9" i="8"/>
  <c r="E46" i="8"/>
  <c r="F7" i="8"/>
  <c r="L6" i="3"/>
  <c r="R36" i="9"/>
  <c r="N26" i="3"/>
  <c r="P41" i="11"/>
  <c r="P18" i="9"/>
  <c r="F14" i="3"/>
  <c r="K31" i="10"/>
  <c r="E9" i="10"/>
  <c r="R18" i="9"/>
  <c r="M26" i="9"/>
  <c r="O28" i="3"/>
  <c r="P26" i="8"/>
  <c r="D10" i="10"/>
  <c r="M5" i="11"/>
  <c r="K5" i="10"/>
  <c r="H15" i="8"/>
  <c r="N8" i="11"/>
  <c r="T36" i="3"/>
  <c r="T41" i="3"/>
  <c r="U6" i="10"/>
  <c r="O17" i="9"/>
  <c r="S28" i="9"/>
  <c r="N32" i="9"/>
  <c r="N36" i="10"/>
  <c r="D17" i="9"/>
  <c r="H44" i="11"/>
  <c r="I13" i="10"/>
  <c r="O6" i="8"/>
  <c r="M4" i="9"/>
  <c r="S10" i="8"/>
  <c r="N11" i="11"/>
  <c r="G4" i="3"/>
  <c r="G7" i="3"/>
  <c r="D22" i="10"/>
  <c r="U5" i="11"/>
  <c r="M8" i="9"/>
  <c r="U33" i="8"/>
  <c r="H3" i="10"/>
  <c r="F21" i="3"/>
  <c r="J40" i="10"/>
  <c r="F43" i="3"/>
  <c r="F31" i="8"/>
  <c r="T12" i="8"/>
  <c r="J16" i="3"/>
  <c r="M8" i="10"/>
  <c r="S26" i="9"/>
  <c r="U42" i="8"/>
  <c r="C42" i="3"/>
  <c r="U14" i="11"/>
  <c r="N10" i="8"/>
  <c r="S35" i="9"/>
  <c r="H28" i="10"/>
  <c r="P14" i="10"/>
  <c r="Q10" i="3"/>
  <c r="P12" i="8"/>
  <c r="F39" i="10"/>
  <c r="T18" i="8"/>
  <c r="H13" i="10"/>
  <c r="N32" i="10"/>
  <c r="E21" i="8"/>
  <c r="D11" i="9"/>
  <c r="J38" i="8"/>
  <c r="E8" i="9"/>
  <c r="O13" i="9"/>
  <c r="C13" i="3"/>
  <c r="E41" i="8"/>
  <c r="D40" i="10"/>
  <c r="I21" i="8"/>
  <c r="S12" i="8"/>
  <c r="S43" i="11"/>
  <c r="E45" i="9"/>
  <c r="S15" i="8"/>
  <c r="N22" i="3"/>
  <c r="O44" i="8"/>
  <c r="O46" i="9"/>
  <c r="F16" i="10"/>
  <c r="O37" i="3"/>
  <c r="L32" i="3"/>
  <c r="N37" i="9"/>
  <c r="U7" i="9"/>
  <c r="I17" i="3"/>
  <c r="G22" i="8"/>
  <c r="K43" i="3"/>
  <c r="M34" i="10"/>
  <c r="M13" i="3"/>
  <c r="R13" i="9"/>
  <c r="J14" i="8"/>
  <c r="M36" i="11"/>
  <c r="U32" i="11"/>
  <c r="N44" i="3"/>
  <c r="U42" i="3"/>
  <c r="S21" i="9"/>
  <c r="K36" i="8"/>
  <c r="R23" i="3"/>
  <c r="T23" i="9"/>
  <c r="J41" i="10"/>
  <c r="M32" i="8"/>
  <c r="J46" i="10"/>
  <c r="U15" i="3"/>
  <c r="U43" i="8"/>
  <c r="Q14" i="8"/>
  <c r="K7" i="3"/>
  <c r="I15" i="8"/>
  <c r="S8" i="11"/>
  <c r="F32" i="9"/>
  <c r="U30" i="8"/>
  <c r="G37" i="8"/>
  <c r="D9" i="3"/>
  <c r="U38" i="10"/>
  <c r="K21" i="3"/>
  <c r="K15" i="11"/>
  <c r="J37" i="10"/>
  <c r="F7" i="3"/>
  <c r="S39" i="11"/>
  <c r="J20" i="8"/>
  <c r="L15" i="8"/>
  <c r="G17" i="10"/>
  <c r="D9" i="10"/>
  <c r="T27" i="9"/>
  <c r="P39" i="8"/>
  <c r="H22" i="10"/>
  <c r="P31" i="9"/>
  <c r="E3" i="9"/>
  <c r="N33" i="11"/>
  <c r="E10" i="10"/>
  <c r="M27" i="8"/>
  <c r="J31" i="11"/>
  <c r="G12" i="9"/>
  <c r="H35" i="10"/>
  <c r="O41" i="8"/>
  <c r="I4" i="9"/>
  <c r="P17" i="3"/>
  <c r="O44" i="11"/>
  <c r="R20" i="9"/>
  <c r="D34" i="3"/>
  <c r="N12" i="11"/>
  <c r="Q6" i="9"/>
  <c r="L20" i="3"/>
  <c r="E28" i="9"/>
  <c r="I30" i="10"/>
  <c r="L19" i="10"/>
  <c r="F18" i="3"/>
  <c r="I36" i="3"/>
  <c r="E32" i="9"/>
  <c r="K39" i="9"/>
  <c r="P36" i="8"/>
  <c r="F38" i="10"/>
  <c r="S10" i="3"/>
  <c r="E14" i="11"/>
  <c r="U16" i="3"/>
  <c r="H42" i="11"/>
  <c r="P14" i="11"/>
  <c r="O41" i="11"/>
  <c r="G45" i="9"/>
  <c r="R30" i="9"/>
  <c r="G32" i="8"/>
  <c r="C40" i="11"/>
  <c r="T21" i="8"/>
  <c r="S33" i="8"/>
  <c r="O6" i="3"/>
  <c r="I7" i="10"/>
  <c r="J18" i="8"/>
  <c r="U31" i="8"/>
  <c r="S26" i="8"/>
  <c r="J21" i="11"/>
  <c r="T31" i="9"/>
  <c r="O15" i="10"/>
  <c r="H3" i="11"/>
  <c r="R11" i="8"/>
  <c r="C12" i="8"/>
  <c r="L31" i="9"/>
  <c r="U46" i="8"/>
  <c r="P27" i="9"/>
  <c r="Q22" i="11"/>
  <c r="P32" i="3"/>
  <c r="T9" i="8"/>
  <c r="S26" i="3"/>
  <c r="T43" i="8"/>
  <c r="R31" i="11"/>
  <c r="G16" i="11"/>
  <c r="H29" i="9"/>
  <c r="J14" i="11"/>
  <c r="U27" i="9"/>
  <c r="D26" i="9"/>
  <c r="P3" i="9"/>
  <c r="K27" i="10"/>
  <c r="D13" i="3"/>
  <c r="K8" i="10"/>
  <c r="Q44" i="9"/>
  <c r="L27" i="11"/>
  <c r="D6" i="11"/>
  <c r="L41" i="3"/>
  <c r="I35" i="10"/>
  <c r="T40" i="10"/>
  <c r="O40" i="8"/>
  <c r="C6" i="8"/>
  <c r="G44" i="11"/>
  <c r="K15" i="8"/>
  <c r="D6" i="10"/>
  <c r="C12" i="3"/>
  <c r="J21" i="8"/>
  <c r="H39" i="8"/>
  <c r="N4" i="9"/>
  <c r="Q44" i="8"/>
  <c r="N35" i="11"/>
  <c r="N9" i="9"/>
  <c r="U41" i="8"/>
  <c r="G8" i="9"/>
  <c r="K34" i="11"/>
  <c r="L23" i="8"/>
  <c r="J18" i="10"/>
  <c r="L37" i="8"/>
  <c r="I33" i="3"/>
  <c r="F34" i="9"/>
  <c r="L39" i="3"/>
  <c r="M28" i="9"/>
  <c r="S19" i="8"/>
  <c r="S14" i="10"/>
  <c r="I21" i="9"/>
  <c r="E27" i="11"/>
  <c r="Q8" i="3"/>
  <c r="R39" i="3"/>
  <c r="Q32" i="8"/>
  <c r="M33" i="3"/>
  <c r="E12" i="8"/>
  <c r="U38" i="9"/>
  <c r="K19" i="9"/>
  <c r="L28" i="9"/>
  <c r="C39" i="8"/>
  <c r="S39" i="8"/>
  <c r="T13" i="3"/>
  <c r="M3" i="11"/>
  <c r="L11" i="8"/>
  <c r="T23" i="3"/>
  <c r="G3" i="8"/>
  <c r="U46" i="3"/>
  <c r="P42" i="8"/>
  <c r="M20" i="8"/>
  <c r="M39" i="11"/>
  <c r="K18" i="3"/>
  <c r="J27" i="3"/>
  <c r="Q20" i="3"/>
  <c r="H43" i="3"/>
  <c r="O36" i="3"/>
  <c r="R7" i="11"/>
  <c r="R26" i="8"/>
  <c r="R10" i="11"/>
  <c r="E19" i="8"/>
  <c r="K21" i="9"/>
  <c r="M15" i="11"/>
  <c r="J33" i="9"/>
  <c r="C11" i="11"/>
  <c r="L46" i="10"/>
  <c r="N42" i="3"/>
  <c r="L42" i="9"/>
  <c r="G46" i="8"/>
  <c r="E29" i="3"/>
  <c r="P4" i="9"/>
  <c r="L16" i="11"/>
  <c r="K34" i="3"/>
  <c r="H36" i="9"/>
  <c r="Q17" i="3"/>
  <c r="T6" i="8"/>
  <c r="T43" i="3"/>
  <c r="H18" i="9"/>
  <c r="O11" i="8"/>
  <c r="U34" i="8"/>
  <c r="M28" i="8"/>
  <c r="C5" i="9"/>
  <c r="C33" i="9"/>
  <c r="J4" i="10"/>
  <c r="U45" i="8"/>
  <c r="C46" i="9"/>
  <c r="L38" i="8"/>
  <c r="U5" i="9"/>
  <c r="R4" i="8"/>
  <c r="P8" i="10"/>
  <c r="J28" i="3"/>
  <c r="M16" i="8"/>
  <c r="I40" i="3"/>
  <c r="P37" i="3"/>
  <c r="F36" i="3"/>
  <c r="N6" i="8"/>
  <c r="F38" i="3"/>
  <c r="N12" i="10"/>
  <c r="S18" i="3"/>
  <c r="S32" i="10"/>
  <c r="D26" i="10"/>
  <c r="F20" i="10"/>
  <c r="R30" i="11"/>
  <c r="H45" i="11"/>
  <c r="P20" i="8"/>
  <c r="L28" i="10"/>
  <c r="S4" i="3"/>
  <c r="G31" i="9"/>
  <c r="M33" i="9"/>
  <c r="J11" i="8"/>
  <c r="P44" i="9"/>
  <c r="M12" i="3"/>
  <c r="U40" i="8"/>
  <c r="N21" i="3"/>
  <c r="N36" i="11"/>
  <c r="U34" i="9"/>
  <c r="P16" i="8"/>
  <c r="L43" i="11"/>
  <c r="D36" i="10"/>
  <c r="Q36" i="8"/>
  <c r="U27" i="11"/>
  <c r="O6" i="11"/>
  <c r="L22" i="9"/>
  <c r="K39" i="11"/>
  <c r="L18" i="10"/>
  <c r="H6" i="10"/>
  <c r="M26" i="3"/>
  <c r="F29" i="10"/>
  <c r="T39" i="3"/>
  <c r="Q35" i="8"/>
  <c r="E22" i="11"/>
  <c r="U13" i="9"/>
  <c r="S28" i="3"/>
  <c r="R19" i="9"/>
  <c r="I30" i="11"/>
  <c r="T39" i="10"/>
  <c r="I21" i="3"/>
  <c r="M21" i="9"/>
  <c r="F31" i="3"/>
  <c r="J3" i="10"/>
  <c r="R30" i="3"/>
  <c r="E15" i="10"/>
  <c r="C44" i="10"/>
  <c r="S34" i="10"/>
  <c r="J44" i="11"/>
  <c r="L29" i="3"/>
  <c r="S46" i="9"/>
  <c r="Q7" i="9"/>
  <c r="N21" i="8"/>
  <c r="T3" i="9"/>
  <c r="Q5" i="3"/>
  <c r="H22" i="9"/>
  <c r="Q38" i="3"/>
  <c r="H46" i="8"/>
  <c r="J42" i="9"/>
  <c r="N26" i="11"/>
  <c r="S20" i="10"/>
  <c r="F14" i="8"/>
  <c r="Q40" i="9"/>
  <c r="S11" i="8"/>
  <c r="F19" i="8"/>
  <c r="I41" i="11"/>
  <c r="N7" i="8"/>
  <c r="R31" i="3"/>
  <c r="I30" i="9"/>
  <c r="O29" i="3"/>
  <c r="T37" i="10"/>
  <c r="Q21" i="8"/>
  <c r="R31" i="8"/>
  <c r="C17" i="10"/>
  <c r="P12" i="9"/>
  <c r="E17" i="9"/>
  <c r="S15" i="10"/>
  <c r="T36" i="8"/>
  <c r="Q14" i="9"/>
  <c r="S6" i="8"/>
  <c r="N44" i="8"/>
  <c r="O9" i="9"/>
  <c r="C18" i="9"/>
  <c r="M19" i="3"/>
  <c r="E43" i="3"/>
  <c r="R41" i="3"/>
  <c r="Q35" i="9"/>
  <c r="M39" i="9"/>
  <c r="P38" i="10"/>
  <c r="D8" i="10"/>
  <c r="O19" i="9"/>
  <c r="F19" i="9"/>
  <c r="I3" i="3"/>
  <c r="P35" i="9"/>
  <c r="G18" i="10"/>
  <c r="D3" i="9"/>
  <c r="D23" i="3"/>
  <c r="L19" i="9"/>
  <c r="Q31" i="8"/>
  <c r="Q13" i="10"/>
  <c r="Q9" i="3"/>
  <c r="J17" i="3"/>
  <c r="P5" i="10"/>
  <c r="M22" i="3"/>
  <c r="O4" i="9"/>
  <c r="T46" i="3"/>
  <c r="N22" i="11"/>
  <c r="O41" i="3"/>
  <c r="F3" i="3"/>
  <c r="Q26" i="8"/>
  <c r="C35" i="3"/>
  <c r="O8" i="8"/>
  <c r="K38" i="3"/>
  <c r="R12" i="3"/>
  <c r="F20" i="3"/>
  <c r="T37" i="3"/>
  <c r="J22" i="8"/>
  <c r="O14" i="11"/>
  <c r="U19" i="8"/>
  <c r="H7" i="11"/>
  <c r="D37" i="8"/>
  <c r="P9" i="8"/>
  <c r="J29" i="3"/>
  <c r="M22" i="8"/>
  <c r="G11" i="10"/>
  <c r="U4" i="9"/>
  <c r="K40" i="3"/>
  <c r="D36" i="11"/>
  <c r="L36" i="9"/>
  <c r="C11" i="9"/>
  <c r="L45" i="9"/>
  <c r="R3" i="8"/>
  <c r="F13" i="3"/>
  <c r="H31" i="11"/>
  <c r="P16" i="3"/>
  <c r="I27" i="8"/>
  <c r="R5" i="9"/>
  <c r="D28" i="8"/>
  <c r="E17" i="8"/>
  <c r="I17" i="9"/>
  <c r="F5" i="3"/>
  <c r="Q22" i="8"/>
  <c r="K28" i="9"/>
  <c r="G14" i="8"/>
  <c r="C22" i="8"/>
  <c r="G4" i="11"/>
  <c r="Q33" i="11"/>
  <c r="F14" i="11"/>
  <c r="U20" i="9"/>
  <c r="F30" i="9"/>
  <c r="Q28" i="10"/>
  <c r="O27" i="3"/>
  <c r="J7" i="10"/>
  <c r="T5" i="3"/>
  <c r="L30" i="3"/>
  <c r="H21" i="11"/>
  <c r="Q39" i="9"/>
  <c r="Q34" i="9"/>
  <c r="E18" i="11"/>
  <c r="S9" i="9"/>
  <c r="M17" i="8"/>
  <c r="R29" i="8"/>
  <c r="E12" i="3"/>
  <c r="F35" i="11"/>
  <c r="T30" i="9"/>
  <c r="T39" i="9"/>
  <c r="M41" i="3"/>
  <c r="M9" i="11"/>
  <c r="K29" i="8"/>
  <c r="S10" i="10"/>
  <c r="J9" i="3"/>
  <c r="S21" i="10"/>
  <c r="M43" i="11"/>
  <c r="N6" i="3"/>
  <c r="J31" i="9"/>
  <c r="Q37" i="9"/>
  <c r="I39" i="3"/>
  <c r="O9" i="3"/>
  <c r="I5" i="8"/>
  <c r="S19" i="3"/>
  <c r="T23" i="8"/>
  <c r="S44" i="8"/>
  <c r="K6" i="11"/>
  <c r="K38" i="11"/>
  <c r="D38" i="3"/>
  <c r="H13" i="9"/>
  <c r="N39" i="11"/>
  <c r="G44" i="3"/>
  <c r="R6" i="9"/>
  <c r="L9" i="9"/>
  <c r="T15" i="3"/>
  <c r="Q15" i="8"/>
  <c r="S41" i="3"/>
  <c r="F27" i="8"/>
  <c r="Q20" i="8"/>
  <c r="L18" i="9"/>
  <c r="H37" i="8"/>
  <c r="H16" i="9"/>
  <c r="D11" i="8"/>
  <c r="P11" i="9"/>
  <c r="F21" i="8"/>
  <c r="S44" i="3"/>
  <c r="N4" i="11"/>
  <c r="E32" i="8"/>
  <c r="Q27" i="3"/>
  <c r="Q18" i="10"/>
  <c r="U8" i="9"/>
  <c r="T40" i="3"/>
  <c r="T46" i="9"/>
  <c r="G37" i="3"/>
  <c r="D5" i="8"/>
  <c r="N40" i="3"/>
  <c r="F11" i="9"/>
  <c r="U42" i="10"/>
  <c r="H4" i="3"/>
  <c r="S27" i="10"/>
  <c r="U9" i="9"/>
  <c r="G13" i="10"/>
  <c r="S23" i="8"/>
</calcChain>
</file>

<file path=xl/sharedStrings.xml><?xml version="1.0" encoding="utf-8"?>
<sst xmlns="http://schemas.openxmlformats.org/spreadsheetml/2006/main" count="355" uniqueCount="168">
  <si>
    <t>Start Time</t>
  </si>
  <si>
    <t>Day Origin</t>
  </si>
  <si>
    <t>0-6</t>
  </si>
  <si>
    <t>End Time</t>
  </si>
  <si>
    <t>Day 1</t>
  </si>
  <si>
    <t>Porter IDs</t>
  </si>
  <si>
    <t>Average Transaction Time (min)</t>
  </si>
  <si>
    <t>Day 2</t>
  </si>
  <si>
    <t>Day 3</t>
  </si>
  <si>
    <t>Day 4</t>
  </si>
  <si>
    <t>Day 5</t>
  </si>
  <si>
    <t>Total</t>
  </si>
  <si>
    <t>Average Response Time (min)</t>
  </si>
  <si>
    <t>NA14</t>
  </si>
  <si>
    <t>NA15</t>
  </si>
  <si>
    <t>NA16</t>
  </si>
  <si>
    <t>NA17</t>
  </si>
  <si>
    <t>NA18</t>
  </si>
  <si>
    <t>NA19</t>
  </si>
  <si>
    <t>NA20</t>
  </si>
  <si>
    <t>NA21</t>
  </si>
  <si>
    <t>NA22</t>
  </si>
  <si>
    <t>NA23</t>
  </si>
  <si>
    <t>DAY 1</t>
  </si>
  <si>
    <t>Day</t>
  </si>
  <si>
    <t>Average Transaction Time</t>
  </si>
  <si>
    <t>Average Response Time</t>
  </si>
  <si>
    <t>5 Day Average</t>
  </si>
  <si>
    <t>NA13</t>
  </si>
  <si>
    <t>Creation Time</t>
  </si>
  <si>
    <t>In Progress Time</t>
  </si>
  <si>
    <t>Complete Time</t>
  </si>
  <si>
    <t>Origin</t>
  </si>
  <si>
    <t>Destination</t>
  </si>
  <si>
    <t>Job Start Time</t>
  </si>
  <si>
    <t>Job Completion Time</t>
  </si>
  <si>
    <t>Completion Time</t>
  </si>
  <si>
    <t>Priority</t>
  </si>
  <si>
    <t>Appoinment</t>
  </si>
  <si>
    <t>Auto Process</t>
  </si>
  <si>
    <t>Job ID</t>
  </si>
  <si>
    <t>Completed by Porter</t>
  </si>
  <si>
    <t>Emergency Department Bed 02</t>
  </si>
  <si>
    <t>E2 Orthopedics (3502)</t>
  </si>
  <si>
    <t>F4 Surg Oncology (3501)</t>
  </si>
  <si>
    <t>PACU (3415)</t>
  </si>
  <si>
    <t>X-Ray Core - B1 (2245)</t>
  </si>
  <si>
    <t>Ultrasound (2276)</t>
  </si>
  <si>
    <t>MRI (2778)</t>
  </si>
  <si>
    <t>CT - B1 (3023)</t>
  </si>
  <si>
    <t>DI Intervention #1 (2274)</t>
  </si>
  <si>
    <t>C4 Haematology Room 28 Bed 01</t>
  </si>
  <si>
    <t>Nuclear Medicine (2230)</t>
  </si>
  <si>
    <t>Echo Lab [MDU] (2586)</t>
  </si>
  <si>
    <t>Endoscopy (2334)</t>
  </si>
  <si>
    <t>JC Ambulatory Holding (3606)</t>
  </si>
  <si>
    <t>C3 Oncology/GI Medicine Nurse (3395)</t>
  </si>
  <si>
    <t>Emergency Department - GRIDLOCK (2286)</t>
  </si>
  <si>
    <t>F3 Medicine (3907)</t>
  </si>
  <si>
    <t>C4 Haematology Room 27 Bed 01</t>
  </si>
  <si>
    <t>E3 Medicine Room 02 Bed 01</t>
  </si>
  <si>
    <t>NA12</t>
  </si>
  <si>
    <t>Emergency Department Bed 01</t>
  </si>
  <si>
    <t>F3 Medicine Room 12 Bed 02</t>
  </si>
  <si>
    <t>C3 Oncology Room 31 Bed 01</t>
  </si>
  <si>
    <t>CDU Express Bed 05</t>
  </si>
  <si>
    <t>C4 Haematology Room 32 Bed 01</t>
  </si>
  <si>
    <t>Same Day Surgery [SDS] (3592)</t>
  </si>
  <si>
    <t>F4 Surg Oncology Room 05 Bed 01</t>
  </si>
  <si>
    <t>NA10</t>
  </si>
  <si>
    <t>NA11</t>
  </si>
  <si>
    <t>7-8</t>
  </si>
  <si>
    <t>8-9</t>
  </si>
  <si>
    <t>9-10</t>
  </si>
  <si>
    <t>10-11</t>
  </si>
  <si>
    <t>11-12</t>
  </si>
  <si>
    <t>12-13</t>
  </si>
  <si>
    <t>13-14</t>
  </si>
  <si>
    <t>14-15</t>
  </si>
  <si>
    <t>15-16</t>
  </si>
  <si>
    <t>16-17</t>
  </si>
  <si>
    <t>17-18</t>
  </si>
  <si>
    <t>18-19</t>
  </si>
  <si>
    <t>19-20</t>
  </si>
  <si>
    <t>20-21</t>
  </si>
  <si>
    <t>21-22</t>
  </si>
  <si>
    <t>22-23</t>
  </si>
  <si>
    <t>23-24</t>
  </si>
  <si>
    <t>Emergency Department Bed 11</t>
  </si>
  <si>
    <t>C4 Haematology Room 44 Bed 01</t>
  </si>
  <si>
    <t>CDU Express Bed 04</t>
  </si>
  <si>
    <t>F3 Medicine Room 12 Bed 04</t>
  </si>
  <si>
    <t>E3 Medicine Room 14 Bed 03</t>
  </si>
  <si>
    <t>C4 Haematology Nurse (3396)</t>
  </si>
  <si>
    <t>E3 Medicine CTU (9300)</t>
  </si>
  <si>
    <t>C4 Haematology Room 53 Bed 01</t>
  </si>
  <si>
    <t>E2 Orthopedics Room 15 Bed 02</t>
  </si>
  <si>
    <t>F4 Surg Oncology DWA Bed 01</t>
  </si>
  <si>
    <t>Cardiac &amp; Critical Care [CCU] (3488)</t>
  </si>
  <si>
    <t>Emergency Department Bed 13</t>
  </si>
  <si>
    <t>E4 GI Surgery Ward (3901)</t>
  </si>
  <si>
    <t>B3 Orthopaedics Room 220 Bed 01</t>
  </si>
  <si>
    <t>E3 Medicine Room 18 Bed 02</t>
  </si>
  <si>
    <t>E3 Medicine Room 07 Bed 01</t>
  </si>
  <si>
    <t>Emergency Department Bed 07</t>
  </si>
  <si>
    <t>Emergency Department Bed 09</t>
  </si>
  <si>
    <t>F3 Medicine Room 07 Bed 01</t>
  </si>
  <si>
    <t>JC 21I (3752)</t>
  </si>
  <si>
    <t>E4 Room 01 Bed 02</t>
  </si>
  <si>
    <t>E2 Orthopedics Room 03 Bed 02</t>
  </si>
  <si>
    <t>E3 Medicine Room 01 Bed 02</t>
  </si>
  <si>
    <t>JC Clinic F (3660)</t>
  </si>
  <si>
    <t>MSR Ward 3 Rehab Room 11 Bed 01</t>
  </si>
  <si>
    <t>F4 Surg Oncology Room 04 Bed 02</t>
  </si>
  <si>
    <t>C3 Oncology Room 30 Bed 01</t>
  </si>
  <si>
    <t>E3 Medicine Room 09 Bed 01</t>
  </si>
  <si>
    <t>C3 Oncology Room 12 Bed 01</t>
  </si>
  <si>
    <t>F4 Surg Oncology Room 12 Bed 01</t>
  </si>
  <si>
    <t>C3 Oncology Room 28 Bed 02</t>
  </si>
  <si>
    <t>CDU Express Nurse Station (3018)</t>
  </si>
  <si>
    <t>C3 Oncology Room 27 Bed 02</t>
  </si>
  <si>
    <t>B3 Orthopaedics Room 217 Bed 01</t>
  </si>
  <si>
    <t>C4 Haematology Room 15 Bed 01</t>
  </si>
  <si>
    <t>F3 Medicine Room 05 Bed 01</t>
  </si>
  <si>
    <t>C4 Haematology DWA Bed 01</t>
  </si>
  <si>
    <t>CDU Express Bed 02</t>
  </si>
  <si>
    <t>CDU Express Bed 03</t>
  </si>
  <si>
    <t>Emergency Department (2285)</t>
  </si>
  <si>
    <t>C3 Oncology Room 32 Bed 01</t>
  </si>
  <si>
    <t>C3 Oncology Room 32 Bed 03</t>
  </si>
  <si>
    <t>JC 21E (3738)</t>
  </si>
  <si>
    <t>F4 Surg Oncology Room 15 Bed 01</t>
  </si>
  <si>
    <t>B3 Nurse Station (3900)</t>
  </si>
  <si>
    <t>F3 Medicine Room 05 Bed 02</t>
  </si>
  <si>
    <t>E3 Medicine Room 02 Bed 03</t>
  </si>
  <si>
    <t>E3 Medicine DWA Bed 02</t>
  </si>
  <si>
    <t>F5 ALC Nurse Station (3511)</t>
  </si>
  <si>
    <t>F3 Medicine Room 02 Bed 02</t>
  </si>
  <si>
    <t>E4 Room 15 Bed 02</t>
  </si>
  <si>
    <t>C4 Haematology Room 45 Bed 01</t>
  </si>
  <si>
    <t>Emergency Department Bed 03</t>
  </si>
  <si>
    <t>EMG Lab [MDU] (2216)</t>
  </si>
  <si>
    <t>E3 Medicine Room 06 Bed 04</t>
  </si>
  <si>
    <t>Cardiac &amp; Critical Care Rm 142 Bed 01</t>
  </si>
  <si>
    <t>CDU Express Bed 01</t>
  </si>
  <si>
    <t>E3 Medicine Room Overflow Bed</t>
  </si>
  <si>
    <t>JC SIMA (3730)</t>
  </si>
  <si>
    <t>F3 Medicine Room 12 Bed 03</t>
  </si>
  <si>
    <t>E3 Medicine Room 14 Bed 01</t>
  </si>
  <si>
    <t>ICU Room 44 Bed 01</t>
  </si>
  <si>
    <t>MSR Ward 3 Rehab Room 08 Bed 01</t>
  </si>
  <si>
    <t>MSR Ward 3 Rehab Room 02 Bed 01</t>
  </si>
  <si>
    <t>C4 Haematology Room 24 Bed 01</t>
  </si>
  <si>
    <t>MSR Ward 3 Rehab Room 12 Bed 02</t>
  </si>
  <si>
    <t>C3 Oncology Room 15 Bed 01</t>
  </si>
  <si>
    <t>F3 Medicine Room 11 Bed 03</t>
  </si>
  <si>
    <t>Emergency Department Bed 04</t>
  </si>
  <si>
    <t>E3 Medicine Room 07 Bed 02</t>
  </si>
  <si>
    <t>Emergency Department Bed 05</t>
  </si>
  <si>
    <t>Emergency Department Bed 19</t>
  </si>
  <si>
    <t>B3 Orthopaedics Room 210 Bed 01</t>
  </si>
  <si>
    <t>OR (3413)</t>
  </si>
  <si>
    <t>E2 Orthopedics DWA Bed 01</t>
  </si>
  <si>
    <t>E2 Orthopedics Room 06 Bed 03</t>
  </si>
  <si>
    <t>E2 Orthopedics Room 12 Bed 01</t>
  </si>
  <si>
    <t>E3 Medicine Room 14 Bed 02</t>
  </si>
  <si>
    <t>C4 Haematology Room 46 Bed 01</t>
  </si>
  <si>
    <t>Emergency Department Bed 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</si>
</sst>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22" fontId="0" fillId="0" borderId="0" xfId="0" applyNumberFormat="1"/>
    <xf numFmtId="14" fontId="0" fillId="0" borderId="0" xfId="0" applyNumberFormat="1"/>
    <xf numFmtId="0" fontId="1" fillId="0" borderId="0" xfId="0" applyFont="1" applyAlignment="1">
      <alignment horizontal="right"/>
    </xf>
    <xf numFmtId="0" fontId="1" fillId="0" borderId="0" xfId="0" applyFont="1"/>
    <xf numFmtId="2" fontId="0" fillId="0" borderId="0" xfId="0" applyNumberFormat="1"/>
    <xf numFmtId="0" fontId="0" fillId="0" borderId="0" xfId="0" applyAlignment="1">
      <alignment vertical="center"/>
    </xf>
    <xf numFmtId="0" fontId="0" fillId="0" borderId="0" xfId="0" applyAlignment="1">
      <alignment horizontal="right"/>
    </xf>
    <xf numFmtId="0" fontId="0" fillId="0" borderId="0" xfId="0" applyFill="1" applyAlignment="1">
      <alignment horizontal="right"/>
    </xf>
    <xf numFmtId="0" fontId="3" fillId="0" borderId="4" xfId="0" applyFont="1" applyBorder="1"/>
    <xf numFmtId="2" fontId="3" fillId="0" borderId="4" xfId="0" applyNumberFormat="1" applyFont="1" applyBorder="1"/>
    <xf numFmtId="16" fontId="1" fillId="0" borderId="0" xfId="0" quotePrefix="1" applyNumberFormat="1" applyFont="1"/>
    <xf numFmtId="0" fontId="1" fillId="0" borderId="0" xfId="0" quotePrefix="1" applyFont="1"/>
    <xf numFmtId="0" fontId="1" fillId="0" borderId="0" xfId="0" applyFont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Per Porter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'Day1'!$B$3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'Day1'!$C$3:$T$3</c:f>
              <c:numCache>
                <c:formatCode>0.00</c:formatCode>
                <c:ptCount val="18"/>
                <c:pt idx="0">
                  <c:v>33.75</c:v>
                </c:pt>
                <c:pt idx="1">
                  <c:v>43</c:v>
                </c:pt>
                <c:pt idx="2">
                  <c:v>0</c:v>
                </c:pt>
                <c:pt idx="3">
                  <c:v>20</c:v>
                </c:pt>
                <c:pt idx="4">
                  <c:v>38</c:v>
                </c:pt>
                <c:pt idx="5">
                  <c:v>0</c:v>
                </c:pt>
                <c:pt idx="6">
                  <c:v>11</c:v>
                </c:pt>
                <c:pt idx="7">
                  <c:v>27</c:v>
                </c:pt>
                <c:pt idx="8">
                  <c:v>21</c:v>
                </c:pt>
                <c:pt idx="9">
                  <c:v>50</c:v>
                </c:pt>
                <c:pt idx="10">
                  <c:v>16</c:v>
                </c:pt>
                <c:pt idx="11">
                  <c:v>42</c:v>
                </c:pt>
                <c:pt idx="12">
                  <c:v>0</c:v>
                </c:pt>
                <c:pt idx="13">
                  <c:v>10</c:v>
                </c:pt>
                <c:pt idx="14">
                  <c:v>26</c:v>
                </c:pt>
                <c:pt idx="15">
                  <c:v>0</c:v>
                </c:pt>
                <c:pt idx="16">
                  <c:v>14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'Day1'!$B$4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'Day1'!$C$4:$T$4</c:f>
              <c:numCache>
                <c:formatCode>0.00</c:formatCode>
                <c:ptCount val="18"/>
                <c:pt idx="0">
                  <c:v>0</c:v>
                </c:pt>
                <c:pt idx="1">
                  <c:v>62</c:v>
                </c:pt>
                <c:pt idx="2">
                  <c:v>0</c:v>
                </c:pt>
                <c:pt idx="3">
                  <c:v>28</c:v>
                </c:pt>
                <c:pt idx="4">
                  <c:v>0</c:v>
                </c:pt>
                <c:pt idx="5">
                  <c:v>24.5</c:v>
                </c:pt>
                <c:pt idx="6">
                  <c:v>27</c:v>
                </c:pt>
                <c:pt idx="7">
                  <c:v>0</c:v>
                </c:pt>
                <c:pt idx="8">
                  <c:v>31.333333333333332</c:v>
                </c:pt>
                <c:pt idx="9">
                  <c:v>14.5</c:v>
                </c:pt>
                <c:pt idx="10">
                  <c:v>29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29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'Day1'!$B$5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'Day1'!$C$5:$T$5</c:f>
              <c:numCache>
                <c:formatCode>0.00</c:formatCode>
                <c:ptCount val="18"/>
                <c:pt idx="0">
                  <c:v>0</c:v>
                </c:pt>
                <c:pt idx="1">
                  <c:v>54</c:v>
                </c:pt>
                <c:pt idx="2">
                  <c:v>0</c:v>
                </c:pt>
                <c:pt idx="3">
                  <c:v>0</c:v>
                </c:pt>
                <c:pt idx="4">
                  <c:v>21</c:v>
                </c:pt>
                <c:pt idx="5">
                  <c:v>34</c:v>
                </c:pt>
                <c:pt idx="6">
                  <c:v>0</c:v>
                </c:pt>
                <c:pt idx="7">
                  <c:v>20</c:v>
                </c:pt>
                <c:pt idx="8">
                  <c:v>29</c:v>
                </c:pt>
                <c:pt idx="9">
                  <c:v>21</c:v>
                </c:pt>
                <c:pt idx="10">
                  <c:v>36</c:v>
                </c:pt>
                <c:pt idx="11">
                  <c:v>48</c:v>
                </c:pt>
                <c:pt idx="12">
                  <c:v>0</c:v>
                </c:pt>
                <c:pt idx="13">
                  <c:v>0</c:v>
                </c:pt>
                <c:pt idx="14">
                  <c:v>62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'Day1'!$B$6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'Day1'!$C$6:$T$6</c:f>
              <c:numCache>
                <c:formatCode>0.00</c:formatCode>
                <c:ptCount val="18"/>
                <c:pt idx="0">
                  <c:v>0</c:v>
                </c:pt>
                <c:pt idx="1">
                  <c:v>30</c:v>
                </c:pt>
                <c:pt idx="2">
                  <c:v>27</c:v>
                </c:pt>
                <c:pt idx="3">
                  <c:v>45</c:v>
                </c:pt>
                <c:pt idx="4">
                  <c:v>0</c:v>
                </c:pt>
                <c:pt idx="5">
                  <c:v>23</c:v>
                </c:pt>
                <c:pt idx="6">
                  <c:v>27</c:v>
                </c:pt>
                <c:pt idx="7">
                  <c:v>27</c:v>
                </c:pt>
                <c:pt idx="8">
                  <c:v>0</c:v>
                </c:pt>
                <c:pt idx="9">
                  <c:v>15.4</c:v>
                </c:pt>
                <c:pt idx="10">
                  <c:v>24</c:v>
                </c:pt>
                <c:pt idx="11">
                  <c:v>41</c:v>
                </c:pt>
                <c:pt idx="12">
                  <c:v>0</c:v>
                </c:pt>
                <c:pt idx="13">
                  <c:v>14</c:v>
                </c:pt>
                <c:pt idx="14">
                  <c:v>0</c:v>
                </c:pt>
                <c:pt idx="15">
                  <c:v>83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'Day1'!$B$7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'Day1'!$C$7:$T$7</c:f>
              <c:numCache>
                <c:formatCode>0.00</c:formatCode>
                <c:ptCount val="18"/>
                <c:pt idx="0">
                  <c:v>0</c:v>
                </c:pt>
                <c:pt idx="1">
                  <c:v>22</c:v>
                </c:pt>
                <c:pt idx="2">
                  <c:v>41</c:v>
                </c:pt>
                <c:pt idx="3">
                  <c:v>30</c:v>
                </c:pt>
                <c:pt idx="4">
                  <c:v>0</c:v>
                </c:pt>
                <c:pt idx="5">
                  <c:v>34</c:v>
                </c:pt>
                <c:pt idx="6">
                  <c:v>25</c:v>
                </c:pt>
                <c:pt idx="7">
                  <c:v>17</c:v>
                </c:pt>
                <c:pt idx="8">
                  <c:v>25.5</c:v>
                </c:pt>
                <c:pt idx="9">
                  <c:v>32</c:v>
                </c:pt>
                <c:pt idx="10">
                  <c:v>28</c:v>
                </c:pt>
                <c:pt idx="11">
                  <c:v>32</c:v>
                </c:pt>
                <c:pt idx="12">
                  <c:v>0</c:v>
                </c:pt>
                <c:pt idx="13">
                  <c:v>26</c:v>
                </c:pt>
                <c:pt idx="14">
                  <c:v>0</c:v>
                </c:pt>
                <c:pt idx="15">
                  <c:v>52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'Day1'!$B$8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'Day1'!$C$8:$T$8</c:f>
              <c:numCache>
                <c:formatCode>0.00</c:formatCode>
                <c:ptCount val="18"/>
                <c:pt idx="0">
                  <c:v>0</c:v>
                </c:pt>
                <c:pt idx="1">
                  <c:v>40</c:v>
                </c:pt>
                <c:pt idx="2">
                  <c:v>34</c:v>
                </c:pt>
                <c:pt idx="3">
                  <c:v>0</c:v>
                </c:pt>
                <c:pt idx="4">
                  <c:v>23.5</c:v>
                </c:pt>
                <c:pt idx="5">
                  <c:v>0</c:v>
                </c:pt>
                <c:pt idx="6">
                  <c:v>27</c:v>
                </c:pt>
                <c:pt idx="7">
                  <c:v>0</c:v>
                </c:pt>
                <c:pt idx="8">
                  <c:v>11.666666666666666</c:v>
                </c:pt>
                <c:pt idx="9">
                  <c:v>31.666666666666668</c:v>
                </c:pt>
                <c:pt idx="10">
                  <c:v>17</c:v>
                </c:pt>
                <c:pt idx="11">
                  <c:v>18</c:v>
                </c:pt>
                <c:pt idx="12">
                  <c:v>0</c:v>
                </c:pt>
                <c:pt idx="13">
                  <c:v>14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'Day1'!$B$9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'Day1'!$C$9:$T$9</c:f>
              <c:numCache>
                <c:formatCode>0.00</c:formatCode>
                <c:ptCount val="18"/>
                <c:pt idx="0">
                  <c:v>0</c:v>
                </c:pt>
                <c:pt idx="1">
                  <c:v>50</c:v>
                </c:pt>
                <c:pt idx="2">
                  <c:v>0</c:v>
                </c:pt>
                <c:pt idx="3">
                  <c:v>19</c:v>
                </c:pt>
                <c:pt idx="4">
                  <c:v>22.5</c:v>
                </c:pt>
                <c:pt idx="5">
                  <c:v>0</c:v>
                </c:pt>
                <c:pt idx="6">
                  <c:v>32</c:v>
                </c:pt>
                <c:pt idx="7">
                  <c:v>19</c:v>
                </c:pt>
                <c:pt idx="8">
                  <c:v>47</c:v>
                </c:pt>
                <c:pt idx="9">
                  <c:v>8</c:v>
                </c:pt>
                <c:pt idx="10">
                  <c:v>11.5</c:v>
                </c:pt>
                <c:pt idx="11">
                  <c:v>10</c:v>
                </c:pt>
                <c:pt idx="12">
                  <c:v>37</c:v>
                </c:pt>
                <c:pt idx="13">
                  <c:v>0</c:v>
                </c:pt>
                <c:pt idx="14">
                  <c:v>40</c:v>
                </c:pt>
                <c:pt idx="15">
                  <c:v>0</c:v>
                </c:pt>
                <c:pt idx="16">
                  <c:v>53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'Day1'!$B$10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'Day1'!$C$10:$T$10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'Day1'!$B$11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'Day1'!$C$11:$T$11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'Day1'!$B$12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'Day1'!$C$12:$T$12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'Day1'!$B$13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'Day1'!$C$13:$T$13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'Day1'!$B$14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'Day1'!$C$14:$T$14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'Day1'!$B$15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'Day1'!$C$15:$T$15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'Day1'!$B$16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'Day1'!$C$16:$T$16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'Day1'!$B$17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'Day1'!$C$17:$T$17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'Day1'!$B$18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'Day1'!$C$18:$T$18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'Day1'!$B$19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'Day1'!$C$19:$T$19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'Day1'!$B$20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'Day1'!$C$20:$T$20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'Day1'!$B$21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'Day1'!$C$21:$T$21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'Day1'!$B$22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'Day1'!$C$22:$T$22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'Day1'!$B$23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'Day1'!$C$23:$T$23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00678304"/>
        <c:axId val="800690272"/>
      </c:barChart>
      <c:catAx>
        <c:axId val="80067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690272"/>
        <c:crosses val="autoZero"/>
        <c:auto val="1"/>
        <c:lblAlgn val="ctr"/>
        <c:lblOffset val="100"/>
        <c:noMultiLvlLbl val="0"/>
      </c:catAx>
      <c:valAx>
        <c:axId val="800690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67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Transaction Time (min)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'Day1'!$C$2:$T$2</c:f>
              <c:numCache>
                <c:formatCode>0.00</c:formatCode>
                <c:ptCount val="18"/>
                <c:pt idx="0">
                  <c:v>26.5</c:v>
                </c:pt>
                <c:pt idx="1">
                  <c:v>38.857142857142861</c:v>
                </c:pt>
                <c:pt idx="2">
                  <c:v>15.8</c:v>
                </c:pt>
                <c:pt idx="3">
                  <c:v>23.444444444444446</c:v>
                </c:pt>
                <c:pt idx="4">
                  <c:v>38.666666666666664</c:v>
                </c:pt>
                <c:pt idx="5">
                  <c:v>24.666666666666668</c:v>
                </c:pt>
                <c:pt idx="6">
                  <c:v>31.571428571428569</c:v>
                </c:pt>
                <c:pt idx="7">
                  <c:v>33.200000000000003</c:v>
                </c:pt>
                <c:pt idx="8">
                  <c:v>24.375</c:v>
                </c:pt>
                <c:pt idx="9">
                  <c:v>28.65</c:v>
                </c:pt>
                <c:pt idx="10">
                  <c:v>20.111111111111111</c:v>
                </c:pt>
                <c:pt idx="11">
                  <c:v>26.75</c:v>
                </c:pt>
                <c:pt idx="12">
                  <c:v>31.428571428571431</c:v>
                </c:pt>
                <c:pt idx="13">
                  <c:v>21.5</c:v>
                </c:pt>
                <c:pt idx="14">
                  <c:v>0</c:v>
                </c:pt>
                <c:pt idx="15">
                  <c:v>33</c:v>
                </c:pt>
                <c:pt idx="16">
                  <c:v>56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0684288"/>
        <c:axId val="800684832"/>
      </c:lineChart>
      <c:catAx>
        <c:axId val="800684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684832"/>
        <c:crosses val="autoZero"/>
        <c:auto val="1"/>
        <c:lblAlgn val="ctr"/>
        <c:lblOffset val="100"/>
        <c:noMultiLvlLbl val="0"/>
      </c:catAx>
      <c:valAx>
        <c:axId val="800684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6842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 (min)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'Day1'!$C$25:$T$25</c:f>
              <c:numCache>
                <c:formatCode>0.00</c:formatCode>
                <c:ptCount val="18"/>
                <c:pt idx="0">
                  <c:v>7</c:v>
                </c:pt>
                <c:pt idx="1">
                  <c:v>2.2857142857142856</c:v>
                </c:pt>
                <c:pt idx="2">
                  <c:v>2</c:v>
                </c:pt>
                <c:pt idx="3">
                  <c:v>1.3333333333333333</c:v>
                </c:pt>
                <c:pt idx="4">
                  <c:v>1.1666666666666667</c:v>
                </c:pt>
                <c:pt idx="5">
                  <c:v>5.333333333333333</c:v>
                </c:pt>
                <c:pt idx="6">
                  <c:v>4.1428571428571432</c:v>
                </c:pt>
                <c:pt idx="7">
                  <c:v>9.6</c:v>
                </c:pt>
                <c:pt idx="8">
                  <c:v>3.25</c:v>
                </c:pt>
                <c:pt idx="9">
                  <c:v>1.85</c:v>
                </c:pt>
                <c:pt idx="10">
                  <c:v>6.333333333333333</c:v>
                </c:pt>
                <c:pt idx="11">
                  <c:v>3.25</c:v>
                </c:pt>
                <c:pt idx="12">
                  <c:v>3</c:v>
                </c:pt>
                <c:pt idx="13">
                  <c:v>18</c:v>
                </c:pt>
                <c:pt idx="14">
                  <c:v>0</c:v>
                </c:pt>
                <c:pt idx="15">
                  <c:v>21</c:v>
                </c:pt>
                <c:pt idx="16">
                  <c:v>5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00675584"/>
        <c:axId val="800689184"/>
      </c:lineChart>
      <c:catAx>
        <c:axId val="8006755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689184"/>
        <c:crosses val="autoZero"/>
        <c:auto val="1"/>
        <c:lblAlgn val="ctr"/>
        <c:lblOffset val="100"/>
        <c:noMultiLvlLbl val="0"/>
      </c:catAx>
      <c:valAx>
        <c:axId val="800689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0675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CA"/>
              <a:t>Average Response Time</a:t>
            </a:r>
            <a:r>
              <a:rPr lang="en-CA" baseline="0"/>
              <a:t> Per porter (min)</a:t>
            </a:r>
            <a:endParaRPr lang="en-CA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'Day1'!$B$26</c:f>
              <c:strCache>
                <c:ptCount val="1"/>
                <c:pt idx="0">
                  <c:v>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'Day1'!$C$26:$T$26</c:f>
              <c:numCache>
                <c:formatCode>0.00</c:formatCode>
                <c:ptCount val="18"/>
                <c:pt idx="0">
                  <c:v>0.75</c:v>
                </c:pt>
                <c:pt idx="1">
                  <c:v>15</c:v>
                </c:pt>
                <c:pt idx="2">
                  <c:v>0</c:v>
                </c:pt>
                <c:pt idx="3">
                  <c:v>39</c:v>
                </c:pt>
                <c:pt idx="4">
                  <c:v>8</c:v>
                </c:pt>
                <c:pt idx="5">
                  <c:v>0</c:v>
                </c:pt>
                <c:pt idx="6">
                  <c:v>7</c:v>
                </c:pt>
                <c:pt idx="7">
                  <c:v>35</c:v>
                </c:pt>
                <c:pt idx="8">
                  <c:v>10</c:v>
                </c:pt>
                <c:pt idx="9">
                  <c:v>4</c:v>
                </c:pt>
                <c:pt idx="10">
                  <c:v>40</c:v>
                </c:pt>
                <c:pt idx="11">
                  <c:v>52</c:v>
                </c:pt>
                <c:pt idx="12">
                  <c:v>0</c:v>
                </c:pt>
                <c:pt idx="13">
                  <c:v>17</c:v>
                </c:pt>
                <c:pt idx="14">
                  <c:v>26</c:v>
                </c:pt>
                <c:pt idx="15">
                  <c:v>0</c:v>
                </c:pt>
                <c:pt idx="16">
                  <c:v>17</c:v>
                </c:pt>
                <c:pt idx="17">
                  <c:v>0</c:v>
                </c:pt>
              </c:numCache>
            </c:numRef>
          </c:val>
        </c:ser>
        <c:ser>
          <c:idx val="1"/>
          <c:order val="1"/>
          <c:tx>
            <c:strRef>
              <c:f>'Day1'!$B$27</c:f>
              <c:strCache>
                <c:ptCount val="1"/>
                <c:pt idx="0">
                  <c:v>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'Day1'!$C$27:$T$27</c:f>
              <c:numCache>
                <c:formatCode>0.00</c:formatCode>
                <c:ptCount val="18"/>
                <c:pt idx="0">
                  <c:v>0</c:v>
                </c:pt>
                <c:pt idx="1">
                  <c:v>4</c:v>
                </c:pt>
                <c:pt idx="2">
                  <c:v>0</c:v>
                </c:pt>
                <c:pt idx="3">
                  <c:v>27</c:v>
                </c:pt>
                <c:pt idx="4">
                  <c:v>0</c:v>
                </c:pt>
                <c:pt idx="5">
                  <c:v>4.5</c:v>
                </c:pt>
                <c:pt idx="6">
                  <c:v>17</c:v>
                </c:pt>
                <c:pt idx="7">
                  <c:v>0</c:v>
                </c:pt>
                <c:pt idx="8">
                  <c:v>17.666666666666668</c:v>
                </c:pt>
                <c:pt idx="9">
                  <c:v>19</c:v>
                </c:pt>
                <c:pt idx="10">
                  <c:v>16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"/>
          <c:order val="2"/>
          <c:tx>
            <c:strRef>
              <c:f>'Day1'!$B$28</c:f>
              <c:strCache>
                <c:ptCount val="1"/>
                <c:pt idx="0">
                  <c:v>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'Day1'!$C$28:$T$28</c:f>
              <c:numCache>
                <c:formatCode>0.00</c:formatCode>
                <c:ptCount val="18"/>
                <c:pt idx="0">
                  <c:v>0</c:v>
                </c:pt>
                <c:pt idx="1">
                  <c:v>10.5</c:v>
                </c:pt>
                <c:pt idx="2">
                  <c:v>0</c:v>
                </c:pt>
                <c:pt idx="3">
                  <c:v>0</c:v>
                </c:pt>
                <c:pt idx="4">
                  <c:v>17</c:v>
                </c:pt>
                <c:pt idx="5">
                  <c:v>15</c:v>
                </c:pt>
                <c:pt idx="6">
                  <c:v>0</c:v>
                </c:pt>
                <c:pt idx="7">
                  <c:v>13</c:v>
                </c:pt>
                <c:pt idx="8">
                  <c:v>25.5</c:v>
                </c:pt>
                <c:pt idx="9">
                  <c:v>11</c:v>
                </c:pt>
                <c:pt idx="10">
                  <c:v>23</c:v>
                </c:pt>
                <c:pt idx="11">
                  <c:v>53</c:v>
                </c:pt>
                <c:pt idx="12">
                  <c:v>0</c:v>
                </c:pt>
                <c:pt idx="13">
                  <c:v>0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3"/>
          <c:order val="3"/>
          <c:tx>
            <c:strRef>
              <c:f>'Day1'!$B$29</c:f>
              <c:strCache>
                <c:ptCount val="1"/>
                <c:pt idx="0">
                  <c:v>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'Day1'!$C$29:$T$29</c:f>
              <c:numCache>
                <c:formatCode>0.00</c:formatCode>
                <c:ptCount val="18"/>
                <c:pt idx="0">
                  <c:v>0</c:v>
                </c:pt>
                <c:pt idx="1">
                  <c:v>16</c:v>
                </c:pt>
                <c:pt idx="2">
                  <c:v>18</c:v>
                </c:pt>
                <c:pt idx="3">
                  <c:v>32</c:v>
                </c:pt>
                <c:pt idx="4">
                  <c:v>0</c:v>
                </c:pt>
                <c:pt idx="5">
                  <c:v>3</c:v>
                </c:pt>
                <c:pt idx="6">
                  <c:v>10</c:v>
                </c:pt>
                <c:pt idx="7">
                  <c:v>29</c:v>
                </c:pt>
                <c:pt idx="8">
                  <c:v>0</c:v>
                </c:pt>
                <c:pt idx="9">
                  <c:v>4.5999999999999996</c:v>
                </c:pt>
                <c:pt idx="10">
                  <c:v>4</c:v>
                </c:pt>
                <c:pt idx="11">
                  <c:v>6</c:v>
                </c:pt>
                <c:pt idx="12">
                  <c:v>0</c:v>
                </c:pt>
                <c:pt idx="13">
                  <c:v>30</c:v>
                </c:pt>
                <c:pt idx="14">
                  <c:v>0</c:v>
                </c:pt>
                <c:pt idx="15">
                  <c:v>26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4"/>
          <c:order val="4"/>
          <c:tx>
            <c:strRef>
              <c:f>'Day1'!$B$30</c:f>
              <c:strCache>
                <c:ptCount val="1"/>
                <c:pt idx="0">
                  <c:v>5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'Day1'!$C$30:$T$30</c:f>
              <c:numCache>
                <c:formatCode>0.00</c:formatCode>
                <c:ptCount val="18"/>
                <c:pt idx="0">
                  <c:v>0</c:v>
                </c:pt>
                <c:pt idx="1">
                  <c:v>26</c:v>
                </c:pt>
                <c:pt idx="2">
                  <c:v>9</c:v>
                </c:pt>
                <c:pt idx="3">
                  <c:v>28</c:v>
                </c:pt>
                <c:pt idx="4">
                  <c:v>0</c:v>
                </c:pt>
                <c:pt idx="5">
                  <c:v>16</c:v>
                </c:pt>
                <c:pt idx="6">
                  <c:v>4</c:v>
                </c:pt>
                <c:pt idx="7">
                  <c:v>12</c:v>
                </c:pt>
                <c:pt idx="8">
                  <c:v>8</c:v>
                </c:pt>
                <c:pt idx="9">
                  <c:v>4</c:v>
                </c:pt>
                <c:pt idx="10">
                  <c:v>0.5</c:v>
                </c:pt>
                <c:pt idx="11">
                  <c:v>36</c:v>
                </c:pt>
                <c:pt idx="12">
                  <c:v>0</c:v>
                </c:pt>
                <c:pt idx="13">
                  <c:v>56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5"/>
          <c:order val="5"/>
          <c:tx>
            <c:strRef>
              <c:f>'Day1'!$B$31</c:f>
              <c:strCache>
                <c:ptCount val="1"/>
                <c:pt idx="0">
                  <c:v>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'Day1'!$C$31:$T$31</c:f>
              <c:numCache>
                <c:formatCode>0.00</c:formatCode>
                <c:ptCount val="18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12</c:v>
                </c:pt>
                <c:pt idx="5">
                  <c:v>0</c:v>
                </c:pt>
                <c:pt idx="6">
                  <c:v>9.5</c:v>
                </c:pt>
                <c:pt idx="7">
                  <c:v>0</c:v>
                </c:pt>
                <c:pt idx="8">
                  <c:v>11.666666666666666</c:v>
                </c:pt>
                <c:pt idx="9">
                  <c:v>7.666666666666667</c:v>
                </c:pt>
                <c:pt idx="10">
                  <c:v>28</c:v>
                </c:pt>
                <c:pt idx="11">
                  <c:v>27</c:v>
                </c:pt>
                <c:pt idx="12">
                  <c:v>0</c:v>
                </c:pt>
                <c:pt idx="13">
                  <c:v>19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6"/>
          <c:order val="6"/>
          <c:tx>
            <c:strRef>
              <c:f>'Day1'!$B$32</c:f>
              <c:strCache>
                <c:ptCount val="1"/>
                <c:pt idx="0">
                  <c:v>6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'Day1'!$C$32:$T$32</c:f>
              <c:numCache>
                <c:formatCode>0.00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4</c:v>
                </c:pt>
                <c:pt idx="4">
                  <c:v>16</c:v>
                </c:pt>
                <c:pt idx="5">
                  <c:v>0</c:v>
                </c:pt>
                <c:pt idx="6">
                  <c:v>28</c:v>
                </c:pt>
                <c:pt idx="7">
                  <c:v>3</c:v>
                </c:pt>
                <c:pt idx="8">
                  <c:v>44</c:v>
                </c:pt>
                <c:pt idx="9">
                  <c:v>21</c:v>
                </c:pt>
                <c:pt idx="10">
                  <c:v>27.5</c:v>
                </c:pt>
                <c:pt idx="11">
                  <c:v>13</c:v>
                </c:pt>
                <c:pt idx="12">
                  <c:v>35</c:v>
                </c:pt>
                <c:pt idx="13">
                  <c:v>0</c:v>
                </c:pt>
                <c:pt idx="14">
                  <c:v>23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</c:numCache>
            </c:numRef>
          </c:val>
        </c:ser>
        <c:ser>
          <c:idx val="7"/>
          <c:order val="7"/>
          <c:tx>
            <c:strRef>
              <c:f>'Day1'!$B$33</c:f>
              <c:strCache>
                <c:ptCount val="1"/>
                <c:pt idx="0">
                  <c:v>NA10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'Day1'!$C$33:$T$33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8"/>
          <c:order val="8"/>
          <c:tx>
            <c:strRef>
              <c:f>'Day1'!$B$34</c:f>
              <c:strCache>
                <c:ptCount val="1"/>
                <c:pt idx="0">
                  <c:v>NA11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'Day1'!$C$34:$T$34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9"/>
          <c:order val="9"/>
          <c:tx>
            <c:strRef>
              <c:f>'Day1'!$B$35</c:f>
              <c:strCache>
                <c:ptCount val="1"/>
                <c:pt idx="0">
                  <c:v>NA12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'Day1'!$C$35:$T$35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'Day1'!$B$36</c:f>
              <c:strCache>
                <c:ptCount val="1"/>
                <c:pt idx="0">
                  <c:v>NA13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'Day1'!$C$36:$T$36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'Day1'!$B$37</c:f>
              <c:strCache>
                <c:ptCount val="1"/>
                <c:pt idx="0">
                  <c:v>NA14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'Day1'!$C$37:$T$37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'Day1'!$B$38</c:f>
              <c:strCache>
                <c:ptCount val="1"/>
                <c:pt idx="0">
                  <c:v>NA15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'Day1'!$C$38:$T$38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'Day1'!$B$39</c:f>
              <c:strCache>
                <c:ptCount val="1"/>
                <c:pt idx="0">
                  <c:v>NA16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'Day1'!$C$39:$T$39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'Day1'!$B$40</c:f>
              <c:strCache>
                <c:ptCount val="1"/>
                <c:pt idx="0">
                  <c:v>NA17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'Day1'!$C$40:$T$40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'Day1'!$B$41</c:f>
              <c:strCache>
                <c:ptCount val="1"/>
                <c:pt idx="0">
                  <c:v>NA18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'Day1'!$C$41:$T$41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6"/>
          <c:order val="16"/>
          <c:tx>
            <c:strRef>
              <c:f>'Day1'!$B$42</c:f>
              <c:strCache>
                <c:ptCount val="1"/>
                <c:pt idx="0">
                  <c:v>NA19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'Day1'!$C$42:$T$42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7"/>
          <c:order val="17"/>
          <c:tx>
            <c:strRef>
              <c:f>'Day1'!$B$43</c:f>
              <c:strCache>
                <c:ptCount val="1"/>
                <c:pt idx="0">
                  <c:v>NA20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lumMod val="80000"/>
                    <a:lumOff val="20000"/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lumMod val="80000"/>
                    <a:lumOff val="20000"/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80000"/>
                    <a:lumOff val="2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'Day1'!$C$43:$T$43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8"/>
          <c:order val="18"/>
          <c:tx>
            <c:strRef>
              <c:f>'Day1'!$B$44</c:f>
              <c:strCache>
                <c:ptCount val="1"/>
                <c:pt idx="0">
                  <c:v>NA21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'Day1'!$C$44:$T$44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19"/>
          <c:order val="19"/>
          <c:tx>
            <c:strRef>
              <c:f>'Day1'!$B$45</c:f>
              <c:strCache>
                <c:ptCount val="1"/>
                <c:pt idx="0">
                  <c:v>NA22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'Day1'!$C$45:$T$45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ser>
          <c:idx val="20"/>
          <c:order val="20"/>
          <c:tx>
            <c:strRef>
              <c:f>'Day1'!$B$46</c:f>
              <c:strCache>
                <c:ptCount val="1"/>
                <c:pt idx="0">
                  <c:v>NA23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lumMod val="80000"/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lumMod val="80000"/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8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'Day1'!$C$1:$T$1</c:f>
              <c:strCache>
                <c:ptCount val="18"/>
                <c:pt idx="0">
                  <c:v>0-6</c:v>
                </c:pt>
                <c:pt idx="1">
                  <c:v>7-8</c:v>
                </c:pt>
                <c:pt idx="2">
                  <c:v>8-9</c:v>
                </c:pt>
                <c:pt idx="3">
                  <c:v>9-10</c:v>
                </c:pt>
                <c:pt idx="4">
                  <c:v>10-11</c:v>
                </c:pt>
                <c:pt idx="5">
                  <c:v>11-12</c:v>
                </c:pt>
                <c:pt idx="6">
                  <c:v>12-13</c:v>
                </c:pt>
                <c:pt idx="7">
                  <c:v>13-14</c:v>
                </c:pt>
                <c:pt idx="8">
                  <c:v>14-15</c:v>
                </c:pt>
                <c:pt idx="9">
                  <c:v>15-16</c:v>
                </c:pt>
                <c:pt idx="10">
                  <c:v>16-17</c:v>
                </c:pt>
                <c:pt idx="11">
                  <c:v>17-18</c:v>
                </c:pt>
                <c:pt idx="12">
                  <c:v>18-19</c:v>
                </c:pt>
                <c:pt idx="13">
                  <c:v>19-20</c:v>
                </c:pt>
                <c:pt idx="14">
                  <c:v>20-21</c:v>
                </c:pt>
                <c:pt idx="15">
                  <c:v>21-22</c:v>
                </c:pt>
                <c:pt idx="16">
                  <c:v>22-23</c:v>
                </c:pt>
                <c:pt idx="17">
                  <c:v>23-24</c:v>
                </c:pt>
              </c:strCache>
            </c:strRef>
          </c:cat>
          <c:val>
            <c:numRef>
              <c:f>'Day1'!$C$46:$T$46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77467824"/>
        <c:axId val="977465648"/>
      </c:barChart>
      <c:catAx>
        <c:axId val="977467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465648"/>
        <c:crosses val="autoZero"/>
        <c:auto val="1"/>
        <c:lblAlgn val="ctr"/>
        <c:lblOffset val="100"/>
        <c:noMultiLvlLbl val="0"/>
      </c:catAx>
      <c:valAx>
        <c:axId val="97746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74678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165735</xdr:colOff>
      <xdr:row>6</xdr:row>
      <xdr:rowOff>55245</xdr:rowOff>
    </xdr:from>
    <xdr:to>
      <xdr:col>19</xdr:col>
      <xdr:colOff>594360</xdr:colOff>
      <xdr:row>27</xdr:row>
      <xdr:rowOff>153353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171450</xdr:colOff>
      <xdr:row>28</xdr:row>
      <xdr:rowOff>57149</xdr:rowOff>
    </xdr:from>
    <xdr:to>
      <xdr:col>19</xdr:col>
      <xdr:colOff>590550</xdr:colOff>
      <xdr:row>49</xdr:row>
      <xdr:rowOff>57149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171450</xdr:colOff>
      <xdr:row>75</xdr:row>
      <xdr:rowOff>47625</xdr:rowOff>
    </xdr:from>
    <xdr:to>
      <xdr:col>19</xdr:col>
      <xdr:colOff>581025</xdr:colOff>
      <xdr:row>94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171449</xdr:colOff>
      <xdr:row>49</xdr:row>
      <xdr:rowOff>123825</xdr:rowOff>
    </xdr:from>
    <xdr:to>
      <xdr:col>19</xdr:col>
      <xdr:colOff>561974</xdr:colOff>
      <xdr:row>74</xdr:row>
      <xdr:rowOff>171450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N102"/>
  <sheetViews>
    <sheetView workbookViewId="0">
      <selection activeCell="B7" sqref="B7"/>
    </sheetView>
  </sheetViews>
  <sheetFormatPr defaultRowHeight="14.4" x14ac:dyDescent="0.3"/>
  <sheetData>
    <row r="1" spans="1:14" x14ac:dyDescent="0.3">
      <c r="A1" t="s">
        <v>29</v>
      </c>
      <c r="B1" t="s">
        <v>30</v>
      </c>
      <c r="C1" t="s">
        <v>31</v>
      </c>
      <c r="D1" t="s">
        <v>32</v>
      </c>
      <c r="E1" t="s">
        <v>33</v>
      </c>
      <c r="F1" t="s">
        <v>34</v>
      </c>
      <c r="G1" t="s">
        <v>35</v>
      </c>
      <c r="H1" t="s">
        <v>0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</row>
    <row r="2" spans="1:14" x14ac:dyDescent="0.3">
      <c r="A2">
        <v>41640.01666666667</v>
      </c>
      <c r="B2">
        <v>2100</v>
      </c>
      <c r="C2">
        <v>41640.024305555555</v>
      </c>
      <c r="D2" t="s">
        <v>97</v>
      </c>
      <c r="E2" t="s">
        <v>98</v>
      </c>
      <c r="F2">
        <v>41640.018750000003</v>
      </c>
      <c r="G2">
        <v>41640.043055555558</v>
      </c>
      <c r="J2">
        <v>0</v>
      </c>
      <c r="K2">
        <v>0</v>
      </c>
      <c r="M2">
        <v>4675</v>
      </c>
      <c r="N2">
        <v>1</v>
      </c>
    </row>
    <row r="3" spans="1:14" x14ac:dyDescent="0.3">
      <c r="A3">
        <v>41640.070833333331</v>
      </c>
      <c r="B3">
        <v>2040</v>
      </c>
      <c r="C3">
        <v>41640.024305555555</v>
      </c>
      <c r="D3" t="s">
        <v>99</v>
      </c>
      <c r="E3" t="s">
        <v>100</v>
      </c>
      <c r="F3">
        <v>41640.088194444441</v>
      </c>
      <c r="G3">
        <v>41640.111805555556</v>
      </c>
      <c r="J3">
        <v>0</v>
      </c>
      <c r="K3">
        <v>0</v>
      </c>
      <c r="M3">
        <v>4674</v>
      </c>
      <c r="N3">
        <v>1</v>
      </c>
    </row>
    <row r="4" spans="1:14" x14ac:dyDescent="0.3">
      <c r="A4">
        <v>41640.163888888892</v>
      </c>
      <c r="B4">
        <v>2100</v>
      </c>
      <c r="C4">
        <v>41640.024305555555</v>
      </c>
      <c r="D4" t="s">
        <v>62</v>
      </c>
      <c r="E4" t="s">
        <v>43</v>
      </c>
      <c r="F4">
        <v>41640.172222222223</v>
      </c>
      <c r="G4">
        <v>41640.196527777778</v>
      </c>
      <c r="J4">
        <v>0</v>
      </c>
      <c r="K4">
        <v>0</v>
      </c>
      <c r="M4">
        <v>4676</v>
      </c>
      <c r="N4">
        <v>1</v>
      </c>
    </row>
    <row r="5" spans="1:14" x14ac:dyDescent="0.3">
      <c r="A5">
        <v>41640.243055555555</v>
      </c>
      <c r="B5">
        <v>1860</v>
      </c>
      <c r="C5">
        <v>41640.029166666667</v>
      </c>
      <c r="D5" t="s">
        <v>62</v>
      </c>
      <c r="E5" t="s">
        <v>56</v>
      </c>
      <c r="F5">
        <v>41640.259027777778</v>
      </c>
      <c r="G5">
        <v>41640.280555555553</v>
      </c>
      <c r="J5">
        <v>0</v>
      </c>
      <c r="K5">
        <v>0</v>
      </c>
      <c r="M5">
        <v>4686</v>
      </c>
      <c r="N5">
        <v>1</v>
      </c>
    </row>
    <row r="6" spans="1:14" x14ac:dyDescent="0.3">
      <c r="A6">
        <v>41640.260416666664</v>
      </c>
      <c r="B6">
        <v>1500</v>
      </c>
      <c r="C6">
        <v>41640.029861111114</v>
      </c>
      <c r="D6" t="s">
        <v>101</v>
      </c>
      <c r="E6" t="s">
        <v>45</v>
      </c>
      <c r="F6">
        <v>41640.267361111109</v>
      </c>
      <c r="G6">
        <v>41640.284722222219</v>
      </c>
      <c r="J6">
        <v>0</v>
      </c>
      <c r="K6">
        <v>0</v>
      </c>
      <c r="M6">
        <v>4678</v>
      </c>
      <c r="N6">
        <v>0</v>
      </c>
    </row>
    <row r="7" spans="1:14" x14ac:dyDescent="0.3">
      <c r="A7">
        <v>41640.292361111111</v>
      </c>
      <c r="B7">
        <v>1500</v>
      </c>
      <c r="C7">
        <v>41640.023611111108</v>
      </c>
      <c r="D7" t="s">
        <v>102</v>
      </c>
      <c r="E7" t="s">
        <v>47</v>
      </c>
      <c r="F7">
        <v>41640.29583333333</v>
      </c>
      <c r="G7">
        <v>41640.313194444447</v>
      </c>
      <c r="J7">
        <v>0</v>
      </c>
      <c r="K7">
        <v>0</v>
      </c>
      <c r="M7">
        <v>4684</v>
      </c>
      <c r="N7">
        <v>3</v>
      </c>
    </row>
    <row r="8" spans="1:14" x14ac:dyDescent="0.3">
      <c r="A8">
        <v>41640.293055555558</v>
      </c>
      <c r="B8">
        <v>1800</v>
      </c>
      <c r="C8">
        <v>41640.025000000001</v>
      </c>
      <c r="D8" t="s">
        <v>103</v>
      </c>
      <c r="E8" t="s">
        <v>47</v>
      </c>
      <c r="F8">
        <v>41640.304166666669</v>
      </c>
      <c r="G8">
        <v>41640.324999999997</v>
      </c>
      <c r="J8">
        <v>0</v>
      </c>
      <c r="K8">
        <v>0</v>
      </c>
      <c r="M8">
        <v>4681</v>
      </c>
      <c r="N8">
        <v>2</v>
      </c>
    </row>
    <row r="9" spans="1:14" x14ac:dyDescent="0.3">
      <c r="A9">
        <v>41640.298611111109</v>
      </c>
      <c r="B9">
        <v>1320</v>
      </c>
      <c r="C9">
        <v>41640.015277777777</v>
      </c>
      <c r="D9" t="s">
        <v>104</v>
      </c>
      <c r="E9" t="s">
        <v>44</v>
      </c>
      <c r="F9">
        <v>41640.316666666666</v>
      </c>
      <c r="G9">
        <v>41640.331944444442</v>
      </c>
      <c r="J9">
        <v>0</v>
      </c>
      <c r="K9">
        <v>0</v>
      </c>
      <c r="M9">
        <v>4687</v>
      </c>
      <c r="N9">
        <v>5</v>
      </c>
    </row>
    <row r="10" spans="1:14" x14ac:dyDescent="0.3">
      <c r="A10">
        <v>41640.305555555555</v>
      </c>
      <c r="B10">
        <v>2400</v>
      </c>
      <c r="C10">
        <v>41640.036111111112</v>
      </c>
      <c r="D10" t="s">
        <v>63</v>
      </c>
      <c r="E10" t="s">
        <v>47</v>
      </c>
      <c r="F10">
        <v>41640.307638888888</v>
      </c>
      <c r="G10">
        <v>41640.335416666669</v>
      </c>
      <c r="J10">
        <v>0</v>
      </c>
      <c r="K10">
        <v>0</v>
      </c>
      <c r="M10">
        <v>4683</v>
      </c>
      <c r="N10">
        <v>4</v>
      </c>
    </row>
    <row r="11" spans="1:14" x14ac:dyDescent="0.3">
      <c r="A11">
        <v>41640.315972222219</v>
      </c>
      <c r="B11">
        <v>2580</v>
      </c>
      <c r="C11">
        <v>41640.030555555553</v>
      </c>
      <c r="D11" t="s">
        <v>64</v>
      </c>
      <c r="E11" t="s">
        <v>47</v>
      </c>
      <c r="F11">
        <v>41640.326388888891</v>
      </c>
      <c r="G11">
        <v>41640.356249999997</v>
      </c>
      <c r="J11">
        <v>0</v>
      </c>
      <c r="K11">
        <v>0</v>
      </c>
      <c r="M11">
        <v>4682</v>
      </c>
      <c r="N11">
        <v>1</v>
      </c>
    </row>
    <row r="12" spans="1:14" x14ac:dyDescent="0.3">
      <c r="A12">
        <v>41640.319444444445</v>
      </c>
      <c r="B12">
        <v>3720</v>
      </c>
      <c r="C12">
        <v>41640.048611111109</v>
      </c>
      <c r="D12" t="s">
        <v>47</v>
      </c>
      <c r="E12" t="s">
        <v>103</v>
      </c>
      <c r="F12">
        <v>41640.322222222225</v>
      </c>
      <c r="G12">
        <v>41640.365277777775</v>
      </c>
      <c r="J12">
        <v>0</v>
      </c>
      <c r="K12">
        <v>0</v>
      </c>
      <c r="M12">
        <v>4680</v>
      </c>
      <c r="N12">
        <v>0</v>
      </c>
    </row>
    <row r="13" spans="1:14" x14ac:dyDescent="0.3">
      <c r="A13">
        <v>41640.321527777778</v>
      </c>
      <c r="B13">
        <v>3000</v>
      </c>
      <c r="C13">
        <v>41640.043749999997</v>
      </c>
      <c r="D13" t="s">
        <v>47</v>
      </c>
      <c r="E13" t="s">
        <v>102</v>
      </c>
      <c r="F13">
        <v>41640.322222222225</v>
      </c>
      <c r="G13">
        <v>41640.356944444444</v>
      </c>
      <c r="J13">
        <v>0</v>
      </c>
      <c r="K13">
        <v>0</v>
      </c>
      <c r="M13">
        <v>4685</v>
      </c>
      <c r="N13">
        <v>6</v>
      </c>
    </row>
    <row r="14" spans="1:14" x14ac:dyDescent="0.3">
      <c r="A14">
        <v>41640.32916666667</v>
      </c>
      <c r="B14">
        <v>4980</v>
      </c>
      <c r="C14">
        <v>41640.057638888888</v>
      </c>
      <c r="D14" t="s">
        <v>105</v>
      </c>
      <c r="E14" t="s">
        <v>94</v>
      </c>
      <c r="F14">
        <v>41640.340277777781</v>
      </c>
      <c r="G14">
        <v>41640.397916666669</v>
      </c>
      <c r="J14">
        <v>0</v>
      </c>
      <c r="K14">
        <v>0</v>
      </c>
      <c r="M14">
        <v>4679</v>
      </c>
      <c r="N14">
        <v>3</v>
      </c>
    </row>
    <row r="15" spans="1:14" x14ac:dyDescent="0.3">
      <c r="A15">
        <v>41640.340277777781</v>
      </c>
      <c r="B15">
        <v>1620</v>
      </c>
      <c r="C15">
        <v>41640.020138888889</v>
      </c>
      <c r="D15" t="s">
        <v>106</v>
      </c>
      <c r="E15" t="s">
        <v>46</v>
      </c>
      <c r="F15">
        <v>41640.352777777778</v>
      </c>
      <c r="G15">
        <v>41640.371527777781</v>
      </c>
      <c r="J15">
        <v>0</v>
      </c>
      <c r="K15">
        <v>0</v>
      </c>
      <c r="M15">
        <v>4738</v>
      </c>
      <c r="N15">
        <v>2</v>
      </c>
    </row>
    <row r="16" spans="1:14" x14ac:dyDescent="0.3">
      <c r="A16">
        <v>41640.343055555553</v>
      </c>
      <c r="B16">
        <v>2460</v>
      </c>
      <c r="C16">
        <v>41640.02847222222</v>
      </c>
      <c r="D16" t="s">
        <v>54</v>
      </c>
      <c r="E16" t="s">
        <v>50</v>
      </c>
      <c r="F16">
        <v>41640.349305555559</v>
      </c>
      <c r="G16">
        <v>41640.37777777778</v>
      </c>
      <c r="J16">
        <v>0</v>
      </c>
      <c r="K16">
        <v>0</v>
      </c>
      <c r="M16">
        <v>4745</v>
      </c>
      <c r="N16">
        <v>5</v>
      </c>
    </row>
    <row r="17" spans="1:14" x14ac:dyDescent="0.3">
      <c r="A17">
        <v>41640.371527777781</v>
      </c>
      <c r="B17">
        <v>2040</v>
      </c>
      <c r="C17">
        <v>41640.023611111108</v>
      </c>
      <c r="D17" t="s">
        <v>107</v>
      </c>
      <c r="E17" t="s">
        <v>108</v>
      </c>
      <c r="F17">
        <v>41640.371527777781</v>
      </c>
      <c r="G17">
        <v>41640.395138888889</v>
      </c>
      <c r="J17">
        <v>0</v>
      </c>
      <c r="K17">
        <v>0</v>
      </c>
      <c r="M17">
        <v>4736</v>
      </c>
      <c r="N17">
        <v>4</v>
      </c>
    </row>
    <row r="18" spans="1:14" x14ac:dyDescent="0.3">
      <c r="A18">
        <v>41640.386805555558</v>
      </c>
      <c r="B18">
        <v>1200</v>
      </c>
      <c r="C18">
        <v>41640.027777777781</v>
      </c>
      <c r="D18" t="s">
        <v>46</v>
      </c>
      <c r="E18" t="s">
        <v>106</v>
      </c>
      <c r="F18">
        <v>41640.413888888892</v>
      </c>
      <c r="G18">
        <v>41640.427777777775</v>
      </c>
      <c r="J18">
        <v>0</v>
      </c>
      <c r="K18">
        <v>0</v>
      </c>
      <c r="M18">
        <v>4758</v>
      </c>
      <c r="N18">
        <v>1</v>
      </c>
    </row>
    <row r="19" spans="1:14" x14ac:dyDescent="0.3">
      <c r="A19">
        <v>41640.388888888891</v>
      </c>
      <c r="B19">
        <v>2700</v>
      </c>
      <c r="C19">
        <v>41640.03125</v>
      </c>
      <c r="D19" t="s">
        <v>109</v>
      </c>
      <c r="E19" t="s">
        <v>47</v>
      </c>
      <c r="F19">
        <v>41640.411111111112</v>
      </c>
      <c r="G19">
        <v>41640.442361111112</v>
      </c>
      <c r="J19">
        <v>0</v>
      </c>
      <c r="K19">
        <v>0</v>
      </c>
      <c r="M19">
        <v>4698</v>
      </c>
      <c r="N19">
        <v>2</v>
      </c>
    </row>
    <row r="20" spans="1:14" x14ac:dyDescent="0.3">
      <c r="A20">
        <v>41640.399305555555</v>
      </c>
      <c r="B20">
        <v>1140</v>
      </c>
      <c r="C20">
        <v>41640.015277777777</v>
      </c>
      <c r="D20" t="s">
        <v>95</v>
      </c>
      <c r="E20" t="s">
        <v>53</v>
      </c>
      <c r="F20">
        <v>41640.402083333334</v>
      </c>
      <c r="G20">
        <v>41640.415277777778</v>
      </c>
      <c r="J20">
        <v>0</v>
      </c>
      <c r="K20">
        <v>0</v>
      </c>
      <c r="M20">
        <v>4713</v>
      </c>
      <c r="N20">
        <v>6</v>
      </c>
    </row>
    <row r="21" spans="1:14" x14ac:dyDescent="0.3">
      <c r="A21">
        <v>41640.404166666667</v>
      </c>
      <c r="B21">
        <v>1800</v>
      </c>
      <c r="C21">
        <v>41640.033333333333</v>
      </c>
      <c r="D21" t="s">
        <v>110</v>
      </c>
      <c r="E21" t="s">
        <v>50</v>
      </c>
      <c r="F21">
        <v>41640.423611111109</v>
      </c>
      <c r="G21">
        <v>41640.444444444445</v>
      </c>
      <c r="J21">
        <v>0</v>
      </c>
      <c r="K21">
        <v>0</v>
      </c>
      <c r="M21">
        <v>4716</v>
      </c>
      <c r="N21">
        <v>5</v>
      </c>
    </row>
    <row r="22" spans="1:14" x14ac:dyDescent="0.3">
      <c r="A22">
        <v>41640.411111111112</v>
      </c>
      <c r="B22">
        <v>1680</v>
      </c>
      <c r="C22">
        <v>41640.019444444442</v>
      </c>
      <c r="D22" t="s">
        <v>88</v>
      </c>
      <c r="E22" t="s">
        <v>53</v>
      </c>
      <c r="F22">
        <v>41640.429861111108</v>
      </c>
      <c r="G22">
        <v>41640.449305555558</v>
      </c>
      <c r="J22">
        <v>0</v>
      </c>
      <c r="K22">
        <v>0</v>
      </c>
      <c r="M22">
        <v>4703</v>
      </c>
      <c r="N22">
        <v>0</v>
      </c>
    </row>
    <row r="23" spans="1:14" x14ac:dyDescent="0.3">
      <c r="A23">
        <v>41640.418749999997</v>
      </c>
      <c r="B23">
        <v>780</v>
      </c>
      <c r="C23">
        <v>41640.009027777778</v>
      </c>
      <c r="D23" t="s">
        <v>50</v>
      </c>
      <c r="E23" t="s">
        <v>67</v>
      </c>
      <c r="F23">
        <v>41640.427083333336</v>
      </c>
      <c r="G23">
        <v>41640.436111111114</v>
      </c>
      <c r="J23">
        <v>0</v>
      </c>
      <c r="K23">
        <v>0</v>
      </c>
      <c r="M23">
        <v>4694</v>
      </c>
      <c r="N23">
        <v>4</v>
      </c>
    </row>
    <row r="24" spans="1:14" x14ac:dyDescent="0.3">
      <c r="A24">
        <v>41640.428472222222</v>
      </c>
      <c r="B24">
        <v>960</v>
      </c>
      <c r="C24">
        <v>41640.011805555558</v>
      </c>
      <c r="D24" t="s">
        <v>55</v>
      </c>
      <c r="E24" t="s">
        <v>111</v>
      </c>
      <c r="F24">
        <v>41640.438888888886</v>
      </c>
      <c r="G24">
        <v>41640.449999999997</v>
      </c>
      <c r="J24">
        <v>0</v>
      </c>
      <c r="K24">
        <v>0</v>
      </c>
      <c r="M24">
        <v>4711</v>
      </c>
      <c r="N24">
        <v>6</v>
      </c>
    </row>
    <row r="25" spans="1:14" x14ac:dyDescent="0.3">
      <c r="A25">
        <v>41640.444444444445</v>
      </c>
      <c r="B25">
        <v>2040</v>
      </c>
      <c r="C25">
        <v>41640.030555555553</v>
      </c>
      <c r="D25" t="s">
        <v>112</v>
      </c>
      <c r="E25" t="s">
        <v>46</v>
      </c>
      <c r="F25">
        <v>41640.452777777777</v>
      </c>
      <c r="G25">
        <v>41640.476388888892</v>
      </c>
      <c r="J25">
        <v>0</v>
      </c>
      <c r="K25">
        <v>0</v>
      </c>
      <c r="M25">
        <v>4749</v>
      </c>
      <c r="N25">
        <v>4</v>
      </c>
    </row>
    <row r="26" spans="1:14" x14ac:dyDescent="0.3">
      <c r="A26">
        <v>41640.451388888891</v>
      </c>
      <c r="B26">
        <v>1740</v>
      </c>
      <c r="C26">
        <v>41640.024305555555</v>
      </c>
      <c r="D26" t="s">
        <v>57</v>
      </c>
      <c r="E26" t="s">
        <v>58</v>
      </c>
      <c r="F26">
        <v>41640.463194444441</v>
      </c>
      <c r="G26">
        <v>41640.48333333333</v>
      </c>
      <c r="J26">
        <v>0</v>
      </c>
      <c r="K26">
        <v>0</v>
      </c>
      <c r="M26">
        <v>4734</v>
      </c>
      <c r="N26">
        <v>6</v>
      </c>
    </row>
    <row r="27" spans="1:14" x14ac:dyDescent="0.3">
      <c r="A27">
        <v>41640.451388888891</v>
      </c>
      <c r="B27">
        <v>1260</v>
      </c>
      <c r="C27">
        <v>41640.018055555556</v>
      </c>
      <c r="D27" t="s">
        <v>53</v>
      </c>
      <c r="E27" t="s">
        <v>88</v>
      </c>
      <c r="F27">
        <v>41640.463194444441</v>
      </c>
      <c r="G27">
        <v>41640.477777777778</v>
      </c>
      <c r="J27">
        <v>0</v>
      </c>
      <c r="K27">
        <v>0</v>
      </c>
      <c r="M27">
        <v>4696</v>
      </c>
      <c r="N27">
        <v>3</v>
      </c>
    </row>
    <row r="28" spans="1:14" x14ac:dyDescent="0.3">
      <c r="A28">
        <v>41640.454861111109</v>
      </c>
      <c r="B28">
        <v>2280</v>
      </c>
      <c r="C28">
        <v>41640.033333333333</v>
      </c>
      <c r="D28" t="s">
        <v>54</v>
      </c>
      <c r="E28" t="s">
        <v>50</v>
      </c>
      <c r="F28">
        <v>41640.460416666669</v>
      </c>
      <c r="G28">
        <v>41640.486805555556</v>
      </c>
      <c r="J28">
        <v>0</v>
      </c>
      <c r="K28">
        <v>0</v>
      </c>
      <c r="M28">
        <v>4718</v>
      </c>
      <c r="N28">
        <v>1</v>
      </c>
    </row>
    <row r="29" spans="1:14" x14ac:dyDescent="0.3">
      <c r="A29">
        <v>41640.466666666667</v>
      </c>
      <c r="B29">
        <v>1140</v>
      </c>
      <c r="C29">
        <v>41640.013194444444</v>
      </c>
      <c r="D29" t="s">
        <v>46</v>
      </c>
      <c r="E29" t="s">
        <v>113</v>
      </c>
      <c r="F29">
        <v>41640.470138888886</v>
      </c>
      <c r="G29">
        <v>41640.48333333333</v>
      </c>
      <c r="J29">
        <v>0</v>
      </c>
      <c r="K29">
        <v>0</v>
      </c>
      <c r="M29">
        <v>4754</v>
      </c>
      <c r="N29">
        <v>0</v>
      </c>
    </row>
    <row r="30" spans="1:14" x14ac:dyDescent="0.3">
      <c r="A30">
        <v>41640.472222222219</v>
      </c>
      <c r="B30">
        <v>2040</v>
      </c>
      <c r="C30">
        <v>41640.023611111108</v>
      </c>
      <c r="D30" t="s">
        <v>114</v>
      </c>
      <c r="E30" t="s">
        <v>46</v>
      </c>
      <c r="F30">
        <v>41640.48333333333</v>
      </c>
      <c r="G30">
        <v>41640.506944444445</v>
      </c>
      <c r="J30">
        <v>0</v>
      </c>
      <c r="K30">
        <v>0</v>
      </c>
      <c r="M30">
        <v>4733</v>
      </c>
      <c r="N30">
        <v>5</v>
      </c>
    </row>
    <row r="31" spans="1:14" x14ac:dyDescent="0.3">
      <c r="A31">
        <v>41640.472916666666</v>
      </c>
      <c r="B31">
        <v>1380</v>
      </c>
      <c r="C31">
        <v>41640.03125</v>
      </c>
      <c r="D31" t="s">
        <v>57</v>
      </c>
      <c r="E31" t="s">
        <v>100</v>
      </c>
      <c r="F31">
        <v>41640.474999999999</v>
      </c>
      <c r="G31">
        <v>41640.490972222222</v>
      </c>
      <c r="J31">
        <v>0</v>
      </c>
      <c r="K31">
        <v>0</v>
      </c>
      <c r="M31">
        <v>4748</v>
      </c>
      <c r="N31">
        <v>2</v>
      </c>
    </row>
    <row r="32" spans="1:14" x14ac:dyDescent="0.3">
      <c r="A32">
        <v>41640.494444444441</v>
      </c>
      <c r="B32">
        <v>1800</v>
      </c>
      <c r="C32">
        <v>41640.025000000001</v>
      </c>
      <c r="D32" t="s">
        <v>115</v>
      </c>
      <c r="E32" t="s">
        <v>46</v>
      </c>
      <c r="F32">
        <v>41640.49722222222</v>
      </c>
      <c r="G32">
        <v>41640.518055555556</v>
      </c>
      <c r="J32">
        <v>0</v>
      </c>
      <c r="K32">
        <v>0</v>
      </c>
      <c r="M32">
        <v>4720</v>
      </c>
      <c r="N32">
        <v>0</v>
      </c>
    </row>
    <row r="33" spans="1:14" x14ac:dyDescent="0.3">
      <c r="A33">
        <v>41640.495833333334</v>
      </c>
      <c r="B33">
        <v>2040</v>
      </c>
      <c r="C33">
        <v>41640.030555555553</v>
      </c>
      <c r="D33" t="s">
        <v>51</v>
      </c>
      <c r="E33" t="s">
        <v>46</v>
      </c>
      <c r="F33">
        <v>41640.506249999999</v>
      </c>
      <c r="G33">
        <v>41640.529861111114</v>
      </c>
      <c r="J33">
        <v>0</v>
      </c>
      <c r="K33">
        <v>0</v>
      </c>
      <c r="M33">
        <v>4690</v>
      </c>
      <c r="N33">
        <v>3</v>
      </c>
    </row>
    <row r="34" spans="1:14" x14ac:dyDescent="0.3">
      <c r="A34">
        <v>41640.503472222219</v>
      </c>
      <c r="B34">
        <v>1920</v>
      </c>
      <c r="C34">
        <v>41640.022916666669</v>
      </c>
      <c r="D34" t="s">
        <v>116</v>
      </c>
      <c r="E34" t="s">
        <v>48</v>
      </c>
      <c r="F34">
        <v>41640.522916666669</v>
      </c>
      <c r="G34">
        <v>41640.545138888891</v>
      </c>
      <c r="J34">
        <v>0</v>
      </c>
      <c r="K34">
        <v>0</v>
      </c>
      <c r="M34">
        <v>4790</v>
      </c>
      <c r="N34">
        <v>6</v>
      </c>
    </row>
    <row r="35" spans="1:14" x14ac:dyDescent="0.3">
      <c r="A35">
        <v>41640.505555555559</v>
      </c>
      <c r="B35">
        <v>960</v>
      </c>
      <c r="C35">
        <v>41640.011805555558</v>
      </c>
      <c r="D35" t="s">
        <v>49</v>
      </c>
      <c r="E35" t="s">
        <v>117</v>
      </c>
      <c r="F35">
        <v>41640.511111111111</v>
      </c>
      <c r="G35">
        <v>41640.522222222222</v>
      </c>
      <c r="J35">
        <v>0</v>
      </c>
      <c r="K35">
        <v>0</v>
      </c>
      <c r="M35">
        <v>4782</v>
      </c>
      <c r="N35">
        <v>4</v>
      </c>
    </row>
    <row r="36" spans="1:14" x14ac:dyDescent="0.3">
      <c r="A36">
        <v>41640.519444444442</v>
      </c>
      <c r="B36">
        <v>1620</v>
      </c>
      <c r="C36">
        <v>41640.018750000003</v>
      </c>
      <c r="D36" t="s">
        <v>50</v>
      </c>
      <c r="E36" t="s">
        <v>118</v>
      </c>
      <c r="F36">
        <v>41640.526388888888</v>
      </c>
      <c r="G36">
        <v>41640.545138888891</v>
      </c>
      <c r="J36">
        <v>0</v>
      </c>
      <c r="K36">
        <v>0</v>
      </c>
      <c r="M36">
        <v>4791</v>
      </c>
      <c r="N36">
        <v>2</v>
      </c>
    </row>
    <row r="37" spans="1:14" x14ac:dyDescent="0.3">
      <c r="A37">
        <v>41640.519444444442</v>
      </c>
      <c r="B37">
        <v>660</v>
      </c>
      <c r="C37">
        <v>41640.015277777777</v>
      </c>
      <c r="D37" t="s">
        <v>46</v>
      </c>
      <c r="E37" t="s">
        <v>119</v>
      </c>
      <c r="F37">
        <v>41640.524305555555</v>
      </c>
      <c r="G37">
        <v>41640.531944444447</v>
      </c>
      <c r="J37">
        <v>0</v>
      </c>
      <c r="K37">
        <v>0</v>
      </c>
      <c r="M37">
        <v>4760</v>
      </c>
      <c r="N37">
        <v>1</v>
      </c>
    </row>
    <row r="38" spans="1:14" x14ac:dyDescent="0.3">
      <c r="A38">
        <v>41640.530555555553</v>
      </c>
      <c r="B38">
        <v>1500</v>
      </c>
      <c r="C38">
        <v>41640.018750000003</v>
      </c>
      <c r="D38" t="s">
        <v>120</v>
      </c>
      <c r="E38" t="s">
        <v>49</v>
      </c>
      <c r="F38">
        <v>41640.533333333333</v>
      </c>
      <c r="G38">
        <v>41640.550694444442</v>
      </c>
      <c r="J38">
        <v>0</v>
      </c>
      <c r="K38">
        <v>0</v>
      </c>
      <c r="M38">
        <v>4831</v>
      </c>
      <c r="N38">
        <v>5</v>
      </c>
    </row>
    <row r="39" spans="1:14" x14ac:dyDescent="0.3">
      <c r="A39">
        <v>41640.532638888886</v>
      </c>
      <c r="B39">
        <v>2280</v>
      </c>
      <c r="C39">
        <v>41640.048611111109</v>
      </c>
      <c r="D39" t="s">
        <v>121</v>
      </c>
      <c r="E39" t="s">
        <v>58</v>
      </c>
      <c r="F39">
        <v>41640.540277777778</v>
      </c>
      <c r="G39">
        <v>41640.566666666666</v>
      </c>
      <c r="J39">
        <v>0</v>
      </c>
      <c r="K39">
        <v>0</v>
      </c>
      <c r="M39">
        <v>4780</v>
      </c>
      <c r="N39">
        <v>4</v>
      </c>
    </row>
    <row r="40" spans="1:14" x14ac:dyDescent="0.3">
      <c r="A40">
        <v>41640.540277777778</v>
      </c>
      <c r="B40">
        <v>1620</v>
      </c>
      <c r="C40">
        <v>41640.018750000003</v>
      </c>
      <c r="D40" t="s">
        <v>122</v>
      </c>
      <c r="E40" t="s">
        <v>47</v>
      </c>
      <c r="F40">
        <v>41640.552083333336</v>
      </c>
      <c r="G40">
        <v>41640.570833333331</v>
      </c>
      <c r="J40">
        <v>0</v>
      </c>
      <c r="K40">
        <v>0</v>
      </c>
      <c r="M40">
        <v>4765</v>
      </c>
      <c r="N40">
        <v>0</v>
      </c>
    </row>
    <row r="41" spans="1:14" x14ac:dyDescent="0.3">
      <c r="A41">
        <v>41640.544444444444</v>
      </c>
      <c r="B41">
        <v>1620</v>
      </c>
      <c r="C41">
        <v>41640.019444444442</v>
      </c>
      <c r="D41" t="s">
        <v>47</v>
      </c>
      <c r="E41" t="s">
        <v>123</v>
      </c>
      <c r="F41">
        <v>41640.568749999999</v>
      </c>
      <c r="G41">
        <v>41640.587500000001</v>
      </c>
      <c r="J41">
        <v>0</v>
      </c>
      <c r="K41">
        <v>0</v>
      </c>
      <c r="M41">
        <v>4810</v>
      </c>
      <c r="N41">
        <v>1</v>
      </c>
    </row>
    <row r="42" spans="1:14" x14ac:dyDescent="0.3">
      <c r="A42">
        <v>41640.55972222222</v>
      </c>
      <c r="B42">
        <v>1620</v>
      </c>
      <c r="C42">
        <v>41640.027777777781</v>
      </c>
      <c r="D42" t="s">
        <v>124</v>
      </c>
      <c r="E42" t="s">
        <v>48</v>
      </c>
      <c r="F42">
        <v>41640.579861111109</v>
      </c>
      <c r="G42">
        <v>41640.598611111112</v>
      </c>
      <c r="J42">
        <v>0</v>
      </c>
      <c r="K42">
        <v>0</v>
      </c>
      <c r="M42">
        <v>4770</v>
      </c>
      <c r="N42">
        <v>2</v>
      </c>
    </row>
    <row r="43" spans="1:14" x14ac:dyDescent="0.3">
      <c r="A43">
        <v>41640.560416666667</v>
      </c>
      <c r="B43">
        <v>1200</v>
      </c>
      <c r="C43">
        <v>41640.015972222223</v>
      </c>
      <c r="D43" t="s">
        <v>46</v>
      </c>
      <c r="E43" t="s">
        <v>125</v>
      </c>
      <c r="F43">
        <v>41640.569444444445</v>
      </c>
      <c r="G43">
        <v>41640.583333333336</v>
      </c>
      <c r="J43">
        <v>0</v>
      </c>
      <c r="K43">
        <v>0</v>
      </c>
      <c r="M43">
        <v>4801</v>
      </c>
      <c r="N43">
        <v>3</v>
      </c>
    </row>
    <row r="44" spans="1:14" x14ac:dyDescent="0.3">
      <c r="A44">
        <v>41640.567361111112</v>
      </c>
      <c r="B44">
        <v>1140</v>
      </c>
      <c r="C44">
        <v>41640.033333333333</v>
      </c>
      <c r="D44" t="s">
        <v>48</v>
      </c>
      <c r="E44" t="s">
        <v>116</v>
      </c>
      <c r="F44">
        <v>41640.569444444445</v>
      </c>
      <c r="G44">
        <v>41640.582638888889</v>
      </c>
      <c r="J44">
        <v>0</v>
      </c>
      <c r="K44">
        <v>0</v>
      </c>
      <c r="M44">
        <v>4828</v>
      </c>
      <c r="N44">
        <v>6</v>
      </c>
    </row>
    <row r="45" spans="1:14" x14ac:dyDescent="0.3">
      <c r="A45">
        <v>41640.568749999999</v>
      </c>
      <c r="B45">
        <v>1020</v>
      </c>
      <c r="C45">
        <v>41640.019444444442</v>
      </c>
      <c r="D45" t="s">
        <v>126</v>
      </c>
      <c r="E45" t="s">
        <v>91</v>
      </c>
      <c r="F45">
        <v>41640.57708333333</v>
      </c>
      <c r="G45">
        <v>41640.588888888888</v>
      </c>
      <c r="J45">
        <v>0</v>
      </c>
      <c r="K45">
        <v>0</v>
      </c>
      <c r="M45">
        <v>4835</v>
      </c>
      <c r="N45">
        <v>5</v>
      </c>
    </row>
    <row r="46" spans="1:14" x14ac:dyDescent="0.3">
      <c r="A46">
        <v>41640.587500000001</v>
      </c>
      <c r="B46">
        <v>1080</v>
      </c>
      <c r="C46">
        <v>41640.013888888891</v>
      </c>
      <c r="D46" t="s">
        <v>47</v>
      </c>
      <c r="E46" t="s">
        <v>127</v>
      </c>
      <c r="F46">
        <v>41640.590277777781</v>
      </c>
      <c r="G46">
        <v>41640.602777777778</v>
      </c>
      <c r="J46">
        <v>0</v>
      </c>
      <c r="K46">
        <v>0</v>
      </c>
      <c r="M46">
        <v>4829</v>
      </c>
      <c r="N46">
        <v>0</v>
      </c>
    </row>
    <row r="47" spans="1:14" x14ac:dyDescent="0.3">
      <c r="A47">
        <v>41640.591666666667</v>
      </c>
      <c r="B47">
        <v>960</v>
      </c>
      <c r="C47">
        <v>41640.022222222222</v>
      </c>
      <c r="D47" t="s">
        <v>53</v>
      </c>
      <c r="E47" t="s">
        <v>63</v>
      </c>
      <c r="F47">
        <v>41640.979166666664</v>
      </c>
      <c r="G47">
        <v>41640.990277777775</v>
      </c>
      <c r="J47">
        <v>0</v>
      </c>
      <c r="K47">
        <v>0</v>
      </c>
      <c r="M47">
        <v>4830</v>
      </c>
      <c r="N47">
        <v>4</v>
      </c>
    </row>
    <row r="48" spans="1:14" x14ac:dyDescent="0.3">
      <c r="A48">
        <v>41640.592361111114</v>
      </c>
      <c r="B48">
        <v>1620</v>
      </c>
      <c r="C48">
        <v>41640.025694444441</v>
      </c>
      <c r="D48" t="s">
        <v>50</v>
      </c>
      <c r="E48" t="s">
        <v>128</v>
      </c>
      <c r="F48">
        <v>41640.977083333331</v>
      </c>
      <c r="G48">
        <v>41640.995833333334</v>
      </c>
      <c r="J48">
        <v>0</v>
      </c>
      <c r="K48">
        <v>0</v>
      </c>
      <c r="M48">
        <v>4769</v>
      </c>
      <c r="N48">
        <v>5</v>
      </c>
    </row>
    <row r="49" spans="1:14" x14ac:dyDescent="0.3">
      <c r="A49">
        <v>41640.597222222219</v>
      </c>
      <c r="B49">
        <v>2040</v>
      </c>
      <c r="C49">
        <v>41640.03402777778</v>
      </c>
      <c r="D49" t="s">
        <v>129</v>
      </c>
      <c r="E49" t="s">
        <v>130</v>
      </c>
      <c r="F49">
        <v>41640.606249999997</v>
      </c>
      <c r="G49">
        <v>41640.629861111112</v>
      </c>
      <c r="J49">
        <v>0</v>
      </c>
      <c r="K49">
        <v>0</v>
      </c>
      <c r="M49">
        <v>4771</v>
      </c>
      <c r="N49">
        <v>3</v>
      </c>
    </row>
    <row r="50" spans="1:14" x14ac:dyDescent="0.3">
      <c r="A50">
        <v>41640.6</v>
      </c>
      <c r="B50">
        <v>2820</v>
      </c>
      <c r="C50">
        <v>41640.041666666664</v>
      </c>
      <c r="D50" t="s">
        <v>47</v>
      </c>
      <c r="E50" t="s">
        <v>131</v>
      </c>
      <c r="F50">
        <v>41640.618750000001</v>
      </c>
      <c r="G50">
        <v>41640.651388888888</v>
      </c>
      <c r="J50">
        <v>0</v>
      </c>
      <c r="K50">
        <v>0</v>
      </c>
      <c r="M50">
        <v>4764</v>
      </c>
      <c r="N50">
        <v>0</v>
      </c>
    </row>
    <row r="51" spans="1:14" x14ac:dyDescent="0.3">
      <c r="A51">
        <v>41640.601388888892</v>
      </c>
      <c r="B51">
        <v>2820</v>
      </c>
      <c r="C51">
        <v>41640.033333333333</v>
      </c>
      <c r="D51" t="s">
        <v>62</v>
      </c>
      <c r="E51" t="s">
        <v>132</v>
      </c>
      <c r="F51">
        <v>41640.631944444445</v>
      </c>
      <c r="G51">
        <v>41640.664583333331</v>
      </c>
      <c r="J51">
        <v>0</v>
      </c>
      <c r="K51">
        <v>0</v>
      </c>
      <c r="M51">
        <v>4809</v>
      </c>
      <c r="N51">
        <v>6</v>
      </c>
    </row>
    <row r="52" spans="1:14" x14ac:dyDescent="0.3">
      <c r="A52">
        <v>41640.601388888892</v>
      </c>
      <c r="B52">
        <v>1260</v>
      </c>
      <c r="C52">
        <v>41640.026388888888</v>
      </c>
      <c r="D52" t="s">
        <v>48</v>
      </c>
      <c r="E52" t="s">
        <v>133</v>
      </c>
      <c r="F52">
        <v>41640.60833333333</v>
      </c>
      <c r="G52">
        <v>41640.622916666667</v>
      </c>
      <c r="J52">
        <v>0</v>
      </c>
      <c r="K52">
        <v>0</v>
      </c>
      <c r="M52">
        <v>4804</v>
      </c>
      <c r="N52">
        <v>1</v>
      </c>
    </row>
    <row r="53" spans="1:14" x14ac:dyDescent="0.3">
      <c r="A53">
        <v>41640.607638888891</v>
      </c>
      <c r="B53">
        <v>1440</v>
      </c>
      <c r="C53">
        <v>41640.018750000003</v>
      </c>
      <c r="D53" t="s">
        <v>90</v>
      </c>
      <c r="E53" t="s">
        <v>134</v>
      </c>
      <c r="F53">
        <v>41640.609027777777</v>
      </c>
      <c r="G53">
        <v>41640.625694444447</v>
      </c>
      <c r="J53">
        <v>0</v>
      </c>
      <c r="K53">
        <v>0</v>
      </c>
      <c r="M53">
        <v>4798</v>
      </c>
      <c r="N53">
        <v>5</v>
      </c>
    </row>
    <row r="54" spans="1:14" x14ac:dyDescent="0.3">
      <c r="A54">
        <v>41640.611111111109</v>
      </c>
      <c r="B54">
        <v>660</v>
      </c>
      <c r="C54">
        <v>41640.019444444442</v>
      </c>
      <c r="D54" t="s">
        <v>49</v>
      </c>
      <c r="E54" t="s">
        <v>60</v>
      </c>
      <c r="F54">
        <v>41640.621527777781</v>
      </c>
      <c r="G54">
        <v>41640.629166666666</v>
      </c>
      <c r="J54">
        <v>0</v>
      </c>
      <c r="K54">
        <v>0</v>
      </c>
      <c r="M54">
        <v>4779</v>
      </c>
      <c r="N54">
        <v>4</v>
      </c>
    </row>
    <row r="55" spans="1:14" x14ac:dyDescent="0.3">
      <c r="A55">
        <v>41640.617361111108</v>
      </c>
      <c r="B55">
        <v>1740</v>
      </c>
      <c r="C55">
        <v>41640.022916666669</v>
      </c>
      <c r="D55" t="s">
        <v>135</v>
      </c>
      <c r="E55" t="s">
        <v>136</v>
      </c>
      <c r="F55">
        <v>41640.96597222222</v>
      </c>
      <c r="G55">
        <v>41640.986111111109</v>
      </c>
      <c r="J55">
        <v>0</v>
      </c>
      <c r="K55">
        <v>0</v>
      </c>
      <c r="M55">
        <v>4767</v>
      </c>
      <c r="N55">
        <v>0</v>
      </c>
    </row>
    <row r="56" spans="1:14" x14ac:dyDescent="0.3">
      <c r="A56">
        <v>41640.619444444441</v>
      </c>
      <c r="B56">
        <v>480</v>
      </c>
      <c r="C56">
        <v>41640.018750000003</v>
      </c>
      <c r="D56" t="s">
        <v>48</v>
      </c>
      <c r="E56" t="s">
        <v>124</v>
      </c>
      <c r="F56">
        <v>41640.95416666667</v>
      </c>
      <c r="G56">
        <v>41640.959722222222</v>
      </c>
      <c r="J56">
        <v>0</v>
      </c>
      <c r="K56">
        <v>0</v>
      </c>
      <c r="M56">
        <v>4814</v>
      </c>
      <c r="N56">
        <v>4</v>
      </c>
    </row>
    <row r="57" spans="1:14" x14ac:dyDescent="0.3">
      <c r="A57">
        <v>41640.621527777781</v>
      </c>
      <c r="B57">
        <v>1440</v>
      </c>
      <c r="C57">
        <v>41640.018055555556</v>
      </c>
      <c r="D57" t="s">
        <v>55</v>
      </c>
      <c r="E57" t="s">
        <v>93</v>
      </c>
      <c r="F57">
        <v>41640.939583333333</v>
      </c>
      <c r="G57">
        <v>41640.956250000003</v>
      </c>
      <c r="J57">
        <v>0</v>
      </c>
      <c r="K57">
        <v>0</v>
      </c>
      <c r="M57">
        <v>4785</v>
      </c>
      <c r="N57">
        <v>3</v>
      </c>
    </row>
    <row r="58" spans="1:14" x14ac:dyDescent="0.3">
      <c r="A58">
        <v>41640.625</v>
      </c>
      <c r="B58">
        <v>960</v>
      </c>
      <c r="C58">
        <v>41640.025694444441</v>
      </c>
      <c r="D58" t="s">
        <v>52</v>
      </c>
      <c r="E58" t="s">
        <v>92</v>
      </c>
      <c r="F58">
        <v>41640.629166666666</v>
      </c>
      <c r="G58">
        <v>41640.640277777777</v>
      </c>
      <c r="J58">
        <v>0</v>
      </c>
      <c r="K58">
        <v>0</v>
      </c>
      <c r="M58">
        <v>4797</v>
      </c>
      <c r="N58">
        <v>2</v>
      </c>
    </row>
    <row r="59" spans="1:14" x14ac:dyDescent="0.3">
      <c r="A59">
        <v>41640.62777777778</v>
      </c>
      <c r="B59">
        <v>660</v>
      </c>
      <c r="C59">
        <v>41640.015972222223</v>
      </c>
      <c r="D59" t="s">
        <v>52</v>
      </c>
      <c r="E59" t="s">
        <v>118</v>
      </c>
      <c r="F59">
        <v>41640.935416666667</v>
      </c>
      <c r="G59">
        <v>41640.943055555559</v>
      </c>
      <c r="J59">
        <v>0</v>
      </c>
      <c r="K59">
        <v>0</v>
      </c>
      <c r="M59">
        <v>4820</v>
      </c>
      <c r="N59">
        <v>0</v>
      </c>
    </row>
    <row r="60" spans="1:14" x14ac:dyDescent="0.3">
      <c r="A60">
        <v>41640.629861111112</v>
      </c>
      <c r="B60">
        <v>1560</v>
      </c>
      <c r="C60">
        <v>41640.020138888889</v>
      </c>
      <c r="D60" t="s">
        <v>65</v>
      </c>
      <c r="E60" t="s">
        <v>137</v>
      </c>
      <c r="F60">
        <v>41640.90902777778</v>
      </c>
      <c r="G60">
        <v>41640.927083333336</v>
      </c>
      <c r="J60">
        <v>0</v>
      </c>
      <c r="K60">
        <v>0</v>
      </c>
      <c r="M60">
        <v>4822</v>
      </c>
      <c r="N60">
        <v>4</v>
      </c>
    </row>
    <row r="61" spans="1:14" x14ac:dyDescent="0.3">
      <c r="A61">
        <v>41640.634722222225</v>
      </c>
      <c r="B61">
        <v>480</v>
      </c>
      <c r="C61">
        <v>41640.01458333333</v>
      </c>
      <c r="D61" t="s">
        <v>45</v>
      </c>
      <c r="E61" t="s">
        <v>138</v>
      </c>
      <c r="F61">
        <v>41640.899305555555</v>
      </c>
      <c r="G61">
        <v>41640.904861111114</v>
      </c>
      <c r="J61">
        <v>0</v>
      </c>
      <c r="K61">
        <v>0</v>
      </c>
      <c r="M61">
        <v>4805</v>
      </c>
      <c r="N61">
        <v>2</v>
      </c>
    </row>
    <row r="62" spans="1:14" x14ac:dyDescent="0.3">
      <c r="A62">
        <v>41640.636111111111</v>
      </c>
      <c r="B62">
        <v>1080</v>
      </c>
      <c r="C62">
        <v>41640.024305555555</v>
      </c>
      <c r="D62" t="s">
        <v>50</v>
      </c>
      <c r="E62" t="s">
        <v>139</v>
      </c>
      <c r="F62">
        <v>41640.896527777775</v>
      </c>
      <c r="G62">
        <v>41640.90902777778</v>
      </c>
      <c r="J62">
        <v>0</v>
      </c>
      <c r="K62">
        <v>0</v>
      </c>
      <c r="M62">
        <v>4777</v>
      </c>
      <c r="N62">
        <v>0</v>
      </c>
    </row>
    <row r="63" spans="1:14" x14ac:dyDescent="0.3">
      <c r="A63">
        <v>41640.637499999997</v>
      </c>
      <c r="B63">
        <v>1260</v>
      </c>
      <c r="C63">
        <v>41640.015277777777</v>
      </c>
      <c r="D63" t="s">
        <v>48</v>
      </c>
      <c r="E63" t="s">
        <v>110</v>
      </c>
      <c r="F63">
        <v>41640.869444444441</v>
      </c>
      <c r="G63">
        <v>41640.884027777778</v>
      </c>
      <c r="J63">
        <v>0</v>
      </c>
      <c r="K63">
        <v>0</v>
      </c>
      <c r="M63">
        <v>4786</v>
      </c>
      <c r="N63">
        <v>2</v>
      </c>
    </row>
    <row r="64" spans="1:14" x14ac:dyDescent="0.3">
      <c r="A64">
        <v>41640.638194444444</v>
      </c>
      <c r="B64">
        <v>480</v>
      </c>
      <c r="C64">
        <v>41640.020833333336</v>
      </c>
      <c r="D64" t="s">
        <v>49</v>
      </c>
      <c r="E64" t="s">
        <v>108</v>
      </c>
      <c r="F64">
        <v>41640.861111111109</v>
      </c>
      <c r="G64">
        <v>41640.866666666669</v>
      </c>
      <c r="J64">
        <v>0</v>
      </c>
      <c r="K64">
        <v>0</v>
      </c>
      <c r="M64">
        <v>4815</v>
      </c>
      <c r="N64">
        <v>6</v>
      </c>
    </row>
    <row r="65" spans="1:14" x14ac:dyDescent="0.3">
      <c r="A65">
        <v>41640.640277777777</v>
      </c>
      <c r="B65">
        <v>1020</v>
      </c>
      <c r="C65">
        <v>41640.017361111109</v>
      </c>
      <c r="D65" t="s">
        <v>96</v>
      </c>
      <c r="E65" t="s">
        <v>47</v>
      </c>
      <c r="F65">
        <v>41640.871527777781</v>
      </c>
      <c r="G65">
        <v>41640.883333333331</v>
      </c>
      <c r="J65">
        <v>0</v>
      </c>
      <c r="K65">
        <v>0</v>
      </c>
      <c r="M65">
        <v>4768</v>
      </c>
      <c r="N65">
        <v>4</v>
      </c>
    </row>
    <row r="66" spans="1:14" x14ac:dyDescent="0.3">
      <c r="A66">
        <v>41640.643750000003</v>
      </c>
      <c r="B66">
        <v>1920</v>
      </c>
      <c r="C66">
        <v>41640.026388888888</v>
      </c>
      <c r="D66" t="s">
        <v>140</v>
      </c>
      <c r="E66" t="s">
        <v>56</v>
      </c>
      <c r="F66">
        <v>41640.646527777775</v>
      </c>
      <c r="G66">
        <v>41640.668749999997</v>
      </c>
      <c r="J66">
        <v>0</v>
      </c>
      <c r="K66">
        <v>0</v>
      </c>
      <c r="M66">
        <v>4826</v>
      </c>
      <c r="N66">
        <v>5</v>
      </c>
    </row>
    <row r="67" spans="1:14" x14ac:dyDescent="0.3">
      <c r="A67">
        <v>41640.645833333336</v>
      </c>
      <c r="B67">
        <v>3120</v>
      </c>
      <c r="C67">
        <v>41640.036805555559</v>
      </c>
      <c r="D67" t="s">
        <v>141</v>
      </c>
      <c r="E67" t="s">
        <v>142</v>
      </c>
      <c r="F67">
        <v>41640.651388888888</v>
      </c>
      <c r="G67">
        <v>41640.6875</v>
      </c>
      <c r="J67">
        <v>0</v>
      </c>
      <c r="K67">
        <v>0</v>
      </c>
      <c r="M67">
        <v>4825</v>
      </c>
      <c r="N67">
        <v>4</v>
      </c>
    </row>
    <row r="68" spans="1:14" x14ac:dyDescent="0.3">
      <c r="A68">
        <v>41640.649305555555</v>
      </c>
      <c r="B68">
        <v>3000</v>
      </c>
      <c r="C68">
        <v>41640.034722222219</v>
      </c>
      <c r="D68" t="s">
        <v>143</v>
      </c>
      <c r="E68" t="s">
        <v>94</v>
      </c>
      <c r="F68">
        <v>41640.652083333334</v>
      </c>
      <c r="G68">
        <v>41640.686805555553</v>
      </c>
      <c r="J68">
        <v>0</v>
      </c>
      <c r="K68">
        <v>0</v>
      </c>
      <c r="M68">
        <v>4808</v>
      </c>
      <c r="N68">
        <v>1</v>
      </c>
    </row>
    <row r="69" spans="1:14" x14ac:dyDescent="0.3">
      <c r="A69">
        <v>41640.650694444441</v>
      </c>
      <c r="B69">
        <v>900</v>
      </c>
      <c r="C69">
        <v>41640.020138888889</v>
      </c>
      <c r="D69" t="s">
        <v>144</v>
      </c>
      <c r="E69" t="s">
        <v>145</v>
      </c>
      <c r="F69">
        <v>41640.807638888888</v>
      </c>
      <c r="G69">
        <v>41640.818055555559</v>
      </c>
      <c r="J69">
        <v>0</v>
      </c>
      <c r="K69">
        <v>0</v>
      </c>
      <c r="M69">
        <v>4821</v>
      </c>
      <c r="N69">
        <v>2</v>
      </c>
    </row>
    <row r="70" spans="1:14" x14ac:dyDescent="0.3">
      <c r="A70">
        <v>41640.652083333334</v>
      </c>
      <c r="B70">
        <v>1020</v>
      </c>
      <c r="C70">
        <v>41640.018055555556</v>
      </c>
      <c r="D70" t="s">
        <v>146</v>
      </c>
      <c r="E70" t="s">
        <v>147</v>
      </c>
      <c r="F70">
        <v>41640.677083333336</v>
      </c>
      <c r="G70">
        <v>41640.688888888886</v>
      </c>
      <c r="J70">
        <v>0</v>
      </c>
      <c r="K70">
        <v>0</v>
      </c>
      <c r="M70">
        <v>4806</v>
      </c>
      <c r="N70">
        <v>2</v>
      </c>
    </row>
    <row r="71" spans="1:14" x14ac:dyDescent="0.3">
      <c r="A71">
        <v>41640.662499999999</v>
      </c>
      <c r="B71">
        <v>1260</v>
      </c>
      <c r="C71">
        <v>41640.026388888888</v>
      </c>
      <c r="D71" t="s">
        <v>52</v>
      </c>
      <c r="E71" t="s">
        <v>148</v>
      </c>
      <c r="F71">
        <v>41640.670138888891</v>
      </c>
      <c r="G71">
        <v>41640.68472222222</v>
      </c>
      <c r="J71">
        <v>0</v>
      </c>
      <c r="K71">
        <v>0</v>
      </c>
      <c r="M71">
        <v>4787</v>
      </c>
      <c r="N71">
        <v>3</v>
      </c>
    </row>
    <row r="72" spans="1:14" x14ac:dyDescent="0.3">
      <c r="A72">
        <v>41640.669444444444</v>
      </c>
      <c r="B72">
        <v>1140</v>
      </c>
      <c r="C72">
        <v>41640.013194444444</v>
      </c>
      <c r="D72" t="s">
        <v>66</v>
      </c>
      <c r="E72" t="s">
        <v>46</v>
      </c>
      <c r="F72">
        <v>41640.822916666664</v>
      </c>
      <c r="G72">
        <v>41640.836111111108</v>
      </c>
      <c r="J72">
        <v>0</v>
      </c>
      <c r="K72">
        <v>0</v>
      </c>
      <c r="M72">
        <v>4838</v>
      </c>
      <c r="N72">
        <v>5</v>
      </c>
    </row>
    <row r="73" spans="1:14" x14ac:dyDescent="0.3">
      <c r="A73">
        <v>41640.67083333333</v>
      </c>
      <c r="B73">
        <v>3000</v>
      </c>
      <c r="C73">
        <v>41640.035416666666</v>
      </c>
      <c r="D73" t="s">
        <v>149</v>
      </c>
      <c r="E73" t="s">
        <v>89</v>
      </c>
      <c r="F73">
        <v>41640.771527777775</v>
      </c>
      <c r="G73">
        <v>41640.806250000001</v>
      </c>
      <c r="J73">
        <v>0</v>
      </c>
      <c r="K73">
        <v>0</v>
      </c>
      <c r="M73">
        <v>4842</v>
      </c>
      <c r="N73">
        <v>0</v>
      </c>
    </row>
    <row r="74" spans="1:14" x14ac:dyDescent="0.3">
      <c r="A74">
        <v>41640.67291666667</v>
      </c>
      <c r="B74">
        <v>780</v>
      </c>
      <c r="C74">
        <v>41640.012499999997</v>
      </c>
      <c r="D74" t="s">
        <v>55</v>
      </c>
      <c r="E74" t="s">
        <v>93</v>
      </c>
      <c r="F74">
        <v>41640.776388888888</v>
      </c>
      <c r="G74">
        <v>41640.785416666666</v>
      </c>
      <c r="J74">
        <v>0</v>
      </c>
      <c r="K74">
        <v>0</v>
      </c>
      <c r="M74">
        <v>4839</v>
      </c>
      <c r="N74">
        <v>6</v>
      </c>
    </row>
    <row r="75" spans="1:14" x14ac:dyDescent="0.3">
      <c r="A75">
        <v>41640.675694444442</v>
      </c>
      <c r="B75">
        <v>1020</v>
      </c>
      <c r="C75">
        <v>41640.019444444442</v>
      </c>
      <c r="D75" t="s">
        <v>46</v>
      </c>
      <c r="E75" t="s">
        <v>150</v>
      </c>
      <c r="F75">
        <v>41640.736805555556</v>
      </c>
      <c r="G75">
        <v>41640.748611111114</v>
      </c>
      <c r="J75">
        <v>0</v>
      </c>
      <c r="K75">
        <v>0</v>
      </c>
      <c r="M75">
        <v>4841</v>
      </c>
      <c r="N75">
        <v>4</v>
      </c>
    </row>
    <row r="76" spans="1:14" x14ac:dyDescent="0.3">
      <c r="A76">
        <v>41640.681250000001</v>
      </c>
      <c r="B76">
        <v>1620</v>
      </c>
      <c r="C76">
        <v>41640.022222222222</v>
      </c>
      <c r="D76" t="s">
        <v>42</v>
      </c>
      <c r="E76" t="s">
        <v>94</v>
      </c>
      <c r="F76">
        <v>41640.730555555558</v>
      </c>
      <c r="G76">
        <v>41640.749305555553</v>
      </c>
      <c r="J76">
        <v>0</v>
      </c>
      <c r="K76">
        <v>0</v>
      </c>
      <c r="M76">
        <v>4850</v>
      </c>
      <c r="N76">
        <v>0</v>
      </c>
    </row>
    <row r="77" spans="1:14" x14ac:dyDescent="0.3">
      <c r="A77">
        <v>41640.681250000001</v>
      </c>
      <c r="B77">
        <v>600</v>
      </c>
      <c r="C77">
        <v>41640.020833333336</v>
      </c>
      <c r="D77" t="s">
        <v>50</v>
      </c>
      <c r="E77" t="s">
        <v>68</v>
      </c>
      <c r="F77">
        <v>41640.699305555558</v>
      </c>
      <c r="G77">
        <v>41640.706250000003</v>
      </c>
      <c r="J77">
        <v>0</v>
      </c>
      <c r="K77">
        <v>0</v>
      </c>
      <c r="M77">
        <v>4846</v>
      </c>
      <c r="N77">
        <v>6</v>
      </c>
    </row>
    <row r="78" spans="1:14" x14ac:dyDescent="0.3">
      <c r="A78">
        <v>41640.686805555553</v>
      </c>
      <c r="B78">
        <v>2220</v>
      </c>
      <c r="C78">
        <v>41640.031944444447</v>
      </c>
      <c r="D78" t="s">
        <v>47</v>
      </c>
      <c r="E78" t="s">
        <v>151</v>
      </c>
      <c r="F78">
        <v>41640.700694444444</v>
      </c>
      <c r="G78">
        <v>41640.726388888892</v>
      </c>
      <c r="J78">
        <v>0</v>
      </c>
      <c r="K78">
        <v>0</v>
      </c>
      <c r="M78">
        <v>4859</v>
      </c>
      <c r="N78">
        <v>5</v>
      </c>
    </row>
    <row r="79" spans="1:14" x14ac:dyDescent="0.3">
      <c r="A79">
        <v>41640.69027777778</v>
      </c>
      <c r="B79">
        <v>600</v>
      </c>
      <c r="C79">
        <v>41640.018055555556</v>
      </c>
      <c r="D79" t="s">
        <v>46</v>
      </c>
      <c r="E79" t="s">
        <v>66</v>
      </c>
      <c r="F79">
        <v>41640.698611111111</v>
      </c>
      <c r="G79">
        <v>41640.705555555556</v>
      </c>
      <c r="J79">
        <v>0</v>
      </c>
      <c r="K79">
        <v>0</v>
      </c>
      <c r="M79">
        <v>4853</v>
      </c>
      <c r="N79">
        <v>0</v>
      </c>
    </row>
    <row r="80" spans="1:14" x14ac:dyDescent="0.3">
      <c r="A80">
        <v>41640.699999999997</v>
      </c>
      <c r="B80">
        <v>960</v>
      </c>
      <c r="C80">
        <v>41640.013194444444</v>
      </c>
      <c r="D80" t="s">
        <v>49</v>
      </c>
      <c r="E80" t="s">
        <v>152</v>
      </c>
      <c r="F80">
        <v>41640.727777777778</v>
      </c>
      <c r="G80">
        <v>41640.738888888889</v>
      </c>
      <c r="J80">
        <v>0</v>
      </c>
      <c r="K80">
        <v>0</v>
      </c>
      <c r="M80">
        <v>4851</v>
      </c>
      <c r="N80">
        <v>1</v>
      </c>
    </row>
    <row r="81" spans="1:14" x14ac:dyDescent="0.3">
      <c r="A81">
        <v>41640.701388888891</v>
      </c>
      <c r="B81">
        <v>2160</v>
      </c>
      <c r="C81">
        <v>41640.025000000001</v>
      </c>
      <c r="D81" t="s">
        <v>127</v>
      </c>
      <c r="E81" t="s">
        <v>43</v>
      </c>
      <c r="F81">
        <v>41640.717361111114</v>
      </c>
      <c r="G81">
        <v>41640.742361111108</v>
      </c>
      <c r="J81">
        <v>0</v>
      </c>
      <c r="K81">
        <v>0</v>
      </c>
      <c r="M81">
        <v>4843</v>
      </c>
      <c r="N81">
        <v>3</v>
      </c>
    </row>
    <row r="82" spans="1:14" x14ac:dyDescent="0.3">
      <c r="A82">
        <v>41640.706944444442</v>
      </c>
      <c r="B82">
        <v>1440</v>
      </c>
      <c r="C82">
        <v>41640.020833333336</v>
      </c>
      <c r="D82" t="s">
        <v>153</v>
      </c>
      <c r="E82" t="s">
        <v>46</v>
      </c>
      <c r="F82">
        <v>41640.709722222222</v>
      </c>
      <c r="G82">
        <v>41640.726388888892</v>
      </c>
      <c r="J82">
        <v>0</v>
      </c>
      <c r="K82">
        <v>0</v>
      </c>
      <c r="M82">
        <v>4852</v>
      </c>
      <c r="N82">
        <v>2</v>
      </c>
    </row>
    <row r="83" spans="1:14" x14ac:dyDescent="0.3">
      <c r="A83">
        <v>41640.724999999999</v>
      </c>
      <c r="B83">
        <v>600</v>
      </c>
      <c r="C83">
        <v>41640.026388888888</v>
      </c>
      <c r="D83" t="s">
        <v>50</v>
      </c>
      <c r="E83" t="s">
        <v>154</v>
      </c>
      <c r="F83">
        <v>41640.734027777777</v>
      </c>
      <c r="G83">
        <v>41640.740972222222</v>
      </c>
      <c r="J83">
        <v>0</v>
      </c>
      <c r="K83">
        <v>0</v>
      </c>
      <c r="M83">
        <v>4844</v>
      </c>
      <c r="N83">
        <v>6</v>
      </c>
    </row>
    <row r="84" spans="1:14" x14ac:dyDescent="0.3">
      <c r="A84">
        <v>41640.729861111111</v>
      </c>
      <c r="B84">
        <v>1080</v>
      </c>
      <c r="C84">
        <v>41640.027083333334</v>
      </c>
      <c r="D84" t="s">
        <v>46</v>
      </c>
      <c r="E84" t="s">
        <v>153</v>
      </c>
      <c r="F84">
        <v>41640.790277777778</v>
      </c>
      <c r="G84">
        <v>41640.802777777775</v>
      </c>
      <c r="J84">
        <v>0</v>
      </c>
      <c r="K84">
        <v>0</v>
      </c>
      <c r="M84">
        <v>4840</v>
      </c>
      <c r="N84">
        <v>4</v>
      </c>
    </row>
    <row r="85" spans="1:14" x14ac:dyDescent="0.3">
      <c r="A85">
        <v>41640.73333333333</v>
      </c>
      <c r="B85">
        <v>2880</v>
      </c>
      <c r="C85">
        <v>41640.038888888892</v>
      </c>
      <c r="D85" t="s">
        <v>155</v>
      </c>
      <c r="E85" t="s">
        <v>46</v>
      </c>
      <c r="F85">
        <v>41640.770138888889</v>
      </c>
      <c r="G85">
        <v>41640.803472222222</v>
      </c>
      <c r="J85">
        <v>0</v>
      </c>
      <c r="K85">
        <v>0</v>
      </c>
      <c r="M85">
        <v>4845</v>
      </c>
      <c r="N85">
        <v>3</v>
      </c>
    </row>
    <row r="86" spans="1:14" x14ac:dyDescent="0.3">
      <c r="A86">
        <v>41640.734722222223</v>
      </c>
      <c r="B86">
        <v>1920</v>
      </c>
      <c r="C86">
        <v>41640.022222222222</v>
      </c>
      <c r="D86" t="s">
        <v>156</v>
      </c>
      <c r="E86" t="s">
        <v>94</v>
      </c>
      <c r="F86">
        <v>41640.759722222225</v>
      </c>
      <c r="G86">
        <v>41640.781944444447</v>
      </c>
      <c r="J86">
        <v>0</v>
      </c>
      <c r="K86">
        <v>0</v>
      </c>
      <c r="M86">
        <v>4847</v>
      </c>
      <c r="N86">
        <v>5</v>
      </c>
    </row>
    <row r="87" spans="1:14" x14ac:dyDescent="0.3">
      <c r="A87">
        <v>41640.736805555556</v>
      </c>
      <c r="B87">
        <v>2520</v>
      </c>
      <c r="C87">
        <v>41640.03402777778</v>
      </c>
      <c r="D87" t="s">
        <v>157</v>
      </c>
      <c r="E87" t="s">
        <v>46</v>
      </c>
      <c r="F87">
        <v>41640.772916666669</v>
      </c>
      <c r="G87">
        <v>41640.802083333336</v>
      </c>
      <c r="J87">
        <v>0</v>
      </c>
      <c r="K87">
        <v>0</v>
      </c>
      <c r="M87">
        <v>4854</v>
      </c>
      <c r="N87">
        <v>1</v>
      </c>
    </row>
    <row r="88" spans="1:14" x14ac:dyDescent="0.3">
      <c r="A88">
        <v>41640.744444444441</v>
      </c>
      <c r="B88">
        <v>2460</v>
      </c>
      <c r="C88">
        <v>41640.02847222222</v>
      </c>
      <c r="D88" t="s">
        <v>158</v>
      </c>
      <c r="E88" t="s">
        <v>58</v>
      </c>
      <c r="F88">
        <v>41640.748611111114</v>
      </c>
      <c r="G88">
        <v>41640.777083333334</v>
      </c>
      <c r="J88">
        <v>0</v>
      </c>
      <c r="K88">
        <v>0</v>
      </c>
      <c r="M88">
        <v>4848</v>
      </c>
      <c r="N88">
        <v>2</v>
      </c>
    </row>
    <row r="89" spans="1:14" x14ac:dyDescent="0.3">
      <c r="A89">
        <v>41640.775000000001</v>
      </c>
      <c r="B89">
        <v>2220</v>
      </c>
      <c r="C89">
        <v>41640.032638888886</v>
      </c>
      <c r="D89" t="s">
        <v>46</v>
      </c>
      <c r="E89" t="s">
        <v>157</v>
      </c>
      <c r="F89">
        <v>41640.799305555556</v>
      </c>
      <c r="G89">
        <v>41640.824999999997</v>
      </c>
      <c r="J89">
        <v>0</v>
      </c>
      <c r="K89">
        <v>0</v>
      </c>
      <c r="M89">
        <v>4858</v>
      </c>
      <c r="N89">
        <v>6</v>
      </c>
    </row>
    <row r="90" spans="1:14" x14ac:dyDescent="0.3">
      <c r="A90">
        <v>41640.806250000001</v>
      </c>
      <c r="B90">
        <v>780</v>
      </c>
      <c r="C90">
        <v>41640.015972222223</v>
      </c>
      <c r="D90" t="s">
        <v>159</v>
      </c>
      <c r="E90" t="s">
        <v>94</v>
      </c>
      <c r="F90">
        <v>41640.865277777775</v>
      </c>
      <c r="G90">
        <v>41640.874305555553</v>
      </c>
      <c r="J90">
        <v>0</v>
      </c>
      <c r="K90">
        <v>0</v>
      </c>
      <c r="M90">
        <v>4860</v>
      </c>
      <c r="N90">
        <v>1</v>
      </c>
    </row>
    <row r="91" spans="1:14" x14ac:dyDescent="0.3">
      <c r="A91">
        <v>41640.818749999999</v>
      </c>
      <c r="B91">
        <v>1560</v>
      </c>
      <c r="C91">
        <v>41640.019444444442</v>
      </c>
      <c r="D91" t="s">
        <v>160</v>
      </c>
      <c r="E91" t="s">
        <v>161</v>
      </c>
      <c r="F91">
        <v>41640.857638888891</v>
      </c>
      <c r="G91">
        <v>41640.875694444447</v>
      </c>
      <c r="J91">
        <v>0</v>
      </c>
      <c r="K91">
        <v>0</v>
      </c>
      <c r="M91">
        <v>4857</v>
      </c>
      <c r="N91">
        <v>5</v>
      </c>
    </row>
    <row r="92" spans="1:14" x14ac:dyDescent="0.3">
      <c r="A92">
        <v>41640.820833333331</v>
      </c>
      <c r="B92">
        <v>840</v>
      </c>
      <c r="C92">
        <v>41640.011805555558</v>
      </c>
      <c r="D92" t="s">
        <v>95</v>
      </c>
      <c r="E92" t="s">
        <v>46</v>
      </c>
      <c r="F92">
        <v>41640.841666666667</v>
      </c>
      <c r="G92">
        <v>41640.851388888892</v>
      </c>
      <c r="J92">
        <v>0</v>
      </c>
      <c r="K92">
        <v>0</v>
      </c>
      <c r="M92">
        <v>4855</v>
      </c>
      <c r="N92">
        <v>2</v>
      </c>
    </row>
    <row r="93" spans="1:14" x14ac:dyDescent="0.3">
      <c r="A93">
        <v>41640.821527777778</v>
      </c>
      <c r="B93">
        <v>840</v>
      </c>
      <c r="C93">
        <v>41640.009722222225</v>
      </c>
      <c r="D93" t="s">
        <v>59</v>
      </c>
      <c r="E93" t="s">
        <v>46</v>
      </c>
      <c r="F93">
        <v>41640.834722222222</v>
      </c>
      <c r="G93">
        <v>41640.844444444447</v>
      </c>
      <c r="J93">
        <v>0</v>
      </c>
      <c r="K93">
        <v>0</v>
      </c>
      <c r="M93">
        <v>4849</v>
      </c>
      <c r="N93">
        <v>4</v>
      </c>
    </row>
    <row r="94" spans="1:14" x14ac:dyDescent="0.3">
      <c r="A94">
        <v>41640.831250000003</v>
      </c>
      <c r="B94">
        <v>420</v>
      </c>
      <c r="C94">
        <v>41640.009027777778</v>
      </c>
      <c r="D94" t="s">
        <v>67</v>
      </c>
      <c r="E94" t="s">
        <v>162</v>
      </c>
      <c r="F94">
        <v>41640.837500000001</v>
      </c>
      <c r="G94">
        <v>41640.842361111114</v>
      </c>
      <c r="J94">
        <v>0</v>
      </c>
      <c r="K94">
        <v>0</v>
      </c>
      <c r="M94">
        <v>4856</v>
      </c>
      <c r="N94">
        <v>1</v>
      </c>
    </row>
    <row r="95" spans="1:14" x14ac:dyDescent="0.3">
      <c r="A95">
        <v>41640.841666666667</v>
      </c>
      <c r="B95">
        <v>1740</v>
      </c>
      <c r="C95">
        <v>41640.029166666667</v>
      </c>
      <c r="D95" t="s">
        <v>45</v>
      </c>
      <c r="E95" t="s">
        <v>163</v>
      </c>
      <c r="F95">
        <v>41640.842361111114</v>
      </c>
      <c r="G95">
        <v>41640.862500000003</v>
      </c>
      <c r="J95">
        <v>0</v>
      </c>
      <c r="K95">
        <v>0</v>
      </c>
      <c r="M95">
        <v>4861</v>
      </c>
      <c r="N95">
        <v>0</v>
      </c>
    </row>
    <row r="96" spans="1:14" x14ac:dyDescent="0.3">
      <c r="A96">
        <v>41640.842361111114</v>
      </c>
      <c r="B96">
        <v>3720</v>
      </c>
      <c r="C96">
        <v>41640.050694444442</v>
      </c>
      <c r="D96" t="s">
        <v>46</v>
      </c>
      <c r="E96" t="s">
        <v>164</v>
      </c>
      <c r="F96">
        <v>41640.845138888886</v>
      </c>
      <c r="G96">
        <v>41640.888194444444</v>
      </c>
      <c r="J96">
        <v>0</v>
      </c>
      <c r="K96">
        <v>0</v>
      </c>
      <c r="M96">
        <v>4866</v>
      </c>
      <c r="N96">
        <v>3</v>
      </c>
    </row>
    <row r="97" spans="1:14" x14ac:dyDescent="0.3">
      <c r="A97">
        <v>41640.873611111114</v>
      </c>
      <c r="B97">
        <v>1560</v>
      </c>
      <c r="C97">
        <v>41640.018055555556</v>
      </c>
      <c r="D97" t="s">
        <v>165</v>
      </c>
      <c r="E97" t="s">
        <v>46</v>
      </c>
      <c r="F97">
        <v>41640.89166666667</v>
      </c>
      <c r="G97">
        <v>41640.909722222219</v>
      </c>
      <c r="J97">
        <v>0</v>
      </c>
      <c r="K97">
        <v>0</v>
      </c>
      <c r="M97">
        <v>4869</v>
      </c>
      <c r="N97">
        <v>1</v>
      </c>
    </row>
    <row r="98" spans="1:14" x14ac:dyDescent="0.3">
      <c r="A98">
        <v>41640.873611111114</v>
      </c>
      <c r="B98">
        <v>2400</v>
      </c>
      <c r="C98">
        <v>41640.02847222222</v>
      </c>
      <c r="D98" t="s">
        <v>166</v>
      </c>
      <c r="E98" t="s">
        <v>46</v>
      </c>
      <c r="F98">
        <v>41640.88958333333</v>
      </c>
      <c r="G98">
        <v>41640.917361111111</v>
      </c>
      <c r="J98">
        <v>0</v>
      </c>
      <c r="K98">
        <v>0</v>
      </c>
      <c r="M98">
        <v>4867</v>
      </c>
      <c r="N98">
        <v>6</v>
      </c>
    </row>
    <row r="99" spans="1:14" x14ac:dyDescent="0.3">
      <c r="A99">
        <v>41640.894444444442</v>
      </c>
      <c r="B99">
        <v>3120</v>
      </c>
      <c r="C99">
        <v>41640.043749999997</v>
      </c>
      <c r="D99" t="s">
        <v>46</v>
      </c>
      <c r="E99" t="s">
        <v>165</v>
      </c>
      <c r="F99">
        <v>41640.895138888889</v>
      </c>
      <c r="G99">
        <v>41640.931250000001</v>
      </c>
      <c r="J99">
        <v>0</v>
      </c>
      <c r="K99">
        <v>0</v>
      </c>
      <c r="M99">
        <v>4865</v>
      </c>
      <c r="N99">
        <v>5</v>
      </c>
    </row>
    <row r="100" spans="1:14" x14ac:dyDescent="0.3">
      <c r="A100">
        <v>41640.902777777781</v>
      </c>
      <c r="B100">
        <v>4980</v>
      </c>
      <c r="C100">
        <v>41640.057638888888</v>
      </c>
      <c r="D100" t="s">
        <v>46</v>
      </c>
      <c r="E100" t="s">
        <v>166</v>
      </c>
      <c r="F100">
        <v>41640.92083333333</v>
      </c>
      <c r="G100">
        <v>41640.978472222225</v>
      </c>
      <c r="J100">
        <v>0</v>
      </c>
      <c r="K100">
        <v>0</v>
      </c>
      <c r="M100">
        <v>4868</v>
      </c>
      <c r="N100">
        <v>2</v>
      </c>
    </row>
    <row r="101" spans="1:14" x14ac:dyDescent="0.3">
      <c r="A101">
        <v>41640.927083333336</v>
      </c>
      <c r="B101">
        <v>840</v>
      </c>
      <c r="C101">
        <v>41640.023611111108</v>
      </c>
      <c r="D101" t="s">
        <v>57</v>
      </c>
      <c r="E101" t="s">
        <v>44</v>
      </c>
      <c r="F101">
        <v>41640.938888888886</v>
      </c>
      <c r="G101">
        <v>41640.948611111111</v>
      </c>
      <c r="J101">
        <v>0</v>
      </c>
      <c r="K101">
        <v>0</v>
      </c>
      <c r="M101">
        <v>4862</v>
      </c>
      <c r="N101">
        <v>1</v>
      </c>
    </row>
    <row r="102" spans="1:14" x14ac:dyDescent="0.3">
      <c r="A102">
        <v>41640.945833333331</v>
      </c>
      <c r="B102">
        <v>3180</v>
      </c>
      <c r="C102">
        <v>41640.036805555559</v>
      </c>
      <c r="D102" t="s">
        <v>167</v>
      </c>
      <c r="E102" t="s">
        <v>94</v>
      </c>
      <c r="F102">
        <v>41640.947222222225</v>
      </c>
      <c r="G102">
        <v>41640.984027777777</v>
      </c>
      <c r="J102">
        <v>0</v>
      </c>
      <c r="K102">
        <v>0</v>
      </c>
      <c r="M102">
        <v>4864</v>
      </c>
      <c r="N102">
        <v>6</v>
      </c>
    </row>
  </sheetData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T14"/>
  <sheetViews>
    <sheetView zoomScaleNormal="100" workbookViewId="0">
      <selection activeCell="B2" sqref="B2"/>
    </sheetView>
  </sheetViews>
  <sheetFormatPr defaultRowHeight="14.4" x14ac:dyDescent="0.3"/>
  <cols>
    <col min="2" max="2" width="10.44140625" customWidth="1"/>
    <col min="3" max="5" width="14.44140625" bestFit="1" customWidth="1"/>
    <col min="6" max="20" width="15.44140625" bestFit="1" customWidth="1"/>
  </cols>
  <sheetData>
    <row r="1" spans="1:20" x14ac:dyDescent="0.3">
      <c r="A1" t="s">
        <v>1</v>
      </c>
      <c r="B1" s="2">
        <v>41640</v>
      </c>
    </row>
    <row r="3" spans="1:20" x14ac:dyDescent="0.3">
      <c r="C3" s="3" t="s">
        <v>2</v>
      </c>
      <c r="D3" s="4">
        <v>7</v>
      </c>
      <c r="E3" s="4">
        <v>8</v>
      </c>
      <c r="F3" s="4">
        <v>9</v>
      </c>
      <c r="G3" s="4">
        <v>10</v>
      </c>
      <c r="H3" s="4">
        <v>11</v>
      </c>
      <c r="I3" s="4">
        <v>12</v>
      </c>
      <c r="J3" s="4">
        <v>13</v>
      </c>
      <c r="K3" s="4">
        <v>14</v>
      </c>
      <c r="L3" s="4">
        <v>15</v>
      </c>
      <c r="M3" s="4">
        <v>16</v>
      </c>
      <c r="N3" s="4">
        <v>17</v>
      </c>
      <c r="O3" s="4">
        <v>18</v>
      </c>
      <c r="P3" s="4">
        <v>19</v>
      </c>
      <c r="Q3" s="4">
        <v>20</v>
      </c>
      <c r="R3" s="4">
        <v>21</v>
      </c>
      <c r="S3" s="4">
        <v>22</v>
      </c>
      <c r="T3" s="4">
        <v>23</v>
      </c>
    </row>
    <row r="4" spans="1:20" x14ac:dyDescent="0.3">
      <c r="A4" s="13" t="s">
        <v>4</v>
      </c>
      <c r="B4" t="s">
        <v>0</v>
      </c>
      <c r="C4" s="1">
        <f>$B$1+TIME(HOUR($B$1) + 0,MINUTE($B$1) + 0,SECOND($B$1) + 0)</f>
        <v>41640</v>
      </c>
      <c r="D4" s="1">
        <f t="shared" ref="D4:T4" si="0">$B$1+TIME(HOUR($B$1) + D3,MINUTE($B$1) + 0,SECOND($B$1) + 0)</f>
        <v>41640.291666666664</v>
      </c>
      <c r="E4" s="1">
        <f t="shared" si="0"/>
        <v>41640.333333333336</v>
      </c>
      <c r="F4" s="1">
        <f t="shared" si="0"/>
        <v>41640.375</v>
      </c>
      <c r="G4" s="1">
        <f t="shared" si="0"/>
        <v>41640.416666666664</v>
      </c>
      <c r="H4" s="1">
        <f t="shared" si="0"/>
        <v>41640.458333333336</v>
      </c>
      <c r="I4" s="1">
        <f t="shared" si="0"/>
        <v>41640.5</v>
      </c>
      <c r="J4" s="1">
        <f t="shared" si="0"/>
        <v>41640.541666666664</v>
      </c>
      <c r="K4" s="1">
        <f t="shared" si="0"/>
        <v>41640.583333333336</v>
      </c>
      <c r="L4" s="1">
        <f t="shared" si="0"/>
        <v>41640.625</v>
      </c>
      <c r="M4" s="1">
        <f t="shared" si="0"/>
        <v>41640.666666666664</v>
      </c>
      <c r="N4" s="1">
        <f t="shared" si="0"/>
        <v>41640.708333333336</v>
      </c>
      <c r="O4" s="1">
        <f t="shared" si="0"/>
        <v>41640.75</v>
      </c>
      <c r="P4" s="1">
        <f t="shared" si="0"/>
        <v>41640.791666666664</v>
      </c>
      <c r="Q4" s="1">
        <f t="shared" si="0"/>
        <v>41640.833333333336</v>
      </c>
      <c r="R4" s="1">
        <f t="shared" si="0"/>
        <v>41640.875</v>
      </c>
      <c r="S4" s="1">
        <f t="shared" si="0"/>
        <v>41640.916666666664</v>
      </c>
      <c r="T4" s="1">
        <f t="shared" si="0"/>
        <v>41640.958333333336</v>
      </c>
    </row>
    <row r="5" spans="1:20" x14ac:dyDescent="0.3">
      <c r="A5" s="13"/>
      <c r="B5" t="s">
        <v>3</v>
      </c>
      <c r="C5" s="1">
        <f>$B$1+TIME(HOUR($B$1) + 6,MINUTE($B$1) + 0,SECOND($B$1) + 0)</f>
        <v>41640.25</v>
      </c>
      <c r="D5" s="1">
        <f t="shared" ref="D5:S5" si="1">$B$1+TIME(HOUR($B$1) + E3,MINUTE($B$1) + 0,SECOND($B$1) + 0)</f>
        <v>41640.333333333336</v>
      </c>
      <c r="E5" s="1">
        <f t="shared" si="1"/>
        <v>41640.375</v>
      </c>
      <c r="F5" s="1">
        <f t="shared" si="1"/>
        <v>41640.416666666664</v>
      </c>
      <c r="G5" s="1">
        <f t="shared" si="1"/>
        <v>41640.458333333336</v>
      </c>
      <c r="H5" s="1">
        <f t="shared" si="1"/>
        <v>41640.5</v>
      </c>
      <c r="I5" s="1">
        <f t="shared" si="1"/>
        <v>41640.541666666664</v>
      </c>
      <c r="J5" s="1">
        <f t="shared" si="1"/>
        <v>41640.583333333336</v>
      </c>
      <c r="K5" s="1">
        <f t="shared" si="1"/>
        <v>41640.625</v>
      </c>
      <c r="L5" s="1">
        <f t="shared" si="1"/>
        <v>41640.666666666664</v>
      </c>
      <c r="M5" s="1">
        <f t="shared" si="1"/>
        <v>41640.708333333336</v>
      </c>
      <c r="N5" s="1">
        <f t="shared" si="1"/>
        <v>41640.75</v>
      </c>
      <c r="O5" s="1">
        <f t="shared" si="1"/>
        <v>41640.791666666664</v>
      </c>
      <c r="P5" s="1">
        <f t="shared" si="1"/>
        <v>41640.833333333336</v>
      </c>
      <c r="Q5" s="1">
        <f t="shared" si="1"/>
        <v>41640.875</v>
      </c>
      <c r="R5" s="1">
        <f t="shared" si="1"/>
        <v>41640.916666666664</v>
      </c>
      <c r="S5" s="1">
        <f t="shared" si="1"/>
        <v>41640.958333333336</v>
      </c>
      <c r="T5" s="1">
        <f>$B$1+TIME(HOUR($B$1) + 23,MINUTE($B$1) + 59,SECOND($B$1) + 59)</f>
        <v>41640.999988425923</v>
      </c>
    </row>
    <row r="6" spans="1:20" x14ac:dyDescent="0.3">
      <c r="A6" s="13" t="s">
        <v>7</v>
      </c>
      <c r="B6" t="s">
        <v>0</v>
      </c>
      <c r="C6" s="1">
        <f>DATE(YEAR($B$1),MONTH($B$1),DAY($B$1)+1) + TIME(HOUR($B$1) + 0,MINUTE($B$1) + 0,SECOND($B$1) + 0)</f>
        <v>41641</v>
      </c>
      <c r="D6" s="1">
        <f>DATE(YEAR($B$1),MONTH($B$1),DAY($B$1)+1) + TIME(HOUR($B$1) + D$3,MINUTE($B$1) + 0,SECOND($B$1) + 0)</f>
        <v>41641.291666666664</v>
      </c>
      <c r="E6" s="1">
        <f t="shared" ref="E6:T6" si="2">DATE(YEAR($B$1),MONTH($B$1),DAY($B$1)+1) + TIME(HOUR($B$1) + E3,MINUTE($B$1) + 0,SECOND($B$1) + 0)</f>
        <v>41641.333333333336</v>
      </c>
      <c r="F6" s="1">
        <f t="shared" si="2"/>
        <v>41641.375</v>
      </c>
      <c r="G6" s="1">
        <f t="shared" si="2"/>
        <v>41641.416666666664</v>
      </c>
      <c r="H6" s="1">
        <f t="shared" si="2"/>
        <v>41641.458333333336</v>
      </c>
      <c r="I6" s="1">
        <f t="shared" si="2"/>
        <v>41641.5</v>
      </c>
      <c r="J6" s="1">
        <f t="shared" si="2"/>
        <v>41641.541666666664</v>
      </c>
      <c r="K6" s="1">
        <f t="shared" si="2"/>
        <v>41641.583333333336</v>
      </c>
      <c r="L6" s="1">
        <f t="shared" si="2"/>
        <v>41641.625</v>
      </c>
      <c r="M6" s="1">
        <f t="shared" si="2"/>
        <v>41641.666666666664</v>
      </c>
      <c r="N6" s="1">
        <f t="shared" si="2"/>
        <v>41641.708333333336</v>
      </c>
      <c r="O6" s="1">
        <f t="shared" si="2"/>
        <v>41641.75</v>
      </c>
      <c r="P6" s="1">
        <f t="shared" si="2"/>
        <v>41641.791666666664</v>
      </c>
      <c r="Q6" s="1">
        <f t="shared" si="2"/>
        <v>41641.833333333336</v>
      </c>
      <c r="R6" s="1">
        <f t="shared" si="2"/>
        <v>41641.875</v>
      </c>
      <c r="S6" s="1">
        <f t="shared" si="2"/>
        <v>41641.916666666664</v>
      </c>
      <c r="T6" s="1">
        <f t="shared" si="2"/>
        <v>41641.958333333336</v>
      </c>
    </row>
    <row r="7" spans="1:20" x14ac:dyDescent="0.3">
      <c r="A7" s="13"/>
      <c r="B7" t="s">
        <v>3</v>
      </c>
      <c r="C7" s="1">
        <f>DATE(YEAR($B$1),MONTH($B$1),DAY($B$1)+1) + TIME(HOUR($B$1) + 6,MINUTE($B$1) + 0,SECOND($B$1) + 0)</f>
        <v>41641.25</v>
      </c>
      <c r="D7" s="1">
        <f>DATE(YEAR($B$1),MONTH($B$1),DAY($B$1)+1) + TIME(HOUR($B$1) + E$3,MINUTE($B$1) + 0,SECOND($B$1) + 0)</f>
        <v>41641.333333333336</v>
      </c>
      <c r="E7" s="1">
        <f t="shared" ref="E7:S7" si="3">DATE(YEAR($B$1),MONTH($B$1),DAY($B$1)+1) + TIME(HOUR($B$1) + F3,MINUTE($B$1) + 0,SECOND($B$1) + 0)</f>
        <v>41641.375</v>
      </c>
      <c r="F7" s="1">
        <f t="shared" si="3"/>
        <v>41641.416666666664</v>
      </c>
      <c r="G7" s="1">
        <f t="shared" si="3"/>
        <v>41641.458333333336</v>
      </c>
      <c r="H7" s="1">
        <f t="shared" si="3"/>
        <v>41641.5</v>
      </c>
      <c r="I7" s="1">
        <f t="shared" si="3"/>
        <v>41641.541666666664</v>
      </c>
      <c r="J7" s="1">
        <f t="shared" si="3"/>
        <v>41641.583333333336</v>
      </c>
      <c r="K7" s="1">
        <f t="shared" si="3"/>
        <v>41641.625</v>
      </c>
      <c r="L7" s="1">
        <f t="shared" si="3"/>
        <v>41641.666666666664</v>
      </c>
      <c r="M7" s="1">
        <f t="shared" si="3"/>
        <v>41641.708333333336</v>
      </c>
      <c r="N7" s="1">
        <f t="shared" si="3"/>
        <v>41641.75</v>
      </c>
      <c r="O7" s="1">
        <f t="shared" si="3"/>
        <v>41641.791666666664</v>
      </c>
      <c r="P7" s="1">
        <f t="shared" si="3"/>
        <v>41641.833333333336</v>
      </c>
      <c r="Q7" s="1">
        <f t="shared" si="3"/>
        <v>41641.875</v>
      </c>
      <c r="R7" s="1">
        <f t="shared" si="3"/>
        <v>41641.916666666664</v>
      </c>
      <c r="S7" s="1">
        <f t="shared" si="3"/>
        <v>41641.958333333336</v>
      </c>
      <c r="T7" s="1">
        <f>DATE(YEAR($B$1),MONTH($B$1),DAY($B$1)+1) + TIME(HOUR($B$1) + 23,MINUTE($B$1) + 59,SECOND($B$1) + 59)</f>
        <v>41641.999988425923</v>
      </c>
    </row>
    <row r="8" spans="1:20" x14ac:dyDescent="0.3">
      <c r="A8" s="13" t="s">
        <v>8</v>
      </c>
      <c r="B8" t="s">
        <v>0</v>
      </c>
      <c r="C8" s="1">
        <f>DATE(YEAR($B$1),MONTH($B$1),DAY($B$1)+2) + TIME(HOUR($B$1) + 0,MINUTE($B$1) + 0,SECOND($B$1) + 0)</f>
        <v>41642</v>
      </c>
      <c r="D8" s="1">
        <f>DATE(YEAR($B$1),MONTH($B$1),DAY($B$1)+2) + TIME(HOUR($B$1) + D$3,MINUTE($B$1) + 0,SECOND($B$1) + 0)</f>
        <v>41642.291666666664</v>
      </c>
      <c r="E8" s="1">
        <f t="shared" ref="E8:T8" si="4">DATE(YEAR($B$1),MONTH($B$1),DAY($B$1)+2) + TIME(HOUR($B$1) + E$3,MINUTE($B$1) + 0,SECOND($B$1) + 0)</f>
        <v>41642.333333333336</v>
      </c>
      <c r="F8" s="1">
        <f t="shared" si="4"/>
        <v>41642.375</v>
      </c>
      <c r="G8" s="1">
        <f t="shared" si="4"/>
        <v>41642.416666666664</v>
      </c>
      <c r="H8" s="1">
        <f t="shared" si="4"/>
        <v>41642.458333333336</v>
      </c>
      <c r="I8" s="1">
        <f t="shared" si="4"/>
        <v>41642.5</v>
      </c>
      <c r="J8" s="1">
        <f t="shared" si="4"/>
        <v>41642.541666666664</v>
      </c>
      <c r="K8" s="1">
        <f t="shared" si="4"/>
        <v>41642.583333333336</v>
      </c>
      <c r="L8" s="1">
        <f t="shared" si="4"/>
        <v>41642.625</v>
      </c>
      <c r="M8" s="1">
        <f t="shared" si="4"/>
        <v>41642.666666666664</v>
      </c>
      <c r="N8" s="1">
        <f t="shared" si="4"/>
        <v>41642.708333333336</v>
      </c>
      <c r="O8" s="1">
        <f t="shared" si="4"/>
        <v>41642.75</v>
      </c>
      <c r="P8" s="1">
        <f t="shared" si="4"/>
        <v>41642.791666666664</v>
      </c>
      <c r="Q8" s="1">
        <f t="shared" si="4"/>
        <v>41642.833333333336</v>
      </c>
      <c r="R8" s="1">
        <f t="shared" si="4"/>
        <v>41642.875</v>
      </c>
      <c r="S8" s="1">
        <f t="shared" si="4"/>
        <v>41642.916666666664</v>
      </c>
      <c r="T8" s="1">
        <f t="shared" si="4"/>
        <v>41642.958333333336</v>
      </c>
    </row>
    <row r="9" spans="1:20" x14ac:dyDescent="0.3">
      <c r="A9" s="13"/>
      <c r="B9" t="s">
        <v>3</v>
      </c>
      <c r="C9" s="1">
        <f>DATE(YEAR($B$1),MONTH($B$1),DAY($B$1)+2) + TIME(HOUR($B$1) + 6,MINUTE($B$1) + 0,SECOND($B$1) + 0)</f>
        <v>41642.25</v>
      </c>
      <c r="D9" s="1">
        <f>DATE(YEAR($B$1),MONTH($B$1),DAY($B$1)+2) + TIME(HOUR($B$1) + E$3,MINUTE($B$1) + 0,SECOND($B$1) + 0)</f>
        <v>41642.333333333336</v>
      </c>
      <c r="E9" s="1">
        <f t="shared" ref="E9:S9" si="5">DATE(YEAR($B$1),MONTH($B$1),DAY($B$1)+2) + TIME(HOUR($B$1) + F$3,MINUTE($B$1) + 0,SECOND($B$1) + 0)</f>
        <v>41642.375</v>
      </c>
      <c r="F9" s="1">
        <f t="shared" si="5"/>
        <v>41642.416666666664</v>
      </c>
      <c r="G9" s="1">
        <f t="shared" si="5"/>
        <v>41642.458333333336</v>
      </c>
      <c r="H9" s="1">
        <f t="shared" si="5"/>
        <v>41642.5</v>
      </c>
      <c r="I9" s="1">
        <f t="shared" si="5"/>
        <v>41642.541666666664</v>
      </c>
      <c r="J9" s="1">
        <f t="shared" si="5"/>
        <v>41642.583333333336</v>
      </c>
      <c r="K9" s="1">
        <f t="shared" si="5"/>
        <v>41642.625</v>
      </c>
      <c r="L9" s="1">
        <f t="shared" si="5"/>
        <v>41642.666666666664</v>
      </c>
      <c r="M9" s="1">
        <f t="shared" si="5"/>
        <v>41642.708333333336</v>
      </c>
      <c r="N9" s="1">
        <f t="shared" si="5"/>
        <v>41642.75</v>
      </c>
      <c r="O9" s="1">
        <f t="shared" si="5"/>
        <v>41642.791666666664</v>
      </c>
      <c r="P9" s="1">
        <f t="shared" si="5"/>
        <v>41642.833333333336</v>
      </c>
      <c r="Q9" s="1">
        <f t="shared" si="5"/>
        <v>41642.875</v>
      </c>
      <c r="R9" s="1">
        <f t="shared" si="5"/>
        <v>41642.916666666664</v>
      </c>
      <c r="S9" s="1">
        <f t="shared" si="5"/>
        <v>41642.958333333336</v>
      </c>
      <c r="T9" s="1">
        <f>DATE(YEAR($B$1),MONTH($B$1),DAY($B$1)+2) + TIME(HOUR($B$1) + 23,MINUTE($B$1) + 59,SECOND($B$1) + 59)</f>
        <v>41642.999988425923</v>
      </c>
    </row>
    <row r="10" spans="1:20" x14ac:dyDescent="0.3">
      <c r="A10" s="13" t="s">
        <v>9</v>
      </c>
      <c r="B10" t="s">
        <v>0</v>
      </c>
      <c r="C10" s="1">
        <f>DATE(YEAR($B$1),MONTH($B$1),DAY($B$1)+3) + TIME(HOUR($B$1) + 0,MINUTE($B$1) + 0,SECOND($B$1) + 0)</f>
        <v>41643</v>
      </c>
      <c r="D10" s="1">
        <f>DATE(YEAR($B$1),MONTH($B$1),DAY($B$1)+3) + TIME(HOUR($B$1) + D$3,MINUTE($B$1) + 0,SECOND($B$1) + 0)</f>
        <v>41643.291666666664</v>
      </c>
      <c r="E10" s="1">
        <f t="shared" ref="E10:T10" si="6">DATE(YEAR($B$1),MONTH($B$1),DAY($B$1)+3) + TIME(HOUR($B$1) + E$3,MINUTE($B$1) + 0,SECOND($B$1) + 0)</f>
        <v>41643.333333333336</v>
      </c>
      <c r="F10" s="1">
        <f t="shared" si="6"/>
        <v>41643.375</v>
      </c>
      <c r="G10" s="1">
        <f t="shared" si="6"/>
        <v>41643.416666666664</v>
      </c>
      <c r="H10" s="1">
        <f t="shared" si="6"/>
        <v>41643.458333333336</v>
      </c>
      <c r="I10" s="1">
        <f t="shared" si="6"/>
        <v>41643.5</v>
      </c>
      <c r="J10" s="1">
        <f t="shared" si="6"/>
        <v>41643.541666666664</v>
      </c>
      <c r="K10" s="1">
        <f t="shared" si="6"/>
        <v>41643.583333333336</v>
      </c>
      <c r="L10" s="1">
        <f t="shared" si="6"/>
        <v>41643.625</v>
      </c>
      <c r="M10" s="1">
        <f t="shared" si="6"/>
        <v>41643.666666666664</v>
      </c>
      <c r="N10" s="1">
        <f t="shared" si="6"/>
        <v>41643.708333333336</v>
      </c>
      <c r="O10" s="1">
        <f t="shared" si="6"/>
        <v>41643.75</v>
      </c>
      <c r="P10" s="1">
        <f t="shared" si="6"/>
        <v>41643.791666666664</v>
      </c>
      <c r="Q10" s="1">
        <f t="shared" si="6"/>
        <v>41643.833333333336</v>
      </c>
      <c r="R10" s="1">
        <f t="shared" si="6"/>
        <v>41643.875</v>
      </c>
      <c r="S10" s="1">
        <f t="shared" si="6"/>
        <v>41643.916666666664</v>
      </c>
      <c r="T10" s="1">
        <f t="shared" si="6"/>
        <v>41643.958333333336</v>
      </c>
    </row>
    <row r="11" spans="1:20" x14ac:dyDescent="0.3">
      <c r="A11" s="13"/>
      <c r="B11" t="s">
        <v>3</v>
      </c>
      <c r="C11" s="1">
        <f>DATE(YEAR($B$1),MONTH($B$1),DAY($B$1)+3) + TIME(HOUR($B$1) + 6,MINUTE($B$1) + 0,SECOND($B$1) + 0)</f>
        <v>41643.25</v>
      </c>
      <c r="D11" s="1">
        <f>DATE(YEAR($B$1),MONTH($B$1),DAY($B$1)+3) + TIME(HOUR($B$1) + E$3,MINUTE($B$1) + 0,SECOND($B$1) + 0)</f>
        <v>41643.333333333336</v>
      </c>
      <c r="E11" s="1">
        <f t="shared" ref="E11:S11" si="7">DATE(YEAR($B$1),MONTH($B$1),DAY($B$1)+3) + TIME(HOUR($B$1) + F$3,MINUTE($B$1) + 0,SECOND($B$1) + 0)</f>
        <v>41643.375</v>
      </c>
      <c r="F11" s="1">
        <f t="shared" si="7"/>
        <v>41643.416666666664</v>
      </c>
      <c r="G11" s="1">
        <f t="shared" si="7"/>
        <v>41643.458333333336</v>
      </c>
      <c r="H11" s="1">
        <f t="shared" si="7"/>
        <v>41643.5</v>
      </c>
      <c r="I11" s="1">
        <f t="shared" si="7"/>
        <v>41643.541666666664</v>
      </c>
      <c r="J11" s="1">
        <f t="shared" si="7"/>
        <v>41643.583333333336</v>
      </c>
      <c r="K11" s="1">
        <f t="shared" si="7"/>
        <v>41643.625</v>
      </c>
      <c r="L11" s="1">
        <f t="shared" si="7"/>
        <v>41643.666666666664</v>
      </c>
      <c r="M11" s="1">
        <f t="shared" si="7"/>
        <v>41643.708333333336</v>
      </c>
      <c r="N11" s="1">
        <f t="shared" si="7"/>
        <v>41643.75</v>
      </c>
      <c r="O11" s="1">
        <f t="shared" si="7"/>
        <v>41643.791666666664</v>
      </c>
      <c r="P11" s="1">
        <f t="shared" si="7"/>
        <v>41643.833333333336</v>
      </c>
      <c r="Q11" s="1">
        <f t="shared" si="7"/>
        <v>41643.875</v>
      </c>
      <c r="R11" s="1">
        <f t="shared" si="7"/>
        <v>41643.916666666664</v>
      </c>
      <c r="S11" s="1">
        <f t="shared" si="7"/>
        <v>41643.958333333336</v>
      </c>
      <c r="T11" s="1">
        <f>DATE(YEAR($B$1),MONTH($B$1),DAY($B$1)+3) + TIME(HOUR($B$1) + 23,MINUTE($B$1) + 59,SECOND($B$1) + 59)</f>
        <v>41643.999988425923</v>
      </c>
    </row>
    <row r="12" spans="1:20" x14ac:dyDescent="0.3">
      <c r="A12" s="13" t="s">
        <v>10</v>
      </c>
      <c r="B12" t="s">
        <v>0</v>
      </c>
      <c r="C12" s="1">
        <f>DATE(YEAR($B$1),MONTH($B$1),DAY($B$1)+4) + TIME(HOUR($B$1) + 0,MINUTE($B$1) + 0,SECOND($B$1) + 0)</f>
        <v>41644</v>
      </c>
      <c r="D12" s="1">
        <f>DATE(YEAR($B$1),MONTH($B$1),DAY($B$1)+4) + TIME(HOUR($B$1) + D$3,MINUTE($B$1) + 0,SECOND($B$1) + 0)</f>
        <v>41644.291666666664</v>
      </c>
      <c r="E12" s="1">
        <f t="shared" ref="E12:T12" si="8">DATE(YEAR($B$1),MONTH($B$1),DAY($B$1)+4) + TIME(HOUR($B$1) + E$3,MINUTE($B$1) + 0,SECOND($B$1) + 0)</f>
        <v>41644.333333333336</v>
      </c>
      <c r="F12" s="1">
        <f t="shared" si="8"/>
        <v>41644.375</v>
      </c>
      <c r="G12" s="1">
        <f t="shared" si="8"/>
        <v>41644.416666666664</v>
      </c>
      <c r="H12" s="1">
        <f t="shared" si="8"/>
        <v>41644.458333333336</v>
      </c>
      <c r="I12" s="1">
        <f t="shared" si="8"/>
        <v>41644.5</v>
      </c>
      <c r="J12" s="1">
        <f t="shared" si="8"/>
        <v>41644.541666666664</v>
      </c>
      <c r="K12" s="1">
        <f t="shared" si="8"/>
        <v>41644.583333333336</v>
      </c>
      <c r="L12" s="1">
        <f t="shared" si="8"/>
        <v>41644.625</v>
      </c>
      <c r="M12" s="1">
        <f t="shared" si="8"/>
        <v>41644.666666666664</v>
      </c>
      <c r="N12" s="1">
        <f t="shared" si="8"/>
        <v>41644.708333333336</v>
      </c>
      <c r="O12" s="1">
        <f t="shared" si="8"/>
        <v>41644.75</v>
      </c>
      <c r="P12" s="1">
        <f t="shared" si="8"/>
        <v>41644.791666666664</v>
      </c>
      <c r="Q12" s="1">
        <f t="shared" si="8"/>
        <v>41644.833333333336</v>
      </c>
      <c r="R12" s="1">
        <f t="shared" si="8"/>
        <v>41644.875</v>
      </c>
      <c r="S12" s="1">
        <f t="shared" si="8"/>
        <v>41644.916666666664</v>
      </c>
      <c r="T12" s="1">
        <f t="shared" si="8"/>
        <v>41644.958333333336</v>
      </c>
    </row>
    <row r="13" spans="1:20" x14ac:dyDescent="0.3">
      <c r="A13" s="13"/>
      <c r="B13" t="s">
        <v>3</v>
      </c>
      <c r="C13" s="1">
        <f>DATE(YEAR($B$1),MONTH($B$1),DAY($B$1)+4) + TIME(HOUR($B$1) + 6,MINUTE($B$1) + 0,SECOND($B$1) + 0)</f>
        <v>41644.25</v>
      </c>
      <c r="D13" s="1">
        <f>DATE(YEAR($B$1),MONTH($B$1),DAY($B$1)+4) + TIME(HOUR($B$1) + E$3,MINUTE($B$1) + 0,SECOND($B$1) + 0)</f>
        <v>41644.333333333336</v>
      </c>
      <c r="E13" s="1">
        <f t="shared" ref="E13:S13" si="9">DATE(YEAR($B$1),MONTH($B$1),DAY($B$1)+4) + TIME(HOUR($B$1) + F$3,MINUTE($B$1) + 0,SECOND($B$1) + 0)</f>
        <v>41644.375</v>
      </c>
      <c r="F13" s="1">
        <f t="shared" si="9"/>
        <v>41644.416666666664</v>
      </c>
      <c r="G13" s="1">
        <f t="shared" si="9"/>
        <v>41644.458333333336</v>
      </c>
      <c r="H13" s="1">
        <f t="shared" si="9"/>
        <v>41644.5</v>
      </c>
      <c r="I13" s="1">
        <f t="shared" si="9"/>
        <v>41644.541666666664</v>
      </c>
      <c r="J13" s="1">
        <f t="shared" si="9"/>
        <v>41644.583333333336</v>
      </c>
      <c r="K13" s="1">
        <f t="shared" si="9"/>
        <v>41644.625</v>
      </c>
      <c r="L13" s="1">
        <f t="shared" si="9"/>
        <v>41644.666666666664</v>
      </c>
      <c r="M13" s="1">
        <f t="shared" si="9"/>
        <v>41644.708333333336</v>
      </c>
      <c r="N13" s="1">
        <f t="shared" si="9"/>
        <v>41644.75</v>
      </c>
      <c r="O13" s="1">
        <f t="shared" si="9"/>
        <v>41644.791666666664</v>
      </c>
      <c r="P13" s="1">
        <f t="shared" si="9"/>
        <v>41644.833333333336</v>
      </c>
      <c r="Q13" s="1">
        <f t="shared" si="9"/>
        <v>41644.875</v>
      </c>
      <c r="R13" s="1">
        <f t="shared" si="9"/>
        <v>41644.916666666664</v>
      </c>
      <c r="S13" s="1">
        <f t="shared" si="9"/>
        <v>41644.958333333336</v>
      </c>
      <c r="T13" s="1">
        <f>DATE(YEAR($B$1),MONTH($B$1),DAY($B$1)+3) + TIME(HOUR($B$1) + 23,MINUTE($B$1) + 59,SECOND($B$1) + 59)</f>
        <v>41643.999988425923</v>
      </c>
    </row>
    <row r="14" spans="1:20" x14ac:dyDescent="0.3"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</sheetData>
  <mergeCells count="5">
    <mergeCell ref="A4:A5"/>
    <mergeCell ref="A6:A7"/>
    <mergeCell ref="A8:A9"/>
    <mergeCell ref="A10:A11"/>
    <mergeCell ref="A12:A13"/>
  </mergeCells>
  <pageMargins left="0.7" right="0.7" top="0.75" bottom="0.75" header="0.3" footer="0.3"/>
  <pageSetup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46"/>
  <sheetViews>
    <sheetView topLeftCell="B1" zoomScale="80" zoomScaleNormal="80" workbookViewId="0">
      <selection activeCell="U25" sqref="U25"/>
    </sheetView>
  </sheetViews>
  <sheetFormatPr defaultRowHeight="14.4" x14ac:dyDescent="0.3"/>
  <cols>
    <col min="2" max="2" width="28.88671875" style="7" bestFit="1" customWidth="1"/>
    <col min="7" max="7" width="10.21875" customWidth="1"/>
  </cols>
  <sheetData>
    <row r="1" spans="1:21" x14ac:dyDescent="0.3">
      <c r="C1" s="3" t="s">
        <v>2</v>
      </c>
      <c r="D1" s="11" t="s">
        <v>71</v>
      </c>
      <c r="E1" s="12" t="s">
        <v>72</v>
      </c>
      <c r="F1" s="12" t="s">
        <v>73</v>
      </c>
      <c r="G1" s="12" t="s">
        <v>74</v>
      </c>
      <c r="H1" s="12" t="s">
        <v>75</v>
      </c>
      <c r="I1" s="12" t="s">
        <v>76</v>
      </c>
      <c r="J1" s="12" t="s">
        <v>77</v>
      </c>
      <c r="K1" s="12" t="s">
        <v>78</v>
      </c>
      <c r="L1" s="12" t="s">
        <v>79</v>
      </c>
      <c r="M1" s="12" t="s">
        <v>80</v>
      </c>
      <c r="N1" s="12" t="s">
        <v>81</v>
      </c>
      <c r="O1" s="12" t="s">
        <v>82</v>
      </c>
      <c r="P1" s="12" t="s">
        <v>83</v>
      </c>
      <c r="Q1" s="12" t="s">
        <v>84</v>
      </c>
      <c r="R1" s="12" t="s">
        <v>85</v>
      </c>
      <c r="S1" s="12" t="s">
        <v>86</v>
      </c>
      <c r="T1" s="12" t="s">
        <v>87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averageCompletionTime(Dates!C$4,Dates!C$5)</f>
        <v>26.5</v>
      </c>
      <c r="D2" s="5">
        <f>averageCompletionTime(Dates!D$4,Dates!D$5)</f>
        <v>38.857142857142861</v>
      </c>
      <c r="E2" s="5">
        <f>averageCompletionTime(Dates!E$4,Dates!E$5)</f>
        <v>15.8</v>
      </c>
      <c r="F2" s="5">
        <f>averageCompletionTime(Dates!F$4,Dates!F$5)</f>
        <v>23.444444444444446</v>
      </c>
      <c r="G2" s="5">
        <f>averageCompletionTime(Dates!G$4,Dates!G$5)</f>
        <v>38.666666666666664</v>
      </c>
      <c r="H2" s="5">
        <f>averageCompletionTime(Dates!H$4,Dates!H$5)</f>
        <v>24.666666666666668</v>
      </c>
      <c r="I2" s="5">
        <f>averageCompletionTime(Dates!I$4,Dates!I$5)</f>
        <v>31.571428571428569</v>
      </c>
      <c r="J2" s="5">
        <f>averageCompletionTime(Dates!J$4,Dates!J$5)</f>
        <v>33.200000000000003</v>
      </c>
      <c r="K2" s="5">
        <f>averageCompletionTime(Dates!K$4,Dates!K$5)</f>
        <v>24.375</v>
      </c>
      <c r="L2" s="5">
        <f>averageCompletionTime(Dates!L$4,Dates!L$5)</f>
        <v>28.65</v>
      </c>
      <c r="M2" s="5">
        <f>averageCompletionTime(Dates!M$4,Dates!M$5)</f>
        <v>20.111111111111111</v>
      </c>
      <c r="N2" s="5">
        <f>averageCompletionTime(Dates!N$4,Dates!N$5)</f>
        <v>26.75</v>
      </c>
      <c r="O2" s="5">
        <f>averageCompletionTime(Dates!O$4,Dates!O$5)</f>
        <v>31.428571428571431</v>
      </c>
      <c r="P2" s="5">
        <f>averageCompletionTime(Dates!P$4,Dates!P$5)</f>
        <v>21.5</v>
      </c>
      <c r="Q2" s="5">
        <f>averageCompletionTime(Dates!Q$4,Dates!Q$5)</f>
        <v>0</v>
      </c>
      <c r="R2" s="5">
        <f>averageCompletionTime(Dates!R$4,Dates!R$5)</f>
        <v>33</v>
      </c>
      <c r="S2" s="5">
        <f>averageCompletionTime(Dates!S$4,Dates!S$5)</f>
        <v>56</v>
      </c>
      <c r="T2" s="5">
        <f>averageCompletionTime(Dates!T$4,Dates!T$5)</f>
        <v>0</v>
      </c>
      <c r="U2" s="5">
        <f>averageCompletionTime(Dates!C$4,Dates!T$5)</f>
        <v>28.257731958762886</v>
      </c>
    </row>
    <row r="3" spans="1:21" x14ac:dyDescent="0.3">
      <c r="A3" s="6" t="s">
        <v>5</v>
      </c>
      <c r="B3" s="8">
        <v>1</v>
      </c>
      <c r="C3" s="5">
        <f>averageCompletionTimePorter(Dates!C$4,Dates!C$5,'Day1'!$B3)</f>
        <v>33.75</v>
      </c>
      <c r="D3" s="5">
        <f>averageCompletionTimePorter(Dates!D$4,Dates!D$5,'Day1'!$B3)</f>
        <v>43</v>
      </c>
      <c r="E3" s="5">
        <f>averageCompletionTimePorter(Dates!E$4,Dates!E$5,'Day1'!$B3)</f>
        <v>0</v>
      </c>
      <c r="F3" s="5">
        <f>averageCompletionTimePorter(Dates!F$4,Dates!F$5,'Day1'!$B3)</f>
        <v>20</v>
      </c>
      <c r="G3" s="5">
        <f>averageCompletionTimePorter(Dates!G$4,Dates!G$5,'Day1'!$B3)</f>
        <v>38</v>
      </c>
      <c r="H3" s="5">
        <f>averageCompletionTimePorter(Dates!H$4,Dates!H$5,'Day1'!$B3)</f>
        <v>0</v>
      </c>
      <c r="I3" s="5">
        <f>averageCompletionTimePorter(Dates!I$4,Dates!I$5,'Day1'!$B3)</f>
        <v>11</v>
      </c>
      <c r="J3" s="5">
        <f>averageCompletionTimePorter(Dates!J$4,Dates!J$5,'Day1'!$B3)</f>
        <v>27</v>
      </c>
      <c r="K3" s="5">
        <f>averageCompletionTimePorter(Dates!K$4,Dates!K$5,'Day1'!$B3)</f>
        <v>21</v>
      </c>
      <c r="L3" s="5">
        <f>averageCompletionTimePorter(Dates!L$4,Dates!L$5,'Day1'!$B3)</f>
        <v>50</v>
      </c>
      <c r="M3" s="5">
        <f>averageCompletionTimePorter(Dates!M$4,Dates!M$5,'Day1'!$B3)</f>
        <v>16</v>
      </c>
      <c r="N3" s="5">
        <f>averageCompletionTimePorter(Dates!N$4,Dates!N$5,'Day1'!$B3)</f>
        <v>42</v>
      </c>
      <c r="O3" s="5">
        <f>averageCompletionTimePorter(Dates!O$4,Dates!O$5,'Day1'!$B3)</f>
        <v>0</v>
      </c>
      <c r="P3" s="5">
        <f>averageCompletionTimePorter(Dates!P$4,Dates!P$5,'Day1'!$B3)</f>
        <v>10</v>
      </c>
      <c r="Q3" s="5">
        <f>averageCompletionTimePorter(Dates!Q$4,Dates!Q$5,'Day1'!$B3)</f>
        <v>26</v>
      </c>
      <c r="R3" s="5">
        <f>averageCompletionTimePorter(Dates!R$4,Dates!R$5,'Day1'!$B3)</f>
        <v>0</v>
      </c>
      <c r="S3" s="5">
        <f>averageCompletionTimePorter(Dates!S$4,Dates!S$5,'Day1'!$B3)</f>
        <v>14</v>
      </c>
      <c r="T3" s="5">
        <f>averageCompletionTimePorter(Dates!T$4,Dates!T$5,'Day1'!$B3)</f>
        <v>0</v>
      </c>
      <c r="U3" s="5">
        <f>averageCompletionTimePorter(Dates!$C$4,Dates!$T$5,'Day1'!$B3)</f>
        <v>27.235294117647058</v>
      </c>
    </row>
    <row r="4" spans="1:21" x14ac:dyDescent="0.3">
      <c r="A4" s="6"/>
      <c r="B4" s="8">
        <v>0</v>
      </c>
      <c r="C4" s="5">
        <f>averageCompletionTimePorter(Dates!C$4,Dates!C$5,'Day1'!$B4)</f>
        <v>0</v>
      </c>
      <c r="D4" s="5">
        <f>averageCompletionTimePorter(Dates!D$4,Dates!D$5,'Day1'!$B4)</f>
        <v>62</v>
      </c>
      <c r="E4" s="5">
        <f>averageCompletionTimePorter(Dates!E$4,Dates!E$5,'Day1'!$B4)</f>
        <v>0</v>
      </c>
      <c r="F4" s="5">
        <f>averageCompletionTimePorter(Dates!F$4,Dates!F$5,'Day1'!$B4)</f>
        <v>28</v>
      </c>
      <c r="G4" s="5">
        <f>averageCompletionTimePorter(Dates!G$4,Dates!G$5,'Day1'!$B4)</f>
        <v>0</v>
      </c>
      <c r="H4" s="5">
        <f>averageCompletionTimePorter(Dates!H$4,Dates!H$5,'Day1'!$B4)</f>
        <v>24.5</v>
      </c>
      <c r="I4" s="5">
        <f>averageCompletionTimePorter(Dates!I$4,Dates!I$5,'Day1'!$B4)</f>
        <v>27</v>
      </c>
      <c r="J4" s="5">
        <f>averageCompletionTimePorter(Dates!J$4,Dates!J$5,'Day1'!$B4)</f>
        <v>0</v>
      </c>
      <c r="K4" s="5">
        <f>averageCompletionTimePorter(Dates!K$4,Dates!K$5,'Day1'!$B4)</f>
        <v>31.333333333333332</v>
      </c>
      <c r="L4" s="5">
        <f>averageCompletionTimePorter(Dates!L$4,Dates!L$5,'Day1'!$B4)</f>
        <v>14.5</v>
      </c>
      <c r="M4" s="5">
        <f>averageCompletionTimePorter(Dates!M$4,Dates!M$5,'Day1'!$B4)</f>
        <v>29</v>
      </c>
      <c r="N4" s="5">
        <f>averageCompletionTimePorter(Dates!N$4,Dates!N$5,'Day1'!$B4)</f>
        <v>0</v>
      </c>
      <c r="O4" s="5">
        <f>averageCompletionTimePorter(Dates!O$4,Dates!O$5,'Day1'!$B4)</f>
        <v>0</v>
      </c>
      <c r="P4" s="5">
        <f>averageCompletionTimePorter(Dates!P$4,Dates!P$5,'Day1'!$B4)</f>
        <v>0</v>
      </c>
      <c r="Q4" s="5">
        <f>averageCompletionTimePorter(Dates!Q$4,Dates!Q$5,'Day1'!$B4)</f>
        <v>29</v>
      </c>
      <c r="R4" s="5">
        <f>averageCompletionTimePorter(Dates!R$4,Dates!R$5,'Day1'!$B4)</f>
        <v>0</v>
      </c>
      <c r="S4" s="5">
        <f>averageCompletionTimePorter(Dates!S$4,Dates!S$5,'Day1'!$B4)</f>
        <v>0</v>
      </c>
      <c r="T4" s="5">
        <f>averageCompletionTimePorter(Dates!T$4,Dates!T$5,'Day1'!$B4)</f>
        <v>0</v>
      </c>
      <c r="U4" s="5">
        <f>averageCompletionTimePorter(Dates!$C$4,Dates!$T$5,'Day1'!$B4)</f>
        <v>28.666666666666668</v>
      </c>
    </row>
    <row r="5" spans="1:21" x14ac:dyDescent="0.3">
      <c r="A5" s="6"/>
      <c r="B5" s="8">
        <v>3</v>
      </c>
      <c r="C5" s="5">
        <f>averageCompletionTimePorter(Dates!C$4,Dates!C$5,'Day1'!$B5)</f>
        <v>0</v>
      </c>
      <c r="D5" s="5">
        <f>averageCompletionTimePorter(Dates!D$4,Dates!D$5,'Day1'!$B5)</f>
        <v>54</v>
      </c>
      <c r="E5" s="5">
        <f>averageCompletionTimePorter(Dates!E$4,Dates!E$5,'Day1'!$B5)</f>
        <v>0</v>
      </c>
      <c r="F5" s="5">
        <f>averageCompletionTimePorter(Dates!F$4,Dates!F$5,'Day1'!$B5)</f>
        <v>0</v>
      </c>
      <c r="G5" s="5">
        <f>averageCompletionTimePorter(Dates!G$4,Dates!G$5,'Day1'!$B5)</f>
        <v>21</v>
      </c>
      <c r="H5" s="5">
        <f>averageCompletionTimePorter(Dates!H$4,Dates!H$5,'Day1'!$B5)</f>
        <v>34</v>
      </c>
      <c r="I5" s="5">
        <f>averageCompletionTimePorter(Dates!I$4,Dates!I$5,'Day1'!$B5)</f>
        <v>0</v>
      </c>
      <c r="J5" s="5">
        <f>averageCompletionTimePorter(Dates!J$4,Dates!J$5,'Day1'!$B5)</f>
        <v>20</v>
      </c>
      <c r="K5" s="5">
        <f>averageCompletionTimePorter(Dates!K$4,Dates!K$5,'Day1'!$B5)</f>
        <v>29</v>
      </c>
      <c r="L5" s="5">
        <f>averageCompletionTimePorter(Dates!L$4,Dates!L$5,'Day1'!$B5)</f>
        <v>21</v>
      </c>
      <c r="M5" s="5">
        <f>averageCompletionTimePorter(Dates!M$4,Dates!M$5,'Day1'!$B5)</f>
        <v>36</v>
      </c>
      <c r="N5" s="5">
        <f>averageCompletionTimePorter(Dates!N$4,Dates!N$5,'Day1'!$B5)</f>
        <v>48</v>
      </c>
      <c r="O5" s="5">
        <f>averageCompletionTimePorter(Dates!O$4,Dates!O$5,'Day1'!$B5)</f>
        <v>0</v>
      </c>
      <c r="P5" s="5">
        <f>averageCompletionTimePorter(Dates!P$4,Dates!P$5,'Day1'!$B5)</f>
        <v>0</v>
      </c>
      <c r="Q5" s="5">
        <f>averageCompletionTimePorter(Dates!Q$4,Dates!Q$5,'Day1'!$B5)</f>
        <v>62</v>
      </c>
      <c r="R5" s="5">
        <f>averageCompletionTimePorter(Dates!R$4,Dates!R$5,'Day1'!$B5)</f>
        <v>0</v>
      </c>
      <c r="S5" s="5">
        <f>averageCompletionTimePorter(Dates!S$4,Dates!S$5,'Day1'!$B5)</f>
        <v>0</v>
      </c>
      <c r="T5" s="5">
        <f>averageCompletionTimePorter(Dates!T$4,Dates!T$5,'Day1'!$B5)</f>
        <v>0</v>
      </c>
      <c r="U5" s="5">
        <f>averageCompletionTimePorter(Dates!$C$4,Dates!$T$5,'Day1'!$B5)</f>
        <v>37.090909090909093</v>
      </c>
    </row>
    <row r="6" spans="1:21" x14ac:dyDescent="0.3">
      <c r="A6" s="6"/>
      <c r="B6" s="8">
        <v>2</v>
      </c>
      <c r="C6" s="5">
        <f>averageCompletionTimePorter(Dates!C$4,Dates!C$5,'Day1'!$B6)</f>
        <v>0</v>
      </c>
      <c r="D6" s="5">
        <f>averageCompletionTimePorter(Dates!D$4,Dates!D$5,'Day1'!$B6)</f>
        <v>30</v>
      </c>
      <c r="E6" s="5">
        <f>averageCompletionTimePorter(Dates!E$4,Dates!E$5,'Day1'!$B6)</f>
        <v>27</v>
      </c>
      <c r="F6" s="5">
        <f>averageCompletionTimePorter(Dates!F$4,Dates!F$5,'Day1'!$B6)</f>
        <v>45</v>
      </c>
      <c r="G6" s="5">
        <f>averageCompletionTimePorter(Dates!G$4,Dates!G$5,'Day1'!$B6)</f>
        <v>0</v>
      </c>
      <c r="H6" s="5">
        <f>averageCompletionTimePorter(Dates!H$4,Dates!H$5,'Day1'!$B6)</f>
        <v>23</v>
      </c>
      <c r="I6" s="5">
        <f>averageCompletionTimePorter(Dates!I$4,Dates!I$5,'Day1'!$B6)</f>
        <v>27</v>
      </c>
      <c r="J6" s="5">
        <f>averageCompletionTimePorter(Dates!J$4,Dates!J$5,'Day1'!$B6)</f>
        <v>27</v>
      </c>
      <c r="K6" s="5">
        <f>averageCompletionTimePorter(Dates!K$4,Dates!K$5,'Day1'!$B6)</f>
        <v>0</v>
      </c>
      <c r="L6" s="5">
        <f>averageCompletionTimePorter(Dates!L$4,Dates!L$5,'Day1'!$B6)</f>
        <v>15.4</v>
      </c>
      <c r="M6" s="5">
        <f>averageCompletionTimePorter(Dates!M$4,Dates!M$5,'Day1'!$B6)</f>
        <v>24</v>
      </c>
      <c r="N6" s="5">
        <f>averageCompletionTimePorter(Dates!N$4,Dates!N$5,'Day1'!$B6)</f>
        <v>41</v>
      </c>
      <c r="O6" s="5">
        <f>averageCompletionTimePorter(Dates!O$4,Dates!O$5,'Day1'!$B6)</f>
        <v>0</v>
      </c>
      <c r="P6" s="5">
        <f>averageCompletionTimePorter(Dates!P$4,Dates!P$5,'Day1'!$B6)</f>
        <v>14</v>
      </c>
      <c r="Q6" s="5">
        <f>averageCompletionTimePorter(Dates!Q$4,Dates!Q$5,'Day1'!$B6)</f>
        <v>0</v>
      </c>
      <c r="R6" s="5">
        <f>averageCompletionTimePorter(Dates!R$4,Dates!R$5,'Day1'!$B6)</f>
        <v>83</v>
      </c>
      <c r="S6" s="5">
        <f>averageCompletionTimePorter(Dates!S$4,Dates!S$5,'Day1'!$B6)</f>
        <v>0</v>
      </c>
      <c r="T6" s="5">
        <f>averageCompletionTimePorter(Dates!T$4,Dates!T$5,'Day1'!$B6)</f>
        <v>0</v>
      </c>
      <c r="U6" s="5">
        <f>averageCompletionTimePorter(Dates!$C$4,Dates!$T$5,'Day1'!$B6)</f>
        <v>27.866666666666667</v>
      </c>
    </row>
    <row r="7" spans="1:21" x14ac:dyDescent="0.3">
      <c r="A7" s="6"/>
      <c r="B7" s="8">
        <v>5</v>
      </c>
      <c r="C7" s="5">
        <f>averageCompletionTimePorter(Dates!C$4,Dates!C$5,'Day1'!$B7)</f>
        <v>0</v>
      </c>
      <c r="D7" s="5">
        <f>averageCompletionTimePorter(Dates!D$4,Dates!D$5,'Day1'!$B7)</f>
        <v>22</v>
      </c>
      <c r="E7" s="5">
        <f>averageCompletionTimePorter(Dates!E$4,Dates!E$5,'Day1'!$B7)</f>
        <v>41</v>
      </c>
      <c r="F7" s="5">
        <f>averageCompletionTimePorter(Dates!F$4,Dates!F$5,'Day1'!$B7)</f>
        <v>30</v>
      </c>
      <c r="G7" s="5">
        <f>averageCompletionTimePorter(Dates!G$4,Dates!G$5,'Day1'!$B7)</f>
        <v>0</v>
      </c>
      <c r="H7" s="5">
        <f>averageCompletionTimePorter(Dates!H$4,Dates!H$5,'Day1'!$B7)</f>
        <v>34</v>
      </c>
      <c r="I7" s="5">
        <f>averageCompletionTimePorter(Dates!I$4,Dates!I$5,'Day1'!$B7)</f>
        <v>25</v>
      </c>
      <c r="J7" s="5">
        <f>averageCompletionTimePorter(Dates!J$4,Dates!J$5,'Day1'!$B7)</f>
        <v>17</v>
      </c>
      <c r="K7" s="5">
        <f>averageCompletionTimePorter(Dates!K$4,Dates!K$5,'Day1'!$B7)</f>
        <v>25.5</v>
      </c>
      <c r="L7" s="5">
        <f>averageCompletionTimePorter(Dates!L$4,Dates!L$5,'Day1'!$B7)</f>
        <v>32</v>
      </c>
      <c r="M7" s="5">
        <f>averageCompletionTimePorter(Dates!M$4,Dates!M$5,'Day1'!$B7)</f>
        <v>28</v>
      </c>
      <c r="N7" s="5">
        <f>averageCompletionTimePorter(Dates!N$4,Dates!N$5,'Day1'!$B7)</f>
        <v>32</v>
      </c>
      <c r="O7" s="5">
        <f>averageCompletionTimePorter(Dates!O$4,Dates!O$5,'Day1'!$B7)</f>
        <v>0</v>
      </c>
      <c r="P7" s="5">
        <f>averageCompletionTimePorter(Dates!P$4,Dates!P$5,'Day1'!$B7)</f>
        <v>26</v>
      </c>
      <c r="Q7" s="5">
        <f>averageCompletionTimePorter(Dates!Q$4,Dates!Q$5,'Day1'!$B7)</f>
        <v>0</v>
      </c>
      <c r="R7" s="5">
        <f>averageCompletionTimePorter(Dates!R$4,Dates!R$5,'Day1'!$B7)</f>
        <v>52</v>
      </c>
      <c r="S7" s="5">
        <f>averageCompletionTimePorter(Dates!S$4,Dates!S$5,'Day1'!$B7)</f>
        <v>0</v>
      </c>
      <c r="T7" s="5">
        <f>averageCompletionTimePorter(Dates!T$4,Dates!T$5,'Day1'!$B7)</f>
        <v>0</v>
      </c>
      <c r="U7" s="5">
        <f>averageCompletionTimePorter(Dates!$C$4,Dates!$T$5,'Day1'!$B7)</f>
        <v>29.857142857142854</v>
      </c>
    </row>
    <row r="8" spans="1:21" x14ac:dyDescent="0.3">
      <c r="A8" s="6"/>
      <c r="B8" s="8">
        <v>4</v>
      </c>
      <c r="C8" s="5">
        <f>averageCompletionTimePorter(Dates!C$4,Dates!C$5,'Day1'!$B8)</f>
        <v>0</v>
      </c>
      <c r="D8" s="5">
        <f>averageCompletionTimePorter(Dates!D$4,Dates!D$5,'Day1'!$B8)</f>
        <v>40</v>
      </c>
      <c r="E8" s="5">
        <f>averageCompletionTimePorter(Dates!E$4,Dates!E$5,'Day1'!$B8)</f>
        <v>34</v>
      </c>
      <c r="F8" s="5">
        <f>averageCompletionTimePorter(Dates!F$4,Dates!F$5,'Day1'!$B8)</f>
        <v>0</v>
      </c>
      <c r="G8" s="5">
        <f>averageCompletionTimePorter(Dates!G$4,Dates!G$5,'Day1'!$B8)</f>
        <v>23.5</v>
      </c>
      <c r="H8" s="5">
        <f>averageCompletionTimePorter(Dates!H$4,Dates!H$5,'Day1'!$B8)</f>
        <v>0</v>
      </c>
      <c r="I8" s="5">
        <f>averageCompletionTimePorter(Dates!I$4,Dates!I$5,'Day1'!$B8)</f>
        <v>27</v>
      </c>
      <c r="J8" s="5">
        <f>averageCompletionTimePorter(Dates!J$4,Dates!J$5,'Day1'!$B8)</f>
        <v>0</v>
      </c>
      <c r="K8" s="5">
        <f>averageCompletionTimePorter(Dates!K$4,Dates!K$5,'Day1'!$B8)</f>
        <v>11.666666666666666</v>
      </c>
      <c r="L8" s="5">
        <f>averageCompletionTimePorter(Dates!L$4,Dates!L$5,'Day1'!$B8)</f>
        <v>31.666666666666668</v>
      </c>
      <c r="M8" s="5">
        <f>averageCompletionTimePorter(Dates!M$4,Dates!M$5,'Day1'!$B8)</f>
        <v>17</v>
      </c>
      <c r="N8" s="5">
        <f>averageCompletionTimePorter(Dates!N$4,Dates!N$5,'Day1'!$B8)</f>
        <v>18</v>
      </c>
      <c r="O8" s="5">
        <f>averageCompletionTimePorter(Dates!O$4,Dates!O$5,'Day1'!$B8)</f>
        <v>0</v>
      </c>
      <c r="P8" s="5">
        <f>averageCompletionTimePorter(Dates!P$4,Dates!P$5,'Day1'!$B8)</f>
        <v>14</v>
      </c>
      <c r="Q8" s="5">
        <f>averageCompletionTimePorter(Dates!Q$4,Dates!Q$5,'Day1'!$B8)</f>
        <v>0</v>
      </c>
      <c r="R8" s="5">
        <f>averageCompletionTimePorter(Dates!R$4,Dates!R$5,'Day1'!$B8)</f>
        <v>0</v>
      </c>
      <c r="S8" s="5">
        <f>averageCompletionTimePorter(Dates!S$4,Dates!S$5,'Day1'!$B8)</f>
        <v>0</v>
      </c>
      <c r="T8" s="5">
        <f>averageCompletionTimePorter(Dates!T$4,Dates!T$5,'Day1'!$B8)</f>
        <v>0</v>
      </c>
      <c r="U8" s="5">
        <f>averageCompletionTimePorter(Dates!$C$4,Dates!$T$5,'Day1'!$B8)</f>
        <v>23.6</v>
      </c>
    </row>
    <row r="9" spans="1:21" x14ac:dyDescent="0.3">
      <c r="A9" s="6"/>
      <c r="B9" s="8">
        <v>6</v>
      </c>
      <c r="C9" s="5">
        <f>averageCompletionTimePorter(Dates!C$4,Dates!C$5,'Day1'!$B9)</f>
        <v>0</v>
      </c>
      <c r="D9" s="5">
        <f>averageCompletionTimePorter(Dates!D$4,Dates!D$5,'Day1'!$B9)</f>
        <v>50</v>
      </c>
      <c r="E9" s="5">
        <f>averageCompletionTimePorter(Dates!E$4,Dates!E$5,'Day1'!$B9)</f>
        <v>0</v>
      </c>
      <c r="F9" s="5">
        <f>averageCompletionTimePorter(Dates!F$4,Dates!F$5,'Day1'!$B9)</f>
        <v>19</v>
      </c>
      <c r="G9" s="5">
        <f>averageCompletionTimePorter(Dates!G$4,Dates!G$5,'Day1'!$B9)</f>
        <v>22.5</v>
      </c>
      <c r="H9" s="5">
        <f>averageCompletionTimePorter(Dates!H$4,Dates!H$5,'Day1'!$B9)</f>
        <v>0</v>
      </c>
      <c r="I9" s="5">
        <f>averageCompletionTimePorter(Dates!I$4,Dates!I$5,'Day1'!$B9)</f>
        <v>32</v>
      </c>
      <c r="J9" s="5">
        <f>averageCompletionTimePorter(Dates!J$4,Dates!J$5,'Day1'!$B9)</f>
        <v>19</v>
      </c>
      <c r="K9" s="5">
        <f>averageCompletionTimePorter(Dates!K$4,Dates!K$5,'Day1'!$B9)</f>
        <v>47</v>
      </c>
      <c r="L9" s="5">
        <f>averageCompletionTimePorter(Dates!L$4,Dates!L$5,'Day1'!$B9)</f>
        <v>8</v>
      </c>
      <c r="M9" s="5">
        <f>averageCompletionTimePorter(Dates!M$4,Dates!M$5,'Day1'!$B9)</f>
        <v>11.5</v>
      </c>
      <c r="N9" s="5">
        <f>averageCompletionTimePorter(Dates!N$4,Dates!N$5,'Day1'!$B9)</f>
        <v>10</v>
      </c>
      <c r="O9" s="5">
        <f>averageCompletionTimePorter(Dates!O$4,Dates!O$5,'Day1'!$B9)</f>
        <v>37</v>
      </c>
      <c r="P9" s="5">
        <f>averageCompletionTimePorter(Dates!P$4,Dates!P$5,'Day1'!$B9)</f>
        <v>0</v>
      </c>
      <c r="Q9" s="5">
        <f>averageCompletionTimePorter(Dates!Q$4,Dates!Q$5,'Day1'!$B9)</f>
        <v>40</v>
      </c>
      <c r="R9" s="5">
        <f>averageCompletionTimePorter(Dates!R$4,Dates!R$5,'Day1'!$B9)</f>
        <v>0</v>
      </c>
      <c r="S9" s="5">
        <f>averageCompletionTimePorter(Dates!S$4,Dates!S$5,'Day1'!$B9)</f>
        <v>53</v>
      </c>
      <c r="T9" s="5">
        <f>averageCompletionTimePorter(Dates!T$4,Dates!T$5,'Day1'!$B9)</f>
        <v>0</v>
      </c>
      <c r="U9" s="5">
        <f>averageCompletionTimePorter(Dates!$C$4,Dates!$T$5,'Day1'!$B9)</f>
        <v>27.357142857142854</v>
      </c>
    </row>
    <row r="10" spans="1:21" x14ac:dyDescent="0.3">
      <c r="A10" s="6"/>
      <c r="B10" s="8" t="s">
        <v>69</v>
      </c>
      <c r="C10" s="5">
        <f>averageCompletionTimePorter(Dates!C$4,Dates!C$5,'Day1'!$B10)</f>
        <v>0</v>
      </c>
      <c r="D10" s="5">
        <f>averageCompletionTimePorter(Dates!D$4,Dates!D$5,'Day1'!$B10)</f>
        <v>0</v>
      </c>
      <c r="E10" s="5">
        <f>averageCompletionTimePorter(Dates!E$4,Dates!E$5,'Day1'!$B10)</f>
        <v>0</v>
      </c>
      <c r="F10" s="5">
        <f>averageCompletionTimePorter(Dates!F$4,Dates!F$5,'Day1'!$B10)</f>
        <v>0</v>
      </c>
      <c r="G10" s="5">
        <f>averageCompletionTimePorter(Dates!G$4,Dates!G$5,'Day1'!$B10)</f>
        <v>0</v>
      </c>
      <c r="H10" s="5">
        <f>averageCompletionTimePorter(Dates!H$4,Dates!H$5,'Day1'!$B10)</f>
        <v>0</v>
      </c>
      <c r="I10" s="5">
        <f>averageCompletionTimePorter(Dates!I$4,Dates!I$5,'Day1'!$B10)</f>
        <v>0</v>
      </c>
      <c r="J10" s="5">
        <f>averageCompletionTimePorter(Dates!J$4,Dates!J$5,'Day1'!$B10)</f>
        <v>0</v>
      </c>
      <c r="K10" s="5">
        <f>averageCompletionTimePorter(Dates!K$4,Dates!K$5,'Day1'!$B10)</f>
        <v>0</v>
      </c>
      <c r="L10" s="5">
        <f>averageCompletionTimePorter(Dates!L$4,Dates!L$5,'Day1'!$B10)</f>
        <v>0</v>
      </c>
      <c r="M10" s="5">
        <f>averageCompletionTimePorter(Dates!M$4,Dates!M$5,'Day1'!$B10)</f>
        <v>0</v>
      </c>
      <c r="N10" s="5">
        <f>averageCompletionTimePorter(Dates!N$4,Dates!N$5,'Day1'!$B10)</f>
        <v>0</v>
      </c>
      <c r="O10" s="5">
        <f>averageCompletionTimePorter(Dates!O$4,Dates!O$5,'Day1'!$B10)</f>
        <v>0</v>
      </c>
      <c r="P10" s="5">
        <f>averageCompletionTimePorter(Dates!P$4,Dates!P$5,'Day1'!$B10)</f>
        <v>0</v>
      </c>
      <c r="Q10" s="5">
        <f>averageCompletionTimePorter(Dates!Q$4,Dates!Q$5,'Day1'!$B10)</f>
        <v>0</v>
      </c>
      <c r="R10" s="5">
        <f>averageCompletionTimePorter(Dates!R$4,Dates!R$5,'Day1'!$B10)</f>
        <v>0</v>
      </c>
      <c r="S10" s="5">
        <f>averageCompletionTimePorter(Dates!S$4,Dates!S$5,'Day1'!$B10)</f>
        <v>0</v>
      </c>
      <c r="T10" s="5">
        <f>averageCompletionTimePorter(Dates!T$4,Dates!T$5,'Day1'!$B10)</f>
        <v>0</v>
      </c>
      <c r="U10" s="5">
        <f>averageCompletionTimePorter(Dates!$C$4,Dates!$T$5,'Day1'!$B10)</f>
        <v>0</v>
      </c>
    </row>
    <row r="11" spans="1:21" x14ac:dyDescent="0.3">
      <c r="A11" s="6"/>
      <c r="B11" s="8" t="s">
        <v>70</v>
      </c>
      <c r="C11" s="5">
        <f>averageCompletionTimePorter(Dates!C$4,Dates!C$5,'Day1'!$B11)</f>
        <v>0</v>
      </c>
      <c r="D11" s="5">
        <f>averageCompletionTimePorter(Dates!D$4,Dates!D$5,'Day1'!$B11)</f>
        <v>0</v>
      </c>
      <c r="E11" s="5">
        <f>averageCompletionTimePorter(Dates!E$4,Dates!E$5,'Day1'!$B11)</f>
        <v>0</v>
      </c>
      <c r="F11" s="5">
        <f>averageCompletionTimePorter(Dates!F$4,Dates!F$5,'Day1'!$B11)</f>
        <v>0</v>
      </c>
      <c r="G11" s="5">
        <f>averageCompletionTimePorter(Dates!G$4,Dates!G$5,'Day1'!$B11)</f>
        <v>0</v>
      </c>
      <c r="H11" s="5">
        <f>averageCompletionTimePorter(Dates!H$4,Dates!H$5,'Day1'!$B11)</f>
        <v>0</v>
      </c>
      <c r="I11" s="5">
        <f>averageCompletionTimePorter(Dates!I$4,Dates!I$5,'Day1'!$B11)</f>
        <v>0</v>
      </c>
      <c r="J11" s="5">
        <f>averageCompletionTimePorter(Dates!J$4,Dates!J$5,'Day1'!$B11)</f>
        <v>0</v>
      </c>
      <c r="K11" s="5">
        <f>averageCompletionTimePorter(Dates!K$4,Dates!K$5,'Day1'!$B11)</f>
        <v>0</v>
      </c>
      <c r="L11" s="5">
        <f>averageCompletionTimePorter(Dates!L$4,Dates!L$5,'Day1'!$B11)</f>
        <v>0</v>
      </c>
      <c r="M11" s="5">
        <f>averageCompletionTimePorter(Dates!M$4,Dates!M$5,'Day1'!$B11)</f>
        <v>0</v>
      </c>
      <c r="N11" s="5">
        <f>averageCompletionTimePorter(Dates!N$4,Dates!N$5,'Day1'!$B11)</f>
        <v>0</v>
      </c>
      <c r="O11" s="5">
        <f>averageCompletionTimePorter(Dates!O$4,Dates!O$5,'Day1'!$B11)</f>
        <v>0</v>
      </c>
      <c r="P11" s="5">
        <f>averageCompletionTimePorter(Dates!P$4,Dates!P$5,'Day1'!$B11)</f>
        <v>0</v>
      </c>
      <c r="Q11" s="5">
        <f>averageCompletionTimePorter(Dates!Q$4,Dates!Q$5,'Day1'!$B11)</f>
        <v>0</v>
      </c>
      <c r="R11" s="5">
        <f>averageCompletionTimePorter(Dates!R$4,Dates!R$5,'Day1'!$B11)</f>
        <v>0</v>
      </c>
      <c r="S11" s="5">
        <f>averageCompletionTimePorter(Dates!S$4,Dates!S$5,'Day1'!$B11)</f>
        <v>0</v>
      </c>
      <c r="T11" s="5">
        <f>averageCompletionTimePorter(Dates!T$4,Dates!T$5,'Day1'!$B11)</f>
        <v>0</v>
      </c>
      <c r="U11" s="5">
        <f>averageCompletionTimePorter(Dates!$C$4,Dates!$T$5,'Day1'!$B11)</f>
        <v>0</v>
      </c>
    </row>
    <row r="12" spans="1:21" x14ac:dyDescent="0.3">
      <c r="A12" s="6"/>
      <c r="B12" s="8" t="s">
        <v>61</v>
      </c>
      <c r="C12" s="5">
        <f>averageCompletionTimePorter(Dates!C$4,Dates!C$5,'Day1'!$B12)</f>
        <v>0</v>
      </c>
      <c r="D12" s="5">
        <f>averageCompletionTimePorter(Dates!D$4,Dates!D$5,'Day1'!$B12)</f>
        <v>0</v>
      </c>
      <c r="E12" s="5">
        <f>averageCompletionTimePorter(Dates!E$4,Dates!E$5,'Day1'!$B12)</f>
        <v>0</v>
      </c>
      <c r="F12" s="5">
        <f>averageCompletionTimePorter(Dates!F$4,Dates!F$5,'Day1'!$B12)</f>
        <v>0</v>
      </c>
      <c r="G12" s="5">
        <f>averageCompletionTimePorter(Dates!G$4,Dates!G$5,'Day1'!$B12)</f>
        <v>0</v>
      </c>
      <c r="H12" s="5">
        <f>averageCompletionTimePorter(Dates!H$4,Dates!H$5,'Day1'!$B12)</f>
        <v>0</v>
      </c>
      <c r="I12" s="5">
        <f>averageCompletionTimePorter(Dates!I$4,Dates!I$5,'Day1'!$B12)</f>
        <v>0</v>
      </c>
      <c r="J12" s="5">
        <f>averageCompletionTimePorter(Dates!J$4,Dates!J$5,'Day1'!$B12)</f>
        <v>0</v>
      </c>
      <c r="K12" s="5">
        <f>averageCompletionTimePorter(Dates!K$4,Dates!K$5,'Day1'!$B12)</f>
        <v>0</v>
      </c>
      <c r="L12" s="5">
        <f>averageCompletionTimePorter(Dates!L$4,Dates!L$5,'Day1'!$B12)</f>
        <v>0</v>
      </c>
      <c r="M12" s="5">
        <f>averageCompletionTimePorter(Dates!M$4,Dates!M$5,'Day1'!$B12)</f>
        <v>0</v>
      </c>
      <c r="N12" s="5">
        <f>averageCompletionTimePorter(Dates!N$4,Dates!N$5,'Day1'!$B12)</f>
        <v>0</v>
      </c>
      <c r="O12" s="5">
        <f>averageCompletionTimePorter(Dates!O$4,Dates!O$5,'Day1'!$B12)</f>
        <v>0</v>
      </c>
      <c r="P12" s="5">
        <f>averageCompletionTimePorter(Dates!P$4,Dates!P$5,'Day1'!$B12)</f>
        <v>0</v>
      </c>
      <c r="Q12" s="5">
        <f>averageCompletionTimePorter(Dates!Q$4,Dates!Q$5,'Day1'!$B12)</f>
        <v>0</v>
      </c>
      <c r="R12" s="5">
        <f>averageCompletionTimePorter(Dates!R$4,Dates!R$5,'Day1'!$B12)</f>
        <v>0</v>
      </c>
      <c r="S12" s="5">
        <f>averageCompletionTimePorter(Dates!S$4,Dates!S$5,'Day1'!$B12)</f>
        <v>0</v>
      </c>
      <c r="T12" s="5">
        <f>averageCompletionTimePorter(Dates!T$4,Dates!T$5,'Day1'!$B12)</f>
        <v>0</v>
      </c>
      <c r="U12" s="5">
        <f>averageCompletionTimePorter(Dates!$C$4,Dates!$T$5,'Day1'!$B12)</f>
        <v>0</v>
      </c>
    </row>
    <row r="13" spans="1:21" x14ac:dyDescent="0.3">
      <c r="A13" s="6"/>
      <c r="B13" s="8" t="s">
        <v>28</v>
      </c>
      <c r="C13" s="5">
        <f>averageCompletionTimePorter(Dates!C$4,Dates!C$5,'Day1'!$B13)</f>
        <v>0</v>
      </c>
      <c r="D13" s="5">
        <f>averageCompletionTimePorter(Dates!D$4,Dates!D$5,'Day1'!$B13)</f>
        <v>0</v>
      </c>
      <c r="E13" s="5">
        <f>averageCompletionTimePorter(Dates!E$4,Dates!E$5,'Day1'!$B13)</f>
        <v>0</v>
      </c>
      <c r="F13" s="5">
        <f>averageCompletionTimePorter(Dates!F$4,Dates!F$5,'Day1'!$B13)</f>
        <v>0</v>
      </c>
      <c r="G13" s="5">
        <f>averageCompletionTimePorter(Dates!G$4,Dates!G$5,'Day1'!$B13)</f>
        <v>0</v>
      </c>
      <c r="H13" s="5">
        <f>averageCompletionTimePorter(Dates!H$4,Dates!H$5,'Day1'!$B13)</f>
        <v>0</v>
      </c>
      <c r="I13" s="5">
        <f>averageCompletionTimePorter(Dates!I$4,Dates!I$5,'Day1'!$B13)</f>
        <v>0</v>
      </c>
      <c r="J13" s="5">
        <f>averageCompletionTimePorter(Dates!J$4,Dates!J$5,'Day1'!$B13)</f>
        <v>0</v>
      </c>
      <c r="K13" s="5">
        <f>averageCompletionTimePorter(Dates!K$4,Dates!K$5,'Day1'!$B13)</f>
        <v>0</v>
      </c>
      <c r="L13" s="5">
        <f>averageCompletionTimePorter(Dates!L$4,Dates!L$5,'Day1'!$B13)</f>
        <v>0</v>
      </c>
      <c r="M13" s="5">
        <f>averageCompletionTimePorter(Dates!M$4,Dates!M$5,'Day1'!$B13)</f>
        <v>0</v>
      </c>
      <c r="N13" s="5">
        <f>averageCompletionTimePorter(Dates!N$4,Dates!N$5,'Day1'!$B13)</f>
        <v>0</v>
      </c>
      <c r="O13" s="5">
        <f>averageCompletionTimePorter(Dates!O$4,Dates!O$5,'Day1'!$B13)</f>
        <v>0</v>
      </c>
      <c r="P13" s="5">
        <f>averageCompletionTimePorter(Dates!P$4,Dates!P$5,'Day1'!$B13)</f>
        <v>0</v>
      </c>
      <c r="Q13" s="5">
        <f>averageCompletionTimePorter(Dates!Q$4,Dates!Q$5,'Day1'!$B13)</f>
        <v>0</v>
      </c>
      <c r="R13" s="5">
        <f>averageCompletionTimePorter(Dates!R$4,Dates!R$5,'Day1'!$B13)</f>
        <v>0</v>
      </c>
      <c r="S13" s="5">
        <f>averageCompletionTimePorter(Dates!S$4,Dates!S$5,'Day1'!$B13)</f>
        <v>0</v>
      </c>
      <c r="T13" s="5">
        <f>averageCompletionTimePorter(Dates!T$4,Dates!T$5,'Day1'!$B13)</f>
        <v>0</v>
      </c>
      <c r="U13" s="5">
        <f>averageCompletionTimePorter(Dates!$C$4,Dates!$T$5,'Day1'!$B13)</f>
        <v>0</v>
      </c>
    </row>
    <row r="14" spans="1:21" x14ac:dyDescent="0.3">
      <c r="B14" s="8" t="s">
        <v>13</v>
      </c>
      <c r="C14" s="5">
        <f>averageCompletionTimePorter(Dates!C$4,Dates!C$5,'Day1'!$B14)</f>
        <v>0</v>
      </c>
      <c r="D14" s="5">
        <f>averageCompletionTimePorter(Dates!D$4,Dates!D$5,'Day1'!$B14)</f>
        <v>0</v>
      </c>
      <c r="E14" s="5">
        <f>averageCompletionTimePorter(Dates!E$4,Dates!E$5,'Day1'!$B14)</f>
        <v>0</v>
      </c>
      <c r="F14" s="5">
        <f>averageCompletionTimePorter(Dates!F$4,Dates!F$5,'Day1'!$B14)</f>
        <v>0</v>
      </c>
      <c r="G14" s="5">
        <f>averageCompletionTimePorter(Dates!G$4,Dates!G$5,'Day1'!$B14)</f>
        <v>0</v>
      </c>
      <c r="H14" s="5">
        <f>averageCompletionTimePorter(Dates!H$4,Dates!H$5,'Day1'!$B14)</f>
        <v>0</v>
      </c>
      <c r="I14" s="5">
        <f>averageCompletionTimePorter(Dates!I$4,Dates!I$5,'Day1'!$B14)</f>
        <v>0</v>
      </c>
      <c r="J14" s="5">
        <f>averageCompletionTimePorter(Dates!J$4,Dates!J$5,'Day1'!$B14)</f>
        <v>0</v>
      </c>
      <c r="K14" s="5">
        <f>averageCompletionTimePorter(Dates!K$4,Dates!K$5,'Day1'!$B14)</f>
        <v>0</v>
      </c>
      <c r="L14" s="5">
        <f>averageCompletionTimePorter(Dates!L$4,Dates!L$5,'Day1'!$B14)</f>
        <v>0</v>
      </c>
      <c r="M14" s="5">
        <f>averageCompletionTimePorter(Dates!M$4,Dates!M$5,'Day1'!$B14)</f>
        <v>0</v>
      </c>
      <c r="N14" s="5">
        <f>averageCompletionTimePorter(Dates!N$4,Dates!N$5,'Day1'!$B14)</f>
        <v>0</v>
      </c>
      <c r="O14" s="5">
        <f>averageCompletionTimePorter(Dates!O$4,Dates!O$5,'Day1'!$B14)</f>
        <v>0</v>
      </c>
      <c r="P14" s="5">
        <f>averageCompletionTimePorter(Dates!P$4,Dates!P$5,'Day1'!$B14)</f>
        <v>0</v>
      </c>
      <c r="Q14" s="5">
        <f>averageCompletionTimePorter(Dates!Q$4,Dates!Q$5,'Day1'!$B14)</f>
        <v>0</v>
      </c>
      <c r="R14" s="5">
        <f>averageCompletionTimePorter(Dates!R$4,Dates!R$5,'Day1'!$B14)</f>
        <v>0</v>
      </c>
      <c r="S14" s="5">
        <f>averageCompletionTimePorter(Dates!S$4,Dates!S$5,'Day1'!$B14)</f>
        <v>0</v>
      </c>
      <c r="T14" s="5">
        <f>averageCompletionTimePorter(Dates!T$4,Dates!T$5,'Day1'!$B14)</f>
        <v>0</v>
      </c>
      <c r="U14" s="5">
        <f>averageCompletionTimePorter(Dates!$C$4,Dates!$T$5,'Day1'!$B14)</f>
        <v>0</v>
      </c>
    </row>
    <row r="15" spans="1:21" x14ac:dyDescent="0.3">
      <c r="B15" s="8" t="s">
        <v>14</v>
      </c>
      <c r="C15" s="5">
        <f>averageCompletionTimePorter(Dates!C$4,Dates!C$5,'Day1'!$B15)</f>
        <v>0</v>
      </c>
      <c r="D15" s="5">
        <f>averageCompletionTimePorter(Dates!D$4,Dates!D$5,'Day1'!$B15)</f>
        <v>0</v>
      </c>
      <c r="E15" s="5">
        <f>averageCompletionTimePorter(Dates!E$4,Dates!E$5,'Day1'!$B15)</f>
        <v>0</v>
      </c>
      <c r="F15" s="5">
        <f>averageCompletionTimePorter(Dates!F$4,Dates!F$5,'Day1'!$B15)</f>
        <v>0</v>
      </c>
      <c r="G15" s="5">
        <f>averageCompletionTimePorter(Dates!G$4,Dates!G$5,'Day1'!$B15)</f>
        <v>0</v>
      </c>
      <c r="H15" s="5">
        <f>averageCompletionTimePorter(Dates!H$4,Dates!H$5,'Day1'!$B15)</f>
        <v>0</v>
      </c>
      <c r="I15" s="5">
        <f>averageCompletionTimePorter(Dates!I$4,Dates!I$5,'Day1'!$B15)</f>
        <v>0</v>
      </c>
      <c r="J15" s="5">
        <f>averageCompletionTimePorter(Dates!J$4,Dates!J$5,'Day1'!$B15)</f>
        <v>0</v>
      </c>
      <c r="K15" s="5">
        <f>averageCompletionTimePorter(Dates!K$4,Dates!K$5,'Day1'!$B15)</f>
        <v>0</v>
      </c>
      <c r="L15" s="5">
        <f>averageCompletionTimePorter(Dates!L$4,Dates!L$5,'Day1'!$B15)</f>
        <v>0</v>
      </c>
      <c r="M15" s="5">
        <f>averageCompletionTimePorter(Dates!M$4,Dates!M$5,'Day1'!$B15)</f>
        <v>0</v>
      </c>
      <c r="N15" s="5">
        <f>averageCompletionTimePorter(Dates!N$4,Dates!N$5,'Day1'!$B15)</f>
        <v>0</v>
      </c>
      <c r="O15" s="5">
        <f>averageCompletionTimePorter(Dates!O$4,Dates!O$5,'Day1'!$B15)</f>
        <v>0</v>
      </c>
      <c r="P15" s="5">
        <f>averageCompletionTimePorter(Dates!P$4,Dates!P$5,'Day1'!$B15)</f>
        <v>0</v>
      </c>
      <c r="Q15" s="5">
        <f>averageCompletionTimePorter(Dates!Q$4,Dates!Q$5,'Day1'!$B15)</f>
        <v>0</v>
      </c>
      <c r="R15" s="5">
        <f>averageCompletionTimePorter(Dates!R$4,Dates!R$5,'Day1'!$B15)</f>
        <v>0</v>
      </c>
      <c r="S15" s="5">
        <f>averageCompletionTimePorter(Dates!S$4,Dates!S$5,'Day1'!$B15)</f>
        <v>0</v>
      </c>
      <c r="T15" s="5">
        <f>averageCompletionTimePorter(Dates!T$4,Dates!T$5,'Day1'!$B15)</f>
        <v>0</v>
      </c>
      <c r="U15" s="5">
        <f>averageCompletionTimePorter(Dates!$C$4,Dates!$T$5,'Day1'!$B15)</f>
        <v>0</v>
      </c>
    </row>
    <row r="16" spans="1:21" x14ac:dyDescent="0.3">
      <c r="B16" s="8" t="s">
        <v>15</v>
      </c>
      <c r="C16" s="5">
        <f>averageCompletionTimePorter(Dates!C$4,Dates!C$5,'Day1'!$B16)</f>
        <v>0</v>
      </c>
      <c r="D16" s="5">
        <f>averageCompletionTimePorter(Dates!D$4,Dates!D$5,'Day1'!$B16)</f>
        <v>0</v>
      </c>
      <c r="E16" s="5">
        <f>averageCompletionTimePorter(Dates!E$4,Dates!E$5,'Day1'!$B16)</f>
        <v>0</v>
      </c>
      <c r="F16" s="5">
        <f>averageCompletionTimePorter(Dates!F$4,Dates!F$5,'Day1'!$B16)</f>
        <v>0</v>
      </c>
      <c r="G16" s="5">
        <f>averageCompletionTimePorter(Dates!G$4,Dates!G$5,'Day1'!$B16)</f>
        <v>0</v>
      </c>
      <c r="H16" s="5">
        <f>averageCompletionTimePorter(Dates!H$4,Dates!H$5,'Day1'!$B16)</f>
        <v>0</v>
      </c>
      <c r="I16" s="5">
        <f>averageCompletionTimePorter(Dates!I$4,Dates!I$5,'Day1'!$B16)</f>
        <v>0</v>
      </c>
      <c r="J16" s="5">
        <f>averageCompletionTimePorter(Dates!J$4,Dates!J$5,'Day1'!$B16)</f>
        <v>0</v>
      </c>
      <c r="K16" s="5">
        <f>averageCompletionTimePorter(Dates!K$4,Dates!K$5,'Day1'!$B16)</f>
        <v>0</v>
      </c>
      <c r="L16" s="5">
        <f>averageCompletionTimePorter(Dates!L$4,Dates!L$5,'Day1'!$B16)</f>
        <v>0</v>
      </c>
      <c r="M16" s="5">
        <f>averageCompletionTimePorter(Dates!M$4,Dates!M$5,'Day1'!$B16)</f>
        <v>0</v>
      </c>
      <c r="N16" s="5">
        <f>averageCompletionTimePorter(Dates!N$4,Dates!N$5,'Day1'!$B16)</f>
        <v>0</v>
      </c>
      <c r="O16" s="5">
        <f>averageCompletionTimePorter(Dates!O$4,Dates!O$5,'Day1'!$B16)</f>
        <v>0</v>
      </c>
      <c r="P16" s="5">
        <f>averageCompletionTimePorter(Dates!P$4,Dates!P$5,'Day1'!$B16)</f>
        <v>0</v>
      </c>
      <c r="Q16" s="5">
        <f>averageCompletionTimePorter(Dates!Q$4,Dates!Q$5,'Day1'!$B16)</f>
        <v>0</v>
      </c>
      <c r="R16" s="5">
        <f>averageCompletionTimePorter(Dates!R$4,Dates!R$5,'Day1'!$B16)</f>
        <v>0</v>
      </c>
      <c r="S16" s="5">
        <f>averageCompletionTimePorter(Dates!S$4,Dates!S$5,'Day1'!$B16)</f>
        <v>0</v>
      </c>
      <c r="T16" s="5">
        <f>averageCompletionTimePorter(Dates!T$4,Dates!T$5,'Day1'!$B16)</f>
        <v>0</v>
      </c>
      <c r="U16" s="5">
        <f>averageCompletionTimePorter(Dates!$C$4,Dates!$T$5,'Day1'!$B16)</f>
        <v>0</v>
      </c>
    </row>
    <row r="17" spans="2:21" x14ac:dyDescent="0.3">
      <c r="B17" s="8" t="s">
        <v>16</v>
      </c>
      <c r="C17" s="5">
        <f>averageCompletionTimePorter(Dates!C$4,Dates!C$5,'Day1'!$B17)</f>
        <v>0</v>
      </c>
      <c r="D17" s="5">
        <f>averageCompletionTimePorter(Dates!D$4,Dates!D$5,'Day1'!$B17)</f>
        <v>0</v>
      </c>
      <c r="E17" s="5">
        <f>averageCompletionTimePorter(Dates!E$4,Dates!E$5,'Day1'!$B17)</f>
        <v>0</v>
      </c>
      <c r="F17" s="5">
        <f>averageCompletionTimePorter(Dates!F$4,Dates!F$5,'Day1'!$B17)</f>
        <v>0</v>
      </c>
      <c r="G17" s="5">
        <f>averageCompletionTimePorter(Dates!G$4,Dates!G$5,'Day1'!$B17)</f>
        <v>0</v>
      </c>
      <c r="H17" s="5">
        <f>averageCompletionTimePorter(Dates!H$4,Dates!H$5,'Day1'!$B17)</f>
        <v>0</v>
      </c>
      <c r="I17" s="5">
        <f>averageCompletionTimePorter(Dates!I$4,Dates!I$5,'Day1'!$B17)</f>
        <v>0</v>
      </c>
      <c r="J17" s="5">
        <f>averageCompletionTimePorter(Dates!J$4,Dates!J$5,'Day1'!$B17)</f>
        <v>0</v>
      </c>
      <c r="K17" s="5">
        <f>averageCompletionTimePorter(Dates!K$4,Dates!K$5,'Day1'!$B17)</f>
        <v>0</v>
      </c>
      <c r="L17" s="5">
        <f>averageCompletionTimePorter(Dates!L$4,Dates!L$5,'Day1'!$B17)</f>
        <v>0</v>
      </c>
      <c r="M17" s="5">
        <f>averageCompletionTimePorter(Dates!M$4,Dates!M$5,'Day1'!$B17)</f>
        <v>0</v>
      </c>
      <c r="N17" s="5">
        <f>averageCompletionTimePorter(Dates!N$4,Dates!N$5,'Day1'!$B17)</f>
        <v>0</v>
      </c>
      <c r="O17" s="5">
        <f>averageCompletionTimePorter(Dates!O$4,Dates!O$5,'Day1'!$B17)</f>
        <v>0</v>
      </c>
      <c r="P17" s="5">
        <f>averageCompletionTimePorter(Dates!P$4,Dates!P$5,'Day1'!$B17)</f>
        <v>0</v>
      </c>
      <c r="Q17" s="5">
        <f>averageCompletionTimePorter(Dates!Q$4,Dates!Q$5,'Day1'!$B17)</f>
        <v>0</v>
      </c>
      <c r="R17" s="5">
        <f>averageCompletionTimePorter(Dates!R$4,Dates!R$5,'Day1'!$B17)</f>
        <v>0</v>
      </c>
      <c r="S17" s="5">
        <f>averageCompletionTimePorter(Dates!S$4,Dates!S$5,'Day1'!$B17)</f>
        <v>0</v>
      </c>
      <c r="T17" s="5">
        <f>averageCompletionTimePorter(Dates!T$4,Dates!T$5,'Day1'!$B17)</f>
        <v>0</v>
      </c>
      <c r="U17" s="5">
        <f>averageCompletionTimePorter(Dates!$C$4,Dates!$T$5,'Day1'!$B17)</f>
        <v>0</v>
      </c>
    </row>
    <row r="18" spans="2:21" x14ac:dyDescent="0.3">
      <c r="B18" s="8" t="s">
        <v>17</v>
      </c>
      <c r="C18" s="5">
        <f>averageCompletionTimePorter(Dates!C$4,Dates!C$5,'Day1'!$B18)</f>
        <v>0</v>
      </c>
      <c r="D18" s="5">
        <f>averageCompletionTimePorter(Dates!D$4,Dates!D$5,'Day1'!$B18)</f>
        <v>0</v>
      </c>
      <c r="E18" s="5">
        <f>averageCompletionTimePorter(Dates!E$4,Dates!E$5,'Day1'!$B18)</f>
        <v>0</v>
      </c>
      <c r="F18" s="5">
        <f>averageCompletionTimePorter(Dates!F$4,Dates!F$5,'Day1'!$B18)</f>
        <v>0</v>
      </c>
      <c r="G18" s="5">
        <f>averageCompletionTimePorter(Dates!G$4,Dates!G$5,'Day1'!$B18)</f>
        <v>0</v>
      </c>
      <c r="H18" s="5">
        <f>averageCompletionTimePorter(Dates!H$4,Dates!H$5,'Day1'!$B18)</f>
        <v>0</v>
      </c>
      <c r="I18" s="5">
        <f>averageCompletionTimePorter(Dates!I$4,Dates!I$5,'Day1'!$B18)</f>
        <v>0</v>
      </c>
      <c r="J18" s="5">
        <f>averageCompletionTimePorter(Dates!J$4,Dates!J$5,'Day1'!$B18)</f>
        <v>0</v>
      </c>
      <c r="K18" s="5">
        <f>averageCompletionTimePorter(Dates!K$4,Dates!K$5,'Day1'!$B18)</f>
        <v>0</v>
      </c>
      <c r="L18" s="5">
        <f>averageCompletionTimePorter(Dates!L$4,Dates!L$5,'Day1'!$B18)</f>
        <v>0</v>
      </c>
      <c r="M18" s="5">
        <f>averageCompletionTimePorter(Dates!M$4,Dates!M$5,'Day1'!$B18)</f>
        <v>0</v>
      </c>
      <c r="N18" s="5">
        <f>averageCompletionTimePorter(Dates!N$4,Dates!N$5,'Day1'!$B18)</f>
        <v>0</v>
      </c>
      <c r="O18" s="5">
        <f>averageCompletionTimePorter(Dates!O$4,Dates!O$5,'Day1'!$B18)</f>
        <v>0</v>
      </c>
      <c r="P18" s="5">
        <f>averageCompletionTimePorter(Dates!P$4,Dates!P$5,'Day1'!$B18)</f>
        <v>0</v>
      </c>
      <c r="Q18" s="5">
        <f>averageCompletionTimePorter(Dates!Q$4,Dates!Q$5,'Day1'!$B18)</f>
        <v>0</v>
      </c>
      <c r="R18" s="5">
        <f>averageCompletionTimePorter(Dates!R$4,Dates!R$5,'Day1'!$B18)</f>
        <v>0</v>
      </c>
      <c r="S18" s="5">
        <f>averageCompletionTimePorter(Dates!S$4,Dates!S$5,'Day1'!$B18)</f>
        <v>0</v>
      </c>
      <c r="T18" s="5">
        <f>averageCompletionTimePorter(Dates!T$4,Dates!T$5,'Day1'!$B18)</f>
        <v>0</v>
      </c>
      <c r="U18" s="5">
        <f>averageCompletionTimePorter(Dates!$C$4,Dates!$T$5,'Day1'!$B18)</f>
        <v>0</v>
      </c>
    </row>
    <row r="19" spans="2:21" x14ac:dyDescent="0.3">
      <c r="B19" s="8" t="s">
        <v>18</v>
      </c>
      <c r="C19" s="5">
        <f>averageCompletionTimePorter(Dates!C$4,Dates!C$5,'Day1'!$B19)</f>
        <v>0</v>
      </c>
      <c r="D19" s="5">
        <f>averageCompletionTimePorter(Dates!D$4,Dates!D$5,'Day1'!$B19)</f>
        <v>0</v>
      </c>
      <c r="E19" s="5">
        <f>averageCompletionTimePorter(Dates!E$4,Dates!E$5,'Day1'!$B19)</f>
        <v>0</v>
      </c>
      <c r="F19" s="5">
        <f>averageCompletionTimePorter(Dates!F$4,Dates!F$5,'Day1'!$B19)</f>
        <v>0</v>
      </c>
      <c r="G19" s="5">
        <f>averageCompletionTimePorter(Dates!G$4,Dates!G$5,'Day1'!$B19)</f>
        <v>0</v>
      </c>
      <c r="H19" s="5">
        <f>averageCompletionTimePorter(Dates!H$4,Dates!H$5,'Day1'!$B19)</f>
        <v>0</v>
      </c>
      <c r="I19" s="5">
        <f>averageCompletionTimePorter(Dates!I$4,Dates!I$5,'Day1'!$B19)</f>
        <v>0</v>
      </c>
      <c r="J19" s="5">
        <f>averageCompletionTimePorter(Dates!J$4,Dates!J$5,'Day1'!$B19)</f>
        <v>0</v>
      </c>
      <c r="K19" s="5">
        <f>averageCompletionTimePorter(Dates!K$4,Dates!K$5,'Day1'!$B19)</f>
        <v>0</v>
      </c>
      <c r="L19" s="5">
        <f>averageCompletionTimePorter(Dates!L$4,Dates!L$5,'Day1'!$B19)</f>
        <v>0</v>
      </c>
      <c r="M19" s="5">
        <f>averageCompletionTimePorter(Dates!M$4,Dates!M$5,'Day1'!$B19)</f>
        <v>0</v>
      </c>
      <c r="N19" s="5">
        <f>averageCompletionTimePorter(Dates!N$4,Dates!N$5,'Day1'!$B19)</f>
        <v>0</v>
      </c>
      <c r="O19" s="5">
        <f>averageCompletionTimePorter(Dates!O$4,Dates!O$5,'Day1'!$B19)</f>
        <v>0</v>
      </c>
      <c r="P19" s="5">
        <f>averageCompletionTimePorter(Dates!P$4,Dates!P$5,'Day1'!$B19)</f>
        <v>0</v>
      </c>
      <c r="Q19" s="5">
        <f>averageCompletionTimePorter(Dates!Q$4,Dates!Q$5,'Day1'!$B19)</f>
        <v>0</v>
      </c>
      <c r="R19" s="5">
        <f>averageCompletionTimePorter(Dates!R$4,Dates!R$5,'Day1'!$B19)</f>
        <v>0</v>
      </c>
      <c r="S19" s="5">
        <f>averageCompletionTimePorter(Dates!S$4,Dates!S$5,'Day1'!$B19)</f>
        <v>0</v>
      </c>
      <c r="T19" s="5">
        <f>averageCompletionTimePorter(Dates!T$4,Dates!T$5,'Day1'!$B19)</f>
        <v>0</v>
      </c>
      <c r="U19" s="5">
        <f>averageCompletionTimePorter(Dates!$C$4,Dates!$T$5,'Day1'!$B19)</f>
        <v>0</v>
      </c>
    </row>
    <row r="20" spans="2:21" x14ac:dyDescent="0.3">
      <c r="B20" s="8" t="s">
        <v>19</v>
      </c>
      <c r="C20" s="5">
        <f>averageCompletionTimePorter(Dates!C$4,Dates!C$5,'Day1'!$B20)</f>
        <v>0</v>
      </c>
      <c r="D20" s="5">
        <f>averageCompletionTimePorter(Dates!D$4,Dates!D$5,'Day1'!$B20)</f>
        <v>0</v>
      </c>
      <c r="E20" s="5">
        <f>averageCompletionTimePorter(Dates!E$4,Dates!E$5,'Day1'!$B20)</f>
        <v>0</v>
      </c>
      <c r="F20" s="5">
        <f>averageCompletionTimePorter(Dates!F$4,Dates!F$5,'Day1'!$B20)</f>
        <v>0</v>
      </c>
      <c r="G20" s="5">
        <f>averageCompletionTimePorter(Dates!G$4,Dates!G$5,'Day1'!$B20)</f>
        <v>0</v>
      </c>
      <c r="H20" s="5">
        <f>averageCompletionTimePorter(Dates!H$4,Dates!H$5,'Day1'!$B20)</f>
        <v>0</v>
      </c>
      <c r="I20" s="5">
        <f>averageCompletionTimePorter(Dates!I$4,Dates!I$5,'Day1'!$B20)</f>
        <v>0</v>
      </c>
      <c r="J20" s="5">
        <f>averageCompletionTimePorter(Dates!J$4,Dates!J$5,'Day1'!$B20)</f>
        <v>0</v>
      </c>
      <c r="K20" s="5">
        <f>averageCompletionTimePorter(Dates!K$4,Dates!K$5,'Day1'!$B20)</f>
        <v>0</v>
      </c>
      <c r="L20" s="5">
        <f>averageCompletionTimePorter(Dates!L$4,Dates!L$5,'Day1'!$B20)</f>
        <v>0</v>
      </c>
      <c r="M20" s="5">
        <f>averageCompletionTimePorter(Dates!M$4,Dates!M$5,'Day1'!$B20)</f>
        <v>0</v>
      </c>
      <c r="N20" s="5">
        <f>averageCompletionTimePorter(Dates!N$4,Dates!N$5,'Day1'!$B20)</f>
        <v>0</v>
      </c>
      <c r="O20" s="5">
        <f>averageCompletionTimePorter(Dates!O$4,Dates!O$5,'Day1'!$B20)</f>
        <v>0</v>
      </c>
      <c r="P20" s="5">
        <f>averageCompletionTimePorter(Dates!P$4,Dates!P$5,'Day1'!$B20)</f>
        <v>0</v>
      </c>
      <c r="Q20" s="5">
        <f>averageCompletionTimePorter(Dates!Q$4,Dates!Q$5,'Day1'!$B20)</f>
        <v>0</v>
      </c>
      <c r="R20" s="5">
        <f>averageCompletionTimePorter(Dates!R$4,Dates!R$5,'Day1'!$B20)</f>
        <v>0</v>
      </c>
      <c r="S20" s="5">
        <f>averageCompletionTimePorter(Dates!S$4,Dates!S$5,'Day1'!$B20)</f>
        <v>0</v>
      </c>
      <c r="T20" s="5">
        <f>averageCompletionTimePorter(Dates!T$4,Dates!T$5,'Day1'!$B20)</f>
        <v>0</v>
      </c>
      <c r="U20" s="5">
        <f>averageCompletionTimePorter(Dates!$C$4,Dates!$T$5,'Day1'!$B20)</f>
        <v>0</v>
      </c>
    </row>
    <row r="21" spans="2:21" x14ac:dyDescent="0.3">
      <c r="B21" s="8" t="s">
        <v>20</v>
      </c>
      <c r="C21" s="5">
        <f>averageCompletionTimePorter(Dates!C$4,Dates!C$5,'Day1'!$B21)</f>
        <v>0</v>
      </c>
      <c r="D21" s="5">
        <f>averageCompletionTimePorter(Dates!D$4,Dates!D$5,'Day1'!$B21)</f>
        <v>0</v>
      </c>
      <c r="E21" s="5">
        <f>averageCompletionTimePorter(Dates!E$4,Dates!E$5,'Day1'!$B21)</f>
        <v>0</v>
      </c>
      <c r="F21" s="5">
        <f>averageCompletionTimePorter(Dates!F$4,Dates!F$5,'Day1'!$B21)</f>
        <v>0</v>
      </c>
      <c r="G21" s="5">
        <f>averageCompletionTimePorter(Dates!G$4,Dates!G$5,'Day1'!$B21)</f>
        <v>0</v>
      </c>
      <c r="H21" s="5">
        <f>averageCompletionTimePorter(Dates!H$4,Dates!H$5,'Day1'!$B21)</f>
        <v>0</v>
      </c>
      <c r="I21" s="5">
        <f>averageCompletionTimePorter(Dates!I$4,Dates!I$5,'Day1'!$B21)</f>
        <v>0</v>
      </c>
      <c r="J21" s="5">
        <f>averageCompletionTimePorter(Dates!J$4,Dates!J$5,'Day1'!$B21)</f>
        <v>0</v>
      </c>
      <c r="K21" s="5">
        <f>averageCompletionTimePorter(Dates!K$4,Dates!K$5,'Day1'!$B21)</f>
        <v>0</v>
      </c>
      <c r="L21" s="5">
        <f>averageCompletionTimePorter(Dates!L$4,Dates!L$5,'Day1'!$B21)</f>
        <v>0</v>
      </c>
      <c r="M21" s="5">
        <f>averageCompletionTimePorter(Dates!M$4,Dates!M$5,'Day1'!$B21)</f>
        <v>0</v>
      </c>
      <c r="N21" s="5">
        <f>averageCompletionTimePorter(Dates!N$4,Dates!N$5,'Day1'!$B21)</f>
        <v>0</v>
      </c>
      <c r="O21" s="5">
        <f>averageCompletionTimePorter(Dates!O$4,Dates!O$5,'Day1'!$B21)</f>
        <v>0</v>
      </c>
      <c r="P21" s="5">
        <f>averageCompletionTimePorter(Dates!P$4,Dates!P$5,'Day1'!$B21)</f>
        <v>0</v>
      </c>
      <c r="Q21" s="5">
        <f>averageCompletionTimePorter(Dates!Q$4,Dates!Q$5,'Day1'!$B21)</f>
        <v>0</v>
      </c>
      <c r="R21" s="5">
        <f>averageCompletionTimePorter(Dates!R$4,Dates!R$5,'Day1'!$B21)</f>
        <v>0</v>
      </c>
      <c r="S21" s="5">
        <f>averageCompletionTimePorter(Dates!S$4,Dates!S$5,'Day1'!$B21)</f>
        <v>0</v>
      </c>
      <c r="T21" s="5">
        <f>averageCompletionTimePorter(Dates!T$4,Dates!T$5,'Day1'!$B21)</f>
        <v>0</v>
      </c>
      <c r="U21" s="5">
        <f>averageCompletionTimePorter(Dates!$C$4,Dates!$T$5,'Day1'!$B21)</f>
        <v>0</v>
      </c>
    </row>
    <row r="22" spans="2:21" x14ac:dyDescent="0.3">
      <c r="B22" s="8" t="s">
        <v>21</v>
      </c>
      <c r="C22" s="5">
        <f>averageCompletionTimePorter(Dates!C$4,Dates!C$5,'Day1'!$B22)</f>
        <v>0</v>
      </c>
      <c r="D22" s="5">
        <f>averageCompletionTimePorter(Dates!D$4,Dates!D$5,'Day1'!$B22)</f>
        <v>0</v>
      </c>
      <c r="E22" s="5">
        <f>averageCompletionTimePorter(Dates!E$4,Dates!E$5,'Day1'!$B22)</f>
        <v>0</v>
      </c>
      <c r="F22" s="5">
        <f>averageCompletionTimePorter(Dates!F$4,Dates!F$5,'Day1'!$B22)</f>
        <v>0</v>
      </c>
      <c r="G22" s="5">
        <f>averageCompletionTimePorter(Dates!G$4,Dates!G$5,'Day1'!$B22)</f>
        <v>0</v>
      </c>
      <c r="H22" s="5">
        <f>averageCompletionTimePorter(Dates!H$4,Dates!H$5,'Day1'!$B22)</f>
        <v>0</v>
      </c>
      <c r="I22" s="5">
        <f>averageCompletionTimePorter(Dates!I$4,Dates!I$5,'Day1'!$B22)</f>
        <v>0</v>
      </c>
      <c r="J22" s="5">
        <f>averageCompletionTimePorter(Dates!J$4,Dates!J$5,'Day1'!$B22)</f>
        <v>0</v>
      </c>
      <c r="K22" s="5">
        <f>averageCompletionTimePorter(Dates!K$4,Dates!K$5,'Day1'!$B22)</f>
        <v>0</v>
      </c>
      <c r="L22" s="5">
        <f>averageCompletionTimePorter(Dates!L$4,Dates!L$5,'Day1'!$B22)</f>
        <v>0</v>
      </c>
      <c r="M22" s="5">
        <f>averageCompletionTimePorter(Dates!M$4,Dates!M$5,'Day1'!$B22)</f>
        <v>0</v>
      </c>
      <c r="N22" s="5">
        <f>averageCompletionTimePorter(Dates!N$4,Dates!N$5,'Day1'!$B22)</f>
        <v>0</v>
      </c>
      <c r="O22" s="5">
        <f>averageCompletionTimePorter(Dates!O$4,Dates!O$5,'Day1'!$B22)</f>
        <v>0</v>
      </c>
      <c r="P22" s="5">
        <f>averageCompletionTimePorter(Dates!P$4,Dates!P$5,'Day1'!$B22)</f>
        <v>0</v>
      </c>
      <c r="Q22" s="5">
        <f>averageCompletionTimePorter(Dates!Q$4,Dates!Q$5,'Day1'!$B22)</f>
        <v>0</v>
      </c>
      <c r="R22" s="5">
        <f>averageCompletionTimePorter(Dates!R$4,Dates!R$5,'Day1'!$B22)</f>
        <v>0</v>
      </c>
      <c r="S22" s="5">
        <f>averageCompletionTimePorter(Dates!S$4,Dates!S$5,'Day1'!$B22)</f>
        <v>0</v>
      </c>
      <c r="T22" s="5">
        <f>averageCompletionTimePorter(Dates!T$4,Dates!T$5,'Day1'!$B22)</f>
        <v>0</v>
      </c>
      <c r="U22" s="5">
        <f>averageCompletionTimePorter(Dates!$C$4,Dates!$T$5,'Day1'!$B22)</f>
        <v>0</v>
      </c>
    </row>
    <row r="23" spans="2:21" x14ac:dyDescent="0.3">
      <c r="B23" s="8" t="s">
        <v>22</v>
      </c>
      <c r="C23" s="5">
        <f>averageCompletionTimePorter(Dates!C$4,Dates!C$5,'Day1'!$B23)</f>
        <v>0</v>
      </c>
      <c r="D23" s="5">
        <f>averageCompletionTimePorter(Dates!D$4,Dates!D$5,'Day1'!$B23)</f>
        <v>0</v>
      </c>
      <c r="E23" s="5">
        <f>averageCompletionTimePorter(Dates!E$4,Dates!E$5,'Day1'!$B23)</f>
        <v>0</v>
      </c>
      <c r="F23" s="5">
        <f>averageCompletionTimePorter(Dates!F$4,Dates!F$5,'Day1'!$B23)</f>
        <v>0</v>
      </c>
      <c r="G23" s="5">
        <f>averageCompletionTimePorter(Dates!G$4,Dates!G$5,'Day1'!$B23)</f>
        <v>0</v>
      </c>
      <c r="H23" s="5">
        <f>averageCompletionTimePorter(Dates!H$4,Dates!H$5,'Day1'!$B23)</f>
        <v>0</v>
      </c>
      <c r="I23" s="5">
        <f>averageCompletionTimePorter(Dates!I$4,Dates!I$5,'Day1'!$B23)</f>
        <v>0</v>
      </c>
      <c r="J23" s="5">
        <f>averageCompletionTimePorter(Dates!J$4,Dates!J$5,'Day1'!$B23)</f>
        <v>0</v>
      </c>
      <c r="K23" s="5">
        <f>averageCompletionTimePorter(Dates!K$4,Dates!K$5,'Day1'!$B23)</f>
        <v>0</v>
      </c>
      <c r="L23" s="5">
        <f>averageCompletionTimePorter(Dates!L$4,Dates!L$5,'Day1'!$B23)</f>
        <v>0</v>
      </c>
      <c r="M23" s="5">
        <f>averageCompletionTimePorter(Dates!M$4,Dates!M$5,'Day1'!$B23)</f>
        <v>0</v>
      </c>
      <c r="N23" s="5">
        <f>averageCompletionTimePorter(Dates!N$4,Dates!N$5,'Day1'!$B23)</f>
        <v>0</v>
      </c>
      <c r="O23" s="5">
        <f>averageCompletionTimePorter(Dates!O$4,Dates!O$5,'Day1'!$B23)</f>
        <v>0</v>
      </c>
      <c r="P23" s="5">
        <f>averageCompletionTimePorter(Dates!P$4,Dates!P$5,'Day1'!$B23)</f>
        <v>0</v>
      </c>
      <c r="Q23" s="5">
        <f>averageCompletionTimePorter(Dates!Q$4,Dates!Q$5,'Day1'!$B23)</f>
        <v>0</v>
      </c>
      <c r="R23" s="5">
        <f>averageCompletionTimePorter(Dates!R$4,Dates!R$5,'Day1'!$B23)</f>
        <v>0</v>
      </c>
      <c r="S23" s="5">
        <f>averageCompletionTimePorter(Dates!S$4,Dates!S$5,'Day1'!$B23)</f>
        <v>0</v>
      </c>
      <c r="T23" s="5">
        <f>averageCompletionTimePorter(Dates!T$4,Dates!T$5,'Day1'!$B23)</f>
        <v>0</v>
      </c>
      <c r="U23" s="5">
        <f>averageCompletionTimePorter(Dates!$C$4,Dates!$T$5,'Day1'!$B23)</f>
        <v>0</v>
      </c>
    </row>
    <row r="25" spans="2:21" x14ac:dyDescent="0.3">
      <c r="B25" s="7" t="s">
        <v>12</v>
      </c>
      <c r="C25" s="5">
        <f>averageResponseTime(Dates!C$4,Dates!C$5)</f>
        <v>7</v>
      </c>
      <c r="D25" s="5">
        <f>averageResponseTime(Dates!D$4,Dates!D$5)</f>
        <v>2.2857142857142856</v>
      </c>
      <c r="E25" s="5">
        <f>averageResponseTime(Dates!E$4,Dates!E$5)</f>
        <v>2</v>
      </c>
      <c r="F25" s="5">
        <f>averageResponseTime(Dates!F$4,Dates!F$5)</f>
        <v>1.3333333333333333</v>
      </c>
      <c r="G25" s="5">
        <f>averageResponseTime(Dates!G$4,Dates!G$5)</f>
        <v>1.1666666666666667</v>
      </c>
      <c r="H25" s="5">
        <f>averageResponseTime(Dates!H$4,Dates!H$5)</f>
        <v>5.333333333333333</v>
      </c>
      <c r="I25" s="5">
        <f>averageResponseTime(Dates!I$4,Dates!I$5)</f>
        <v>4.1428571428571432</v>
      </c>
      <c r="J25" s="5">
        <f>averageResponseTime(Dates!J$4,Dates!J$5)</f>
        <v>9.6</v>
      </c>
      <c r="K25" s="5">
        <f>averageResponseTime(Dates!K$4,Dates!K$5)</f>
        <v>3.25</v>
      </c>
      <c r="L25" s="5">
        <f>averageResponseTime(Dates!L$4,Dates!L$5)</f>
        <v>1.85</v>
      </c>
      <c r="M25" s="5">
        <f>averageResponseTime(Dates!M$4,Dates!M$5)</f>
        <v>6.333333333333333</v>
      </c>
      <c r="N25" s="5">
        <f>averageResponseTime(Dates!N$4,Dates!N$5)</f>
        <v>3.25</v>
      </c>
      <c r="O25" s="5">
        <f>averageResponseTime(Dates!O$4,Dates!O$5)</f>
        <v>3</v>
      </c>
      <c r="P25" s="5">
        <f>averageResponseTime(Dates!P$4,Dates!P$5)</f>
        <v>18</v>
      </c>
      <c r="Q25" s="5">
        <f>averageResponseTime(Dates!Q$4,Dates!Q$5)</f>
        <v>0</v>
      </c>
      <c r="R25" s="5">
        <f>averageResponseTime(Dates!R$4,Dates!R$5)</f>
        <v>21</v>
      </c>
      <c r="S25" s="5">
        <f>averageResponseTime(Dates!S$4,Dates!S$5)</f>
        <v>5</v>
      </c>
      <c r="T25" s="5">
        <f>averageResponseTime(Dates!T$4,Dates!T$5)</f>
        <v>0</v>
      </c>
      <c r="U25" s="5">
        <f>averageResponseTime(Dates!C$4,Dates!T$5)</f>
        <v>9.2783505154639179E-2</v>
      </c>
    </row>
    <row r="26" spans="2:21" x14ac:dyDescent="0.3">
      <c r="B26" s="7">
        <f t="shared" ref="B26:B36" si="0">B3</f>
        <v>1</v>
      </c>
      <c r="C26" s="5">
        <f>averageResponseTimePorter(Dates!C$4,Dates!C$5,'Day1'!$B26)</f>
        <v>0.75</v>
      </c>
      <c r="D26" s="5">
        <f>averageResponseTimePorter(Dates!D$4,Dates!D$5,'Day1'!$B26)</f>
        <v>15</v>
      </c>
      <c r="E26" s="5">
        <f>averageResponseTimePorter(Dates!E$4,Dates!E$5,'Day1'!$B26)</f>
        <v>0</v>
      </c>
      <c r="F26" s="5">
        <f>averageResponseTimePorter(Dates!F$4,Dates!F$5,'Day1'!$B26)</f>
        <v>39</v>
      </c>
      <c r="G26" s="5">
        <f>averageResponseTimePorter(Dates!G$4,Dates!G$5,'Day1'!$B26)</f>
        <v>8</v>
      </c>
      <c r="H26" s="5">
        <f>averageResponseTimePorter(Dates!H$4,Dates!H$5,'Day1'!$B26)</f>
        <v>0</v>
      </c>
      <c r="I26" s="5">
        <f>averageResponseTimePorter(Dates!I$4,Dates!I$5,'Day1'!$B26)</f>
        <v>7</v>
      </c>
      <c r="J26" s="5">
        <f>averageResponseTimePorter(Dates!J$4,Dates!J$5,'Day1'!$B26)</f>
        <v>35</v>
      </c>
      <c r="K26" s="5">
        <f>averageResponseTimePorter(Dates!K$4,Dates!K$5,'Day1'!$B26)</f>
        <v>10</v>
      </c>
      <c r="L26" s="5">
        <f>averageResponseTimePorter(Dates!L$4,Dates!L$5,'Day1'!$B26)</f>
        <v>4</v>
      </c>
      <c r="M26" s="5">
        <f>averageResponseTimePorter(Dates!M$4,Dates!M$5,'Day1'!$B26)</f>
        <v>40</v>
      </c>
      <c r="N26" s="5">
        <f>averageResponseTimePorter(Dates!N$4,Dates!N$5,'Day1'!$B26)</f>
        <v>52</v>
      </c>
      <c r="O26" s="5">
        <f>averageResponseTimePorter(Dates!O$4,Dates!O$5,'Day1'!$B26)</f>
        <v>0</v>
      </c>
      <c r="P26" s="5">
        <f>averageResponseTimePorter(Dates!P$4,Dates!P$5,'Day1'!$B26)</f>
        <v>17</v>
      </c>
      <c r="Q26" s="5">
        <f>averageResponseTimePorter(Dates!Q$4,Dates!Q$5,'Day1'!$B26)</f>
        <v>26</v>
      </c>
      <c r="R26" s="5">
        <f>averageResponseTimePorter(Dates!R$4,Dates!R$5,'Day1'!$B26)</f>
        <v>0</v>
      </c>
      <c r="S26" s="5">
        <f>averageResponseTimePorter(Dates!S$4,Dates!S$5,'Day1'!$B26)</f>
        <v>17</v>
      </c>
      <c r="T26" s="5">
        <f>averageResponseTimePorter(Dates!T$4,Dates!T$5,'Day1'!$B26)</f>
        <v>0</v>
      </c>
      <c r="U26" s="5">
        <f>averageResponseTimePorter(Dates!$C$4,Dates!$T$5,'Day1'!$B3)</f>
        <v>2.9411764705882355</v>
      </c>
    </row>
    <row r="27" spans="2:21" x14ac:dyDescent="0.3">
      <c r="B27" s="7">
        <f t="shared" si="0"/>
        <v>0</v>
      </c>
      <c r="C27" s="5">
        <f>averageResponseTimePorter(Dates!C$4,Dates!C$5,'Day1'!$B27)</f>
        <v>0</v>
      </c>
      <c r="D27" s="5">
        <f>averageResponseTimePorter(Dates!D$4,Dates!D$5,'Day1'!$B27)</f>
        <v>4</v>
      </c>
      <c r="E27" s="5">
        <f>averageResponseTimePorter(Dates!E$4,Dates!E$5,'Day1'!$B27)</f>
        <v>0</v>
      </c>
      <c r="F27" s="5">
        <f>averageResponseTimePorter(Dates!F$4,Dates!F$5,'Day1'!$B27)</f>
        <v>27</v>
      </c>
      <c r="G27" s="5">
        <f>averageResponseTimePorter(Dates!G$4,Dates!G$5,'Day1'!$B27)</f>
        <v>0</v>
      </c>
      <c r="H27" s="5">
        <f>averageResponseTimePorter(Dates!H$4,Dates!H$5,'Day1'!$B27)</f>
        <v>4.5</v>
      </c>
      <c r="I27" s="5">
        <f>averageResponseTimePorter(Dates!I$4,Dates!I$5,'Day1'!$B27)</f>
        <v>17</v>
      </c>
      <c r="J27" s="5">
        <f>averageResponseTimePorter(Dates!J$4,Dates!J$5,'Day1'!$B27)</f>
        <v>0</v>
      </c>
      <c r="K27" s="5">
        <f>averageResponseTimePorter(Dates!K$4,Dates!K$5,'Day1'!$B27)</f>
        <v>17.666666666666668</v>
      </c>
      <c r="L27" s="5">
        <f>averageResponseTimePorter(Dates!L$4,Dates!L$5,'Day1'!$B27)</f>
        <v>19</v>
      </c>
      <c r="M27" s="5">
        <f>averageResponseTimePorter(Dates!M$4,Dates!M$5,'Day1'!$B27)</f>
        <v>16</v>
      </c>
      <c r="N27" s="5">
        <f>averageResponseTimePorter(Dates!N$4,Dates!N$5,'Day1'!$B27)</f>
        <v>0</v>
      </c>
      <c r="O27" s="5">
        <f>averageResponseTimePorter(Dates!O$4,Dates!O$5,'Day1'!$B27)</f>
        <v>0</v>
      </c>
      <c r="P27" s="5">
        <f>averageResponseTimePorter(Dates!P$4,Dates!P$5,'Day1'!$B27)</f>
        <v>0</v>
      </c>
      <c r="Q27" s="5">
        <f>averageResponseTimePorter(Dates!Q$4,Dates!Q$5,'Day1'!$B27)</f>
        <v>1</v>
      </c>
      <c r="R27" s="5">
        <f>averageResponseTimePorter(Dates!R$4,Dates!R$5,'Day1'!$B27)</f>
        <v>0</v>
      </c>
      <c r="S27" s="5">
        <f>averageResponseTimePorter(Dates!S$4,Dates!S$5,'Day1'!$B27)</f>
        <v>0</v>
      </c>
      <c r="T27" s="5">
        <f>averageResponseTimePorter(Dates!T$4,Dates!T$5,'Day1'!$B27)</f>
        <v>0</v>
      </c>
      <c r="U27" s="5">
        <f>averageResponseTimePorter(Dates!$C$4,Dates!$T$5,'Day1'!$B4)</f>
        <v>1.8</v>
      </c>
    </row>
    <row r="28" spans="2:21" x14ac:dyDescent="0.3">
      <c r="B28" s="7">
        <f t="shared" si="0"/>
        <v>3</v>
      </c>
      <c r="C28" s="5">
        <f>averageResponseTimePorter(Dates!C$4,Dates!C$5,'Day1'!$B28)</f>
        <v>0</v>
      </c>
      <c r="D28" s="5">
        <f>averageResponseTimePorter(Dates!D$4,Dates!D$5,'Day1'!$B28)</f>
        <v>10.5</v>
      </c>
      <c r="E28" s="5">
        <f>averageResponseTimePorter(Dates!E$4,Dates!E$5,'Day1'!$B28)</f>
        <v>0</v>
      </c>
      <c r="F28" s="5">
        <f>averageResponseTimePorter(Dates!F$4,Dates!F$5,'Day1'!$B28)</f>
        <v>0</v>
      </c>
      <c r="G28" s="5">
        <f>averageResponseTimePorter(Dates!G$4,Dates!G$5,'Day1'!$B28)</f>
        <v>17</v>
      </c>
      <c r="H28" s="5">
        <f>averageResponseTimePorter(Dates!H$4,Dates!H$5,'Day1'!$B28)</f>
        <v>15</v>
      </c>
      <c r="I28" s="5">
        <f>averageResponseTimePorter(Dates!I$4,Dates!I$5,'Day1'!$B28)</f>
        <v>0</v>
      </c>
      <c r="J28" s="5">
        <f>averageResponseTimePorter(Dates!J$4,Dates!J$5,'Day1'!$B28)</f>
        <v>13</v>
      </c>
      <c r="K28" s="5">
        <f>averageResponseTimePorter(Dates!K$4,Dates!K$5,'Day1'!$B28)</f>
        <v>25.5</v>
      </c>
      <c r="L28" s="5">
        <f>averageResponseTimePorter(Dates!L$4,Dates!L$5,'Day1'!$B28)</f>
        <v>11</v>
      </c>
      <c r="M28" s="5">
        <f>averageResponseTimePorter(Dates!M$4,Dates!M$5,'Day1'!$B28)</f>
        <v>23</v>
      </c>
      <c r="N28" s="5">
        <f>averageResponseTimePorter(Dates!N$4,Dates!N$5,'Day1'!$B28)</f>
        <v>53</v>
      </c>
      <c r="O28" s="5">
        <f>averageResponseTimePorter(Dates!O$4,Dates!O$5,'Day1'!$B28)</f>
        <v>0</v>
      </c>
      <c r="P28" s="5">
        <f>averageResponseTimePorter(Dates!P$4,Dates!P$5,'Day1'!$B28)</f>
        <v>0</v>
      </c>
      <c r="Q28" s="5">
        <f>averageResponseTimePorter(Dates!Q$4,Dates!Q$5,'Day1'!$B28)</f>
        <v>4</v>
      </c>
      <c r="R28" s="5">
        <f>averageResponseTimePorter(Dates!R$4,Dates!R$5,'Day1'!$B28)</f>
        <v>0</v>
      </c>
      <c r="S28" s="5">
        <f>averageResponseTimePorter(Dates!S$4,Dates!S$5,'Day1'!$B28)</f>
        <v>0</v>
      </c>
      <c r="T28" s="5">
        <f>averageResponseTimePorter(Dates!T$4,Dates!T$5,'Day1'!$B28)</f>
        <v>0</v>
      </c>
      <c r="U28" s="5">
        <f>averageResponseTimePorter(Dates!$C$4,Dates!$T$5,'Day1'!$B5)</f>
        <v>2.5454545454545454</v>
      </c>
    </row>
    <row r="29" spans="2:21" x14ac:dyDescent="0.3">
      <c r="B29" s="7">
        <f t="shared" si="0"/>
        <v>2</v>
      </c>
      <c r="C29" s="5">
        <f>averageResponseTimePorter(Dates!C$4,Dates!C$5,'Day1'!$B29)</f>
        <v>0</v>
      </c>
      <c r="D29" s="5">
        <f>averageResponseTimePorter(Dates!D$4,Dates!D$5,'Day1'!$B29)</f>
        <v>16</v>
      </c>
      <c r="E29" s="5">
        <f>averageResponseTimePorter(Dates!E$4,Dates!E$5,'Day1'!$B29)</f>
        <v>18</v>
      </c>
      <c r="F29" s="5">
        <f>averageResponseTimePorter(Dates!F$4,Dates!F$5,'Day1'!$B29)</f>
        <v>32</v>
      </c>
      <c r="G29" s="5">
        <f>averageResponseTimePorter(Dates!G$4,Dates!G$5,'Day1'!$B29)</f>
        <v>0</v>
      </c>
      <c r="H29" s="5">
        <f>averageResponseTimePorter(Dates!H$4,Dates!H$5,'Day1'!$B29)</f>
        <v>3</v>
      </c>
      <c r="I29" s="5">
        <f>averageResponseTimePorter(Dates!I$4,Dates!I$5,'Day1'!$B29)</f>
        <v>10</v>
      </c>
      <c r="J29" s="5">
        <f>averageResponseTimePorter(Dates!J$4,Dates!J$5,'Day1'!$B29)</f>
        <v>29</v>
      </c>
      <c r="K29" s="5">
        <f>averageResponseTimePorter(Dates!K$4,Dates!K$5,'Day1'!$B29)</f>
        <v>0</v>
      </c>
      <c r="L29" s="5">
        <f>averageResponseTimePorter(Dates!L$4,Dates!L$5,'Day1'!$B29)</f>
        <v>4.5999999999999996</v>
      </c>
      <c r="M29" s="5">
        <f>averageResponseTimePorter(Dates!M$4,Dates!M$5,'Day1'!$B29)</f>
        <v>4</v>
      </c>
      <c r="N29" s="5">
        <f>averageResponseTimePorter(Dates!N$4,Dates!N$5,'Day1'!$B29)</f>
        <v>6</v>
      </c>
      <c r="O29" s="5">
        <f>averageResponseTimePorter(Dates!O$4,Dates!O$5,'Day1'!$B29)</f>
        <v>0</v>
      </c>
      <c r="P29" s="5">
        <f>averageResponseTimePorter(Dates!P$4,Dates!P$5,'Day1'!$B29)</f>
        <v>30</v>
      </c>
      <c r="Q29" s="5">
        <f>averageResponseTimePorter(Dates!Q$4,Dates!Q$5,'Day1'!$B29)</f>
        <v>0</v>
      </c>
      <c r="R29" s="5">
        <f>averageResponseTimePorter(Dates!R$4,Dates!R$5,'Day1'!$B29)</f>
        <v>26</v>
      </c>
      <c r="S29" s="5">
        <f>averageResponseTimePorter(Dates!S$4,Dates!S$5,'Day1'!$B29)</f>
        <v>0</v>
      </c>
      <c r="T29" s="5">
        <f>averageResponseTimePorter(Dates!T$4,Dates!T$5,'Day1'!$B29)</f>
        <v>0</v>
      </c>
      <c r="U29" s="5">
        <f>averageResponseTimePorter(Dates!$C$4,Dates!$T$5,'Day1'!$B6)</f>
        <v>1.1333333333333333</v>
      </c>
    </row>
    <row r="30" spans="2:21" x14ac:dyDescent="0.3">
      <c r="B30" s="7">
        <f t="shared" si="0"/>
        <v>5</v>
      </c>
      <c r="C30" s="5">
        <f>averageResponseTimePorter(Dates!C$4,Dates!C$5,'Day1'!$B30)</f>
        <v>0</v>
      </c>
      <c r="D30" s="5">
        <f>averageResponseTimePorter(Dates!D$4,Dates!D$5,'Day1'!$B30)</f>
        <v>26</v>
      </c>
      <c r="E30" s="5">
        <f>averageResponseTimePorter(Dates!E$4,Dates!E$5,'Day1'!$B30)</f>
        <v>9</v>
      </c>
      <c r="F30" s="5">
        <f>averageResponseTimePorter(Dates!F$4,Dates!F$5,'Day1'!$B30)</f>
        <v>28</v>
      </c>
      <c r="G30" s="5">
        <f>averageResponseTimePorter(Dates!G$4,Dates!G$5,'Day1'!$B30)</f>
        <v>0</v>
      </c>
      <c r="H30" s="5">
        <f>averageResponseTimePorter(Dates!H$4,Dates!H$5,'Day1'!$B30)</f>
        <v>16</v>
      </c>
      <c r="I30" s="5">
        <f>averageResponseTimePorter(Dates!I$4,Dates!I$5,'Day1'!$B30)</f>
        <v>4</v>
      </c>
      <c r="J30" s="5">
        <f>averageResponseTimePorter(Dates!J$4,Dates!J$5,'Day1'!$B30)</f>
        <v>12</v>
      </c>
      <c r="K30" s="5">
        <f>averageResponseTimePorter(Dates!K$4,Dates!K$5,'Day1'!$B30)</f>
        <v>8</v>
      </c>
      <c r="L30" s="5">
        <f>averageResponseTimePorter(Dates!L$4,Dates!L$5,'Day1'!$B30)</f>
        <v>4</v>
      </c>
      <c r="M30" s="5">
        <f>averageResponseTimePorter(Dates!M$4,Dates!M$5,'Day1'!$B30)</f>
        <v>0.5</v>
      </c>
      <c r="N30" s="5">
        <f>averageResponseTimePorter(Dates!N$4,Dates!N$5,'Day1'!$B30)</f>
        <v>36</v>
      </c>
      <c r="O30" s="5">
        <f>averageResponseTimePorter(Dates!O$4,Dates!O$5,'Day1'!$B30)</f>
        <v>0</v>
      </c>
      <c r="P30" s="5">
        <f>averageResponseTimePorter(Dates!P$4,Dates!P$5,'Day1'!$B30)</f>
        <v>56</v>
      </c>
      <c r="Q30" s="5">
        <f>averageResponseTimePorter(Dates!Q$4,Dates!Q$5,'Day1'!$B30)</f>
        <v>0</v>
      </c>
      <c r="R30" s="5">
        <f>averageResponseTimePorter(Dates!R$4,Dates!R$5,'Day1'!$B30)</f>
        <v>1</v>
      </c>
      <c r="S30" s="5">
        <f>averageResponseTimePorter(Dates!S$4,Dates!S$5,'Day1'!$B30)</f>
        <v>0</v>
      </c>
      <c r="T30" s="5">
        <f>averageResponseTimePorter(Dates!T$4,Dates!T$5,'Day1'!$B30)</f>
        <v>0</v>
      </c>
      <c r="U30" s="5">
        <f>averageResponseTimePorter(Dates!$C$4,Dates!$T$5,'Day1'!$B7)</f>
        <v>2.0714285714285716</v>
      </c>
    </row>
    <row r="31" spans="2:21" x14ac:dyDescent="0.3">
      <c r="B31" s="7">
        <f t="shared" si="0"/>
        <v>4</v>
      </c>
      <c r="C31" s="5">
        <f>averageResponseTimePorter(Dates!C$4,Dates!C$5,'Day1'!$B31)</f>
        <v>0</v>
      </c>
      <c r="D31" s="5">
        <f>averageResponseTimePorter(Dates!D$4,Dates!D$5,'Day1'!$B31)</f>
        <v>3</v>
      </c>
      <c r="E31" s="5">
        <f>averageResponseTimePorter(Dates!E$4,Dates!E$5,'Day1'!$B31)</f>
        <v>0</v>
      </c>
      <c r="F31" s="5">
        <f>averageResponseTimePorter(Dates!F$4,Dates!F$5,'Day1'!$B31)</f>
        <v>0</v>
      </c>
      <c r="G31" s="5">
        <f>averageResponseTimePorter(Dates!G$4,Dates!G$5,'Day1'!$B31)</f>
        <v>12</v>
      </c>
      <c r="H31" s="5">
        <f>averageResponseTimePorter(Dates!H$4,Dates!H$5,'Day1'!$B31)</f>
        <v>0</v>
      </c>
      <c r="I31" s="5">
        <f>averageResponseTimePorter(Dates!I$4,Dates!I$5,'Day1'!$B31)</f>
        <v>9.5</v>
      </c>
      <c r="J31" s="5">
        <f>averageResponseTimePorter(Dates!J$4,Dates!J$5,'Day1'!$B31)</f>
        <v>0</v>
      </c>
      <c r="K31" s="5">
        <f>averageResponseTimePorter(Dates!K$4,Dates!K$5,'Day1'!$B31)</f>
        <v>11.666666666666666</v>
      </c>
      <c r="L31" s="5">
        <f>averageResponseTimePorter(Dates!L$4,Dates!L$5,'Day1'!$B31)</f>
        <v>7.666666666666667</v>
      </c>
      <c r="M31" s="5">
        <f>averageResponseTimePorter(Dates!M$4,Dates!M$5,'Day1'!$B31)</f>
        <v>28</v>
      </c>
      <c r="N31" s="5">
        <f>averageResponseTimePorter(Dates!N$4,Dates!N$5,'Day1'!$B31)</f>
        <v>27</v>
      </c>
      <c r="O31" s="5">
        <f>averageResponseTimePorter(Dates!O$4,Dates!O$5,'Day1'!$B31)</f>
        <v>0</v>
      </c>
      <c r="P31" s="5">
        <f>averageResponseTimePorter(Dates!P$4,Dates!P$5,'Day1'!$B31)</f>
        <v>19</v>
      </c>
      <c r="Q31" s="5">
        <f>averageResponseTimePorter(Dates!Q$4,Dates!Q$5,'Day1'!$B31)</f>
        <v>0</v>
      </c>
      <c r="R31" s="5">
        <f>averageResponseTimePorter(Dates!R$4,Dates!R$5,'Day1'!$B31)</f>
        <v>0</v>
      </c>
      <c r="S31" s="5">
        <f>averageResponseTimePorter(Dates!S$4,Dates!S$5,'Day1'!$B31)</f>
        <v>0</v>
      </c>
      <c r="T31" s="5">
        <f>averageResponseTimePorter(Dates!T$4,Dates!T$5,'Day1'!$B31)</f>
        <v>0</v>
      </c>
      <c r="U31" s="5">
        <f>averageResponseTimePorter(Dates!$C$4,Dates!$T$5,'Day1'!$B8)</f>
        <v>3.8666666666666667</v>
      </c>
    </row>
    <row r="32" spans="2:21" x14ac:dyDescent="0.3">
      <c r="B32" s="7">
        <f t="shared" si="0"/>
        <v>6</v>
      </c>
      <c r="C32" s="5">
        <f>averageResponseTimePorter(Dates!C$4,Dates!C$5,'Day1'!$B32)</f>
        <v>0</v>
      </c>
      <c r="D32" s="5">
        <f>averageResponseTimePorter(Dates!D$4,Dates!D$5,'Day1'!$B32)</f>
        <v>1</v>
      </c>
      <c r="E32" s="5">
        <f>averageResponseTimePorter(Dates!E$4,Dates!E$5,'Day1'!$B32)</f>
        <v>0</v>
      </c>
      <c r="F32" s="5">
        <f>averageResponseTimePorter(Dates!F$4,Dates!F$5,'Day1'!$B32)</f>
        <v>4</v>
      </c>
      <c r="G32" s="5">
        <f>averageResponseTimePorter(Dates!G$4,Dates!G$5,'Day1'!$B32)</f>
        <v>16</v>
      </c>
      <c r="H32" s="5">
        <f>averageResponseTimePorter(Dates!H$4,Dates!H$5,'Day1'!$B32)</f>
        <v>0</v>
      </c>
      <c r="I32" s="5">
        <f>averageResponseTimePorter(Dates!I$4,Dates!I$5,'Day1'!$B32)</f>
        <v>28</v>
      </c>
      <c r="J32" s="5">
        <f>averageResponseTimePorter(Dates!J$4,Dates!J$5,'Day1'!$B32)</f>
        <v>3</v>
      </c>
      <c r="K32" s="5">
        <f>averageResponseTimePorter(Dates!K$4,Dates!K$5,'Day1'!$B32)</f>
        <v>44</v>
      </c>
      <c r="L32" s="5">
        <f>averageResponseTimePorter(Dates!L$4,Dates!L$5,'Day1'!$B32)</f>
        <v>21</v>
      </c>
      <c r="M32" s="5">
        <f>averageResponseTimePorter(Dates!M$4,Dates!M$5,'Day1'!$B32)</f>
        <v>27.5</v>
      </c>
      <c r="N32" s="5">
        <f>averageResponseTimePorter(Dates!N$4,Dates!N$5,'Day1'!$B32)</f>
        <v>13</v>
      </c>
      <c r="O32" s="5">
        <f>averageResponseTimePorter(Dates!O$4,Dates!O$5,'Day1'!$B32)</f>
        <v>35</v>
      </c>
      <c r="P32" s="5">
        <f>averageResponseTimePorter(Dates!P$4,Dates!P$5,'Day1'!$B32)</f>
        <v>0</v>
      </c>
      <c r="Q32" s="5">
        <f>averageResponseTimePorter(Dates!Q$4,Dates!Q$5,'Day1'!$B32)</f>
        <v>23</v>
      </c>
      <c r="R32" s="5">
        <f>averageResponseTimePorter(Dates!R$4,Dates!R$5,'Day1'!$B32)</f>
        <v>0</v>
      </c>
      <c r="S32" s="5">
        <f>averageResponseTimePorter(Dates!S$4,Dates!S$5,'Day1'!$B32)</f>
        <v>2</v>
      </c>
      <c r="T32" s="5">
        <f>averageResponseTimePorter(Dates!T$4,Dates!T$5,'Day1'!$B32)</f>
        <v>0</v>
      </c>
      <c r="U32" s="5">
        <f>averageResponseTimePorter(Dates!$C$4,Dates!$T$5,'Day1'!$B9)</f>
        <v>1.5</v>
      </c>
    </row>
    <row r="33" spans="2:21" x14ac:dyDescent="0.3">
      <c r="B33" s="7" t="str">
        <f t="shared" si="0"/>
        <v>NA10</v>
      </c>
      <c r="C33" s="5">
        <f>averageResponseTimePorter(Dates!C$4,Dates!C$5,'Day1'!$B33)</f>
        <v>0</v>
      </c>
      <c r="D33" s="5">
        <f>averageResponseTimePorter(Dates!D$4,Dates!D$5,'Day1'!$B33)</f>
        <v>0</v>
      </c>
      <c r="E33" s="5">
        <f>averageResponseTimePorter(Dates!E$4,Dates!E$5,'Day1'!$B33)</f>
        <v>0</v>
      </c>
      <c r="F33" s="5">
        <f>averageResponseTimePorter(Dates!F$4,Dates!F$5,'Day1'!$B33)</f>
        <v>0</v>
      </c>
      <c r="G33" s="5">
        <f>averageResponseTimePorter(Dates!G$4,Dates!G$5,'Day1'!$B33)</f>
        <v>0</v>
      </c>
      <c r="H33" s="5">
        <f>averageResponseTimePorter(Dates!H$4,Dates!H$5,'Day1'!$B33)</f>
        <v>0</v>
      </c>
      <c r="I33" s="5">
        <f>averageResponseTimePorter(Dates!I$4,Dates!I$5,'Day1'!$B33)</f>
        <v>0</v>
      </c>
      <c r="J33" s="5">
        <f>averageResponseTimePorter(Dates!J$4,Dates!J$5,'Day1'!$B33)</f>
        <v>0</v>
      </c>
      <c r="K33" s="5">
        <f>averageResponseTimePorter(Dates!K$4,Dates!K$5,'Day1'!$B33)</f>
        <v>0</v>
      </c>
      <c r="L33" s="5">
        <f>averageResponseTimePorter(Dates!L$4,Dates!L$5,'Day1'!$B33)</f>
        <v>0</v>
      </c>
      <c r="M33" s="5">
        <f>averageResponseTimePorter(Dates!M$4,Dates!M$5,'Day1'!$B33)</f>
        <v>0</v>
      </c>
      <c r="N33" s="5">
        <f>averageResponseTimePorter(Dates!N$4,Dates!N$5,'Day1'!$B33)</f>
        <v>0</v>
      </c>
      <c r="O33" s="5">
        <f>averageResponseTimePorter(Dates!O$4,Dates!O$5,'Day1'!$B33)</f>
        <v>0</v>
      </c>
      <c r="P33" s="5">
        <f>averageResponseTimePorter(Dates!P$4,Dates!P$5,'Day1'!$B33)</f>
        <v>0</v>
      </c>
      <c r="Q33" s="5">
        <f>averageResponseTimePorter(Dates!Q$4,Dates!Q$5,'Day1'!$B33)</f>
        <v>0</v>
      </c>
      <c r="R33" s="5">
        <f>averageResponseTimePorter(Dates!R$4,Dates!R$5,'Day1'!$B33)</f>
        <v>0</v>
      </c>
      <c r="S33" s="5">
        <f>averageResponseTimePorter(Dates!S$4,Dates!S$5,'Day1'!$B33)</f>
        <v>0</v>
      </c>
      <c r="T33" s="5">
        <f>averageResponseTimePorter(Dates!T$4,Dates!T$5,'Day1'!$B33)</f>
        <v>0</v>
      </c>
      <c r="U33" s="5">
        <f>averageResponseTimePorter(Dates!$C$4,Dates!$T$5,'Day1'!$B10)</f>
        <v>0</v>
      </c>
    </row>
    <row r="34" spans="2:21" x14ac:dyDescent="0.3">
      <c r="B34" s="7" t="str">
        <f t="shared" si="0"/>
        <v>NA11</v>
      </c>
      <c r="C34" s="5">
        <f>averageResponseTimePorter(Dates!C$4,Dates!C$5,'Day1'!$B34)</f>
        <v>0</v>
      </c>
      <c r="D34" s="5">
        <f>averageResponseTimePorter(Dates!D$4,Dates!D$5,'Day1'!$B34)</f>
        <v>0</v>
      </c>
      <c r="E34" s="5">
        <f>averageResponseTimePorter(Dates!E$4,Dates!E$5,'Day1'!$B34)</f>
        <v>0</v>
      </c>
      <c r="F34" s="5">
        <f>averageResponseTimePorter(Dates!F$4,Dates!F$5,'Day1'!$B34)</f>
        <v>0</v>
      </c>
      <c r="G34" s="5">
        <f>averageResponseTimePorter(Dates!G$4,Dates!G$5,'Day1'!$B34)</f>
        <v>0</v>
      </c>
      <c r="H34" s="5">
        <f>averageResponseTimePorter(Dates!H$4,Dates!H$5,'Day1'!$B34)</f>
        <v>0</v>
      </c>
      <c r="I34" s="5">
        <f>averageResponseTimePorter(Dates!I$4,Dates!I$5,'Day1'!$B34)</f>
        <v>0</v>
      </c>
      <c r="J34" s="5">
        <f>averageResponseTimePorter(Dates!J$4,Dates!J$5,'Day1'!$B34)</f>
        <v>0</v>
      </c>
      <c r="K34" s="5">
        <f>averageResponseTimePorter(Dates!K$4,Dates!K$5,'Day1'!$B34)</f>
        <v>0</v>
      </c>
      <c r="L34" s="5">
        <f>averageResponseTimePorter(Dates!L$4,Dates!L$5,'Day1'!$B34)</f>
        <v>0</v>
      </c>
      <c r="M34" s="5">
        <f>averageResponseTimePorter(Dates!M$4,Dates!M$5,'Day1'!$B34)</f>
        <v>0</v>
      </c>
      <c r="N34" s="5">
        <f>averageResponseTimePorter(Dates!N$4,Dates!N$5,'Day1'!$B34)</f>
        <v>0</v>
      </c>
      <c r="O34" s="5">
        <f>averageResponseTimePorter(Dates!O$4,Dates!O$5,'Day1'!$B34)</f>
        <v>0</v>
      </c>
      <c r="P34" s="5">
        <f>averageResponseTimePorter(Dates!P$4,Dates!P$5,'Day1'!$B34)</f>
        <v>0</v>
      </c>
      <c r="Q34" s="5">
        <f>averageResponseTimePorter(Dates!Q$4,Dates!Q$5,'Day1'!$B34)</f>
        <v>0</v>
      </c>
      <c r="R34" s="5">
        <f>averageResponseTimePorter(Dates!R$4,Dates!R$5,'Day1'!$B34)</f>
        <v>0</v>
      </c>
      <c r="S34" s="5">
        <f>averageResponseTimePorter(Dates!S$4,Dates!S$5,'Day1'!$B34)</f>
        <v>0</v>
      </c>
      <c r="T34" s="5">
        <f>averageResponseTimePorter(Dates!T$4,Dates!T$5,'Day1'!$B34)</f>
        <v>0</v>
      </c>
      <c r="U34" s="5">
        <f>averageResponseTimePorter(Dates!$C$4,Dates!$T$5,'Day1'!$B11)</f>
        <v>0</v>
      </c>
    </row>
    <row r="35" spans="2:21" x14ac:dyDescent="0.3">
      <c r="B35" s="7" t="str">
        <f t="shared" si="0"/>
        <v>NA12</v>
      </c>
      <c r="C35" s="5">
        <f>averageResponseTimePorter(Dates!C$4,Dates!C$5,'Day1'!$B35)</f>
        <v>0</v>
      </c>
      <c r="D35" s="5">
        <f>averageResponseTimePorter(Dates!D$4,Dates!D$5,'Day1'!$B35)</f>
        <v>0</v>
      </c>
      <c r="E35" s="5">
        <f>averageResponseTimePorter(Dates!E$4,Dates!E$5,'Day1'!$B35)</f>
        <v>0</v>
      </c>
      <c r="F35" s="5">
        <f>averageResponseTimePorter(Dates!F$4,Dates!F$5,'Day1'!$B35)</f>
        <v>0</v>
      </c>
      <c r="G35" s="5">
        <f>averageResponseTimePorter(Dates!G$4,Dates!G$5,'Day1'!$B35)</f>
        <v>0</v>
      </c>
      <c r="H35" s="5">
        <f>averageResponseTimePorter(Dates!H$4,Dates!H$5,'Day1'!$B35)</f>
        <v>0</v>
      </c>
      <c r="I35" s="5">
        <f>averageResponseTimePorter(Dates!I$4,Dates!I$5,'Day1'!$B35)</f>
        <v>0</v>
      </c>
      <c r="J35" s="5">
        <f>averageResponseTimePorter(Dates!J$4,Dates!J$5,'Day1'!$B35)</f>
        <v>0</v>
      </c>
      <c r="K35" s="5">
        <f>averageResponseTimePorter(Dates!K$4,Dates!K$5,'Day1'!$B35)</f>
        <v>0</v>
      </c>
      <c r="L35" s="5">
        <f>averageResponseTimePorter(Dates!L$4,Dates!L$5,'Day1'!$B35)</f>
        <v>0</v>
      </c>
      <c r="M35" s="5">
        <f>averageResponseTimePorter(Dates!M$4,Dates!M$5,'Day1'!$B35)</f>
        <v>0</v>
      </c>
      <c r="N35" s="5">
        <f>averageResponseTimePorter(Dates!N$4,Dates!N$5,'Day1'!$B35)</f>
        <v>0</v>
      </c>
      <c r="O35" s="5">
        <f>averageResponseTimePorter(Dates!O$4,Dates!O$5,'Day1'!$B35)</f>
        <v>0</v>
      </c>
      <c r="P35" s="5">
        <f>averageResponseTimePorter(Dates!P$4,Dates!P$5,'Day1'!$B35)</f>
        <v>0</v>
      </c>
      <c r="Q35" s="5">
        <f>averageResponseTimePorter(Dates!Q$4,Dates!Q$5,'Day1'!$B35)</f>
        <v>0</v>
      </c>
      <c r="R35" s="5">
        <f>averageResponseTimePorter(Dates!R$4,Dates!R$5,'Day1'!$B35)</f>
        <v>0</v>
      </c>
      <c r="S35" s="5">
        <f>averageResponseTimePorter(Dates!S$4,Dates!S$5,'Day1'!$B35)</f>
        <v>0</v>
      </c>
      <c r="T35" s="5">
        <f>averageResponseTimePorter(Dates!T$4,Dates!T$5,'Day1'!$B35)</f>
        <v>0</v>
      </c>
      <c r="U35" s="5">
        <f>averageResponseTimePorter(Dates!$C$4,Dates!$T$5,'Day1'!$B12)</f>
        <v>0</v>
      </c>
    </row>
    <row r="36" spans="2:21" x14ac:dyDescent="0.3">
      <c r="B36" s="7" t="str">
        <f t="shared" si="0"/>
        <v>NA13</v>
      </c>
      <c r="C36" s="5">
        <f>averageResponseTimePorter(Dates!C$4,Dates!C$5,'Day1'!$B36)</f>
        <v>0</v>
      </c>
      <c r="D36" s="5">
        <f>averageResponseTimePorter(Dates!D$4,Dates!D$5,'Day1'!$B36)</f>
        <v>0</v>
      </c>
      <c r="E36" s="5">
        <f>averageResponseTimePorter(Dates!E$4,Dates!E$5,'Day1'!$B36)</f>
        <v>0</v>
      </c>
      <c r="F36" s="5">
        <f>averageResponseTimePorter(Dates!F$4,Dates!F$5,'Day1'!$B36)</f>
        <v>0</v>
      </c>
      <c r="G36" s="5">
        <f>averageResponseTimePorter(Dates!G$4,Dates!G$5,'Day1'!$B36)</f>
        <v>0</v>
      </c>
      <c r="H36" s="5">
        <f>averageResponseTimePorter(Dates!H$4,Dates!H$5,'Day1'!$B36)</f>
        <v>0</v>
      </c>
      <c r="I36" s="5">
        <f>averageResponseTimePorter(Dates!I$4,Dates!I$5,'Day1'!$B36)</f>
        <v>0</v>
      </c>
      <c r="J36" s="5">
        <f>averageResponseTimePorter(Dates!J$4,Dates!J$5,'Day1'!$B36)</f>
        <v>0</v>
      </c>
      <c r="K36" s="5">
        <f>averageResponseTimePorter(Dates!K$4,Dates!K$5,'Day1'!$B36)</f>
        <v>0</v>
      </c>
      <c r="L36" s="5">
        <f>averageResponseTimePorter(Dates!L$4,Dates!L$5,'Day1'!$B36)</f>
        <v>0</v>
      </c>
      <c r="M36" s="5">
        <f>averageResponseTimePorter(Dates!M$4,Dates!M$5,'Day1'!$B36)</f>
        <v>0</v>
      </c>
      <c r="N36" s="5">
        <f>averageResponseTimePorter(Dates!N$4,Dates!N$5,'Day1'!$B36)</f>
        <v>0</v>
      </c>
      <c r="O36" s="5">
        <f>averageResponseTimePorter(Dates!O$4,Dates!O$5,'Day1'!$B36)</f>
        <v>0</v>
      </c>
      <c r="P36" s="5">
        <f>averageResponseTimePorter(Dates!P$4,Dates!P$5,'Day1'!$B36)</f>
        <v>0</v>
      </c>
      <c r="Q36" s="5">
        <f>averageResponseTimePorter(Dates!Q$4,Dates!Q$5,'Day1'!$B36)</f>
        <v>0</v>
      </c>
      <c r="R36" s="5">
        <f>averageResponseTimePorter(Dates!R$4,Dates!R$5,'Day1'!$B36)</f>
        <v>0</v>
      </c>
      <c r="S36" s="5">
        <f>averageResponseTimePorter(Dates!S$4,Dates!S$5,'Day1'!$B36)</f>
        <v>0</v>
      </c>
      <c r="T36" s="5">
        <f>averageResponseTimePorter(Dates!T$4,Dates!T$5,'Day1'!$B36)</f>
        <v>0</v>
      </c>
      <c r="U36" s="5">
        <f>averageResponseTimePorter(Dates!$C$4,Dates!$T$5,'Day1'!$B13)</f>
        <v>0</v>
      </c>
    </row>
    <row r="37" spans="2:21" x14ac:dyDescent="0.3">
      <c r="B37" s="7" t="str">
        <f t="shared" ref="B37:B46" si="1">B14</f>
        <v>NA14</v>
      </c>
      <c r="C37" s="5">
        <f>averageResponseTimePorter(Dates!C$4,Dates!C$5,'Day1'!$B37)</f>
        <v>0</v>
      </c>
      <c r="D37" s="5">
        <f>averageResponseTimePorter(Dates!D$4,Dates!D$5,'Day1'!$B37)</f>
        <v>0</v>
      </c>
      <c r="E37" s="5">
        <f>averageResponseTimePorter(Dates!E$4,Dates!E$5,'Day1'!$B37)</f>
        <v>0</v>
      </c>
      <c r="F37" s="5">
        <f>averageResponseTimePorter(Dates!F$4,Dates!F$5,'Day1'!$B37)</f>
        <v>0</v>
      </c>
      <c r="G37" s="5">
        <f>averageResponseTimePorter(Dates!G$4,Dates!G$5,'Day1'!$B37)</f>
        <v>0</v>
      </c>
      <c r="H37" s="5">
        <f>averageResponseTimePorter(Dates!H$4,Dates!H$5,'Day1'!$B37)</f>
        <v>0</v>
      </c>
      <c r="I37" s="5">
        <f>averageResponseTimePorter(Dates!I$4,Dates!I$5,'Day1'!$B37)</f>
        <v>0</v>
      </c>
      <c r="J37" s="5">
        <f>averageResponseTimePorter(Dates!J$4,Dates!J$5,'Day1'!$B37)</f>
        <v>0</v>
      </c>
      <c r="K37" s="5">
        <f>averageResponseTimePorter(Dates!K$4,Dates!K$5,'Day1'!$B37)</f>
        <v>0</v>
      </c>
      <c r="L37" s="5">
        <f>averageResponseTimePorter(Dates!L$4,Dates!L$5,'Day1'!$B37)</f>
        <v>0</v>
      </c>
      <c r="M37" s="5">
        <f>averageResponseTimePorter(Dates!M$4,Dates!M$5,'Day1'!$B37)</f>
        <v>0</v>
      </c>
      <c r="N37" s="5">
        <f>averageResponseTimePorter(Dates!N$4,Dates!N$5,'Day1'!$B37)</f>
        <v>0</v>
      </c>
      <c r="O37" s="5">
        <f>averageResponseTimePorter(Dates!O$4,Dates!O$5,'Day1'!$B37)</f>
        <v>0</v>
      </c>
      <c r="P37" s="5">
        <f>averageResponseTimePorter(Dates!P$4,Dates!P$5,'Day1'!$B37)</f>
        <v>0</v>
      </c>
      <c r="Q37" s="5">
        <f>averageResponseTimePorter(Dates!Q$4,Dates!Q$5,'Day1'!$B37)</f>
        <v>0</v>
      </c>
      <c r="R37" s="5">
        <f>averageResponseTimePorter(Dates!R$4,Dates!R$5,'Day1'!$B37)</f>
        <v>0</v>
      </c>
      <c r="S37" s="5">
        <f>averageResponseTimePorter(Dates!S$4,Dates!S$5,'Day1'!$B37)</f>
        <v>0</v>
      </c>
      <c r="T37" s="5">
        <f>averageResponseTimePorter(Dates!T$4,Dates!T$5,'Day1'!$B37)</f>
        <v>0</v>
      </c>
      <c r="U37" s="5">
        <f>averageResponseTimePorter(Dates!$C$4,Dates!$T$5,'Day1'!$B14)</f>
        <v>0</v>
      </c>
    </row>
    <row r="38" spans="2:21" x14ac:dyDescent="0.3">
      <c r="B38" s="7" t="str">
        <f t="shared" si="1"/>
        <v>NA15</v>
      </c>
      <c r="C38" s="5">
        <f>averageResponseTimePorter(Dates!C$4,Dates!C$5,'Day1'!$B38)</f>
        <v>0</v>
      </c>
      <c r="D38" s="5">
        <f>averageResponseTimePorter(Dates!D$4,Dates!D$5,'Day1'!$B38)</f>
        <v>0</v>
      </c>
      <c r="E38" s="5">
        <f>averageResponseTimePorter(Dates!E$4,Dates!E$5,'Day1'!$B38)</f>
        <v>0</v>
      </c>
      <c r="F38" s="5">
        <f>averageResponseTimePorter(Dates!F$4,Dates!F$5,'Day1'!$B38)</f>
        <v>0</v>
      </c>
      <c r="G38" s="5">
        <f>averageResponseTimePorter(Dates!G$4,Dates!G$5,'Day1'!$B38)</f>
        <v>0</v>
      </c>
      <c r="H38" s="5">
        <f>averageResponseTimePorter(Dates!H$4,Dates!H$5,'Day1'!$B38)</f>
        <v>0</v>
      </c>
      <c r="I38" s="5">
        <f>averageResponseTimePorter(Dates!I$4,Dates!I$5,'Day1'!$B38)</f>
        <v>0</v>
      </c>
      <c r="J38" s="5">
        <f>averageResponseTimePorter(Dates!J$4,Dates!J$5,'Day1'!$B38)</f>
        <v>0</v>
      </c>
      <c r="K38" s="5">
        <f>averageResponseTimePorter(Dates!K$4,Dates!K$5,'Day1'!$B38)</f>
        <v>0</v>
      </c>
      <c r="L38" s="5">
        <f>averageResponseTimePorter(Dates!L$4,Dates!L$5,'Day1'!$B38)</f>
        <v>0</v>
      </c>
      <c r="M38" s="5">
        <f>averageResponseTimePorter(Dates!M$4,Dates!M$5,'Day1'!$B38)</f>
        <v>0</v>
      </c>
      <c r="N38" s="5">
        <f>averageResponseTimePorter(Dates!N$4,Dates!N$5,'Day1'!$B38)</f>
        <v>0</v>
      </c>
      <c r="O38" s="5">
        <f>averageResponseTimePorter(Dates!O$4,Dates!O$5,'Day1'!$B38)</f>
        <v>0</v>
      </c>
      <c r="P38" s="5">
        <f>averageResponseTimePorter(Dates!P$4,Dates!P$5,'Day1'!$B38)</f>
        <v>0</v>
      </c>
      <c r="Q38" s="5">
        <f>averageResponseTimePorter(Dates!Q$4,Dates!Q$5,'Day1'!$B38)</f>
        <v>0</v>
      </c>
      <c r="R38" s="5">
        <f>averageResponseTimePorter(Dates!R$4,Dates!R$5,'Day1'!$B38)</f>
        <v>0</v>
      </c>
      <c r="S38" s="5">
        <f>averageResponseTimePorter(Dates!S$4,Dates!S$5,'Day1'!$B38)</f>
        <v>0</v>
      </c>
      <c r="T38" s="5">
        <f>averageResponseTimePorter(Dates!T$4,Dates!T$5,'Day1'!$B38)</f>
        <v>0</v>
      </c>
      <c r="U38" s="5">
        <f>averageResponseTimePorter(Dates!$C$4,Dates!$T$5,'Day1'!$B15)</f>
        <v>0</v>
      </c>
    </row>
    <row r="39" spans="2:21" x14ac:dyDescent="0.3">
      <c r="B39" s="7" t="str">
        <f t="shared" si="1"/>
        <v>NA16</v>
      </c>
      <c r="C39" s="5">
        <f>averageResponseTimePorter(Dates!C$4,Dates!C$5,'Day1'!$B39)</f>
        <v>0</v>
      </c>
      <c r="D39" s="5">
        <f>averageResponseTimePorter(Dates!D$4,Dates!D$5,'Day1'!$B39)</f>
        <v>0</v>
      </c>
      <c r="E39" s="5">
        <f>averageResponseTimePorter(Dates!E$4,Dates!E$5,'Day1'!$B39)</f>
        <v>0</v>
      </c>
      <c r="F39" s="5">
        <f>averageResponseTimePorter(Dates!F$4,Dates!F$5,'Day1'!$B39)</f>
        <v>0</v>
      </c>
      <c r="G39" s="5">
        <f>averageResponseTimePorter(Dates!G$4,Dates!G$5,'Day1'!$B39)</f>
        <v>0</v>
      </c>
      <c r="H39" s="5">
        <f>averageResponseTimePorter(Dates!H$4,Dates!H$5,'Day1'!$B39)</f>
        <v>0</v>
      </c>
      <c r="I39" s="5">
        <f>averageResponseTimePorter(Dates!I$4,Dates!I$5,'Day1'!$B39)</f>
        <v>0</v>
      </c>
      <c r="J39" s="5">
        <f>averageResponseTimePorter(Dates!J$4,Dates!J$5,'Day1'!$B39)</f>
        <v>0</v>
      </c>
      <c r="K39" s="5">
        <f>averageResponseTimePorter(Dates!K$4,Dates!K$5,'Day1'!$B39)</f>
        <v>0</v>
      </c>
      <c r="L39" s="5">
        <f>averageResponseTimePorter(Dates!L$4,Dates!L$5,'Day1'!$B39)</f>
        <v>0</v>
      </c>
      <c r="M39" s="5">
        <f>averageResponseTimePorter(Dates!M$4,Dates!M$5,'Day1'!$B39)</f>
        <v>0</v>
      </c>
      <c r="N39" s="5">
        <f>averageResponseTimePorter(Dates!N$4,Dates!N$5,'Day1'!$B39)</f>
        <v>0</v>
      </c>
      <c r="O39" s="5">
        <f>averageResponseTimePorter(Dates!O$4,Dates!O$5,'Day1'!$B39)</f>
        <v>0</v>
      </c>
      <c r="P39" s="5">
        <f>averageResponseTimePorter(Dates!P$4,Dates!P$5,'Day1'!$B39)</f>
        <v>0</v>
      </c>
      <c r="Q39" s="5">
        <f>averageResponseTimePorter(Dates!Q$4,Dates!Q$5,'Day1'!$B39)</f>
        <v>0</v>
      </c>
      <c r="R39" s="5">
        <f>averageResponseTimePorter(Dates!R$4,Dates!R$5,'Day1'!$B39)</f>
        <v>0</v>
      </c>
      <c r="S39" s="5">
        <f>averageResponseTimePorter(Dates!S$4,Dates!S$5,'Day1'!$B39)</f>
        <v>0</v>
      </c>
      <c r="T39" s="5">
        <f>averageResponseTimePorter(Dates!T$4,Dates!T$5,'Day1'!$B39)</f>
        <v>0</v>
      </c>
      <c r="U39" s="5">
        <f>averageResponseTimePorter(Dates!$C$4,Dates!$T$5,'Day1'!$B16)</f>
        <v>0</v>
      </c>
    </row>
    <row r="40" spans="2:21" x14ac:dyDescent="0.3">
      <c r="B40" s="7" t="str">
        <f t="shared" si="1"/>
        <v>NA17</v>
      </c>
      <c r="C40" s="5">
        <f>averageResponseTimePorter(Dates!C$4,Dates!C$5,'Day1'!$B40)</f>
        <v>0</v>
      </c>
      <c r="D40" s="5">
        <f>averageResponseTimePorter(Dates!D$4,Dates!D$5,'Day1'!$B40)</f>
        <v>0</v>
      </c>
      <c r="E40" s="5">
        <f>averageResponseTimePorter(Dates!E$4,Dates!E$5,'Day1'!$B40)</f>
        <v>0</v>
      </c>
      <c r="F40" s="5">
        <f>averageResponseTimePorter(Dates!F$4,Dates!F$5,'Day1'!$B40)</f>
        <v>0</v>
      </c>
      <c r="G40" s="5">
        <f>averageResponseTimePorter(Dates!G$4,Dates!G$5,'Day1'!$B40)</f>
        <v>0</v>
      </c>
      <c r="H40" s="5">
        <f>averageResponseTimePorter(Dates!H$4,Dates!H$5,'Day1'!$B40)</f>
        <v>0</v>
      </c>
      <c r="I40" s="5">
        <f>averageResponseTimePorter(Dates!I$4,Dates!I$5,'Day1'!$B40)</f>
        <v>0</v>
      </c>
      <c r="J40" s="5">
        <f>averageResponseTimePorter(Dates!J$4,Dates!J$5,'Day1'!$B40)</f>
        <v>0</v>
      </c>
      <c r="K40" s="5">
        <f>averageResponseTimePorter(Dates!K$4,Dates!K$5,'Day1'!$B40)</f>
        <v>0</v>
      </c>
      <c r="L40" s="5">
        <f>averageResponseTimePorter(Dates!L$4,Dates!L$5,'Day1'!$B40)</f>
        <v>0</v>
      </c>
      <c r="M40" s="5">
        <f>averageResponseTimePorter(Dates!M$4,Dates!M$5,'Day1'!$B40)</f>
        <v>0</v>
      </c>
      <c r="N40" s="5">
        <f>averageResponseTimePorter(Dates!N$4,Dates!N$5,'Day1'!$B40)</f>
        <v>0</v>
      </c>
      <c r="O40" s="5">
        <f>averageResponseTimePorter(Dates!O$4,Dates!O$5,'Day1'!$B40)</f>
        <v>0</v>
      </c>
      <c r="P40" s="5">
        <f>averageResponseTimePorter(Dates!P$4,Dates!P$5,'Day1'!$B40)</f>
        <v>0</v>
      </c>
      <c r="Q40" s="5">
        <f>averageResponseTimePorter(Dates!Q$4,Dates!Q$5,'Day1'!$B40)</f>
        <v>0</v>
      </c>
      <c r="R40" s="5">
        <f>averageResponseTimePorter(Dates!R$4,Dates!R$5,'Day1'!$B40)</f>
        <v>0</v>
      </c>
      <c r="S40" s="5">
        <f>averageResponseTimePorter(Dates!S$4,Dates!S$5,'Day1'!$B40)</f>
        <v>0</v>
      </c>
      <c r="T40" s="5">
        <f>averageResponseTimePorter(Dates!T$4,Dates!T$5,'Day1'!$B40)</f>
        <v>0</v>
      </c>
      <c r="U40" s="5">
        <f>averageResponseTimePorter(Dates!$C$4,Dates!$T$5,'Day1'!$B17)</f>
        <v>0</v>
      </c>
    </row>
    <row r="41" spans="2:21" x14ac:dyDescent="0.3">
      <c r="B41" s="7" t="str">
        <f t="shared" si="1"/>
        <v>NA18</v>
      </c>
      <c r="C41" s="5">
        <f>averageResponseTimePorter(Dates!C$4,Dates!C$5,'Day1'!$B41)</f>
        <v>0</v>
      </c>
      <c r="D41" s="5">
        <f>averageResponseTimePorter(Dates!D$4,Dates!D$5,'Day1'!$B41)</f>
        <v>0</v>
      </c>
      <c r="E41" s="5">
        <f>averageResponseTimePorter(Dates!E$4,Dates!E$5,'Day1'!$B41)</f>
        <v>0</v>
      </c>
      <c r="F41" s="5">
        <f>averageResponseTimePorter(Dates!F$4,Dates!F$5,'Day1'!$B41)</f>
        <v>0</v>
      </c>
      <c r="G41" s="5">
        <f>averageResponseTimePorter(Dates!G$4,Dates!G$5,'Day1'!$B41)</f>
        <v>0</v>
      </c>
      <c r="H41" s="5">
        <f>averageResponseTimePorter(Dates!H$4,Dates!H$5,'Day1'!$B41)</f>
        <v>0</v>
      </c>
      <c r="I41" s="5">
        <f>averageResponseTimePorter(Dates!I$4,Dates!I$5,'Day1'!$B41)</f>
        <v>0</v>
      </c>
      <c r="J41" s="5">
        <f>averageResponseTimePorter(Dates!J$4,Dates!J$5,'Day1'!$B41)</f>
        <v>0</v>
      </c>
      <c r="K41" s="5">
        <f>averageResponseTimePorter(Dates!K$4,Dates!K$5,'Day1'!$B41)</f>
        <v>0</v>
      </c>
      <c r="L41" s="5">
        <f>averageResponseTimePorter(Dates!L$4,Dates!L$5,'Day1'!$B41)</f>
        <v>0</v>
      </c>
      <c r="M41" s="5">
        <f>averageResponseTimePorter(Dates!M$4,Dates!M$5,'Day1'!$B41)</f>
        <v>0</v>
      </c>
      <c r="N41" s="5">
        <f>averageResponseTimePorter(Dates!N$4,Dates!N$5,'Day1'!$B41)</f>
        <v>0</v>
      </c>
      <c r="O41" s="5">
        <f>averageResponseTimePorter(Dates!O$4,Dates!O$5,'Day1'!$B41)</f>
        <v>0</v>
      </c>
      <c r="P41" s="5">
        <f>averageResponseTimePorter(Dates!P$4,Dates!P$5,'Day1'!$B41)</f>
        <v>0</v>
      </c>
      <c r="Q41" s="5">
        <f>averageResponseTimePorter(Dates!Q$4,Dates!Q$5,'Day1'!$B41)</f>
        <v>0</v>
      </c>
      <c r="R41" s="5">
        <f>averageResponseTimePorter(Dates!R$4,Dates!R$5,'Day1'!$B41)</f>
        <v>0</v>
      </c>
      <c r="S41" s="5">
        <f>averageResponseTimePorter(Dates!S$4,Dates!S$5,'Day1'!$B41)</f>
        <v>0</v>
      </c>
      <c r="T41" s="5">
        <f>averageResponseTimePorter(Dates!T$4,Dates!T$5,'Day1'!$B41)</f>
        <v>0</v>
      </c>
      <c r="U41" s="5">
        <f>averageResponseTimePorter(Dates!$C$4,Dates!$T$5,'Day1'!$B18)</f>
        <v>0</v>
      </c>
    </row>
    <row r="42" spans="2:21" x14ac:dyDescent="0.3">
      <c r="B42" s="7" t="str">
        <f t="shared" si="1"/>
        <v>NA19</v>
      </c>
      <c r="C42" s="5">
        <f>averageResponseTimePorter(Dates!C$4,Dates!C$5,'Day1'!$B42)</f>
        <v>0</v>
      </c>
      <c r="D42" s="5">
        <f>averageResponseTimePorter(Dates!D$4,Dates!D$5,'Day1'!$B42)</f>
        <v>0</v>
      </c>
      <c r="E42" s="5">
        <f>averageResponseTimePorter(Dates!E$4,Dates!E$5,'Day1'!$B42)</f>
        <v>0</v>
      </c>
      <c r="F42" s="5">
        <f>averageResponseTimePorter(Dates!F$4,Dates!F$5,'Day1'!$B42)</f>
        <v>0</v>
      </c>
      <c r="G42" s="5">
        <f>averageResponseTimePorter(Dates!G$4,Dates!G$5,'Day1'!$B42)</f>
        <v>0</v>
      </c>
      <c r="H42" s="5">
        <f>averageResponseTimePorter(Dates!H$4,Dates!H$5,'Day1'!$B42)</f>
        <v>0</v>
      </c>
      <c r="I42" s="5">
        <f>averageResponseTimePorter(Dates!I$4,Dates!I$5,'Day1'!$B42)</f>
        <v>0</v>
      </c>
      <c r="J42" s="5">
        <f>averageResponseTimePorter(Dates!J$4,Dates!J$5,'Day1'!$B42)</f>
        <v>0</v>
      </c>
      <c r="K42" s="5">
        <f>averageResponseTimePorter(Dates!K$4,Dates!K$5,'Day1'!$B42)</f>
        <v>0</v>
      </c>
      <c r="L42" s="5">
        <f>averageResponseTimePorter(Dates!L$4,Dates!L$5,'Day1'!$B42)</f>
        <v>0</v>
      </c>
      <c r="M42" s="5">
        <f>averageResponseTimePorter(Dates!M$4,Dates!M$5,'Day1'!$B42)</f>
        <v>0</v>
      </c>
      <c r="N42" s="5">
        <f>averageResponseTimePorter(Dates!N$4,Dates!N$5,'Day1'!$B42)</f>
        <v>0</v>
      </c>
      <c r="O42" s="5">
        <f>averageResponseTimePorter(Dates!O$4,Dates!O$5,'Day1'!$B42)</f>
        <v>0</v>
      </c>
      <c r="P42" s="5">
        <f>averageResponseTimePorter(Dates!P$4,Dates!P$5,'Day1'!$B42)</f>
        <v>0</v>
      </c>
      <c r="Q42" s="5">
        <f>averageResponseTimePorter(Dates!Q$4,Dates!Q$5,'Day1'!$B42)</f>
        <v>0</v>
      </c>
      <c r="R42" s="5">
        <f>averageResponseTimePorter(Dates!R$4,Dates!R$5,'Day1'!$B42)</f>
        <v>0</v>
      </c>
      <c r="S42" s="5">
        <f>averageResponseTimePorter(Dates!S$4,Dates!S$5,'Day1'!$B42)</f>
        <v>0</v>
      </c>
      <c r="T42" s="5">
        <f>averageResponseTimePorter(Dates!T$4,Dates!T$5,'Day1'!$B42)</f>
        <v>0</v>
      </c>
      <c r="U42" s="5">
        <f>averageResponseTimePorter(Dates!$C$4,Dates!$T$5,'Day1'!$B19)</f>
        <v>0</v>
      </c>
    </row>
    <row r="43" spans="2:21" x14ac:dyDescent="0.3">
      <c r="B43" s="7" t="str">
        <f t="shared" si="1"/>
        <v>NA20</v>
      </c>
      <c r="C43" s="5">
        <f>averageResponseTimePorter(Dates!C$4,Dates!C$5,'Day1'!$B43)</f>
        <v>0</v>
      </c>
      <c r="D43" s="5">
        <f>averageResponseTimePorter(Dates!D$4,Dates!D$5,'Day1'!$B43)</f>
        <v>0</v>
      </c>
      <c r="E43" s="5">
        <f>averageResponseTimePorter(Dates!E$4,Dates!E$5,'Day1'!$B43)</f>
        <v>0</v>
      </c>
      <c r="F43" s="5">
        <f>averageResponseTimePorter(Dates!F$4,Dates!F$5,'Day1'!$B43)</f>
        <v>0</v>
      </c>
      <c r="G43" s="5">
        <f>averageResponseTimePorter(Dates!G$4,Dates!G$5,'Day1'!$B43)</f>
        <v>0</v>
      </c>
      <c r="H43" s="5">
        <f>averageResponseTimePorter(Dates!H$4,Dates!H$5,'Day1'!$B43)</f>
        <v>0</v>
      </c>
      <c r="I43" s="5">
        <f>averageResponseTimePorter(Dates!I$4,Dates!I$5,'Day1'!$B43)</f>
        <v>0</v>
      </c>
      <c r="J43" s="5">
        <f>averageResponseTimePorter(Dates!J$4,Dates!J$5,'Day1'!$B43)</f>
        <v>0</v>
      </c>
      <c r="K43" s="5">
        <f>averageResponseTimePorter(Dates!K$4,Dates!K$5,'Day1'!$B43)</f>
        <v>0</v>
      </c>
      <c r="L43" s="5">
        <f>averageResponseTimePorter(Dates!L$4,Dates!L$5,'Day1'!$B43)</f>
        <v>0</v>
      </c>
      <c r="M43" s="5">
        <f>averageResponseTimePorter(Dates!M$4,Dates!M$5,'Day1'!$B43)</f>
        <v>0</v>
      </c>
      <c r="N43" s="5">
        <f>averageResponseTimePorter(Dates!N$4,Dates!N$5,'Day1'!$B43)</f>
        <v>0</v>
      </c>
      <c r="O43" s="5">
        <f>averageResponseTimePorter(Dates!O$4,Dates!O$5,'Day1'!$B43)</f>
        <v>0</v>
      </c>
      <c r="P43" s="5">
        <f>averageResponseTimePorter(Dates!P$4,Dates!P$5,'Day1'!$B43)</f>
        <v>0</v>
      </c>
      <c r="Q43" s="5">
        <f>averageResponseTimePorter(Dates!Q$4,Dates!Q$5,'Day1'!$B43)</f>
        <v>0</v>
      </c>
      <c r="R43" s="5">
        <f>averageResponseTimePorter(Dates!R$4,Dates!R$5,'Day1'!$B43)</f>
        <v>0</v>
      </c>
      <c r="S43" s="5">
        <f>averageResponseTimePorter(Dates!S$4,Dates!S$5,'Day1'!$B43)</f>
        <v>0</v>
      </c>
      <c r="T43" s="5">
        <f>averageResponseTimePorter(Dates!T$4,Dates!T$5,'Day1'!$B43)</f>
        <v>0</v>
      </c>
      <c r="U43" s="5">
        <f>averageResponseTimePorter(Dates!$C$4,Dates!$T$5,'Day1'!$B20)</f>
        <v>0</v>
      </c>
    </row>
    <row r="44" spans="2:21" x14ac:dyDescent="0.3">
      <c r="B44" s="7" t="str">
        <f t="shared" si="1"/>
        <v>NA21</v>
      </c>
      <c r="C44" s="5">
        <f>averageResponseTimePorter(Dates!C$4,Dates!C$5,'Day1'!$B44)</f>
        <v>0</v>
      </c>
      <c r="D44" s="5">
        <f>averageResponseTimePorter(Dates!D$4,Dates!D$5,'Day1'!$B44)</f>
        <v>0</v>
      </c>
      <c r="E44" s="5">
        <f>averageResponseTimePorter(Dates!E$4,Dates!E$5,'Day1'!$B44)</f>
        <v>0</v>
      </c>
      <c r="F44" s="5">
        <f>averageResponseTimePorter(Dates!F$4,Dates!F$5,'Day1'!$B44)</f>
        <v>0</v>
      </c>
      <c r="G44" s="5">
        <f>averageResponseTimePorter(Dates!G$4,Dates!G$5,'Day1'!$B44)</f>
        <v>0</v>
      </c>
      <c r="H44" s="5">
        <f>averageResponseTimePorter(Dates!H$4,Dates!H$5,'Day1'!$B44)</f>
        <v>0</v>
      </c>
      <c r="I44" s="5">
        <f>averageResponseTimePorter(Dates!I$4,Dates!I$5,'Day1'!$B44)</f>
        <v>0</v>
      </c>
      <c r="J44" s="5">
        <f>averageResponseTimePorter(Dates!J$4,Dates!J$5,'Day1'!$B44)</f>
        <v>0</v>
      </c>
      <c r="K44" s="5">
        <f>averageResponseTimePorter(Dates!K$4,Dates!K$5,'Day1'!$B44)</f>
        <v>0</v>
      </c>
      <c r="L44" s="5">
        <f>averageResponseTimePorter(Dates!L$4,Dates!L$5,'Day1'!$B44)</f>
        <v>0</v>
      </c>
      <c r="M44" s="5">
        <f>averageResponseTimePorter(Dates!M$4,Dates!M$5,'Day1'!$B44)</f>
        <v>0</v>
      </c>
      <c r="N44" s="5">
        <f>averageResponseTimePorter(Dates!N$4,Dates!N$5,'Day1'!$B44)</f>
        <v>0</v>
      </c>
      <c r="O44" s="5">
        <f>averageResponseTimePorter(Dates!O$4,Dates!O$5,'Day1'!$B44)</f>
        <v>0</v>
      </c>
      <c r="P44" s="5">
        <f>averageResponseTimePorter(Dates!P$4,Dates!P$5,'Day1'!$B44)</f>
        <v>0</v>
      </c>
      <c r="Q44" s="5">
        <f>averageResponseTimePorter(Dates!Q$4,Dates!Q$5,'Day1'!$B44)</f>
        <v>0</v>
      </c>
      <c r="R44" s="5">
        <f>averageResponseTimePorter(Dates!R$4,Dates!R$5,'Day1'!$B44)</f>
        <v>0</v>
      </c>
      <c r="S44" s="5">
        <f>averageResponseTimePorter(Dates!S$4,Dates!S$5,'Day1'!$B44)</f>
        <v>0</v>
      </c>
      <c r="T44" s="5">
        <f>averageResponseTimePorter(Dates!T$4,Dates!T$5,'Day1'!$B44)</f>
        <v>0</v>
      </c>
      <c r="U44" s="5">
        <f>averageResponseTimePorter(Dates!$C$4,Dates!$T$5,'Day1'!$B21)</f>
        <v>0</v>
      </c>
    </row>
    <row r="45" spans="2:21" x14ac:dyDescent="0.3">
      <c r="B45" s="7" t="str">
        <f t="shared" si="1"/>
        <v>NA22</v>
      </c>
      <c r="C45" s="5">
        <f>averageResponseTimePorter(Dates!C$4,Dates!C$5,'Day1'!$B45)</f>
        <v>0</v>
      </c>
      <c r="D45" s="5">
        <f>averageResponseTimePorter(Dates!D$4,Dates!D$5,'Day1'!$B45)</f>
        <v>0</v>
      </c>
      <c r="E45" s="5">
        <f>averageResponseTimePorter(Dates!E$4,Dates!E$5,'Day1'!$B45)</f>
        <v>0</v>
      </c>
      <c r="F45" s="5">
        <f>averageResponseTimePorter(Dates!F$4,Dates!F$5,'Day1'!$B45)</f>
        <v>0</v>
      </c>
      <c r="G45" s="5">
        <f>averageResponseTimePorter(Dates!G$4,Dates!G$5,'Day1'!$B45)</f>
        <v>0</v>
      </c>
      <c r="H45" s="5">
        <f>averageResponseTimePorter(Dates!H$4,Dates!H$5,'Day1'!$B45)</f>
        <v>0</v>
      </c>
      <c r="I45" s="5">
        <f>averageResponseTimePorter(Dates!I$4,Dates!I$5,'Day1'!$B45)</f>
        <v>0</v>
      </c>
      <c r="J45" s="5">
        <f>averageResponseTimePorter(Dates!J$4,Dates!J$5,'Day1'!$B45)</f>
        <v>0</v>
      </c>
      <c r="K45" s="5">
        <f>averageResponseTimePorter(Dates!K$4,Dates!K$5,'Day1'!$B45)</f>
        <v>0</v>
      </c>
      <c r="L45" s="5">
        <f>averageResponseTimePorter(Dates!L$4,Dates!L$5,'Day1'!$B45)</f>
        <v>0</v>
      </c>
      <c r="M45" s="5">
        <f>averageResponseTimePorter(Dates!M$4,Dates!M$5,'Day1'!$B45)</f>
        <v>0</v>
      </c>
      <c r="N45" s="5">
        <f>averageResponseTimePorter(Dates!N$4,Dates!N$5,'Day1'!$B45)</f>
        <v>0</v>
      </c>
      <c r="O45" s="5">
        <f>averageResponseTimePorter(Dates!O$4,Dates!O$5,'Day1'!$B45)</f>
        <v>0</v>
      </c>
      <c r="P45" s="5">
        <f>averageResponseTimePorter(Dates!P$4,Dates!P$5,'Day1'!$B45)</f>
        <v>0</v>
      </c>
      <c r="Q45" s="5">
        <f>averageResponseTimePorter(Dates!Q$4,Dates!Q$5,'Day1'!$B45)</f>
        <v>0</v>
      </c>
      <c r="R45" s="5">
        <f>averageResponseTimePorter(Dates!R$4,Dates!R$5,'Day1'!$B45)</f>
        <v>0</v>
      </c>
      <c r="S45" s="5">
        <f>averageResponseTimePorter(Dates!S$4,Dates!S$5,'Day1'!$B45)</f>
        <v>0</v>
      </c>
      <c r="T45" s="5">
        <f>averageResponseTimePorter(Dates!T$4,Dates!T$5,'Day1'!$B45)</f>
        <v>0</v>
      </c>
      <c r="U45" s="5">
        <f>averageResponseTimePorter(Dates!$C$4,Dates!$T$5,'Day1'!$B22)</f>
        <v>0</v>
      </c>
    </row>
    <row r="46" spans="2:21" x14ac:dyDescent="0.3">
      <c r="B46" s="7" t="str">
        <f t="shared" si="1"/>
        <v>NA23</v>
      </c>
      <c r="C46" s="5">
        <f>averageResponseTimePorter(Dates!C$4,Dates!C$5,'Day1'!$B46)</f>
        <v>0</v>
      </c>
      <c r="D46" s="5">
        <f>averageResponseTimePorter(Dates!D$4,Dates!D$5,'Day1'!$B46)</f>
        <v>0</v>
      </c>
      <c r="E46" s="5">
        <f>averageResponseTimePorter(Dates!E$4,Dates!E$5,'Day1'!$B46)</f>
        <v>0</v>
      </c>
      <c r="F46" s="5">
        <f>averageResponseTimePorter(Dates!F$4,Dates!F$5,'Day1'!$B46)</f>
        <v>0</v>
      </c>
      <c r="G46" s="5">
        <f>averageResponseTimePorter(Dates!G$4,Dates!G$5,'Day1'!$B46)</f>
        <v>0</v>
      </c>
      <c r="H46" s="5">
        <f>averageResponseTimePorter(Dates!H$4,Dates!H$5,'Day1'!$B46)</f>
        <v>0</v>
      </c>
      <c r="I46" s="5">
        <f>averageResponseTimePorter(Dates!I$4,Dates!I$5,'Day1'!$B46)</f>
        <v>0</v>
      </c>
      <c r="J46" s="5">
        <f>averageResponseTimePorter(Dates!J$4,Dates!J$5,'Day1'!$B46)</f>
        <v>0</v>
      </c>
      <c r="K46" s="5">
        <f>averageResponseTimePorter(Dates!K$4,Dates!K$5,'Day1'!$B46)</f>
        <v>0</v>
      </c>
      <c r="L46" s="5">
        <f>averageResponseTimePorter(Dates!L$4,Dates!L$5,'Day1'!$B46)</f>
        <v>0</v>
      </c>
      <c r="M46" s="5">
        <f>averageResponseTimePorter(Dates!M$4,Dates!M$5,'Day1'!$B46)</f>
        <v>0</v>
      </c>
      <c r="N46" s="5">
        <f>averageResponseTimePorter(Dates!N$4,Dates!N$5,'Day1'!$B46)</f>
        <v>0</v>
      </c>
      <c r="O46" s="5">
        <f>averageResponseTimePorter(Dates!O$4,Dates!O$5,'Day1'!$B46)</f>
        <v>0</v>
      </c>
      <c r="P46" s="5">
        <f>averageResponseTimePorter(Dates!P$4,Dates!P$5,'Day1'!$B46)</f>
        <v>0</v>
      </c>
      <c r="Q46" s="5">
        <f>averageResponseTimePorter(Dates!Q$4,Dates!Q$5,'Day1'!$B46)</f>
        <v>0</v>
      </c>
      <c r="R46" s="5">
        <f>averageResponseTimePorter(Dates!R$4,Dates!R$5,'Day1'!$B46)</f>
        <v>0</v>
      </c>
      <c r="S46" s="5">
        <f>averageResponseTimePorter(Dates!S$4,Dates!S$5,'Day1'!$B46)</f>
        <v>0</v>
      </c>
      <c r="T46" s="5">
        <f>averageResponseTimePorter(Dates!T$4,Dates!T$5,'Day1'!$B46)</f>
        <v>0</v>
      </c>
      <c r="U46" s="5">
        <f>averageResponseTimePorter(Dates!$C$4,Dates!$T$5,'Day1'!$B23)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46"/>
  <sheetViews>
    <sheetView topLeftCell="B31" zoomScale="80" zoomScaleNormal="80" workbookViewId="0">
      <selection activeCell="N15" sqref="N15"/>
    </sheetView>
  </sheetViews>
  <sheetFormatPr defaultRowHeight="14.4" x14ac:dyDescent="0.3"/>
  <cols>
    <col min="2" max="2" width="27.21875" style="7" customWidth="1"/>
    <col min="7" max="7" width="10.21875" customWidth="1"/>
  </cols>
  <sheetData>
    <row r="1" spans="1:21" x14ac:dyDescent="0.3">
      <c r="C1" s="3" t="s">
        <v>2</v>
      </c>
      <c r="D1" s="4">
        <v>7</v>
      </c>
      <c r="E1" s="4">
        <v>8</v>
      </c>
      <c r="F1" s="4">
        <v>9</v>
      </c>
      <c r="G1" s="4">
        <v>10</v>
      </c>
      <c r="H1" s="4">
        <v>11</v>
      </c>
      <c r="I1" s="4">
        <v>12</v>
      </c>
      <c r="J1" s="4">
        <v>13</v>
      </c>
      <c r="K1" s="4">
        <v>14</v>
      </c>
      <c r="L1" s="4">
        <v>15</v>
      </c>
      <c r="M1" s="4">
        <v>16</v>
      </c>
      <c r="N1" s="4">
        <v>17</v>
      </c>
      <c r="O1" s="4">
        <v>18</v>
      </c>
      <c r="P1" s="4">
        <v>19</v>
      </c>
      <c r="Q1" s="4">
        <v>20</v>
      </c>
      <c r="R1" s="4">
        <v>21</v>
      </c>
      <c r="S1" s="4">
        <v>22</v>
      </c>
      <c r="T1" s="4">
        <v>23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averageCompletionTime(Dates!C6,Dates!C7)</f>
        <v>0</v>
      </c>
      <c r="D2" s="5">
        <f>averageCompletionTime(Dates!D6,Dates!D7)</f>
        <v>0</v>
      </c>
      <c r="E2" s="5">
        <f>averageCompletionTime(Dates!E6,Dates!E7)</f>
        <v>0</v>
      </c>
      <c r="F2" s="5">
        <f>averageCompletionTime(Dates!F6,Dates!F7)</f>
        <v>0</v>
      </c>
      <c r="G2" s="5">
        <f>averageCompletionTime(Dates!G6,Dates!G7)</f>
        <v>0</v>
      </c>
      <c r="H2" s="5">
        <f>averageCompletionTime(Dates!H6,Dates!H7)</f>
        <v>0</v>
      </c>
      <c r="I2" s="5">
        <f>averageCompletionTime(Dates!I6,Dates!I7)</f>
        <v>0</v>
      </c>
      <c r="J2" s="5">
        <f>averageCompletionTime(Dates!J6,Dates!J7)</f>
        <v>0</v>
      </c>
      <c r="K2" s="5">
        <f>averageCompletionTime(Dates!K6,Dates!K7)</f>
        <v>0</v>
      </c>
      <c r="L2" s="5">
        <f>averageCompletionTime(Dates!L6,Dates!L7)</f>
        <v>0</v>
      </c>
      <c r="M2" s="5">
        <f>averageCompletionTime(Dates!M6,Dates!M7)</f>
        <v>0</v>
      </c>
      <c r="N2" s="5">
        <f>averageCompletionTime(Dates!N6,Dates!N7)</f>
        <v>0</v>
      </c>
      <c r="O2" s="5">
        <f>averageCompletionTime(Dates!O6,Dates!O7)</f>
        <v>0</v>
      </c>
      <c r="P2" s="5">
        <f>averageCompletionTime(Dates!P6,Dates!P7)</f>
        <v>0</v>
      </c>
      <c r="Q2" s="5">
        <f>averageCompletionTime(Dates!Q6,Dates!Q7)</f>
        <v>0</v>
      </c>
      <c r="R2" s="5">
        <f>averageCompletionTime(Dates!R6,Dates!R7)</f>
        <v>0</v>
      </c>
      <c r="S2" s="5">
        <f>averageCompletionTime(Dates!S6,Dates!S7)</f>
        <v>0</v>
      </c>
      <c r="T2" s="5">
        <f>averageCompletionTime(Dates!T6,Dates!T7)</f>
        <v>0</v>
      </c>
      <c r="U2" s="5">
        <f>averageCompletionTime(Dates!C6,Dates!T7)</f>
        <v>0</v>
      </c>
    </row>
    <row r="3" spans="1:21" x14ac:dyDescent="0.3">
      <c r="A3" s="6" t="s">
        <v>5</v>
      </c>
      <c r="B3" s="8">
        <v>1</v>
      </c>
      <c r="C3" s="5">
        <f>averageCompletionTimePorter(Dates!C$6,Dates!C$7,'Day2'!$B3)</f>
        <v>0</v>
      </c>
      <c r="D3" s="5">
        <f>averageCompletionTimePorter(Dates!D$6,Dates!D$7,'Day2'!$B3)</f>
        <v>0</v>
      </c>
      <c r="E3" s="5">
        <f>averageCompletionTimePorter(Dates!E$6,Dates!E$7,'Day2'!$B3)</f>
        <v>0</v>
      </c>
      <c r="F3" s="5">
        <f>averageCompletionTimePorter(Dates!F$6,Dates!F$7,'Day2'!$B3)</f>
        <v>0</v>
      </c>
      <c r="G3" s="5">
        <f>averageCompletionTimePorter(Dates!G$6,Dates!G$7,'Day2'!$B3)</f>
        <v>0</v>
      </c>
      <c r="H3" s="5">
        <f>averageCompletionTimePorter(Dates!H$6,Dates!H$7,'Day2'!$B3)</f>
        <v>0</v>
      </c>
      <c r="I3" s="5">
        <f>averageCompletionTimePorter(Dates!I$6,Dates!I$7,'Day2'!$B3)</f>
        <v>0</v>
      </c>
      <c r="J3" s="5">
        <f>averageCompletionTimePorter(Dates!J$6,Dates!J$7,'Day2'!$B3)</f>
        <v>0</v>
      </c>
      <c r="K3" s="5">
        <f>averageCompletionTimePorter(Dates!K$6,Dates!K$7,'Day2'!$B3)</f>
        <v>0</v>
      </c>
      <c r="L3" s="5">
        <f>averageCompletionTimePorter(Dates!L$6,Dates!L$7,'Day2'!$B3)</f>
        <v>0</v>
      </c>
      <c r="M3" s="5">
        <f>averageCompletionTimePorter(Dates!M$6,Dates!M$7,'Day2'!$B3)</f>
        <v>0</v>
      </c>
      <c r="N3" s="5">
        <f>averageCompletionTimePorter(Dates!N$6,Dates!N$7,'Day2'!$B3)</f>
        <v>0</v>
      </c>
      <c r="O3" s="5">
        <f>averageCompletionTimePorter(Dates!O$6,Dates!O$7,'Day2'!$B3)</f>
        <v>0</v>
      </c>
      <c r="P3" s="5">
        <f>averageCompletionTimePorter(Dates!P$6,Dates!P$7,'Day2'!$B3)</f>
        <v>0</v>
      </c>
      <c r="Q3" s="5">
        <f>averageCompletionTimePorter(Dates!Q$6,Dates!Q$7,'Day2'!$B3)</f>
        <v>0</v>
      </c>
      <c r="R3" s="5">
        <f>averageCompletionTimePorter(Dates!R$6,Dates!R$7,'Day2'!$B3)</f>
        <v>0</v>
      </c>
      <c r="S3" s="5">
        <f>averageCompletionTimePorter(Dates!S$6,Dates!S$7,'Day2'!$B3)</f>
        <v>0</v>
      </c>
      <c r="T3" s="5">
        <f>averageCompletionTimePorter(Dates!T$6,Dates!T$7,'Day2'!$B3)</f>
        <v>0</v>
      </c>
      <c r="U3" s="5">
        <f>averageCompletionTimePorter(Dates!$C$6,Dates!$T$7,'Day2'!$B3)</f>
        <v>0</v>
      </c>
    </row>
    <row r="4" spans="1:21" x14ac:dyDescent="0.3">
      <c r="A4" s="6"/>
      <c r="B4" s="8">
        <v>0</v>
      </c>
      <c r="C4" s="5">
        <f>averageCompletionTimePorter(Dates!C$6,Dates!C$7,'Day2'!$B4)</f>
        <v>0</v>
      </c>
      <c r="D4" s="5">
        <f>averageCompletionTimePorter(Dates!D$6,Dates!D$7,'Day2'!$B4)</f>
        <v>0</v>
      </c>
      <c r="E4" s="5">
        <f>averageCompletionTimePorter(Dates!E$6,Dates!E$7,'Day2'!$B4)</f>
        <v>0</v>
      </c>
      <c r="F4" s="5">
        <f>averageCompletionTimePorter(Dates!F$6,Dates!F$7,'Day2'!$B4)</f>
        <v>0</v>
      </c>
      <c r="G4" s="5">
        <f>averageCompletionTimePorter(Dates!G$6,Dates!G$7,'Day2'!$B4)</f>
        <v>0</v>
      </c>
      <c r="H4" s="5">
        <f>averageCompletionTimePorter(Dates!H$6,Dates!H$7,'Day2'!$B4)</f>
        <v>0</v>
      </c>
      <c r="I4" s="5">
        <f>averageCompletionTimePorter(Dates!I$6,Dates!I$7,'Day2'!$B4)</f>
        <v>0</v>
      </c>
      <c r="J4" s="5">
        <f>averageCompletionTimePorter(Dates!J$6,Dates!J$7,'Day2'!$B4)</f>
        <v>0</v>
      </c>
      <c r="K4" s="5">
        <f>averageCompletionTimePorter(Dates!K$6,Dates!K$7,'Day2'!$B4)</f>
        <v>0</v>
      </c>
      <c r="L4" s="5">
        <f>averageCompletionTimePorter(Dates!L$6,Dates!L$7,'Day2'!$B4)</f>
        <v>0</v>
      </c>
      <c r="M4" s="5">
        <f>averageCompletionTimePorter(Dates!M$6,Dates!M$7,'Day2'!$B4)</f>
        <v>0</v>
      </c>
      <c r="N4" s="5">
        <f>averageCompletionTimePorter(Dates!N$6,Dates!N$7,'Day2'!$B4)</f>
        <v>0</v>
      </c>
      <c r="O4" s="5">
        <f>averageCompletionTimePorter(Dates!O$6,Dates!O$7,'Day2'!$B4)</f>
        <v>0</v>
      </c>
      <c r="P4" s="5">
        <f>averageCompletionTimePorter(Dates!P$6,Dates!P$7,'Day2'!$B4)</f>
        <v>0</v>
      </c>
      <c r="Q4" s="5">
        <f>averageCompletionTimePorter(Dates!Q$6,Dates!Q$7,'Day2'!$B4)</f>
        <v>0</v>
      </c>
      <c r="R4" s="5">
        <f>averageCompletionTimePorter(Dates!R$6,Dates!R$7,'Day2'!$B4)</f>
        <v>0</v>
      </c>
      <c r="S4" s="5">
        <f>averageCompletionTimePorter(Dates!S$6,Dates!S$7,'Day2'!$B4)</f>
        <v>0</v>
      </c>
      <c r="T4" s="5">
        <f>averageCompletionTimePorter(Dates!T$6,Dates!T$7,'Day2'!$B4)</f>
        <v>0</v>
      </c>
      <c r="U4" s="5">
        <f>averageCompletionTimePorter(Dates!$C$6,Dates!$T$7,'Day2'!$B4)</f>
        <v>0</v>
      </c>
    </row>
    <row r="5" spans="1:21" x14ac:dyDescent="0.3">
      <c r="A5" s="6"/>
      <c r="B5" s="8">
        <v>3</v>
      </c>
      <c r="C5" s="5">
        <f>averageCompletionTimePorter(Dates!C$6,Dates!C$7,'Day2'!$B5)</f>
        <v>0</v>
      </c>
      <c r="D5" s="5">
        <f>averageCompletionTimePorter(Dates!D$6,Dates!D$7,'Day2'!$B5)</f>
        <v>0</v>
      </c>
      <c r="E5" s="5">
        <f>averageCompletionTimePorter(Dates!E$6,Dates!E$7,'Day2'!$B5)</f>
        <v>0</v>
      </c>
      <c r="F5" s="5">
        <f>averageCompletionTimePorter(Dates!F$6,Dates!F$7,'Day2'!$B5)</f>
        <v>0</v>
      </c>
      <c r="G5" s="5">
        <f>averageCompletionTimePorter(Dates!G$6,Dates!G$7,'Day2'!$B5)</f>
        <v>0</v>
      </c>
      <c r="H5" s="5">
        <f>averageCompletionTimePorter(Dates!H$6,Dates!H$7,'Day2'!$B5)</f>
        <v>0</v>
      </c>
      <c r="I5" s="5">
        <f>averageCompletionTimePorter(Dates!I$6,Dates!I$7,'Day2'!$B5)</f>
        <v>0</v>
      </c>
      <c r="J5" s="5">
        <f>averageCompletionTimePorter(Dates!J$6,Dates!J$7,'Day2'!$B5)</f>
        <v>0</v>
      </c>
      <c r="K5" s="5">
        <f>averageCompletionTimePorter(Dates!K$6,Dates!K$7,'Day2'!$B5)</f>
        <v>0</v>
      </c>
      <c r="L5" s="5">
        <f>averageCompletionTimePorter(Dates!L$6,Dates!L$7,'Day2'!$B5)</f>
        <v>0</v>
      </c>
      <c r="M5" s="5">
        <f>averageCompletionTimePorter(Dates!M$6,Dates!M$7,'Day2'!$B5)</f>
        <v>0</v>
      </c>
      <c r="N5" s="5">
        <f>averageCompletionTimePorter(Dates!N$6,Dates!N$7,'Day2'!$B5)</f>
        <v>0</v>
      </c>
      <c r="O5" s="5">
        <f>averageCompletionTimePorter(Dates!O$6,Dates!O$7,'Day2'!$B5)</f>
        <v>0</v>
      </c>
      <c r="P5" s="5">
        <f>averageCompletionTimePorter(Dates!P$6,Dates!P$7,'Day2'!$B5)</f>
        <v>0</v>
      </c>
      <c r="Q5" s="5">
        <f>averageCompletionTimePorter(Dates!Q$6,Dates!Q$7,'Day2'!$B5)</f>
        <v>0</v>
      </c>
      <c r="R5" s="5">
        <f>averageCompletionTimePorter(Dates!R$6,Dates!R$7,'Day2'!$B5)</f>
        <v>0</v>
      </c>
      <c r="S5" s="5">
        <f>averageCompletionTimePorter(Dates!S$6,Dates!S$7,'Day2'!$B5)</f>
        <v>0</v>
      </c>
      <c r="T5" s="5">
        <f>averageCompletionTimePorter(Dates!T$6,Dates!T$7,'Day2'!$B5)</f>
        <v>0</v>
      </c>
      <c r="U5" s="5">
        <f>averageCompletionTimePorter(Dates!$C$6,Dates!$T$7,'Day2'!$B5)</f>
        <v>0</v>
      </c>
    </row>
    <row r="6" spans="1:21" x14ac:dyDescent="0.3">
      <c r="A6" s="6"/>
      <c r="B6" s="8">
        <v>2</v>
      </c>
      <c r="C6" s="5">
        <f>averageCompletionTimePorter(Dates!C$6,Dates!C$7,'Day2'!$B6)</f>
        <v>0</v>
      </c>
      <c r="D6" s="5">
        <f>averageCompletionTimePorter(Dates!D$6,Dates!D$7,'Day2'!$B6)</f>
        <v>0</v>
      </c>
      <c r="E6" s="5">
        <f>averageCompletionTimePorter(Dates!E$6,Dates!E$7,'Day2'!$B6)</f>
        <v>0</v>
      </c>
      <c r="F6" s="5">
        <f>averageCompletionTimePorter(Dates!F$6,Dates!F$7,'Day2'!$B6)</f>
        <v>0</v>
      </c>
      <c r="G6" s="5">
        <f>averageCompletionTimePorter(Dates!G$6,Dates!G$7,'Day2'!$B6)</f>
        <v>0</v>
      </c>
      <c r="H6" s="5">
        <f>averageCompletionTimePorter(Dates!H$6,Dates!H$7,'Day2'!$B6)</f>
        <v>0</v>
      </c>
      <c r="I6" s="5">
        <f>averageCompletionTimePorter(Dates!I$6,Dates!I$7,'Day2'!$B6)</f>
        <v>0</v>
      </c>
      <c r="J6" s="5">
        <f>averageCompletionTimePorter(Dates!J$6,Dates!J$7,'Day2'!$B6)</f>
        <v>0</v>
      </c>
      <c r="K6" s="5">
        <f>averageCompletionTimePorter(Dates!K$6,Dates!K$7,'Day2'!$B6)</f>
        <v>0</v>
      </c>
      <c r="L6" s="5">
        <f>averageCompletionTimePorter(Dates!L$6,Dates!L$7,'Day2'!$B6)</f>
        <v>0</v>
      </c>
      <c r="M6" s="5">
        <f>averageCompletionTimePorter(Dates!M$6,Dates!M$7,'Day2'!$B6)</f>
        <v>0</v>
      </c>
      <c r="N6" s="5">
        <f>averageCompletionTimePorter(Dates!N$6,Dates!N$7,'Day2'!$B6)</f>
        <v>0</v>
      </c>
      <c r="O6" s="5">
        <f>averageCompletionTimePorter(Dates!O$6,Dates!O$7,'Day2'!$B6)</f>
        <v>0</v>
      </c>
      <c r="P6" s="5">
        <f>averageCompletionTimePorter(Dates!P$6,Dates!P$7,'Day2'!$B6)</f>
        <v>0</v>
      </c>
      <c r="Q6" s="5">
        <f>averageCompletionTimePorter(Dates!Q$6,Dates!Q$7,'Day2'!$B6)</f>
        <v>0</v>
      </c>
      <c r="R6" s="5">
        <f>averageCompletionTimePorter(Dates!R$6,Dates!R$7,'Day2'!$B6)</f>
        <v>0</v>
      </c>
      <c r="S6" s="5">
        <f>averageCompletionTimePorter(Dates!S$6,Dates!S$7,'Day2'!$B6)</f>
        <v>0</v>
      </c>
      <c r="T6" s="5">
        <f>averageCompletionTimePorter(Dates!T$6,Dates!T$7,'Day2'!$B6)</f>
        <v>0</v>
      </c>
      <c r="U6" s="5">
        <f>averageCompletionTimePorter(Dates!$C$6,Dates!$T$7,'Day2'!$B6)</f>
        <v>0</v>
      </c>
    </row>
    <row r="7" spans="1:21" x14ac:dyDescent="0.3">
      <c r="A7" s="6"/>
      <c r="B7" s="8">
        <v>5</v>
      </c>
      <c r="C7" s="5">
        <f>averageCompletionTimePorter(Dates!C$6,Dates!C$7,'Day2'!$B7)</f>
        <v>0</v>
      </c>
      <c r="D7" s="5">
        <f>averageCompletionTimePorter(Dates!D$6,Dates!D$7,'Day2'!$B7)</f>
        <v>0</v>
      </c>
      <c r="E7" s="5">
        <f>averageCompletionTimePorter(Dates!E$6,Dates!E$7,'Day2'!$B7)</f>
        <v>0</v>
      </c>
      <c r="F7" s="5">
        <f>averageCompletionTimePorter(Dates!F$6,Dates!F$7,'Day2'!$B7)</f>
        <v>0</v>
      </c>
      <c r="G7" s="5">
        <f>averageCompletionTimePorter(Dates!G$6,Dates!G$7,'Day2'!$B7)</f>
        <v>0</v>
      </c>
      <c r="H7" s="5">
        <f>averageCompletionTimePorter(Dates!H$6,Dates!H$7,'Day2'!$B7)</f>
        <v>0</v>
      </c>
      <c r="I7" s="5">
        <f>averageCompletionTimePorter(Dates!I$6,Dates!I$7,'Day2'!$B7)</f>
        <v>0</v>
      </c>
      <c r="J7" s="5">
        <f>averageCompletionTimePorter(Dates!J$6,Dates!J$7,'Day2'!$B7)</f>
        <v>0</v>
      </c>
      <c r="K7" s="5">
        <f>averageCompletionTimePorter(Dates!K$6,Dates!K$7,'Day2'!$B7)</f>
        <v>0</v>
      </c>
      <c r="L7" s="5">
        <f>averageCompletionTimePorter(Dates!L$6,Dates!L$7,'Day2'!$B7)</f>
        <v>0</v>
      </c>
      <c r="M7" s="5">
        <f>averageCompletionTimePorter(Dates!M$6,Dates!M$7,'Day2'!$B7)</f>
        <v>0</v>
      </c>
      <c r="N7" s="5">
        <f>averageCompletionTimePorter(Dates!N$6,Dates!N$7,'Day2'!$B7)</f>
        <v>0</v>
      </c>
      <c r="O7" s="5">
        <f>averageCompletionTimePorter(Dates!O$6,Dates!O$7,'Day2'!$B7)</f>
        <v>0</v>
      </c>
      <c r="P7" s="5">
        <f>averageCompletionTimePorter(Dates!P$6,Dates!P$7,'Day2'!$B7)</f>
        <v>0</v>
      </c>
      <c r="Q7" s="5">
        <f>averageCompletionTimePorter(Dates!Q$6,Dates!Q$7,'Day2'!$B7)</f>
        <v>0</v>
      </c>
      <c r="R7" s="5">
        <f>averageCompletionTimePorter(Dates!R$6,Dates!R$7,'Day2'!$B7)</f>
        <v>0</v>
      </c>
      <c r="S7" s="5">
        <f>averageCompletionTimePorter(Dates!S$6,Dates!S$7,'Day2'!$B7)</f>
        <v>0</v>
      </c>
      <c r="T7" s="5">
        <f>averageCompletionTimePorter(Dates!T$6,Dates!T$7,'Day2'!$B7)</f>
        <v>0</v>
      </c>
      <c r="U7" s="5">
        <f>averageCompletionTimePorter(Dates!$C$6,Dates!$T$7,'Day2'!$B7)</f>
        <v>0</v>
      </c>
    </row>
    <row r="8" spans="1:21" x14ac:dyDescent="0.3">
      <c r="A8" s="6"/>
      <c r="B8" s="8">
        <v>4</v>
      </c>
      <c r="C8" s="5">
        <f>averageCompletionTimePorter(Dates!C$6,Dates!C$7,'Day2'!$B8)</f>
        <v>0</v>
      </c>
      <c r="D8" s="5">
        <f>averageCompletionTimePorter(Dates!D$6,Dates!D$7,'Day2'!$B8)</f>
        <v>0</v>
      </c>
      <c r="E8" s="5">
        <f>averageCompletionTimePorter(Dates!E$6,Dates!E$7,'Day2'!$B8)</f>
        <v>0</v>
      </c>
      <c r="F8" s="5">
        <f>averageCompletionTimePorter(Dates!F$6,Dates!F$7,'Day2'!$B8)</f>
        <v>0</v>
      </c>
      <c r="G8" s="5">
        <f>averageCompletionTimePorter(Dates!G$6,Dates!G$7,'Day2'!$B8)</f>
        <v>0</v>
      </c>
      <c r="H8" s="5">
        <f>averageCompletionTimePorter(Dates!H$6,Dates!H$7,'Day2'!$B8)</f>
        <v>0</v>
      </c>
      <c r="I8" s="5">
        <f>averageCompletionTimePorter(Dates!I$6,Dates!I$7,'Day2'!$B8)</f>
        <v>0</v>
      </c>
      <c r="J8" s="5">
        <f>averageCompletionTimePorter(Dates!J$6,Dates!J$7,'Day2'!$B8)</f>
        <v>0</v>
      </c>
      <c r="K8" s="5">
        <f>averageCompletionTimePorter(Dates!K$6,Dates!K$7,'Day2'!$B8)</f>
        <v>0</v>
      </c>
      <c r="L8" s="5">
        <f>averageCompletionTimePorter(Dates!L$6,Dates!L$7,'Day2'!$B8)</f>
        <v>0</v>
      </c>
      <c r="M8" s="5">
        <f>averageCompletionTimePorter(Dates!M$6,Dates!M$7,'Day2'!$B8)</f>
        <v>0</v>
      </c>
      <c r="N8" s="5">
        <f>averageCompletionTimePorter(Dates!N$6,Dates!N$7,'Day2'!$B8)</f>
        <v>0</v>
      </c>
      <c r="O8" s="5">
        <f>averageCompletionTimePorter(Dates!O$6,Dates!O$7,'Day2'!$B8)</f>
        <v>0</v>
      </c>
      <c r="P8" s="5">
        <f>averageCompletionTimePorter(Dates!P$6,Dates!P$7,'Day2'!$B8)</f>
        <v>0</v>
      </c>
      <c r="Q8" s="5">
        <f>averageCompletionTimePorter(Dates!Q$6,Dates!Q$7,'Day2'!$B8)</f>
        <v>0</v>
      </c>
      <c r="R8" s="5">
        <f>averageCompletionTimePorter(Dates!R$6,Dates!R$7,'Day2'!$B8)</f>
        <v>0</v>
      </c>
      <c r="S8" s="5">
        <f>averageCompletionTimePorter(Dates!S$6,Dates!S$7,'Day2'!$B8)</f>
        <v>0</v>
      </c>
      <c r="T8" s="5">
        <f>averageCompletionTimePorter(Dates!T$6,Dates!T$7,'Day2'!$B8)</f>
        <v>0</v>
      </c>
      <c r="U8" s="5">
        <f>averageCompletionTimePorter(Dates!$C$6,Dates!$T$7,'Day2'!$B8)</f>
        <v>0</v>
      </c>
    </row>
    <row r="9" spans="1:21" x14ac:dyDescent="0.3">
      <c r="A9" s="6"/>
      <c r="B9" s="8">
        <v>6</v>
      </c>
      <c r="C9" s="5">
        <f>averageCompletionTimePorter(Dates!C$6,Dates!C$7,'Day2'!$B9)</f>
        <v>0</v>
      </c>
      <c r="D9" s="5">
        <f>averageCompletionTimePorter(Dates!D$6,Dates!D$7,'Day2'!$B9)</f>
        <v>0</v>
      </c>
      <c r="E9" s="5">
        <f>averageCompletionTimePorter(Dates!E$6,Dates!E$7,'Day2'!$B9)</f>
        <v>0</v>
      </c>
      <c r="F9" s="5">
        <f>averageCompletionTimePorter(Dates!F$6,Dates!F$7,'Day2'!$B9)</f>
        <v>0</v>
      </c>
      <c r="G9" s="5">
        <f>averageCompletionTimePorter(Dates!G$6,Dates!G$7,'Day2'!$B9)</f>
        <v>0</v>
      </c>
      <c r="H9" s="5">
        <f>averageCompletionTimePorter(Dates!H$6,Dates!H$7,'Day2'!$B9)</f>
        <v>0</v>
      </c>
      <c r="I9" s="5">
        <f>averageCompletionTimePorter(Dates!I$6,Dates!I$7,'Day2'!$B9)</f>
        <v>0</v>
      </c>
      <c r="J9" s="5">
        <f>averageCompletionTimePorter(Dates!J$6,Dates!J$7,'Day2'!$B9)</f>
        <v>0</v>
      </c>
      <c r="K9" s="5">
        <f>averageCompletionTimePorter(Dates!K$6,Dates!K$7,'Day2'!$B9)</f>
        <v>0</v>
      </c>
      <c r="L9" s="5">
        <f>averageCompletionTimePorter(Dates!L$6,Dates!L$7,'Day2'!$B9)</f>
        <v>0</v>
      </c>
      <c r="M9" s="5">
        <f>averageCompletionTimePorter(Dates!M$6,Dates!M$7,'Day2'!$B9)</f>
        <v>0</v>
      </c>
      <c r="N9" s="5">
        <f>averageCompletionTimePorter(Dates!N$6,Dates!N$7,'Day2'!$B9)</f>
        <v>0</v>
      </c>
      <c r="O9" s="5">
        <f>averageCompletionTimePorter(Dates!O$6,Dates!O$7,'Day2'!$B9)</f>
        <v>0</v>
      </c>
      <c r="P9" s="5">
        <f>averageCompletionTimePorter(Dates!P$6,Dates!P$7,'Day2'!$B9)</f>
        <v>0</v>
      </c>
      <c r="Q9" s="5">
        <f>averageCompletionTimePorter(Dates!Q$6,Dates!Q$7,'Day2'!$B9)</f>
        <v>0</v>
      </c>
      <c r="R9" s="5">
        <f>averageCompletionTimePorter(Dates!R$6,Dates!R$7,'Day2'!$B9)</f>
        <v>0</v>
      </c>
      <c r="S9" s="5">
        <f>averageCompletionTimePorter(Dates!S$6,Dates!S$7,'Day2'!$B9)</f>
        <v>0</v>
      </c>
      <c r="T9" s="5">
        <f>averageCompletionTimePorter(Dates!T$6,Dates!T$7,'Day2'!$B9)</f>
        <v>0</v>
      </c>
      <c r="U9" s="5">
        <f>averageCompletionTimePorter(Dates!$C$6,Dates!$T$7,'Day2'!$B9)</f>
        <v>0</v>
      </c>
    </row>
    <row r="10" spans="1:21" x14ac:dyDescent="0.3">
      <c r="A10" s="6"/>
      <c r="B10" s="8" t="s">
        <v>69</v>
      </c>
      <c r="C10" s="5">
        <f>averageCompletionTimePorter(Dates!C$6,Dates!C$7,'Day2'!$B10)</f>
        <v>0</v>
      </c>
      <c r="D10" s="5">
        <f>averageCompletionTimePorter(Dates!D$6,Dates!D$7,'Day2'!$B10)</f>
        <v>0</v>
      </c>
      <c r="E10" s="5">
        <f>averageCompletionTimePorter(Dates!E$6,Dates!E$7,'Day2'!$B10)</f>
        <v>0</v>
      </c>
      <c r="F10" s="5">
        <f>averageCompletionTimePorter(Dates!F$6,Dates!F$7,'Day2'!$B10)</f>
        <v>0</v>
      </c>
      <c r="G10" s="5">
        <f>averageCompletionTimePorter(Dates!G$6,Dates!G$7,'Day2'!$B10)</f>
        <v>0</v>
      </c>
      <c r="H10" s="5">
        <f>averageCompletionTimePorter(Dates!H$6,Dates!H$7,'Day2'!$B10)</f>
        <v>0</v>
      </c>
      <c r="I10" s="5">
        <f>averageCompletionTimePorter(Dates!I$6,Dates!I$7,'Day2'!$B10)</f>
        <v>0</v>
      </c>
      <c r="J10" s="5">
        <f>averageCompletionTimePorter(Dates!J$6,Dates!J$7,'Day2'!$B10)</f>
        <v>0</v>
      </c>
      <c r="K10" s="5">
        <f>averageCompletionTimePorter(Dates!K$6,Dates!K$7,'Day2'!$B10)</f>
        <v>0</v>
      </c>
      <c r="L10" s="5">
        <f>averageCompletionTimePorter(Dates!L$6,Dates!L$7,'Day2'!$B10)</f>
        <v>0</v>
      </c>
      <c r="M10" s="5">
        <f>averageCompletionTimePorter(Dates!M$6,Dates!M$7,'Day2'!$B10)</f>
        <v>0</v>
      </c>
      <c r="N10" s="5">
        <f>averageCompletionTimePorter(Dates!N$6,Dates!N$7,'Day2'!$B10)</f>
        <v>0</v>
      </c>
      <c r="O10" s="5">
        <f>averageCompletionTimePorter(Dates!O$6,Dates!O$7,'Day2'!$B10)</f>
        <v>0</v>
      </c>
      <c r="P10" s="5">
        <f>averageCompletionTimePorter(Dates!P$6,Dates!P$7,'Day2'!$B10)</f>
        <v>0</v>
      </c>
      <c r="Q10" s="5">
        <f>averageCompletionTimePorter(Dates!Q$6,Dates!Q$7,'Day2'!$B10)</f>
        <v>0</v>
      </c>
      <c r="R10" s="5">
        <f>averageCompletionTimePorter(Dates!R$6,Dates!R$7,'Day2'!$B10)</f>
        <v>0</v>
      </c>
      <c r="S10" s="5">
        <f>averageCompletionTimePorter(Dates!S$6,Dates!S$7,'Day2'!$B10)</f>
        <v>0</v>
      </c>
      <c r="T10" s="5">
        <f>averageCompletionTimePorter(Dates!T$6,Dates!T$7,'Day2'!$B10)</f>
        <v>0</v>
      </c>
      <c r="U10" s="5">
        <f>averageCompletionTimePorter(Dates!$C$6,Dates!$T$7,'Day2'!$B10)</f>
        <v>0</v>
      </c>
    </row>
    <row r="11" spans="1:21" x14ac:dyDescent="0.3">
      <c r="A11" s="6"/>
      <c r="B11" s="8" t="s">
        <v>70</v>
      </c>
      <c r="C11" s="5">
        <f>averageCompletionTimePorter(Dates!C$6,Dates!C$7,'Day2'!$B11)</f>
        <v>0</v>
      </c>
      <c r="D11" s="5">
        <f>averageCompletionTimePorter(Dates!D$6,Dates!D$7,'Day2'!$B11)</f>
        <v>0</v>
      </c>
      <c r="E11" s="5">
        <f>averageCompletionTimePorter(Dates!E$6,Dates!E$7,'Day2'!$B11)</f>
        <v>0</v>
      </c>
      <c r="F11" s="5">
        <f>averageCompletionTimePorter(Dates!F$6,Dates!F$7,'Day2'!$B11)</f>
        <v>0</v>
      </c>
      <c r="G11" s="5">
        <f>averageCompletionTimePorter(Dates!G$6,Dates!G$7,'Day2'!$B11)</f>
        <v>0</v>
      </c>
      <c r="H11" s="5">
        <f>averageCompletionTimePorter(Dates!H$6,Dates!H$7,'Day2'!$B11)</f>
        <v>0</v>
      </c>
      <c r="I11" s="5">
        <f>averageCompletionTimePorter(Dates!I$6,Dates!I$7,'Day2'!$B11)</f>
        <v>0</v>
      </c>
      <c r="J11" s="5">
        <f>averageCompletionTimePorter(Dates!J$6,Dates!J$7,'Day2'!$B11)</f>
        <v>0</v>
      </c>
      <c r="K11" s="5">
        <f>averageCompletionTimePorter(Dates!K$6,Dates!K$7,'Day2'!$B11)</f>
        <v>0</v>
      </c>
      <c r="L11" s="5">
        <f>averageCompletionTimePorter(Dates!L$6,Dates!L$7,'Day2'!$B11)</f>
        <v>0</v>
      </c>
      <c r="M11" s="5">
        <f>averageCompletionTimePorter(Dates!M$6,Dates!M$7,'Day2'!$B11)</f>
        <v>0</v>
      </c>
      <c r="N11" s="5">
        <f>averageCompletionTimePorter(Dates!N$6,Dates!N$7,'Day2'!$B11)</f>
        <v>0</v>
      </c>
      <c r="O11" s="5">
        <f>averageCompletionTimePorter(Dates!O$6,Dates!O$7,'Day2'!$B11)</f>
        <v>0</v>
      </c>
      <c r="P11" s="5">
        <f>averageCompletionTimePorter(Dates!P$6,Dates!P$7,'Day2'!$B11)</f>
        <v>0</v>
      </c>
      <c r="Q11" s="5">
        <f>averageCompletionTimePorter(Dates!Q$6,Dates!Q$7,'Day2'!$B11)</f>
        <v>0</v>
      </c>
      <c r="R11" s="5">
        <f>averageCompletionTimePorter(Dates!R$6,Dates!R$7,'Day2'!$B11)</f>
        <v>0</v>
      </c>
      <c r="S11" s="5">
        <f>averageCompletionTimePorter(Dates!S$6,Dates!S$7,'Day2'!$B11)</f>
        <v>0</v>
      </c>
      <c r="T11" s="5">
        <f>averageCompletionTimePorter(Dates!T$6,Dates!T$7,'Day2'!$B11)</f>
        <v>0</v>
      </c>
      <c r="U11" s="5">
        <f>averageCompletionTimePorter(Dates!$C$6,Dates!$T$7,'Day2'!$B11)</f>
        <v>0</v>
      </c>
    </row>
    <row r="12" spans="1:21" x14ac:dyDescent="0.3">
      <c r="A12" s="6"/>
      <c r="B12" s="8" t="s">
        <v>61</v>
      </c>
      <c r="C12" s="5">
        <f>averageCompletionTimePorter(Dates!C$6,Dates!C$7,'Day2'!$B12)</f>
        <v>0</v>
      </c>
      <c r="D12" s="5">
        <f>averageCompletionTimePorter(Dates!D$6,Dates!D$7,'Day2'!$B12)</f>
        <v>0</v>
      </c>
      <c r="E12" s="5">
        <f>averageCompletionTimePorter(Dates!E$6,Dates!E$7,'Day2'!$B12)</f>
        <v>0</v>
      </c>
      <c r="F12" s="5">
        <f>averageCompletionTimePorter(Dates!F$6,Dates!F$7,'Day2'!$B12)</f>
        <v>0</v>
      </c>
      <c r="G12" s="5">
        <f>averageCompletionTimePorter(Dates!G$6,Dates!G$7,'Day2'!$B12)</f>
        <v>0</v>
      </c>
      <c r="H12" s="5">
        <f>averageCompletionTimePorter(Dates!H$6,Dates!H$7,'Day2'!$B12)</f>
        <v>0</v>
      </c>
      <c r="I12" s="5">
        <f>averageCompletionTimePorter(Dates!I$6,Dates!I$7,'Day2'!$B12)</f>
        <v>0</v>
      </c>
      <c r="J12" s="5">
        <f>averageCompletionTimePorter(Dates!J$6,Dates!J$7,'Day2'!$B12)</f>
        <v>0</v>
      </c>
      <c r="K12" s="5">
        <f>averageCompletionTimePorter(Dates!K$6,Dates!K$7,'Day2'!$B12)</f>
        <v>0</v>
      </c>
      <c r="L12" s="5">
        <f>averageCompletionTimePorter(Dates!L$6,Dates!L$7,'Day2'!$B12)</f>
        <v>0</v>
      </c>
      <c r="M12" s="5">
        <f>averageCompletionTimePorter(Dates!M$6,Dates!M$7,'Day2'!$B12)</f>
        <v>0</v>
      </c>
      <c r="N12" s="5">
        <f>averageCompletionTimePorter(Dates!N$6,Dates!N$7,'Day2'!$B12)</f>
        <v>0</v>
      </c>
      <c r="O12" s="5">
        <f>averageCompletionTimePorter(Dates!O$6,Dates!O$7,'Day2'!$B12)</f>
        <v>0</v>
      </c>
      <c r="P12" s="5">
        <f>averageCompletionTimePorter(Dates!P$6,Dates!P$7,'Day2'!$B12)</f>
        <v>0</v>
      </c>
      <c r="Q12" s="5">
        <f>averageCompletionTimePorter(Dates!Q$6,Dates!Q$7,'Day2'!$B12)</f>
        <v>0</v>
      </c>
      <c r="R12" s="5">
        <f>averageCompletionTimePorter(Dates!R$6,Dates!R$7,'Day2'!$B12)</f>
        <v>0</v>
      </c>
      <c r="S12" s="5">
        <f>averageCompletionTimePorter(Dates!S$6,Dates!S$7,'Day2'!$B12)</f>
        <v>0</v>
      </c>
      <c r="T12" s="5">
        <f>averageCompletionTimePorter(Dates!T$6,Dates!T$7,'Day2'!$B12)</f>
        <v>0</v>
      </c>
      <c r="U12" s="5">
        <f>averageCompletionTimePorter(Dates!$C$6,Dates!$T$7,'Day2'!$B12)</f>
        <v>0</v>
      </c>
    </row>
    <row r="13" spans="1:21" x14ac:dyDescent="0.3">
      <c r="A13" s="6"/>
      <c r="B13" s="8" t="s">
        <v>28</v>
      </c>
      <c r="C13" s="5">
        <f>averageCompletionTimePorter(Dates!C$6,Dates!C$7,'Day2'!$B13)</f>
        <v>0</v>
      </c>
      <c r="D13" s="5">
        <f>averageCompletionTimePorter(Dates!D$6,Dates!D$7,'Day2'!$B13)</f>
        <v>0</v>
      </c>
      <c r="E13" s="5">
        <f>averageCompletionTimePorter(Dates!E$6,Dates!E$7,'Day2'!$B13)</f>
        <v>0</v>
      </c>
      <c r="F13" s="5">
        <f>averageCompletionTimePorter(Dates!F$6,Dates!F$7,'Day2'!$B13)</f>
        <v>0</v>
      </c>
      <c r="G13" s="5">
        <f>averageCompletionTimePorter(Dates!G$6,Dates!G$7,'Day2'!$B13)</f>
        <v>0</v>
      </c>
      <c r="H13" s="5">
        <f>averageCompletionTimePorter(Dates!H$6,Dates!H$7,'Day2'!$B13)</f>
        <v>0</v>
      </c>
      <c r="I13" s="5">
        <f>averageCompletionTimePorter(Dates!I$6,Dates!I$7,'Day2'!$B13)</f>
        <v>0</v>
      </c>
      <c r="J13" s="5">
        <f>averageCompletionTimePorter(Dates!J$6,Dates!J$7,'Day2'!$B13)</f>
        <v>0</v>
      </c>
      <c r="K13" s="5">
        <f>averageCompletionTimePorter(Dates!K$6,Dates!K$7,'Day2'!$B13)</f>
        <v>0</v>
      </c>
      <c r="L13" s="5">
        <f>averageCompletionTimePorter(Dates!L$6,Dates!L$7,'Day2'!$B13)</f>
        <v>0</v>
      </c>
      <c r="M13" s="5">
        <f>averageCompletionTimePorter(Dates!M$6,Dates!M$7,'Day2'!$B13)</f>
        <v>0</v>
      </c>
      <c r="N13" s="5">
        <f>averageCompletionTimePorter(Dates!N$6,Dates!N$7,'Day2'!$B13)</f>
        <v>0</v>
      </c>
      <c r="O13" s="5">
        <f>averageCompletionTimePorter(Dates!O$6,Dates!O$7,'Day2'!$B13)</f>
        <v>0</v>
      </c>
      <c r="P13" s="5">
        <f>averageCompletionTimePorter(Dates!P$6,Dates!P$7,'Day2'!$B13)</f>
        <v>0</v>
      </c>
      <c r="Q13" s="5">
        <f>averageCompletionTimePorter(Dates!Q$6,Dates!Q$7,'Day2'!$B13)</f>
        <v>0</v>
      </c>
      <c r="R13" s="5">
        <f>averageCompletionTimePorter(Dates!R$6,Dates!R$7,'Day2'!$B13)</f>
        <v>0</v>
      </c>
      <c r="S13" s="5">
        <f>averageCompletionTimePorter(Dates!S$6,Dates!S$7,'Day2'!$B13)</f>
        <v>0</v>
      </c>
      <c r="T13" s="5">
        <f>averageCompletionTimePorter(Dates!T$6,Dates!T$7,'Day2'!$B13)</f>
        <v>0</v>
      </c>
      <c r="U13" s="5">
        <f>averageCompletionTimePorter(Dates!$C$6,Dates!$T$7,'Day2'!$B13)</f>
        <v>0</v>
      </c>
    </row>
    <row r="14" spans="1:21" x14ac:dyDescent="0.3">
      <c r="B14" s="8" t="s">
        <v>13</v>
      </c>
      <c r="C14" s="5">
        <f>averageCompletionTimePorter(Dates!C$6,Dates!C$7,'Day2'!$B14)</f>
        <v>0</v>
      </c>
      <c r="D14" s="5">
        <f>averageCompletionTimePorter(Dates!D$6,Dates!D$7,'Day2'!$B14)</f>
        <v>0</v>
      </c>
      <c r="E14" s="5">
        <f>averageCompletionTimePorter(Dates!E$6,Dates!E$7,'Day2'!$B14)</f>
        <v>0</v>
      </c>
      <c r="F14" s="5">
        <f>averageCompletionTimePorter(Dates!F$6,Dates!F$7,'Day2'!$B14)</f>
        <v>0</v>
      </c>
      <c r="G14" s="5">
        <f>averageCompletionTimePorter(Dates!G$6,Dates!G$7,'Day2'!$B14)</f>
        <v>0</v>
      </c>
      <c r="H14" s="5">
        <f>averageCompletionTimePorter(Dates!H$6,Dates!H$7,'Day2'!$B14)</f>
        <v>0</v>
      </c>
      <c r="I14" s="5">
        <f>averageCompletionTimePorter(Dates!I$6,Dates!I$7,'Day2'!$B14)</f>
        <v>0</v>
      </c>
      <c r="J14" s="5">
        <f>averageCompletionTimePorter(Dates!J$6,Dates!J$7,'Day2'!$B14)</f>
        <v>0</v>
      </c>
      <c r="K14" s="5">
        <f>averageCompletionTimePorter(Dates!K$6,Dates!K$7,'Day2'!$B14)</f>
        <v>0</v>
      </c>
      <c r="L14" s="5">
        <f>averageCompletionTimePorter(Dates!L$6,Dates!L$7,'Day2'!$B14)</f>
        <v>0</v>
      </c>
      <c r="M14" s="5">
        <f>averageCompletionTimePorter(Dates!M$6,Dates!M$7,'Day2'!$B14)</f>
        <v>0</v>
      </c>
      <c r="N14" s="5">
        <f>averageCompletionTimePorter(Dates!N$6,Dates!N$7,'Day2'!$B14)</f>
        <v>0</v>
      </c>
      <c r="O14" s="5">
        <f>averageCompletionTimePorter(Dates!O$6,Dates!O$7,'Day2'!$B14)</f>
        <v>0</v>
      </c>
      <c r="P14" s="5">
        <f>averageCompletionTimePorter(Dates!P$6,Dates!P$7,'Day2'!$B14)</f>
        <v>0</v>
      </c>
      <c r="Q14" s="5">
        <f>averageCompletionTimePorter(Dates!Q$6,Dates!Q$7,'Day2'!$B14)</f>
        <v>0</v>
      </c>
      <c r="R14" s="5">
        <f>averageCompletionTimePorter(Dates!R$6,Dates!R$7,'Day2'!$B14)</f>
        <v>0</v>
      </c>
      <c r="S14" s="5">
        <f>averageCompletionTimePorter(Dates!S$6,Dates!S$7,'Day2'!$B14)</f>
        <v>0</v>
      </c>
      <c r="T14" s="5">
        <f>averageCompletionTimePorter(Dates!T$6,Dates!T$7,'Day2'!$B14)</f>
        <v>0</v>
      </c>
      <c r="U14" s="5">
        <f>averageCompletionTimePorter(Dates!$C$6,Dates!$T$7,'Day2'!$B14)</f>
        <v>0</v>
      </c>
    </row>
    <row r="15" spans="1:21" x14ac:dyDescent="0.3">
      <c r="B15" s="8" t="s">
        <v>14</v>
      </c>
      <c r="C15" s="5">
        <f>averageCompletionTimePorter(Dates!C$6,Dates!C$7,'Day2'!$B15)</f>
        <v>0</v>
      </c>
      <c r="D15" s="5">
        <f>averageCompletionTimePorter(Dates!D$6,Dates!D$7,'Day2'!$B15)</f>
        <v>0</v>
      </c>
      <c r="E15" s="5">
        <f>averageCompletionTimePorter(Dates!E$6,Dates!E$7,'Day2'!$B15)</f>
        <v>0</v>
      </c>
      <c r="F15" s="5">
        <f>averageCompletionTimePorter(Dates!F$6,Dates!F$7,'Day2'!$B15)</f>
        <v>0</v>
      </c>
      <c r="G15" s="5">
        <f>averageCompletionTimePorter(Dates!G$6,Dates!G$7,'Day2'!$B15)</f>
        <v>0</v>
      </c>
      <c r="H15" s="5">
        <f>averageCompletionTimePorter(Dates!H$6,Dates!H$7,'Day2'!$B15)</f>
        <v>0</v>
      </c>
      <c r="I15" s="5">
        <f>averageCompletionTimePorter(Dates!I$6,Dates!I$7,'Day2'!$B15)</f>
        <v>0</v>
      </c>
      <c r="J15" s="5">
        <f>averageCompletionTimePorter(Dates!J$6,Dates!J$7,'Day2'!$B15)</f>
        <v>0</v>
      </c>
      <c r="K15" s="5">
        <f>averageCompletionTimePorter(Dates!K$6,Dates!K$7,'Day2'!$B15)</f>
        <v>0</v>
      </c>
      <c r="L15" s="5">
        <f>averageCompletionTimePorter(Dates!L$6,Dates!L$7,'Day2'!$B15)</f>
        <v>0</v>
      </c>
      <c r="M15" s="5">
        <f>averageCompletionTimePorter(Dates!M$6,Dates!M$7,'Day2'!$B15)</f>
        <v>0</v>
      </c>
      <c r="N15" s="5">
        <f>averageCompletionTimePorter(Dates!N$6,Dates!N$7,'Day2'!$B15)</f>
        <v>0</v>
      </c>
      <c r="O15" s="5">
        <f>averageCompletionTimePorter(Dates!O$6,Dates!O$7,'Day2'!$B15)</f>
        <v>0</v>
      </c>
      <c r="P15" s="5">
        <f>averageCompletionTimePorter(Dates!P$6,Dates!P$7,'Day2'!$B15)</f>
        <v>0</v>
      </c>
      <c r="Q15" s="5">
        <f>averageCompletionTimePorter(Dates!Q$6,Dates!Q$7,'Day2'!$B15)</f>
        <v>0</v>
      </c>
      <c r="R15" s="5">
        <f>averageCompletionTimePorter(Dates!R$6,Dates!R$7,'Day2'!$B15)</f>
        <v>0</v>
      </c>
      <c r="S15" s="5">
        <f>averageCompletionTimePorter(Dates!S$6,Dates!S$7,'Day2'!$B15)</f>
        <v>0</v>
      </c>
      <c r="T15" s="5">
        <f>averageCompletionTimePorter(Dates!T$6,Dates!T$7,'Day2'!$B15)</f>
        <v>0</v>
      </c>
      <c r="U15" s="5">
        <f>averageCompletionTimePorter(Dates!$C$6,Dates!$T$7,'Day2'!$B15)</f>
        <v>0</v>
      </c>
    </row>
    <row r="16" spans="1:21" x14ac:dyDescent="0.3">
      <c r="B16" s="8" t="s">
        <v>15</v>
      </c>
      <c r="C16" s="5">
        <f>averageCompletionTimePorter(Dates!C$6,Dates!C$7,'Day2'!$B16)</f>
        <v>0</v>
      </c>
      <c r="D16" s="5">
        <f>averageCompletionTimePorter(Dates!D$6,Dates!D$7,'Day2'!$B16)</f>
        <v>0</v>
      </c>
      <c r="E16" s="5">
        <f>averageCompletionTimePorter(Dates!E$6,Dates!E$7,'Day2'!$B16)</f>
        <v>0</v>
      </c>
      <c r="F16" s="5">
        <f>averageCompletionTimePorter(Dates!F$6,Dates!F$7,'Day2'!$B16)</f>
        <v>0</v>
      </c>
      <c r="G16" s="5">
        <f>averageCompletionTimePorter(Dates!G$6,Dates!G$7,'Day2'!$B16)</f>
        <v>0</v>
      </c>
      <c r="H16" s="5">
        <f>averageCompletionTimePorter(Dates!H$6,Dates!H$7,'Day2'!$B16)</f>
        <v>0</v>
      </c>
      <c r="I16" s="5">
        <f>averageCompletionTimePorter(Dates!I$6,Dates!I$7,'Day2'!$B16)</f>
        <v>0</v>
      </c>
      <c r="J16" s="5">
        <f>averageCompletionTimePorter(Dates!J$6,Dates!J$7,'Day2'!$B16)</f>
        <v>0</v>
      </c>
      <c r="K16" s="5">
        <f>averageCompletionTimePorter(Dates!K$6,Dates!K$7,'Day2'!$B16)</f>
        <v>0</v>
      </c>
      <c r="L16" s="5">
        <f>averageCompletionTimePorter(Dates!L$6,Dates!L$7,'Day2'!$B16)</f>
        <v>0</v>
      </c>
      <c r="M16" s="5">
        <f>averageCompletionTimePorter(Dates!M$6,Dates!M$7,'Day2'!$B16)</f>
        <v>0</v>
      </c>
      <c r="N16" s="5">
        <f>averageCompletionTimePorter(Dates!N$6,Dates!N$7,'Day2'!$B16)</f>
        <v>0</v>
      </c>
      <c r="O16" s="5">
        <f>averageCompletionTimePorter(Dates!O$6,Dates!O$7,'Day2'!$B16)</f>
        <v>0</v>
      </c>
      <c r="P16" s="5">
        <f>averageCompletionTimePorter(Dates!P$6,Dates!P$7,'Day2'!$B16)</f>
        <v>0</v>
      </c>
      <c r="Q16" s="5">
        <f>averageCompletionTimePorter(Dates!Q$6,Dates!Q$7,'Day2'!$B16)</f>
        <v>0</v>
      </c>
      <c r="R16" s="5">
        <f>averageCompletionTimePorter(Dates!R$6,Dates!R$7,'Day2'!$B16)</f>
        <v>0</v>
      </c>
      <c r="S16" s="5">
        <f>averageCompletionTimePorter(Dates!S$6,Dates!S$7,'Day2'!$B16)</f>
        <v>0</v>
      </c>
      <c r="T16" s="5">
        <f>averageCompletionTimePorter(Dates!T$6,Dates!T$7,'Day2'!$B16)</f>
        <v>0</v>
      </c>
      <c r="U16" s="5">
        <f>averageCompletionTimePorter(Dates!$C$6,Dates!$T$7,'Day2'!$B16)</f>
        <v>0</v>
      </c>
    </row>
    <row r="17" spans="2:21" x14ac:dyDescent="0.3">
      <c r="B17" s="8" t="s">
        <v>16</v>
      </c>
      <c r="C17" s="5">
        <f>averageCompletionTimePorter(Dates!C$6,Dates!C$7,'Day2'!$B17)</f>
        <v>0</v>
      </c>
      <c r="D17" s="5">
        <f>averageCompletionTimePorter(Dates!D$6,Dates!D$7,'Day2'!$B17)</f>
        <v>0</v>
      </c>
      <c r="E17" s="5">
        <f>averageCompletionTimePorter(Dates!E$6,Dates!E$7,'Day2'!$B17)</f>
        <v>0</v>
      </c>
      <c r="F17" s="5">
        <f>averageCompletionTimePorter(Dates!F$6,Dates!F$7,'Day2'!$B17)</f>
        <v>0</v>
      </c>
      <c r="G17" s="5">
        <f>averageCompletionTimePorter(Dates!G$6,Dates!G$7,'Day2'!$B17)</f>
        <v>0</v>
      </c>
      <c r="H17" s="5">
        <f>averageCompletionTimePorter(Dates!H$6,Dates!H$7,'Day2'!$B17)</f>
        <v>0</v>
      </c>
      <c r="I17" s="5">
        <f>averageCompletionTimePorter(Dates!I$6,Dates!I$7,'Day2'!$B17)</f>
        <v>0</v>
      </c>
      <c r="J17" s="5">
        <f>averageCompletionTimePorter(Dates!J$6,Dates!J$7,'Day2'!$B17)</f>
        <v>0</v>
      </c>
      <c r="K17" s="5">
        <f>averageCompletionTimePorter(Dates!K$6,Dates!K$7,'Day2'!$B17)</f>
        <v>0</v>
      </c>
      <c r="L17" s="5">
        <f>averageCompletionTimePorter(Dates!L$6,Dates!L$7,'Day2'!$B17)</f>
        <v>0</v>
      </c>
      <c r="M17" s="5">
        <f>averageCompletionTimePorter(Dates!M$6,Dates!M$7,'Day2'!$B17)</f>
        <v>0</v>
      </c>
      <c r="N17" s="5">
        <f>averageCompletionTimePorter(Dates!N$6,Dates!N$7,'Day2'!$B17)</f>
        <v>0</v>
      </c>
      <c r="O17" s="5">
        <f>averageCompletionTimePorter(Dates!O$6,Dates!O$7,'Day2'!$B17)</f>
        <v>0</v>
      </c>
      <c r="P17" s="5">
        <f>averageCompletionTimePorter(Dates!P$6,Dates!P$7,'Day2'!$B17)</f>
        <v>0</v>
      </c>
      <c r="Q17" s="5">
        <f>averageCompletionTimePorter(Dates!Q$6,Dates!Q$7,'Day2'!$B17)</f>
        <v>0</v>
      </c>
      <c r="R17" s="5">
        <f>averageCompletionTimePorter(Dates!R$6,Dates!R$7,'Day2'!$B17)</f>
        <v>0</v>
      </c>
      <c r="S17" s="5">
        <f>averageCompletionTimePorter(Dates!S$6,Dates!S$7,'Day2'!$B17)</f>
        <v>0</v>
      </c>
      <c r="T17" s="5">
        <f>averageCompletionTimePorter(Dates!T$6,Dates!T$7,'Day2'!$B17)</f>
        <v>0</v>
      </c>
      <c r="U17" s="5">
        <f>averageCompletionTimePorter(Dates!$C$6,Dates!$T$7,'Day2'!$B17)</f>
        <v>0</v>
      </c>
    </row>
    <row r="18" spans="2:21" x14ac:dyDescent="0.3">
      <c r="B18" s="8" t="s">
        <v>17</v>
      </c>
      <c r="C18" s="5">
        <f>averageCompletionTimePorter(Dates!C$6,Dates!C$7,'Day2'!$B18)</f>
        <v>0</v>
      </c>
      <c r="D18" s="5">
        <f>averageCompletionTimePorter(Dates!D$6,Dates!D$7,'Day2'!$B18)</f>
        <v>0</v>
      </c>
      <c r="E18" s="5">
        <f>averageCompletionTimePorter(Dates!E$6,Dates!E$7,'Day2'!$B18)</f>
        <v>0</v>
      </c>
      <c r="F18" s="5">
        <f>averageCompletionTimePorter(Dates!F$6,Dates!F$7,'Day2'!$B18)</f>
        <v>0</v>
      </c>
      <c r="G18" s="5">
        <f>averageCompletionTimePorter(Dates!G$6,Dates!G$7,'Day2'!$B18)</f>
        <v>0</v>
      </c>
      <c r="H18" s="5">
        <f>averageCompletionTimePorter(Dates!H$6,Dates!H$7,'Day2'!$B18)</f>
        <v>0</v>
      </c>
      <c r="I18" s="5">
        <f>averageCompletionTimePorter(Dates!I$6,Dates!I$7,'Day2'!$B18)</f>
        <v>0</v>
      </c>
      <c r="J18" s="5">
        <f>averageCompletionTimePorter(Dates!J$6,Dates!J$7,'Day2'!$B18)</f>
        <v>0</v>
      </c>
      <c r="K18" s="5">
        <f>averageCompletionTimePorter(Dates!K$6,Dates!K$7,'Day2'!$B18)</f>
        <v>0</v>
      </c>
      <c r="L18" s="5">
        <f>averageCompletionTimePorter(Dates!L$6,Dates!L$7,'Day2'!$B18)</f>
        <v>0</v>
      </c>
      <c r="M18" s="5">
        <f>averageCompletionTimePorter(Dates!M$6,Dates!M$7,'Day2'!$B18)</f>
        <v>0</v>
      </c>
      <c r="N18" s="5">
        <f>averageCompletionTimePorter(Dates!N$6,Dates!N$7,'Day2'!$B18)</f>
        <v>0</v>
      </c>
      <c r="O18" s="5">
        <f>averageCompletionTimePorter(Dates!O$6,Dates!O$7,'Day2'!$B18)</f>
        <v>0</v>
      </c>
      <c r="P18" s="5">
        <f>averageCompletionTimePorter(Dates!P$6,Dates!P$7,'Day2'!$B18)</f>
        <v>0</v>
      </c>
      <c r="Q18" s="5">
        <f>averageCompletionTimePorter(Dates!Q$6,Dates!Q$7,'Day2'!$B18)</f>
        <v>0</v>
      </c>
      <c r="R18" s="5">
        <f>averageCompletionTimePorter(Dates!R$6,Dates!R$7,'Day2'!$B18)</f>
        <v>0</v>
      </c>
      <c r="S18" s="5">
        <f>averageCompletionTimePorter(Dates!S$6,Dates!S$7,'Day2'!$B18)</f>
        <v>0</v>
      </c>
      <c r="T18" s="5">
        <f>averageCompletionTimePorter(Dates!T$6,Dates!T$7,'Day2'!$B18)</f>
        <v>0</v>
      </c>
      <c r="U18" s="5">
        <f>averageCompletionTimePorter(Dates!$C$6,Dates!$T$7,'Day2'!$B18)</f>
        <v>0</v>
      </c>
    </row>
    <row r="19" spans="2:21" x14ac:dyDescent="0.3">
      <c r="B19" s="8" t="s">
        <v>18</v>
      </c>
      <c r="C19" s="5">
        <f>averageCompletionTimePorter(Dates!C$6,Dates!C$7,'Day2'!$B19)</f>
        <v>0</v>
      </c>
      <c r="D19" s="5">
        <f>averageCompletionTimePorter(Dates!D$6,Dates!D$7,'Day2'!$B19)</f>
        <v>0</v>
      </c>
      <c r="E19" s="5">
        <f>averageCompletionTimePorter(Dates!E$6,Dates!E$7,'Day2'!$B19)</f>
        <v>0</v>
      </c>
      <c r="F19" s="5">
        <f>averageCompletionTimePorter(Dates!F$6,Dates!F$7,'Day2'!$B19)</f>
        <v>0</v>
      </c>
      <c r="G19" s="5">
        <f>averageCompletionTimePorter(Dates!G$6,Dates!G$7,'Day2'!$B19)</f>
        <v>0</v>
      </c>
      <c r="H19" s="5">
        <f>averageCompletionTimePorter(Dates!H$6,Dates!H$7,'Day2'!$B19)</f>
        <v>0</v>
      </c>
      <c r="I19" s="5">
        <f>averageCompletionTimePorter(Dates!I$6,Dates!I$7,'Day2'!$B19)</f>
        <v>0</v>
      </c>
      <c r="J19" s="5">
        <f>averageCompletionTimePorter(Dates!J$6,Dates!J$7,'Day2'!$B19)</f>
        <v>0</v>
      </c>
      <c r="K19" s="5">
        <f>averageCompletionTimePorter(Dates!K$6,Dates!K$7,'Day2'!$B19)</f>
        <v>0</v>
      </c>
      <c r="L19" s="5">
        <f>averageCompletionTimePorter(Dates!L$6,Dates!L$7,'Day2'!$B19)</f>
        <v>0</v>
      </c>
      <c r="M19" s="5">
        <f>averageCompletionTimePorter(Dates!M$6,Dates!M$7,'Day2'!$B19)</f>
        <v>0</v>
      </c>
      <c r="N19" s="5">
        <f>averageCompletionTimePorter(Dates!N$6,Dates!N$7,'Day2'!$B19)</f>
        <v>0</v>
      </c>
      <c r="O19" s="5">
        <f>averageCompletionTimePorter(Dates!O$6,Dates!O$7,'Day2'!$B19)</f>
        <v>0</v>
      </c>
      <c r="P19" s="5">
        <f>averageCompletionTimePorter(Dates!P$6,Dates!P$7,'Day2'!$B19)</f>
        <v>0</v>
      </c>
      <c r="Q19" s="5">
        <f>averageCompletionTimePorter(Dates!Q$6,Dates!Q$7,'Day2'!$B19)</f>
        <v>0</v>
      </c>
      <c r="R19" s="5">
        <f>averageCompletionTimePorter(Dates!R$6,Dates!R$7,'Day2'!$B19)</f>
        <v>0</v>
      </c>
      <c r="S19" s="5">
        <f>averageCompletionTimePorter(Dates!S$6,Dates!S$7,'Day2'!$B19)</f>
        <v>0</v>
      </c>
      <c r="T19" s="5">
        <f>averageCompletionTimePorter(Dates!T$6,Dates!T$7,'Day2'!$B19)</f>
        <v>0</v>
      </c>
      <c r="U19" s="5">
        <f>averageCompletionTimePorter(Dates!$C$6,Dates!$T$7,'Day2'!$B19)</f>
        <v>0</v>
      </c>
    </row>
    <row r="20" spans="2:21" x14ac:dyDescent="0.3">
      <c r="B20" s="8" t="s">
        <v>19</v>
      </c>
      <c r="C20" s="5">
        <f>averageCompletionTimePorter(Dates!C$6,Dates!C$7,'Day2'!$B20)</f>
        <v>0</v>
      </c>
      <c r="D20" s="5">
        <f>averageCompletionTimePorter(Dates!D$6,Dates!D$7,'Day2'!$B20)</f>
        <v>0</v>
      </c>
      <c r="E20" s="5">
        <f>averageCompletionTimePorter(Dates!E$6,Dates!E$7,'Day2'!$B20)</f>
        <v>0</v>
      </c>
      <c r="F20" s="5">
        <f>averageCompletionTimePorter(Dates!F$6,Dates!F$7,'Day2'!$B20)</f>
        <v>0</v>
      </c>
      <c r="G20" s="5">
        <f>averageCompletionTimePorter(Dates!G$6,Dates!G$7,'Day2'!$B20)</f>
        <v>0</v>
      </c>
      <c r="H20" s="5">
        <f>averageCompletionTimePorter(Dates!H$6,Dates!H$7,'Day2'!$B20)</f>
        <v>0</v>
      </c>
      <c r="I20" s="5">
        <f>averageCompletionTimePorter(Dates!I$6,Dates!I$7,'Day2'!$B20)</f>
        <v>0</v>
      </c>
      <c r="J20" s="5">
        <f>averageCompletionTimePorter(Dates!J$6,Dates!J$7,'Day2'!$B20)</f>
        <v>0</v>
      </c>
      <c r="K20" s="5">
        <f>averageCompletionTimePorter(Dates!K$6,Dates!K$7,'Day2'!$B20)</f>
        <v>0</v>
      </c>
      <c r="L20" s="5">
        <f>averageCompletionTimePorter(Dates!L$6,Dates!L$7,'Day2'!$B20)</f>
        <v>0</v>
      </c>
      <c r="M20" s="5">
        <f>averageCompletionTimePorter(Dates!M$6,Dates!M$7,'Day2'!$B20)</f>
        <v>0</v>
      </c>
      <c r="N20" s="5">
        <f>averageCompletionTimePorter(Dates!N$6,Dates!N$7,'Day2'!$B20)</f>
        <v>0</v>
      </c>
      <c r="O20" s="5">
        <f>averageCompletionTimePorter(Dates!O$6,Dates!O$7,'Day2'!$B20)</f>
        <v>0</v>
      </c>
      <c r="P20" s="5">
        <f>averageCompletionTimePorter(Dates!P$6,Dates!P$7,'Day2'!$B20)</f>
        <v>0</v>
      </c>
      <c r="Q20" s="5">
        <f>averageCompletionTimePorter(Dates!Q$6,Dates!Q$7,'Day2'!$B20)</f>
        <v>0</v>
      </c>
      <c r="R20" s="5">
        <f>averageCompletionTimePorter(Dates!R$6,Dates!R$7,'Day2'!$B20)</f>
        <v>0</v>
      </c>
      <c r="S20" s="5">
        <f>averageCompletionTimePorter(Dates!S$6,Dates!S$7,'Day2'!$B20)</f>
        <v>0</v>
      </c>
      <c r="T20" s="5">
        <f>averageCompletionTimePorter(Dates!T$6,Dates!T$7,'Day2'!$B20)</f>
        <v>0</v>
      </c>
      <c r="U20" s="5">
        <f>averageCompletionTimePorter(Dates!$C$6,Dates!$T$7,'Day2'!$B20)</f>
        <v>0</v>
      </c>
    </row>
    <row r="21" spans="2:21" x14ac:dyDescent="0.3">
      <c r="B21" s="8" t="s">
        <v>20</v>
      </c>
      <c r="C21" s="5">
        <f>averageCompletionTimePorter(Dates!C$6,Dates!C$7,'Day2'!$B21)</f>
        <v>0</v>
      </c>
      <c r="D21" s="5">
        <f>averageCompletionTimePorter(Dates!D$6,Dates!D$7,'Day2'!$B21)</f>
        <v>0</v>
      </c>
      <c r="E21" s="5">
        <f>averageCompletionTimePorter(Dates!E$6,Dates!E$7,'Day2'!$B21)</f>
        <v>0</v>
      </c>
      <c r="F21" s="5">
        <f>averageCompletionTimePorter(Dates!F$6,Dates!F$7,'Day2'!$B21)</f>
        <v>0</v>
      </c>
      <c r="G21" s="5">
        <f>averageCompletionTimePorter(Dates!G$6,Dates!G$7,'Day2'!$B21)</f>
        <v>0</v>
      </c>
      <c r="H21" s="5">
        <f>averageCompletionTimePorter(Dates!H$6,Dates!H$7,'Day2'!$B21)</f>
        <v>0</v>
      </c>
      <c r="I21" s="5">
        <f>averageCompletionTimePorter(Dates!I$6,Dates!I$7,'Day2'!$B21)</f>
        <v>0</v>
      </c>
      <c r="J21" s="5">
        <f>averageCompletionTimePorter(Dates!J$6,Dates!J$7,'Day2'!$B21)</f>
        <v>0</v>
      </c>
      <c r="K21" s="5">
        <f>averageCompletionTimePorter(Dates!K$6,Dates!K$7,'Day2'!$B21)</f>
        <v>0</v>
      </c>
      <c r="L21" s="5">
        <f>averageCompletionTimePorter(Dates!L$6,Dates!L$7,'Day2'!$B21)</f>
        <v>0</v>
      </c>
      <c r="M21" s="5">
        <f>averageCompletionTimePorter(Dates!M$6,Dates!M$7,'Day2'!$B21)</f>
        <v>0</v>
      </c>
      <c r="N21" s="5">
        <f>averageCompletionTimePorter(Dates!N$6,Dates!N$7,'Day2'!$B21)</f>
        <v>0</v>
      </c>
      <c r="O21" s="5">
        <f>averageCompletionTimePorter(Dates!O$6,Dates!O$7,'Day2'!$B21)</f>
        <v>0</v>
      </c>
      <c r="P21" s="5">
        <f>averageCompletionTimePorter(Dates!P$6,Dates!P$7,'Day2'!$B21)</f>
        <v>0</v>
      </c>
      <c r="Q21" s="5">
        <f>averageCompletionTimePorter(Dates!Q$6,Dates!Q$7,'Day2'!$B21)</f>
        <v>0</v>
      </c>
      <c r="R21" s="5">
        <f>averageCompletionTimePorter(Dates!R$6,Dates!R$7,'Day2'!$B21)</f>
        <v>0</v>
      </c>
      <c r="S21" s="5">
        <f>averageCompletionTimePorter(Dates!S$6,Dates!S$7,'Day2'!$B21)</f>
        <v>0</v>
      </c>
      <c r="T21" s="5">
        <f>averageCompletionTimePorter(Dates!T$6,Dates!T$7,'Day2'!$B21)</f>
        <v>0</v>
      </c>
      <c r="U21" s="5">
        <f>averageCompletionTimePorter(Dates!$C$6,Dates!$T$7,'Day2'!$B21)</f>
        <v>0</v>
      </c>
    </row>
    <row r="22" spans="2:21" x14ac:dyDescent="0.3">
      <c r="B22" s="8" t="s">
        <v>21</v>
      </c>
      <c r="C22" s="5">
        <f>averageCompletionTimePorter(Dates!C$6,Dates!C$7,'Day2'!$B22)</f>
        <v>0</v>
      </c>
      <c r="D22" s="5">
        <f>averageCompletionTimePorter(Dates!D$6,Dates!D$7,'Day2'!$B22)</f>
        <v>0</v>
      </c>
      <c r="E22" s="5">
        <f>averageCompletionTimePorter(Dates!E$6,Dates!E$7,'Day2'!$B22)</f>
        <v>0</v>
      </c>
      <c r="F22" s="5">
        <f>averageCompletionTimePorter(Dates!F$6,Dates!F$7,'Day2'!$B22)</f>
        <v>0</v>
      </c>
      <c r="G22" s="5">
        <f>averageCompletionTimePorter(Dates!G$6,Dates!G$7,'Day2'!$B22)</f>
        <v>0</v>
      </c>
      <c r="H22" s="5">
        <f>averageCompletionTimePorter(Dates!H$6,Dates!H$7,'Day2'!$B22)</f>
        <v>0</v>
      </c>
      <c r="I22" s="5">
        <f>averageCompletionTimePorter(Dates!I$6,Dates!I$7,'Day2'!$B22)</f>
        <v>0</v>
      </c>
      <c r="J22" s="5">
        <f>averageCompletionTimePorter(Dates!J$6,Dates!J$7,'Day2'!$B22)</f>
        <v>0</v>
      </c>
      <c r="K22" s="5">
        <f>averageCompletionTimePorter(Dates!K$6,Dates!K$7,'Day2'!$B22)</f>
        <v>0</v>
      </c>
      <c r="L22" s="5">
        <f>averageCompletionTimePorter(Dates!L$6,Dates!L$7,'Day2'!$B22)</f>
        <v>0</v>
      </c>
      <c r="M22" s="5">
        <f>averageCompletionTimePorter(Dates!M$6,Dates!M$7,'Day2'!$B22)</f>
        <v>0</v>
      </c>
      <c r="N22" s="5">
        <f>averageCompletionTimePorter(Dates!N$6,Dates!N$7,'Day2'!$B22)</f>
        <v>0</v>
      </c>
      <c r="O22" s="5">
        <f>averageCompletionTimePorter(Dates!O$6,Dates!O$7,'Day2'!$B22)</f>
        <v>0</v>
      </c>
      <c r="P22" s="5">
        <f>averageCompletionTimePorter(Dates!P$6,Dates!P$7,'Day2'!$B22)</f>
        <v>0</v>
      </c>
      <c r="Q22" s="5">
        <f>averageCompletionTimePorter(Dates!Q$6,Dates!Q$7,'Day2'!$B22)</f>
        <v>0</v>
      </c>
      <c r="R22" s="5">
        <f>averageCompletionTimePorter(Dates!R$6,Dates!R$7,'Day2'!$B22)</f>
        <v>0</v>
      </c>
      <c r="S22" s="5">
        <f>averageCompletionTimePorter(Dates!S$6,Dates!S$7,'Day2'!$B22)</f>
        <v>0</v>
      </c>
      <c r="T22" s="5">
        <f>averageCompletionTimePorter(Dates!T$6,Dates!T$7,'Day2'!$B22)</f>
        <v>0</v>
      </c>
      <c r="U22" s="5">
        <f>averageCompletionTimePorter(Dates!$C$6,Dates!$T$7,'Day2'!$B22)</f>
        <v>0</v>
      </c>
    </row>
    <row r="23" spans="2:21" x14ac:dyDescent="0.3">
      <c r="B23" s="8" t="s">
        <v>22</v>
      </c>
      <c r="C23" s="5">
        <f>averageCompletionTimePorter(Dates!C$6,Dates!C$7,'Day2'!$B23)</f>
        <v>0</v>
      </c>
      <c r="D23" s="5">
        <f>averageCompletionTimePorter(Dates!D$6,Dates!D$7,'Day2'!$B23)</f>
        <v>0</v>
      </c>
      <c r="E23" s="5">
        <f>averageCompletionTimePorter(Dates!E$6,Dates!E$7,'Day2'!$B23)</f>
        <v>0</v>
      </c>
      <c r="F23" s="5">
        <f>averageCompletionTimePorter(Dates!F$6,Dates!F$7,'Day2'!$B23)</f>
        <v>0</v>
      </c>
      <c r="G23" s="5">
        <f>averageCompletionTimePorter(Dates!G$6,Dates!G$7,'Day2'!$B23)</f>
        <v>0</v>
      </c>
      <c r="H23" s="5">
        <f>averageCompletionTimePorter(Dates!H$6,Dates!H$7,'Day2'!$B23)</f>
        <v>0</v>
      </c>
      <c r="I23" s="5">
        <f>averageCompletionTimePorter(Dates!I$6,Dates!I$7,'Day2'!$B23)</f>
        <v>0</v>
      </c>
      <c r="J23" s="5">
        <f>averageCompletionTimePorter(Dates!J$6,Dates!J$7,'Day2'!$B23)</f>
        <v>0</v>
      </c>
      <c r="K23" s="5">
        <f>averageCompletionTimePorter(Dates!K$6,Dates!K$7,'Day2'!$B23)</f>
        <v>0</v>
      </c>
      <c r="L23" s="5">
        <f>averageCompletionTimePorter(Dates!L$6,Dates!L$7,'Day2'!$B23)</f>
        <v>0</v>
      </c>
      <c r="M23" s="5">
        <f>averageCompletionTimePorter(Dates!M$6,Dates!M$7,'Day2'!$B23)</f>
        <v>0</v>
      </c>
      <c r="N23" s="5">
        <f>averageCompletionTimePorter(Dates!N$6,Dates!N$7,'Day2'!$B23)</f>
        <v>0</v>
      </c>
      <c r="O23" s="5">
        <f>averageCompletionTimePorter(Dates!O$6,Dates!O$7,'Day2'!$B23)</f>
        <v>0</v>
      </c>
      <c r="P23" s="5">
        <f>averageCompletionTimePorter(Dates!P$6,Dates!P$7,'Day2'!$B23)</f>
        <v>0</v>
      </c>
      <c r="Q23" s="5">
        <f>averageCompletionTimePorter(Dates!Q$6,Dates!Q$7,'Day2'!$B23)</f>
        <v>0</v>
      </c>
      <c r="R23" s="5">
        <f>averageCompletionTimePorter(Dates!R$6,Dates!R$7,'Day2'!$B23)</f>
        <v>0</v>
      </c>
      <c r="S23" s="5">
        <f>averageCompletionTimePorter(Dates!S$6,Dates!S$7,'Day2'!$B23)</f>
        <v>0</v>
      </c>
      <c r="T23" s="5">
        <f>averageCompletionTimePorter(Dates!T$6,Dates!T$7,'Day2'!$B23)</f>
        <v>0</v>
      </c>
      <c r="U23" s="5">
        <f>averageCompletionTimePorter(Dates!$C$6,Dates!$T$7,'Day2'!$B23)</f>
        <v>0</v>
      </c>
    </row>
    <row r="25" spans="2:21" x14ac:dyDescent="0.3">
      <c r="B25" s="7" t="s">
        <v>12</v>
      </c>
      <c r="C25" s="5">
        <f>averageResponseTime(Dates!C6,Dates!C7)</f>
        <v>0</v>
      </c>
      <c r="D25" s="5">
        <f>averageResponseTime(Dates!D6,Dates!D7)</f>
        <v>0</v>
      </c>
      <c r="E25" s="5">
        <f>averageResponseTime(Dates!E6,Dates!E7)</f>
        <v>0</v>
      </c>
      <c r="F25" s="5">
        <f>averageResponseTime(Dates!F6,Dates!F7)</f>
        <v>0</v>
      </c>
      <c r="G25" s="5">
        <f>averageResponseTime(Dates!G6,Dates!G7)</f>
        <v>0</v>
      </c>
      <c r="H25" s="5">
        <f>averageResponseTime(Dates!H6,Dates!H7)</f>
        <v>0</v>
      </c>
      <c r="I25" s="5">
        <f>averageResponseTime(Dates!I6,Dates!I7)</f>
        <v>0</v>
      </c>
      <c r="J25" s="5">
        <f>averageResponseTime(Dates!J6,Dates!J7)</f>
        <v>0</v>
      </c>
      <c r="K25" s="5">
        <f>averageResponseTime(Dates!K6,Dates!K7)</f>
        <v>0</v>
      </c>
      <c r="L25" s="5">
        <f>averageResponseTime(Dates!L6,Dates!L7)</f>
        <v>0</v>
      </c>
      <c r="M25" s="5">
        <f>averageResponseTime(Dates!M6,Dates!M7)</f>
        <v>0</v>
      </c>
      <c r="N25" s="5">
        <f>averageResponseTime(Dates!N6,Dates!N7)</f>
        <v>0</v>
      </c>
      <c r="O25" s="5">
        <f>averageResponseTime(Dates!O6,Dates!O7)</f>
        <v>0</v>
      </c>
      <c r="P25" s="5">
        <f>averageResponseTime(Dates!P6,Dates!P7)</f>
        <v>0</v>
      </c>
      <c r="Q25" s="5">
        <f>averageResponseTime(Dates!Q6,Dates!Q7)</f>
        <v>0</v>
      </c>
      <c r="R25" s="5">
        <f>averageResponseTime(Dates!R6,Dates!R7)</f>
        <v>0</v>
      </c>
      <c r="S25" s="5">
        <f>averageResponseTime(Dates!S6,Dates!S7)</f>
        <v>0</v>
      </c>
      <c r="T25" s="5">
        <f>averageResponseTime(Dates!T6,Dates!T7)</f>
        <v>0</v>
      </c>
      <c r="U25" s="5">
        <f>averageResponseTime(Dates!C6,Dates!T7)</f>
        <v>0</v>
      </c>
    </row>
    <row r="26" spans="2:21" x14ac:dyDescent="0.3">
      <c r="B26" s="7">
        <f>B3</f>
        <v>1</v>
      </c>
      <c r="C26" s="5">
        <f>averageResponseTimePorter(Dates!C$6,Dates!C$7,'Day2'!$B26)</f>
        <v>0</v>
      </c>
      <c r="D26" s="5">
        <f>averageResponseTimePorter(Dates!D$6,Dates!D$7,'Day2'!$B26)</f>
        <v>0</v>
      </c>
      <c r="E26" s="5">
        <f>averageResponseTimePorter(Dates!E$6,Dates!E$7,'Day2'!$B26)</f>
        <v>0</v>
      </c>
      <c r="F26" s="5">
        <f>averageResponseTimePorter(Dates!F$6,Dates!F$7,'Day2'!$B26)</f>
        <v>0</v>
      </c>
      <c r="G26" s="5">
        <f>averageResponseTimePorter(Dates!G$6,Dates!G$7,'Day2'!$B26)</f>
        <v>0</v>
      </c>
      <c r="H26" s="5">
        <f>averageResponseTimePorter(Dates!H$6,Dates!H$7,'Day2'!$B26)</f>
        <v>0</v>
      </c>
      <c r="I26" s="5">
        <f>averageResponseTimePorter(Dates!I$6,Dates!I$7,'Day2'!$B26)</f>
        <v>0</v>
      </c>
      <c r="J26" s="5">
        <f>averageResponseTimePorter(Dates!J$6,Dates!J$7,'Day2'!$B26)</f>
        <v>0</v>
      </c>
      <c r="K26" s="5">
        <f>averageResponseTimePorter(Dates!K$6,Dates!K$7,'Day2'!$B26)</f>
        <v>0</v>
      </c>
      <c r="L26" s="5">
        <f>averageResponseTimePorter(Dates!L$6,Dates!L$7,'Day2'!$B26)</f>
        <v>0</v>
      </c>
      <c r="M26" s="5">
        <f>averageResponseTimePorter(Dates!M$6,Dates!M$7,'Day2'!$B26)</f>
        <v>0</v>
      </c>
      <c r="N26" s="5">
        <f>averageResponseTimePorter(Dates!N$6,Dates!N$7,'Day2'!$B26)</f>
        <v>0</v>
      </c>
      <c r="O26" s="5">
        <f>averageResponseTimePorter(Dates!O$6,Dates!O$7,'Day2'!$B26)</f>
        <v>0</v>
      </c>
      <c r="P26" s="5">
        <f>averageResponseTimePorter(Dates!P$6,Dates!P$7,'Day2'!$B26)</f>
        <v>0</v>
      </c>
      <c r="Q26" s="5">
        <f>averageResponseTimePorter(Dates!Q$6,Dates!Q$7,'Day2'!$B26)</f>
        <v>0</v>
      </c>
      <c r="R26" s="5">
        <f>averageResponseTimePorter(Dates!R$6,Dates!R$7,'Day2'!$B26)</f>
        <v>0</v>
      </c>
      <c r="S26" s="5">
        <f>averageResponseTimePorter(Dates!S$6,Dates!S$7,'Day2'!$B26)</f>
        <v>0</v>
      </c>
      <c r="T26" s="5">
        <f>averageResponseTimePorter(Dates!T$6,Dates!T$7,'Day2'!$B26)</f>
        <v>0</v>
      </c>
      <c r="U26" s="5">
        <f>averageResponseTimePorter(Dates!$C$6,Dates!$T$7,'Day2'!$B3)</f>
        <v>0</v>
      </c>
    </row>
    <row r="27" spans="2:21" x14ac:dyDescent="0.3">
      <c r="B27" s="7">
        <f t="shared" ref="B27:B46" si="0">B4</f>
        <v>0</v>
      </c>
      <c r="C27" s="5">
        <f>averageResponseTimePorter(Dates!C$6,Dates!C$7,'Day2'!$B27)</f>
        <v>0</v>
      </c>
      <c r="D27" s="5">
        <f>averageResponseTimePorter(Dates!D$6,Dates!D$7,'Day2'!$B27)</f>
        <v>0</v>
      </c>
      <c r="E27" s="5">
        <f>averageResponseTimePorter(Dates!E$6,Dates!E$7,'Day2'!$B27)</f>
        <v>0</v>
      </c>
      <c r="F27" s="5">
        <f>averageResponseTimePorter(Dates!F$6,Dates!F$7,'Day2'!$B27)</f>
        <v>0</v>
      </c>
      <c r="G27" s="5">
        <f>averageResponseTimePorter(Dates!G$6,Dates!G$7,'Day2'!$B27)</f>
        <v>0</v>
      </c>
      <c r="H27" s="5">
        <f>averageResponseTimePorter(Dates!H$6,Dates!H$7,'Day2'!$B27)</f>
        <v>0</v>
      </c>
      <c r="I27" s="5">
        <f>averageResponseTimePorter(Dates!I$6,Dates!I$7,'Day2'!$B27)</f>
        <v>0</v>
      </c>
      <c r="J27" s="5">
        <f>averageResponseTimePorter(Dates!J$6,Dates!J$7,'Day2'!$B27)</f>
        <v>0</v>
      </c>
      <c r="K27" s="5">
        <f>averageResponseTimePorter(Dates!K$6,Dates!K$7,'Day2'!$B27)</f>
        <v>0</v>
      </c>
      <c r="L27" s="5">
        <f>averageResponseTimePorter(Dates!L$6,Dates!L$7,'Day2'!$B27)</f>
        <v>0</v>
      </c>
      <c r="M27" s="5">
        <f>averageResponseTimePorter(Dates!M$6,Dates!M$7,'Day2'!$B27)</f>
        <v>0</v>
      </c>
      <c r="N27" s="5">
        <f>averageResponseTimePorter(Dates!N$6,Dates!N$7,'Day2'!$B27)</f>
        <v>0</v>
      </c>
      <c r="O27" s="5">
        <f>averageResponseTimePorter(Dates!O$6,Dates!O$7,'Day2'!$B27)</f>
        <v>0</v>
      </c>
      <c r="P27" s="5">
        <f>averageResponseTimePorter(Dates!P$6,Dates!P$7,'Day2'!$B27)</f>
        <v>0</v>
      </c>
      <c r="Q27" s="5">
        <f>averageResponseTimePorter(Dates!Q$6,Dates!Q$7,'Day2'!$B27)</f>
        <v>0</v>
      </c>
      <c r="R27" s="5">
        <f>averageResponseTimePorter(Dates!R$6,Dates!R$7,'Day2'!$B27)</f>
        <v>0</v>
      </c>
      <c r="S27" s="5">
        <f>averageResponseTimePorter(Dates!S$6,Dates!S$7,'Day2'!$B27)</f>
        <v>0</v>
      </c>
      <c r="T27" s="5">
        <f>averageResponseTimePorter(Dates!T$6,Dates!T$7,'Day2'!$B27)</f>
        <v>0</v>
      </c>
      <c r="U27" s="5">
        <f>averageResponseTimePorter(Dates!$C$6,Dates!$T$7,'Day2'!$B4)</f>
        <v>0</v>
      </c>
    </row>
    <row r="28" spans="2:21" x14ac:dyDescent="0.3">
      <c r="B28" s="7">
        <f t="shared" si="0"/>
        <v>3</v>
      </c>
      <c r="C28" s="5">
        <f>averageResponseTimePorter(Dates!C$6,Dates!C$7,'Day2'!$B28)</f>
        <v>0</v>
      </c>
      <c r="D28" s="5">
        <f>averageResponseTimePorter(Dates!D$6,Dates!D$7,'Day2'!$B28)</f>
        <v>0</v>
      </c>
      <c r="E28" s="5">
        <f>averageResponseTimePorter(Dates!E$6,Dates!E$7,'Day2'!$B28)</f>
        <v>0</v>
      </c>
      <c r="F28" s="5">
        <f>averageResponseTimePorter(Dates!F$6,Dates!F$7,'Day2'!$B28)</f>
        <v>0</v>
      </c>
      <c r="G28" s="5">
        <f>averageResponseTimePorter(Dates!G$6,Dates!G$7,'Day2'!$B28)</f>
        <v>0</v>
      </c>
      <c r="H28" s="5">
        <f>averageResponseTimePorter(Dates!H$6,Dates!H$7,'Day2'!$B28)</f>
        <v>0</v>
      </c>
      <c r="I28" s="5">
        <f>averageResponseTimePorter(Dates!I$6,Dates!I$7,'Day2'!$B28)</f>
        <v>0</v>
      </c>
      <c r="J28" s="5">
        <f>averageResponseTimePorter(Dates!J$6,Dates!J$7,'Day2'!$B28)</f>
        <v>0</v>
      </c>
      <c r="K28" s="5">
        <f>averageResponseTimePorter(Dates!K$6,Dates!K$7,'Day2'!$B28)</f>
        <v>0</v>
      </c>
      <c r="L28" s="5">
        <f>averageResponseTimePorter(Dates!L$6,Dates!L$7,'Day2'!$B28)</f>
        <v>0</v>
      </c>
      <c r="M28" s="5">
        <f>averageResponseTimePorter(Dates!M$6,Dates!M$7,'Day2'!$B28)</f>
        <v>0</v>
      </c>
      <c r="N28" s="5">
        <f>averageResponseTimePorter(Dates!N$6,Dates!N$7,'Day2'!$B28)</f>
        <v>0</v>
      </c>
      <c r="O28" s="5">
        <f>averageResponseTimePorter(Dates!O$6,Dates!O$7,'Day2'!$B28)</f>
        <v>0</v>
      </c>
      <c r="P28" s="5">
        <f>averageResponseTimePorter(Dates!P$6,Dates!P$7,'Day2'!$B28)</f>
        <v>0</v>
      </c>
      <c r="Q28" s="5">
        <f>averageResponseTimePorter(Dates!Q$6,Dates!Q$7,'Day2'!$B28)</f>
        <v>0</v>
      </c>
      <c r="R28" s="5">
        <f>averageResponseTimePorter(Dates!R$6,Dates!R$7,'Day2'!$B28)</f>
        <v>0</v>
      </c>
      <c r="S28" s="5">
        <f>averageResponseTimePorter(Dates!S$6,Dates!S$7,'Day2'!$B28)</f>
        <v>0</v>
      </c>
      <c r="T28" s="5">
        <f>averageResponseTimePorter(Dates!T$6,Dates!T$7,'Day2'!$B28)</f>
        <v>0</v>
      </c>
      <c r="U28" s="5">
        <f>averageResponseTimePorter(Dates!$C$6,Dates!$T$7,'Day2'!$B5)</f>
        <v>0</v>
      </c>
    </row>
    <row r="29" spans="2:21" x14ac:dyDescent="0.3">
      <c r="B29" s="7">
        <f t="shared" si="0"/>
        <v>2</v>
      </c>
      <c r="C29" s="5">
        <f>averageResponseTimePorter(Dates!C$6,Dates!C$7,'Day2'!$B29)</f>
        <v>0</v>
      </c>
      <c r="D29" s="5">
        <f>averageResponseTimePorter(Dates!D$6,Dates!D$7,'Day2'!$B29)</f>
        <v>0</v>
      </c>
      <c r="E29" s="5">
        <f>averageResponseTimePorter(Dates!E$6,Dates!E$7,'Day2'!$B29)</f>
        <v>0</v>
      </c>
      <c r="F29" s="5">
        <f>averageResponseTimePorter(Dates!F$6,Dates!F$7,'Day2'!$B29)</f>
        <v>0</v>
      </c>
      <c r="G29" s="5">
        <f>averageResponseTimePorter(Dates!G$6,Dates!G$7,'Day2'!$B29)</f>
        <v>0</v>
      </c>
      <c r="H29" s="5">
        <f>averageResponseTimePorter(Dates!H$6,Dates!H$7,'Day2'!$B29)</f>
        <v>0</v>
      </c>
      <c r="I29" s="5">
        <f>averageResponseTimePorter(Dates!I$6,Dates!I$7,'Day2'!$B29)</f>
        <v>0</v>
      </c>
      <c r="J29" s="5">
        <f>averageResponseTimePorter(Dates!J$6,Dates!J$7,'Day2'!$B29)</f>
        <v>0</v>
      </c>
      <c r="K29" s="5">
        <f>averageResponseTimePorter(Dates!K$6,Dates!K$7,'Day2'!$B29)</f>
        <v>0</v>
      </c>
      <c r="L29" s="5">
        <f>averageResponseTimePorter(Dates!L$6,Dates!L$7,'Day2'!$B29)</f>
        <v>0</v>
      </c>
      <c r="M29" s="5">
        <f>averageResponseTimePorter(Dates!M$6,Dates!M$7,'Day2'!$B29)</f>
        <v>0</v>
      </c>
      <c r="N29" s="5">
        <f>averageResponseTimePorter(Dates!N$6,Dates!N$7,'Day2'!$B29)</f>
        <v>0</v>
      </c>
      <c r="O29" s="5">
        <f>averageResponseTimePorter(Dates!O$6,Dates!O$7,'Day2'!$B29)</f>
        <v>0</v>
      </c>
      <c r="P29" s="5">
        <f>averageResponseTimePorter(Dates!P$6,Dates!P$7,'Day2'!$B29)</f>
        <v>0</v>
      </c>
      <c r="Q29" s="5">
        <f>averageResponseTimePorter(Dates!Q$6,Dates!Q$7,'Day2'!$B29)</f>
        <v>0</v>
      </c>
      <c r="R29" s="5">
        <f>averageResponseTimePorter(Dates!R$6,Dates!R$7,'Day2'!$B29)</f>
        <v>0</v>
      </c>
      <c r="S29" s="5">
        <f>averageResponseTimePorter(Dates!S$6,Dates!S$7,'Day2'!$B29)</f>
        <v>0</v>
      </c>
      <c r="T29" s="5">
        <f>averageResponseTimePorter(Dates!T$6,Dates!T$7,'Day2'!$B29)</f>
        <v>0</v>
      </c>
      <c r="U29" s="5">
        <f>averageResponseTimePorter(Dates!$C$6,Dates!$T$7,'Day2'!$B6)</f>
        <v>0</v>
      </c>
    </row>
    <row r="30" spans="2:21" x14ac:dyDescent="0.3">
      <c r="B30" s="7">
        <f t="shared" si="0"/>
        <v>5</v>
      </c>
      <c r="C30" s="5">
        <f>averageResponseTimePorter(Dates!C$6,Dates!C$7,'Day2'!$B30)</f>
        <v>0</v>
      </c>
      <c r="D30" s="5">
        <f>averageResponseTimePorter(Dates!D$6,Dates!D$7,'Day2'!$B30)</f>
        <v>0</v>
      </c>
      <c r="E30" s="5">
        <f>averageResponseTimePorter(Dates!E$6,Dates!E$7,'Day2'!$B30)</f>
        <v>0</v>
      </c>
      <c r="F30" s="5">
        <f>averageResponseTimePorter(Dates!F$6,Dates!F$7,'Day2'!$B30)</f>
        <v>0</v>
      </c>
      <c r="G30" s="5">
        <f>averageResponseTimePorter(Dates!G$6,Dates!G$7,'Day2'!$B30)</f>
        <v>0</v>
      </c>
      <c r="H30" s="5">
        <f>averageResponseTimePorter(Dates!H$6,Dates!H$7,'Day2'!$B30)</f>
        <v>0</v>
      </c>
      <c r="I30" s="5">
        <f>averageResponseTimePorter(Dates!I$6,Dates!I$7,'Day2'!$B30)</f>
        <v>0</v>
      </c>
      <c r="J30" s="5">
        <f>averageResponseTimePorter(Dates!J$6,Dates!J$7,'Day2'!$B30)</f>
        <v>0</v>
      </c>
      <c r="K30" s="5">
        <f>averageResponseTimePorter(Dates!K$6,Dates!K$7,'Day2'!$B30)</f>
        <v>0</v>
      </c>
      <c r="L30" s="5">
        <f>averageResponseTimePorter(Dates!L$6,Dates!L$7,'Day2'!$B30)</f>
        <v>0</v>
      </c>
      <c r="M30" s="5">
        <f>averageResponseTimePorter(Dates!M$6,Dates!M$7,'Day2'!$B30)</f>
        <v>0</v>
      </c>
      <c r="N30" s="5">
        <f>averageResponseTimePorter(Dates!N$6,Dates!N$7,'Day2'!$B30)</f>
        <v>0</v>
      </c>
      <c r="O30" s="5">
        <f>averageResponseTimePorter(Dates!O$6,Dates!O$7,'Day2'!$B30)</f>
        <v>0</v>
      </c>
      <c r="P30" s="5">
        <f>averageResponseTimePorter(Dates!P$6,Dates!P$7,'Day2'!$B30)</f>
        <v>0</v>
      </c>
      <c r="Q30" s="5">
        <f>averageResponseTimePorter(Dates!Q$6,Dates!Q$7,'Day2'!$B30)</f>
        <v>0</v>
      </c>
      <c r="R30" s="5">
        <f>averageResponseTimePorter(Dates!R$6,Dates!R$7,'Day2'!$B30)</f>
        <v>0</v>
      </c>
      <c r="S30" s="5">
        <f>averageResponseTimePorter(Dates!S$6,Dates!S$7,'Day2'!$B30)</f>
        <v>0</v>
      </c>
      <c r="T30" s="5">
        <f>averageResponseTimePorter(Dates!T$6,Dates!T$7,'Day2'!$B30)</f>
        <v>0</v>
      </c>
      <c r="U30" s="5">
        <f>averageResponseTimePorter(Dates!$C$6,Dates!$T$7,'Day2'!$B7)</f>
        <v>0</v>
      </c>
    </row>
    <row r="31" spans="2:21" x14ac:dyDescent="0.3">
      <c r="B31" s="7">
        <f t="shared" si="0"/>
        <v>4</v>
      </c>
      <c r="C31" s="5">
        <f>averageResponseTimePorter(Dates!C$6,Dates!C$7,'Day2'!$B31)</f>
        <v>0</v>
      </c>
      <c r="D31" s="5">
        <f>averageResponseTimePorter(Dates!D$6,Dates!D$7,'Day2'!$B31)</f>
        <v>0</v>
      </c>
      <c r="E31" s="5">
        <f>averageResponseTimePorter(Dates!E$6,Dates!E$7,'Day2'!$B31)</f>
        <v>0</v>
      </c>
      <c r="F31" s="5">
        <f>averageResponseTimePorter(Dates!F$6,Dates!F$7,'Day2'!$B31)</f>
        <v>0</v>
      </c>
      <c r="G31" s="5">
        <f>averageResponseTimePorter(Dates!G$6,Dates!G$7,'Day2'!$B31)</f>
        <v>0</v>
      </c>
      <c r="H31" s="5">
        <f>averageResponseTimePorter(Dates!H$6,Dates!H$7,'Day2'!$B31)</f>
        <v>0</v>
      </c>
      <c r="I31" s="5">
        <f>averageResponseTimePorter(Dates!I$6,Dates!I$7,'Day2'!$B31)</f>
        <v>0</v>
      </c>
      <c r="J31" s="5">
        <f>averageResponseTimePorter(Dates!J$6,Dates!J$7,'Day2'!$B31)</f>
        <v>0</v>
      </c>
      <c r="K31" s="5">
        <f>averageResponseTimePorter(Dates!K$6,Dates!K$7,'Day2'!$B31)</f>
        <v>0</v>
      </c>
      <c r="L31" s="5">
        <f>averageResponseTimePorter(Dates!L$6,Dates!L$7,'Day2'!$B31)</f>
        <v>0</v>
      </c>
      <c r="M31" s="5">
        <f>averageResponseTimePorter(Dates!M$6,Dates!M$7,'Day2'!$B31)</f>
        <v>0</v>
      </c>
      <c r="N31" s="5">
        <f>averageResponseTimePorter(Dates!N$6,Dates!N$7,'Day2'!$B31)</f>
        <v>0</v>
      </c>
      <c r="O31" s="5">
        <f>averageResponseTimePorter(Dates!O$6,Dates!O$7,'Day2'!$B31)</f>
        <v>0</v>
      </c>
      <c r="P31" s="5">
        <f>averageResponseTimePorter(Dates!P$6,Dates!P$7,'Day2'!$B31)</f>
        <v>0</v>
      </c>
      <c r="Q31" s="5">
        <f>averageResponseTimePorter(Dates!Q$6,Dates!Q$7,'Day2'!$B31)</f>
        <v>0</v>
      </c>
      <c r="R31" s="5">
        <f>averageResponseTimePorter(Dates!R$6,Dates!R$7,'Day2'!$B31)</f>
        <v>0</v>
      </c>
      <c r="S31" s="5">
        <f>averageResponseTimePorter(Dates!S$6,Dates!S$7,'Day2'!$B31)</f>
        <v>0</v>
      </c>
      <c r="T31" s="5">
        <f>averageResponseTimePorter(Dates!T$6,Dates!T$7,'Day2'!$B31)</f>
        <v>0</v>
      </c>
      <c r="U31" s="5">
        <f>averageResponseTimePorter(Dates!$C$6,Dates!$T$7,'Day2'!$B8)</f>
        <v>0</v>
      </c>
    </row>
    <row r="32" spans="2:21" x14ac:dyDescent="0.3">
      <c r="B32" s="7">
        <f t="shared" si="0"/>
        <v>6</v>
      </c>
      <c r="C32" s="5">
        <f>averageResponseTimePorter(Dates!C$6,Dates!C$7,'Day2'!$B32)</f>
        <v>0</v>
      </c>
      <c r="D32" s="5">
        <f>averageResponseTimePorter(Dates!D$6,Dates!D$7,'Day2'!$B32)</f>
        <v>0</v>
      </c>
      <c r="E32" s="5">
        <f>averageResponseTimePorter(Dates!E$6,Dates!E$7,'Day2'!$B32)</f>
        <v>0</v>
      </c>
      <c r="F32" s="5">
        <f>averageResponseTimePorter(Dates!F$6,Dates!F$7,'Day2'!$B32)</f>
        <v>0</v>
      </c>
      <c r="G32" s="5">
        <f>averageResponseTimePorter(Dates!G$6,Dates!G$7,'Day2'!$B32)</f>
        <v>0</v>
      </c>
      <c r="H32" s="5">
        <f>averageResponseTimePorter(Dates!H$6,Dates!H$7,'Day2'!$B32)</f>
        <v>0</v>
      </c>
      <c r="I32" s="5">
        <f>averageResponseTimePorter(Dates!I$6,Dates!I$7,'Day2'!$B32)</f>
        <v>0</v>
      </c>
      <c r="J32" s="5">
        <f>averageResponseTimePorter(Dates!J$6,Dates!J$7,'Day2'!$B32)</f>
        <v>0</v>
      </c>
      <c r="K32" s="5">
        <f>averageResponseTimePorter(Dates!K$6,Dates!K$7,'Day2'!$B32)</f>
        <v>0</v>
      </c>
      <c r="L32" s="5">
        <f>averageResponseTimePorter(Dates!L$6,Dates!L$7,'Day2'!$B32)</f>
        <v>0</v>
      </c>
      <c r="M32" s="5">
        <f>averageResponseTimePorter(Dates!M$6,Dates!M$7,'Day2'!$B32)</f>
        <v>0</v>
      </c>
      <c r="N32" s="5">
        <f>averageResponseTimePorter(Dates!N$6,Dates!N$7,'Day2'!$B32)</f>
        <v>0</v>
      </c>
      <c r="O32" s="5">
        <f>averageResponseTimePorter(Dates!O$6,Dates!O$7,'Day2'!$B32)</f>
        <v>0</v>
      </c>
      <c r="P32" s="5">
        <f>averageResponseTimePorter(Dates!P$6,Dates!P$7,'Day2'!$B32)</f>
        <v>0</v>
      </c>
      <c r="Q32" s="5">
        <f>averageResponseTimePorter(Dates!Q$6,Dates!Q$7,'Day2'!$B32)</f>
        <v>0</v>
      </c>
      <c r="R32" s="5">
        <f>averageResponseTimePorter(Dates!R$6,Dates!R$7,'Day2'!$B32)</f>
        <v>0</v>
      </c>
      <c r="S32" s="5">
        <f>averageResponseTimePorter(Dates!S$6,Dates!S$7,'Day2'!$B32)</f>
        <v>0</v>
      </c>
      <c r="T32" s="5">
        <f>averageResponseTimePorter(Dates!T$6,Dates!T$7,'Day2'!$B32)</f>
        <v>0</v>
      </c>
      <c r="U32" s="5">
        <f>averageResponseTimePorter(Dates!$C$6,Dates!$T$7,'Day2'!$B9)</f>
        <v>0</v>
      </c>
    </row>
    <row r="33" spans="2:21" x14ac:dyDescent="0.3">
      <c r="B33" s="7" t="str">
        <f t="shared" si="0"/>
        <v>NA10</v>
      </c>
      <c r="C33" s="5">
        <f>averageResponseTimePorter(Dates!C$6,Dates!C$7,'Day2'!$B33)</f>
        <v>0</v>
      </c>
      <c r="D33" s="5">
        <f>averageResponseTimePorter(Dates!D$6,Dates!D$7,'Day2'!$B33)</f>
        <v>0</v>
      </c>
      <c r="E33" s="5">
        <f>averageResponseTimePorter(Dates!E$6,Dates!E$7,'Day2'!$B33)</f>
        <v>0</v>
      </c>
      <c r="F33" s="5">
        <f>averageResponseTimePorter(Dates!F$6,Dates!F$7,'Day2'!$B33)</f>
        <v>0</v>
      </c>
      <c r="G33" s="5">
        <f>averageResponseTimePorter(Dates!G$6,Dates!G$7,'Day2'!$B33)</f>
        <v>0</v>
      </c>
      <c r="H33" s="5">
        <f>averageResponseTimePorter(Dates!H$6,Dates!H$7,'Day2'!$B33)</f>
        <v>0</v>
      </c>
      <c r="I33" s="5">
        <f>averageResponseTimePorter(Dates!I$6,Dates!I$7,'Day2'!$B33)</f>
        <v>0</v>
      </c>
      <c r="J33" s="5">
        <f>averageResponseTimePorter(Dates!J$6,Dates!J$7,'Day2'!$B33)</f>
        <v>0</v>
      </c>
      <c r="K33" s="5">
        <f>averageResponseTimePorter(Dates!K$6,Dates!K$7,'Day2'!$B33)</f>
        <v>0</v>
      </c>
      <c r="L33" s="5">
        <f>averageResponseTimePorter(Dates!L$6,Dates!L$7,'Day2'!$B33)</f>
        <v>0</v>
      </c>
      <c r="M33" s="5">
        <f>averageResponseTimePorter(Dates!M$6,Dates!M$7,'Day2'!$B33)</f>
        <v>0</v>
      </c>
      <c r="N33" s="5">
        <f>averageResponseTimePorter(Dates!N$6,Dates!N$7,'Day2'!$B33)</f>
        <v>0</v>
      </c>
      <c r="O33" s="5">
        <f>averageResponseTimePorter(Dates!O$6,Dates!O$7,'Day2'!$B33)</f>
        <v>0</v>
      </c>
      <c r="P33" s="5">
        <f>averageResponseTimePorter(Dates!P$6,Dates!P$7,'Day2'!$B33)</f>
        <v>0</v>
      </c>
      <c r="Q33" s="5">
        <f>averageResponseTimePorter(Dates!Q$6,Dates!Q$7,'Day2'!$B33)</f>
        <v>0</v>
      </c>
      <c r="R33" s="5">
        <f>averageResponseTimePorter(Dates!R$6,Dates!R$7,'Day2'!$B33)</f>
        <v>0</v>
      </c>
      <c r="S33" s="5">
        <f>averageResponseTimePorter(Dates!S$6,Dates!S$7,'Day2'!$B33)</f>
        <v>0</v>
      </c>
      <c r="T33" s="5">
        <f>averageResponseTimePorter(Dates!T$6,Dates!T$7,'Day2'!$B33)</f>
        <v>0</v>
      </c>
      <c r="U33" s="5">
        <f>averageResponseTimePorter(Dates!$C$6,Dates!$T$7,'Day2'!$B10)</f>
        <v>0</v>
      </c>
    </row>
    <row r="34" spans="2:21" x14ac:dyDescent="0.3">
      <c r="B34" s="7" t="str">
        <f t="shared" si="0"/>
        <v>NA11</v>
      </c>
      <c r="C34" s="5">
        <f>averageResponseTimePorter(Dates!C$6,Dates!C$7,'Day2'!$B34)</f>
        <v>0</v>
      </c>
      <c r="D34" s="5">
        <f>averageResponseTimePorter(Dates!D$6,Dates!D$7,'Day2'!$B34)</f>
        <v>0</v>
      </c>
      <c r="E34" s="5">
        <f>averageResponseTimePorter(Dates!E$6,Dates!E$7,'Day2'!$B34)</f>
        <v>0</v>
      </c>
      <c r="F34" s="5">
        <f>averageResponseTimePorter(Dates!F$6,Dates!F$7,'Day2'!$B34)</f>
        <v>0</v>
      </c>
      <c r="G34" s="5">
        <f>averageResponseTimePorter(Dates!G$6,Dates!G$7,'Day2'!$B34)</f>
        <v>0</v>
      </c>
      <c r="H34" s="5">
        <f>averageResponseTimePorter(Dates!H$6,Dates!H$7,'Day2'!$B34)</f>
        <v>0</v>
      </c>
      <c r="I34" s="5">
        <f>averageResponseTimePorter(Dates!I$6,Dates!I$7,'Day2'!$B34)</f>
        <v>0</v>
      </c>
      <c r="J34" s="5">
        <f>averageResponseTimePorter(Dates!J$6,Dates!J$7,'Day2'!$B34)</f>
        <v>0</v>
      </c>
      <c r="K34" s="5">
        <f>averageResponseTimePorter(Dates!K$6,Dates!K$7,'Day2'!$B34)</f>
        <v>0</v>
      </c>
      <c r="L34" s="5">
        <f>averageResponseTimePorter(Dates!L$6,Dates!L$7,'Day2'!$B34)</f>
        <v>0</v>
      </c>
      <c r="M34" s="5">
        <f>averageResponseTimePorter(Dates!M$6,Dates!M$7,'Day2'!$B34)</f>
        <v>0</v>
      </c>
      <c r="N34" s="5">
        <f>averageResponseTimePorter(Dates!N$6,Dates!N$7,'Day2'!$B34)</f>
        <v>0</v>
      </c>
      <c r="O34" s="5">
        <f>averageResponseTimePorter(Dates!O$6,Dates!O$7,'Day2'!$B34)</f>
        <v>0</v>
      </c>
      <c r="P34" s="5">
        <f>averageResponseTimePorter(Dates!P$6,Dates!P$7,'Day2'!$B34)</f>
        <v>0</v>
      </c>
      <c r="Q34" s="5">
        <f>averageResponseTimePorter(Dates!Q$6,Dates!Q$7,'Day2'!$B34)</f>
        <v>0</v>
      </c>
      <c r="R34" s="5">
        <f>averageResponseTimePorter(Dates!R$6,Dates!R$7,'Day2'!$B34)</f>
        <v>0</v>
      </c>
      <c r="S34" s="5">
        <f>averageResponseTimePorter(Dates!S$6,Dates!S$7,'Day2'!$B34)</f>
        <v>0</v>
      </c>
      <c r="T34" s="5">
        <f>averageResponseTimePorter(Dates!T$6,Dates!T$7,'Day2'!$B34)</f>
        <v>0</v>
      </c>
      <c r="U34" s="5">
        <f>averageResponseTimePorter(Dates!$C$6,Dates!$T$7,'Day2'!$B11)</f>
        <v>0</v>
      </c>
    </row>
    <row r="35" spans="2:21" x14ac:dyDescent="0.3">
      <c r="B35" s="7" t="str">
        <f t="shared" si="0"/>
        <v>NA12</v>
      </c>
      <c r="C35" s="5">
        <f>averageResponseTimePorter(Dates!C$6,Dates!C$7,'Day2'!$B35)</f>
        <v>0</v>
      </c>
      <c r="D35" s="5">
        <f>averageResponseTimePorter(Dates!D$6,Dates!D$7,'Day2'!$B35)</f>
        <v>0</v>
      </c>
      <c r="E35" s="5">
        <f>averageResponseTimePorter(Dates!E$6,Dates!E$7,'Day2'!$B35)</f>
        <v>0</v>
      </c>
      <c r="F35" s="5">
        <f>averageResponseTimePorter(Dates!F$6,Dates!F$7,'Day2'!$B35)</f>
        <v>0</v>
      </c>
      <c r="G35" s="5">
        <f>averageResponseTimePorter(Dates!G$6,Dates!G$7,'Day2'!$B35)</f>
        <v>0</v>
      </c>
      <c r="H35" s="5">
        <f>averageResponseTimePorter(Dates!H$6,Dates!H$7,'Day2'!$B35)</f>
        <v>0</v>
      </c>
      <c r="I35" s="5">
        <f>averageResponseTimePorter(Dates!I$6,Dates!I$7,'Day2'!$B35)</f>
        <v>0</v>
      </c>
      <c r="J35" s="5">
        <f>averageResponseTimePorter(Dates!J$6,Dates!J$7,'Day2'!$B35)</f>
        <v>0</v>
      </c>
      <c r="K35" s="5">
        <f>averageResponseTimePorter(Dates!K$6,Dates!K$7,'Day2'!$B35)</f>
        <v>0</v>
      </c>
      <c r="L35" s="5">
        <f>averageResponseTimePorter(Dates!L$6,Dates!L$7,'Day2'!$B35)</f>
        <v>0</v>
      </c>
      <c r="M35" s="5">
        <f>averageResponseTimePorter(Dates!M$6,Dates!M$7,'Day2'!$B35)</f>
        <v>0</v>
      </c>
      <c r="N35" s="5">
        <f>averageResponseTimePorter(Dates!N$6,Dates!N$7,'Day2'!$B35)</f>
        <v>0</v>
      </c>
      <c r="O35" s="5">
        <f>averageResponseTimePorter(Dates!O$6,Dates!O$7,'Day2'!$B35)</f>
        <v>0</v>
      </c>
      <c r="P35" s="5">
        <f>averageResponseTimePorter(Dates!P$6,Dates!P$7,'Day2'!$B35)</f>
        <v>0</v>
      </c>
      <c r="Q35" s="5">
        <f>averageResponseTimePorter(Dates!Q$6,Dates!Q$7,'Day2'!$B35)</f>
        <v>0</v>
      </c>
      <c r="R35" s="5">
        <f>averageResponseTimePorter(Dates!R$6,Dates!R$7,'Day2'!$B35)</f>
        <v>0</v>
      </c>
      <c r="S35" s="5">
        <f>averageResponseTimePorter(Dates!S$6,Dates!S$7,'Day2'!$B35)</f>
        <v>0</v>
      </c>
      <c r="T35" s="5">
        <f>averageResponseTimePorter(Dates!T$6,Dates!T$7,'Day2'!$B35)</f>
        <v>0</v>
      </c>
      <c r="U35" s="5">
        <f>averageResponseTimePorter(Dates!$C$6,Dates!$T$7,'Day2'!$B12)</f>
        <v>0</v>
      </c>
    </row>
    <row r="36" spans="2:21" x14ac:dyDescent="0.3">
      <c r="B36" s="7" t="str">
        <f t="shared" si="0"/>
        <v>NA13</v>
      </c>
      <c r="C36" s="5">
        <f>averageResponseTimePorter(Dates!C$6,Dates!C$7,'Day2'!$B36)</f>
        <v>0</v>
      </c>
      <c r="D36" s="5">
        <f>averageResponseTimePorter(Dates!D$6,Dates!D$7,'Day2'!$B36)</f>
        <v>0</v>
      </c>
      <c r="E36" s="5">
        <f>averageResponseTimePorter(Dates!E$6,Dates!E$7,'Day2'!$B36)</f>
        <v>0</v>
      </c>
      <c r="F36" s="5">
        <f>averageResponseTimePorter(Dates!F$6,Dates!F$7,'Day2'!$B36)</f>
        <v>0</v>
      </c>
      <c r="G36" s="5">
        <f>averageResponseTimePorter(Dates!G$6,Dates!G$7,'Day2'!$B36)</f>
        <v>0</v>
      </c>
      <c r="H36" s="5">
        <f>averageResponseTimePorter(Dates!H$6,Dates!H$7,'Day2'!$B36)</f>
        <v>0</v>
      </c>
      <c r="I36" s="5">
        <f>averageResponseTimePorter(Dates!I$6,Dates!I$7,'Day2'!$B36)</f>
        <v>0</v>
      </c>
      <c r="J36" s="5">
        <f>averageResponseTimePorter(Dates!J$6,Dates!J$7,'Day2'!$B36)</f>
        <v>0</v>
      </c>
      <c r="K36" s="5">
        <f>averageResponseTimePorter(Dates!K$6,Dates!K$7,'Day2'!$B36)</f>
        <v>0</v>
      </c>
      <c r="L36" s="5">
        <f>averageResponseTimePorter(Dates!L$6,Dates!L$7,'Day2'!$B36)</f>
        <v>0</v>
      </c>
      <c r="M36" s="5">
        <f>averageResponseTimePorter(Dates!M$6,Dates!M$7,'Day2'!$B36)</f>
        <v>0</v>
      </c>
      <c r="N36" s="5">
        <f>averageResponseTimePorter(Dates!N$6,Dates!N$7,'Day2'!$B36)</f>
        <v>0</v>
      </c>
      <c r="O36" s="5">
        <f>averageResponseTimePorter(Dates!O$6,Dates!O$7,'Day2'!$B36)</f>
        <v>0</v>
      </c>
      <c r="P36" s="5">
        <f>averageResponseTimePorter(Dates!P$6,Dates!P$7,'Day2'!$B36)</f>
        <v>0</v>
      </c>
      <c r="Q36" s="5">
        <f>averageResponseTimePorter(Dates!Q$6,Dates!Q$7,'Day2'!$B36)</f>
        <v>0</v>
      </c>
      <c r="R36" s="5">
        <f>averageResponseTimePorter(Dates!R$6,Dates!R$7,'Day2'!$B36)</f>
        <v>0</v>
      </c>
      <c r="S36" s="5">
        <f>averageResponseTimePorter(Dates!S$6,Dates!S$7,'Day2'!$B36)</f>
        <v>0</v>
      </c>
      <c r="T36" s="5">
        <f>averageResponseTimePorter(Dates!T$6,Dates!T$7,'Day2'!$B36)</f>
        <v>0</v>
      </c>
      <c r="U36" s="5">
        <f>averageResponseTimePorter(Dates!$C$6,Dates!$T$7,'Day2'!$B13)</f>
        <v>0</v>
      </c>
    </row>
    <row r="37" spans="2:21" x14ac:dyDescent="0.3">
      <c r="B37" s="7" t="str">
        <f t="shared" si="0"/>
        <v>NA14</v>
      </c>
      <c r="C37" s="5">
        <f>averageResponseTimePorter(Dates!C$6,Dates!C$7,'Day2'!$B37)</f>
        <v>0</v>
      </c>
      <c r="D37" s="5">
        <f>averageResponseTimePorter(Dates!D$6,Dates!D$7,'Day2'!$B37)</f>
        <v>0</v>
      </c>
      <c r="E37" s="5">
        <f>averageResponseTimePorter(Dates!E$6,Dates!E$7,'Day2'!$B37)</f>
        <v>0</v>
      </c>
      <c r="F37" s="5">
        <f>averageResponseTimePorter(Dates!F$6,Dates!F$7,'Day2'!$B37)</f>
        <v>0</v>
      </c>
      <c r="G37" s="5">
        <f>averageResponseTimePorter(Dates!G$6,Dates!G$7,'Day2'!$B37)</f>
        <v>0</v>
      </c>
      <c r="H37" s="5">
        <f>averageResponseTimePorter(Dates!H$6,Dates!H$7,'Day2'!$B37)</f>
        <v>0</v>
      </c>
      <c r="I37" s="5">
        <f>averageResponseTimePorter(Dates!I$6,Dates!I$7,'Day2'!$B37)</f>
        <v>0</v>
      </c>
      <c r="J37" s="5">
        <f>averageResponseTimePorter(Dates!J$6,Dates!J$7,'Day2'!$B37)</f>
        <v>0</v>
      </c>
      <c r="K37" s="5">
        <f>averageResponseTimePorter(Dates!K$6,Dates!K$7,'Day2'!$B37)</f>
        <v>0</v>
      </c>
      <c r="L37" s="5">
        <f>averageResponseTimePorter(Dates!L$6,Dates!L$7,'Day2'!$B37)</f>
        <v>0</v>
      </c>
      <c r="M37" s="5">
        <f>averageResponseTimePorter(Dates!M$6,Dates!M$7,'Day2'!$B37)</f>
        <v>0</v>
      </c>
      <c r="N37" s="5">
        <f>averageResponseTimePorter(Dates!N$6,Dates!N$7,'Day2'!$B37)</f>
        <v>0</v>
      </c>
      <c r="O37" s="5">
        <f>averageResponseTimePorter(Dates!O$6,Dates!O$7,'Day2'!$B37)</f>
        <v>0</v>
      </c>
      <c r="P37" s="5">
        <f>averageResponseTimePorter(Dates!P$6,Dates!P$7,'Day2'!$B37)</f>
        <v>0</v>
      </c>
      <c r="Q37" s="5">
        <f>averageResponseTimePorter(Dates!Q$6,Dates!Q$7,'Day2'!$B37)</f>
        <v>0</v>
      </c>
      <c r="R37" s="5">
        <f>averageResponseTimePorter(Dates!R$6,Dates!R$7,'Day2'!$B37)</f>
        <v>0</v>
      </c>
      <c r="S37" s="5">
        <f>averageResponseTimePorter(Dates!S$6,Dates!S$7,'Day2'!$B37)</f>
        <v>0</v>
      </c>
      <c r="T37" s="5">
        <f>averageResponseTimePorter(Dates!T$6,Dates!T$7,'Day2'!$B37)</f>
        <v>0</v>
      </c>
      <c r="U37" s="5">
        <f>averageResponseTimePorter(Dates!$C$6,Dates!$T$7,'Day2'!$B14)</f>
        <v>0</v>
      </c>
    </row>
    <row r="38" spans="2:21" x14ac:dyDescent="0.3">
      <c r="B38" s="7" t="str">
        <f t="shared" si="0"/>
        <v>NA15</v>
      </c>
      <c r="C38" s="5">
        <f>averageResponseTimePorter(Dates!C$6,Dates!C$7,'Day2'!$B38)</f>
        <v>0</v>
      </c>
      <c r="D38" s="5">
        <f>averageResponseTimePorter(Dates!D$6,Dates!D$7,'Day2'!$B38)</f>
        <v>0</v>
      </c>
      <c r="E38" s="5">
        <f>averageResponseTimePorter(Dates!E$6,Dates!E$7,'Day2'!$B38)</f>
        <v>0</v>
      </c>
      <c r="F38" s="5">
        <f>averageResponseTimePorter(Dates!F$6,Dates!F$7,'Day2'!$B38)</f>
        <v>0</v>
      </c>
      <c r="G38" s="5">
        <f>averageResponseTimePorter(Dates!G$6,Dates!G$7,'Day2'!$B38)</f>
        <v>0</v>
      </c>
      <c r="H38" s="5">
        <f>averageResponseTimePorter(Dates!H$6,Dates!H$7,'Day2'!$B38)</f>
        <v>0</v>
      </c>
      <c r="I38" s="5">
        <f>averageResponseTimePorter(Dates!I$6,Dates!I$7,'Day2'!$B38)</f>
        <v>0</v>
      </c>
      <c r="J38" s="5">
        <f>averageResponseTimePorter(Dates!J$6,Dates!J$7,'Day2'!$B38)</f>
        <v>0</v>
      </c>
      <c r="K38" s="5">
        <f>averageResponseTimePorter(Dates!K$6,Dates!K$7,'Day2'!$B38)</f>
        <v>0</v>
      </c>
      <c r="L38" s="5">
        <f>averageResponseTimePorter(Dates!L$6,Dates!L$7,'Day2'!$B38)</f>
        <v>0</v>
      </c>
      <c r="M38" s="5">
        <f>averageResponseTimePorter(Dates!M$6,Dates!M$7,'Day2'!$B38)</f>
        <v>0</v>
      </c>
      <c r="N38" s="5">
        <f>averageResponseTimePorter(Dates!N$6,Dates!N$7,'Day2'!$B38)</f>
        <v>0</v>
      </c>
      <c r="O38" s="5">
        <f>averageResponseTimePorter(Dates!O$6,Dates!O$7,'Day2'!$B38)</f>
        <v>0</v>
      </c>
      <c r="P38" s="5">
        <f>averageResponseTimePorter(Dates!P$6,Dates!P$7,'Day2'!$B38)</f>
        <v>0</v>
      </c>
      <c r="Q38" s="5">
        <f>averageResponseTimePorter(Dates!Q$6,Dates!Q$7,'Day2'!$B38)</f>
        <v>0</v>
      </c>
      <c r="R38" s="5">
        <f>averageResponseTimePorter(Dates!R$6,Dates!R$7,'Day2'!$B38)</f>
        <v>0</v>
      </c>
      <c r="S38" s="5">
        <f>averageResponseTimePorter(Dates!S$6,Dates!S$7,'Day2'!$B38)</f>
        <v>0</v>
      </c>
      <c r="T38" s="5">
        <f>averageResponseTimePorter(Dates!T$6,Dates!T$7,'Day2'!$B38)</f>
        <v>0</v>
      </c>
      <c r="U38" s="5">
        <f>averageResponseTimePorter(Dates!$C$6,Dates!$T$7,'Day2'!$B15)</f>
        <v>0</v>
      </c>
    </row>
    <row r="39" spans="2:21" x14ac:dyDescent="0.3">
      <c r="B39" s="7" t="str">
        <f t="shared" si="0"/>
        <v>NA16</v>
      </c>
      <c r="C39" s="5">
        <f>averageResponseTimePorter(Dates!C$6,Dates!C$7,'Day2'!$B39)</f>
        <v>0</v>
      </c>
      <c r="D39" s="5">
        <f>averageResponseTimePorter(Dates!D$6,Dates!D$7,'Day2'!$B39)</f>
        <v>0</v>
      </c>
      <c r="E39" s="5">
        <f>averageResponseTimePorter(Dates!E$6,Dates!E$7,'Day2'!$B39)</f>
        <v>0</v>
      </c>
      <c r="F39" s="5">
        <f>averageResponseTimePorter(Dates!F$6,Dates!F$7,'Day2'!$B39)</f>
        <v>0</v>
      </c>
      <c r="G39" s="5">
        <f>averageResponseTimePorter(Dates!G$6,Dates!G$7,'Day2'!$B39)</f>
        <v>0</v>
      </c>
      <c r="H39" s="5">
        <f>averageResponseTimePorter(Dates!H$6,Dates!H$7,'Day2'!$B39)</f>
        <v>0</v>
      </c>
      <c r="I39" s="5">
        <f>averageResponseTimePorter(Dates!I$6,Dates!I$7,'Day2'!$B39)</f>
        <v>0</v>
      </c>
      <c r="J39" s="5">
        <f>averageResponseTimePorter(Dates!J$6,Dates!J$7,'Day2'!$B39)</f>
        <v>0</v>
      </c>
      <c r="K39" s="5">
        <f>averageResponseTimePorter(Dates!K$6,Dates!K$7,'Day2'!$B39)</f>
        <v>0</v>
      </c>
      <c r="L39" s="5">
        <f>averageResponseTimePorter(Dates!L$6,Dates!L$7,'Day2'!$B39)</f>
        <v>0</v>
      </c>
      <c r="M39" s="5">
        <f>averageResponseTimePorter(Dates!M$6,Dates!M$7,'Day2'!$B39)</f>
        <v>0</v>
      </c>
      <c r="N39" s="5">
        <f>averageResponseTimePorter(Dates!N$6,Dates!N$7,'Day2'!$B39)</f>
        <v>0</v>
      </c>
      <c r="O39" s="5">
        <f>averageResponseTimePorter(Dates!O$6,Dates!O$7,'Day2'!$B39)</f>
        <v>0</v>
      </c>
      <c r="P39" s="5">
        <f>averageResponseTimePorter(Dates!P$6,Dates!P$7,'Day2'!$B39)</f>
        <v>0</v>
      </c>
      <c r="Q39" s="5">
        <f>averageResponseTimePorter(Dates!Q$6,Dates!Q$7,'Day2'!$B39)</f>
        <v>0</v>
      </c>
      <c r="R39" s="5">
        <f>averageResponseTimePorter(Dates!R$6,Dates!R$7,'Day2'!$B39)</f>
        <v>0</v>
      </c>
      <c r="S39" s="5">
        <f>averageResponseTimePorter(Dates!S$6,Dates!S$7,'Day2'!$B39)</f>
        <v>0</v>
      </c>
      <c r="T39" s="5">
        <f>averageResponseTimePorter(Dates!T$6,Dates!T$7,'Day2'!$B39)</f>
        <v>0</v>
      </c>
      <c r="U39" s="5">
        <f>averageResponseTimePorter(Dates!$C$6,Dates!$T$7,'Day2'!$B16)</f>
        <v>0</v>
      </c>
    </row>
    <row r="40" spans="2:21" x14ac:dyDescent="0.3">
      <c r="B40" s="7" t="str">
        <f t="shared" si="0"/>
        <v>NA17</v>
      </c>
      <c r="C40" s="5">
        <f>averageResponseTimePorter(Dates!C$6,Dates!C$7,'Day2'!$B40)</f>
        <v>0</v>
      </c>
      <c r="D40" s="5">
        <f>averageResponseTimePorter(Dates!D$6,Dates!D$7,'Day2'!$B40)</f>
        <v>0</v>
      </c>
      <c r="E40" s="5">
        <f>averageResponseTimePorter(Dates!E$6,Dates!E$7,'Day2'!$B40)</f>
        <v>0</v>
      </c>
      <c r="F40" s="5">
        <f>averageResponseTimePorter(Dates!F$6,Dates!F$7,'Day2'!$B40)</f>
        <v>0</v>
      </c>
      <c r="G40" s="5">
        <f>averageResponseTimePorter(Dates!G$6,Dates!G$7,'Day2'!$B40)</f>
        <v>0</v>
      </c>
      <c r="H40" s="5">
        <f>averageResponseTimePorter(Dates!H$6,Dates!H$7,'Day2'!$B40)</f>
        <v>0</v>
      </c>
      <c r="I40" s="5">
        <f>averageResponseTimePorter(Dates!I$6,Dates!I$7,'Day2'!$B40)</f>
        <v>0</v>
      </c>
      <c r="J40" s="5">
        <f>averageResponseTimePorter(Dates!J$6,Dates!J$7,'Day2'!$B40)</f>
        <v>0</v>
      </c>
      <c r="K40" s="5">
        <f>averageResponseTimePorter(Dates!K$6,Dates!K$7,'Day2'!$B40)</f>
        <v>0</v>
      </c>
      <c r="L40" s="5">
        <f>averageResponseTimePorter(Dates!L$6,Dates!L$7,'Day2'!$B40)</f>
        <v>0</v>
      </c>
      <c r="M40" s="5">
        <f>averageResponseTimePorter(Dates!M$6,Dates!M$7,'Day2'!$B40)</f>
        <v>0</v>
      </c>
      <c r="N40" s="5">
        <f>averageResponseTimePorter(Dates!N$6,Dates!N$7,'Day2'!$B40)</f>
        <v>0</v>
      </c>
      <c r="O40" s="5">
        <f>averageResponseTimePorter(Dates!O$6,Dates!O$7,'Day2'!$B40)</f>
        <v>0</v>
      </c>
      <c r="P40" s="5">
        <f>averageResponseTimePorter(Dates!P$6,Dates!P$7,'Day2'!$B40)</f>
        <v>0</v>
      </c>
      <c r="Q40" s="5">
        <f>averageResponseTimePorter(Dates!Q$6,Dates!Q$7,'Day2'!$B40)</f>
        <v>0</v>
      </c>
      <c r="R40" s="5">
        <f>averageResponseTimePorter(Dates!R$6,Dates!R$7,'Day2'!$B40)</f>
        <v>0</v>
      </c>
      <c r="S40" s="5">
        <f>averageResponseTimePorter(Dates!S$6,Dates!S$7,'Day2'!$B40)</f>
        <v>0</v>
      </c>
      <c r="T40" s="5">
        <f>averageResponseTimePorter(Dates!T$6,Dates!T$7,'Day2'!$B40)</f>
        <v>0</v>
      </c>
      <c r="U40" s="5">
        <f>averageResponseTimePorter(Dates!$C$6,Dates!$T$7,'Day2'!$B17)</f>
        <v>0</v>
      </c>
    </row>
    <row r="41" spans="2:21" x14ac:dyDescent="0.3">
      <c r="B41" s="7" t="str">
        <f t="shared" si="0"/>
        <v>NA18</v>
      </c>
      <c r="C41" s="5">
        <f>averageResponseTimePorter(Dates!C$6,Dates!C$7,'Day2'!$B41)</f>
        <v>0</v>
      </c>
      <c r="D41" s="5">
        <f>averageResponseTimePorter(Dates!D$6,Dates!D$7,'Day2'!$B41)</f>
        <v>0</v>
      </c>
      <c r="E41" s="5">
        <f>averageResponseTimePorter(Dates!E$6,Dates!E$7,'Day2'!$B41)</f>
        <v>0</v>
      </c>
      <c r="F41" s="5">
        <f>averageResponseTimePorter(Dates!F$6,Dates!F$7,'Day2'!$B41)</f>
        <v>0</v>
      </c>
      <c r="G41" s="5">
        <f>averageResponseTimePorter(Dates!G$6,Dates!G$7,'Day2'!$B41)</f>
        <v>0</v>
      </c>
      <c r="H41" s="5">
        <f>averageResponseTimePorter(Dates!H$6,Dates!H$7,'Day2'!$B41)</f>
        <v>0</v>
      </c>
      <c r="I41" s="5">
        <f>averageResponseTimePorter(Dates!I$6,Dates!I$7,'Day2'!$B41)</f>
        <v>0</v>
      </c>
      <c r="J41" s="5">
        <f>averageResponseTimePorter(Dates!J$6,Dates!J$7,'Day2'!$B41)</f>
        <v>0</v>
      </c>
      <c r="K41" s="5">
        <f>averageResponseTimePorter(Dates!K$6,Dates!K$7,'Day2'!$B41)</f>
        <v>0</v>
      </c>
      <c r="L41" s="5">
        <f>averageResponseTimePorter(Dates!L$6,Dates!L$7,'Day2'!$B41)</f>
        <v>0</v>
      </c>
      <c r="M41" s="5">
        <f>averageResponseTimePorter(Dates!M$6,Dates!M$7,'Day2'!$B41)</f>
        <v>0</v>
      </c>
      <c r="N41" s="5">
        <f>averageResponseTimePorter(Dates!N$6,Dates!N$7,'Day2'!$B41)</f>
        <v>0</v>
      </c>
      <c r="O41" s="5">
        <f>averageResponseTimePorter(Dates!O$6,Dates!O$7,'Day2'!$B41)</f>
        <v>0</v>
      </c>
      <c r="P41" s="5">
        <f>averageResponseTimePorter(Dates!P$6,Dates!P$7,'Day2'!$B41)</f>
        <v>0</v>
      </c>
      <c r="Q41" s="5">
        <f>averageResponseTimePorter(Dates!Q$6,Dates!Q$7,'Day2'!$B41)</f>
        <v>0</v>
      </c>
      <c r="R41" s="5">
        <f>averageResponseTimePorter(Dates!R$6,Dates!R$7,'Day2'!$B41)</f>
        <v>0</v>
      </c>
      <c r="S41" s="5">
        <f>averageResponseTimePorter(Dates!S$6,Dates!S$7,'Day2'!$B41)</f>
        <v>0</v>
      </c>
      <c r="T41" s="5">
        <f>averageResponseTimePorter(Dates!T$6,Dates!T$7,'Day2'!$B41)</f>
        <v>0</v>
      </c>
      <c r="U41" s="5">
        <f>averageResponseTimePorter(Dates!$C$6,Dates!$T$7,'Day2'!$B18)</f>
        <v>0</v>
      </c>
    </row>
    <row r="42" spans="2:21" x14ac:dyDescent="0.3">
      <c r="B42" s="7" t="str">
        <f t="shared" si="0"/>
        <v>NA19</v>
      </c>
      <c r="C42" s="5">
        <f>averageResponseTimePorter(Dates!C$6,Dates!C$7,'Day2'!$B42)</f>
        <v>0</v>
      </c>
      <c r="D42" s="5">
        <f>averageResponseTimePorter(Dates!D$6,Dates!D$7,'Day2'!$B42)</f>
        <v>0</v>
      </c>
      <c r="E42" s="5">
        <f>averageResponseTimePorter(Dates!E$6,Dates!E$7,'Day2'!$B42)</f>
        <v>0</v>
      </c>
      <c r="F42" s="5">
        <f>averageResponseTimePorter(Dates!F$6,Dates!F$7,'Day2'!$B42)</f>
        <v>0</v>
      </c>
      <c r="G42" s="5">
        <f>averageResponseTimePorter(Dates!G$6,Dates!G$7,'Day2'!$B42)</f>
        <v>0</v>
      </c>
      <c r="H42" s="5">
        <f>averageResponseTimePorter(Dates!H$6,Dates!H$7,'Day2'!$B42)</f>
        <v>0</v>
      </c>
      <c r="I42" s="5">
        <f>averageResponseTimePorter(Dates!I$6,Dates!I$7,'Day2'!$B42)</f>
        <v>0</v>
      </c>
      <c r="J42" s="5">
        <f>averageResponseTimePorter(Dates!J$6,Dates!J$7,'Day2'!$B42)</f>
        <v>0</v>
      </c>
      <c r="K42" s="5">
        <f>averageResponseTimePorter(Dates!K$6,Dates!K$7,'Day2'!$B42)</f>
        <v>0</v>
      </c>
      <c r="L42" s="5">
        <f>averageResponseTimePorter(Dates!L$6,Dates!L$7,'Day2'!$B42)</f>
        <v>0</v>
      </c>
      <c r="M42" s="5">
        <f>averageResponseTimePorter(Dates!M$6,Dates!M$7,'Day2'!$B42)</f>
        <v>0</v>
      </c>
      <c r="N42" s="5">
        <f>averageResponseTimePorter(Dates!N$6,Dates!N$7,'Day2'!$B42)</f>
        <v>0</v>
      </c>
      <c r="O42" s="5">
        <f>averageResponseTimePorter(Dates!O$6,Dates!O$7,'Day2'!$B42)</f>
        <v>0</v>
      </c>
      <c r="P42" s="5">
        <f>averageResponseTimePorter(Dates!P$6,Dates!P$7,'Day2'!$B42)</f>
        <v>0</v>
      </c>
      <c r="Q42" s="5">
        <f>averageResponseTimePorter(Dates!Q$6,Dates!Q$7,'Day2'!$B42)</f>
        <v>0</v>
      </c>
      <c r="R42" s="5">
        <f>averageResponseTimePorter(Dates!R$6,Dates!R$7,'Day2'!$B42)</f>
        <v>0</v>
      </c>
      <c r="S42" s="5">
        <f>averageResponseTimePorter(Dates!S$6,Dates!S$7,'Day2'!$B42)</f>
        <v>0</v>
      </c>
      <c r="T42" s="5">
        <f>averageResponseTimePorter(Dates!T$6,Dates!T$7,'Day2'!$B42)</f>
        <v>0</v>
      </c>
      <c r="U42" s="5">
        <f>averageResponseTimePorter(Dates!$C$6,Dates!$T$7,'Day2'!$B19)</f>
        <v>0</v>
      </c>
    </row>
    <row r="43" spans="2:21" x14ac:dyDescent="0.3">
      <c r="B43" s="7" t="str">
        <f t="shared" si="0"/>
        <v>NA20</v>
      </c>
      <c r="C43" s="5">
        <f>averageResponseTimePorter(Dates!C$6,Dates!C$7,'Day2'!$B43)</f>
        <v>0</v>
      </c>
      <c r="D43" s="5">
        <f>averageResponseTimePorter(Dates!D$6,Dates!D$7,'Day2'!$B43)</f>
        <v>0</v>
      </c>
      <c r="E43" s="5">
        <f>averageResponseTimePorter(Dates!E$6,Dates!E$7,'Day2'!$B43)</f>
        <v>0</v>
      </c>
      <c r="F43" s="5">
        <f>averageResponseTimePorter(Dates!F$6,Dates!F$7,'Day2'!$B43)</f>
        <v>0</v>
      </c>
      <c r="G43" s="5">
        <f>averageResponseTimePorter(Dates!G$6,Dates!G$7,'Day2'!$B43)</f>
        <v>0</v>
      </c>
      <c r="H43" s="5">
        <f>averageResponseTimePorter(Dates!H$6,Dates!H$7,'Day2'!$B43)</f>
        <v>0</v>
      </c>
      <c r="I43" s="5">
        <f>averageResponseTimePorter(Dates!I$6,Dates!I$7,'Day2'!$B43)</f>
        <v>0</v>
      </c>
      <c r="J43" s="5">
        <f>averageResponseTimePorter(Dates!J$6,Dates!J$7,'Day2'!$B43)</f>
        <v>0</v>
      </c>
      <c r="K43" s="5">
        <f>averageResponseTimePorter(Dates!K$6,Dates!K$7,'Day2'!$B43)</f>
        <v>0</v>
      </c>
      <c r="L43" s="5">
        <f>averageResponseTimePorter(Dates!L$6,Dates!L$7,'Day2'!$B43)</f>
        <v>0</v>
      </c>
      <c r="M43" s="5">
        <f>averageResponseTimePorter(Dates!M$6,Dates!M$7,'Day2'!$B43)</f>
        <v>0</v>
      </c>
      <c r="N43" s="5">
        <f>averageResponseTimePorter(Dates!N$6,Dates!N$7,'Day2'!$B43)</f>
        <v>0</v>
      </c>
      <c r="O43" s="5">
        <f>averageResponseTimePorter(Dates!O$6,Dates!O$7,'Day2'!$B43)</f>
        <v>0</v>
      </c>
      <c r="P43" s="5">
        <f>averageResponseTimePorter(Dates!P$6,Dates!P$7,'Day2'!$B43)</f>
        <v>0</v>
      </c>
      <c r="Q43" s="5">
        <f>averageResponseTimePorter(Dates!Q$6,Dates!Q$7,'Day2'!$B43)</f>
        <v>0</v>
      </c>
      <c r="R43" s="5">
        <f>averageResponseTimePorter(Dates!R$6,Dates!R$7,'Day2'!$B43)</f>
        <v>0</v>
      </c>
      <c r="S43" s="5">
        <f>averageResponseTimePorter(Dates!S$6,Dates!S$7,'Day2'!$B43)</f>
        <v>0</v>
      </c>
      <c r="T43" s="5">
        <f>averageResponseTimePorter(Dates!T$6,Dates!T$7,'Day2'!$B43)</f>
        <v>0</v>
      </c>
      <c r="U43" s="5">
        <f>averageResponseTimePorter(Dates!$C$6,Dates!$T$7,'Day2'!$B20)</f>
        <v>0</v>
      </c>
    </row>
    <row r="44" spans="2:21" x14ac:dyDescent="0.3">
      <c r="B44" s="7" t="str">
        <f t="shared" si="0"/>
        <v>NA21</v>
      </c>
      <c r="C44" s="5">
        <f>averageResponseTimePorter(Dates!C$6,Dates!C$7,'Day2'!$B44)</f>
        <v>0</v>
      </c>
      <c r="D44" s="5">
        <f>averageResponseTimePorter(Dates!D$6,Dates!D$7,'Day2'!$B44)</f>
        <v>0</v>
      </c>
      <c r="E44" s="5">
        <f>averageResponseTimePorter(Dates!E$6,Dates!E$7,'Day2'!$B44)</f>
        <v>0</v>
      </c>
      <c r="F44" s="5">
        <f>averageResponseTimePorter(Dates!F$6,Dates!F$7,'Day2'!$B44)</f>
        <v>0</v>
      </c>
      <c r="G44" s="5">
        <f>averageResponseTimePorter(Dates!G$6,Dates!G$7,'Day2'!$B44)</f>
        <v>0</v>
      </c>
      <c r="H44" s="5">
        <f>averageResponseTimePorter(Dates!H$6,Dates!H$7,'Day2'!$B44)</f>
        <v>0</v>
      </c>
      <c r="I44" s="5">
        <f>averageResponseTimePorter(Dates!I$6,Dates!I$7,'Day2'!$B44)</f>
        <v>0</v>
      </c>
      <c r="J44" s="5">
        <f>averageResponseTimePorter(Dates!J$6,Dates!J$7,'Day2'!$B44)</f>
        <v>0</v>
      </c>
      <c r="K44" s="5">
        <f>averageResponseTimePorter(Dates!K$6,Dates!K$7,'Day2'!$B44)</f>
        <v>0</v>
      </c>
      <c r="L44" s="5">
        <f>averageResponseTimePorter(Dates!L$6,Dates!L$7,'Day2'!$B44)</f>
        <v>0</v>
      </c>
      <c r="M44" s="5">
        <f>averageResponseTimePorter(Dates!M$6,Dates!M$7,'Day2'!$B44)</f>
        <v>0</v>
      </c>
      <c r="N44" s="5">
        <f>averageResponseTimePorter(Dates!N$6,Dates!N$7,'Day2'!$B44)</f>
        <v>0</v>
      </c>
      <c r="O44" s="5">
        <f>averageResponseTimePorter(Dates!O$6,Dates!O$7,'Day2'!$B44)</f>
        <v>0</v>
      </c>
      <c r="P44" s="5">
        <f>averageResponseTimePorter(Dates!P$6,Dates!P$7,'Day2'!$B44)</f>
        <v>0</v>
      </c>
      <c r="Q44" s="5">
        <f>averageResponseTimePorter(Dates!Q$6,Dates!Q$7,'Day2'!$B44)</f>
        <v>0</v>
      </c>
      <c r="R44" s="5">
        <f>averageResponseTimePorter(Dates!R$6,Dates!R$7,'Day2'!$B44)</f>
        <v>0</v>
      </c>
      <c r="S44" s="5">
        <f>averageResponseTimePorter(Dates!S$6,Dates!S$7,'Day2'!$B44)</f>
        <v>0</v>
      </c>
      <c r="T44" s="5">
        <f>averageResponseTimePorter(Dates!T$6,Dates!T$7,'Day2'!$B44)</f>
        <v>0</v>
      </c>
      <c r="U44" s="5">
        <f>averageResponseTimePorter(Dates!$C$6,Dates!$T$7,'Day2'!$B21)</f>
        <v>0</v>
      </c>
    </row>
    <row r="45" spans="2:21" x14ac:dyDescent="0.3">
      <c r="B45" s="7" t="str">
        <f t="shared" si="0"/>
        <v>NA22</v>
      </c>
      <c r="C45" s="5">
        <f>averageResponseTimePorter(Dates!C$6,Dates!C$7,'Day2'!$B45)</f>
        <v>0</v>
      </c>
      <c r="D45" s="5">
        <f>averageResponseTimePorter(Dates!D$6,Dates!D$7,'Day2'!$B45)</f>
        <v>0</v>
      </c>
      <c r="E45" s="5">
        <f>averageResponseTimePorter(Dates!E$6,Dates!E$7,'Day2'!$B45)</f>
        <v>0</v>
      </c>
      <c r="F45" s="5">
        <f>averageResponseTimePorter(Dates!F$6,Dates!F$7,'Day2'!$B45)</f>
        <v>0</v>
      </c>
      <c r="G45" s="5">
        <f>averageResponseTimePorter(Dates!G$6,Dates!G$7,'Day2'!$B45)</f>
        <v>0</v>
      </c>
      <c r="H45" s="5">
        <f>averageResponseTimePorter(Dates!H$6,Dates!H$7,'Day2'!$B45)</f>
        <v>0</v>
      </c>
      <c r="I45" s="5">
        <f>averageResponseTimePorter(Dates!I$6,Dates!I$7,'Day2'!$B45)</f>
        <v>0</v>
      </c>
      <c r="J45" s="5">
        <f>averageResponseTimePorter(Dates!J$6,Dates!J$7,'Day2'!$B45)</f>
        <v>0</v>
      </c>
      <c r="K45" s="5">
        <f>averageResponseTimePorter(Dates!K$6,Dates!K$7,'Day2'!$B45)</f>
        <v>0</v>
      </c>
      <c r="L45" s="5">
        <f>averageResponseTimePorter(Dates!L$6,Dates!L$7,'Day2'!$B45)</f>
        <v>0</v>
      </c>
      <c r="M45" s="5">
        <f>averageResponseTimePorter(Dates!M$6,Dates!M$7,'Day2'!$B45)</f>
        <v>0</v>
      </c>
      <c r="N45" s="5">
        <f>averageResponseTimePorter(Dates!N$6,Dates!N$7,'Day2'!$B45)</f>
        <v>0</v>
      </c>
      <c r="O45" s="5">
        <f>averageResponseTimePorter(Dates!O$6,Dates!O$7,'Day2'!$B45)</f>
        <v>0</v>
      </c>
      <c r="P45" s="5">
        <f>averageResponseTimePorter(Dates!P$6,Dates!P$7,'Day2'!$B45)</f>
        <v>0</v>
      </c>
      <c r="Q45" s="5">
        <f>averageResponseTimePorter(Dates!Q$6,Dates!Q$7,'Day2'!$B45)</f>
        <v>0</v>
      </c>
      <c r="R45" s="5">
        <f>averageResponseTimePorter(Dates!R$6,Dates!R$7,'Day2'!$B45)</f>
        <v>0</v>
      </c>
      <c r="S45" s="5">
        <f>averageResponseTimePorter(Dates!S$6,Dates!S$7,'Day2'!$B45)</f>
        <v>0</v>
      </c>
      <c r="T45" s="5">
        <f>averageResponseTimePorter(Dates!T$6,Dates!T$7,'Day2'!$B45)</f>
        <v>0</v>
      </c>
      <c r="U45" s="5">
        <f>averageResponseTimePorter(Dates!$C$6,Dates!$T$7,'Day2'!$B22)</f>
        <v>0</v>
      </c>
    </row>
    <row r="46" spans="2:21" x14ac:dyDescent="0.3">
      <c r="B46" s="7" t="str">
        <f t="shared" si="0"/>
        <v>NA23</v>
      </c>
      <c r="C46" s="5">
        <f>averageResponseTimePorter(Dates!C$6,Dates!C$7,'Day2'!$B46)</f>
        <v>0</v>
      </c>
      <c r="D46" s="5">
        <f>averageResponseTimePorter(Dates!D$6,Dates!D$7,'Day2'!$B46)</f>
        <v>0</v>
      </c>
      <c r="E46" s="5">
        <f>averageResponseTimePorter(Dates!E$6,Dates!E$7,'Day2'!$B46)</f>
        <v>0</v>
      </c>
      <c r="F46" s="5">
        <f>averageResponseTimePorter(Dates!F$6,Dates!F$7,'Day2'!$B46)</f>
        <v>0</v>
      </c>
      <c r="G46" s="5">
        <f>averageResponseTimePorter(Dates!G$6,Dates!G$7,'Day2'!$B46)</f>
        <v>0</v>
      </c>
      <c r="H46" s="5">
        <f>averageResponseTimePorter(Dates!H$6,Dates!H$7,'Day2'!$B46)</f>
        <v>0</v>
      </c>
      <c r="I46" s="5">
        <f>averageResponseTimePorter(Dates!I$6,Dates!I$7,'Day2'!$B46)</f>
        <v>0</v>
      </c>
      <c r="J46" s="5">
        <f>averageResponseTimePorter(Dates!J$6,Dates!J$7,'Day2'!$B46)</f>
        <v>0</v>
      </c>
      <c r="K46" s="5">
        <f>averageResponseTimePorter(Dates!K$6,Dates!K$7,'Day2'!$B46)</f>
        <v>0</v>
      </c>
      <c r="L46" s="5">
        <f>averageResponseTimePorter(Dates!L$6,Dates!L$7,'Day2'!$B46)</f>
        <v>0</v>
      </c>
      <c r="M46" s="5">
        <f>averageResponseTimePorter(Dates!M$6,Dates!M$7,'Day2'!$B46)</f>
        <v>0</v>
      </c>
      <c r="N46" s="5">
        <f>averageResponseTimePorter(Dates!N$6,Dates!N$7,'Day2'!$B46)</f>
        <v>0</v>
      </c>
      <c r="O46" s="5">
        <f>averageResponseTimePorter(Dates!O$6,Dates!O$7,'Day2'!$B46)</f>
        <v>0</v>
      </c>
      <c r="P46" s="5">
        <f>averageResponseTimePorter(Dates!P$6,Dates!P$7,'Day2'!$B46)</f>
        <v>0</v>
      </c>
      <c r="Q46" s="5">
        <f>averageResponseTimePorter(Dates!Q$6,Dates!Q$7,'Day2'!$B46)</f>
        <v>0</v>
      </c>
      <c r="R46" s="5">
        <f>averageResponseTimePorter(Dates!R$6,Dates!R$7,'Day2'!$B46)</f>
        <v>0</v>
      </c>
      <c r="S46" s="5">
        <f>averageResponseTimePorter(Dates!S$6,Dates!S$7,'Day2'!$B46)</f>
        <v>0</v>
      </c>
      <c r="T46" s="5">
        <f>averageResponseTimePorter(Dates!T$6,Dates!T$7,'Day2'!$B46)</f>
        <v>0</v>
      </c>
      <c r="U46" s="5">
        <f>averageResponseTimePorter(Dates!$C$6,Dates!$T$7,'Day2'!$B23)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46"/>
  <sheetViews>
    <sheetView topLeftCell="A24" zoomScale="80" zoomScaleNormal="80" workbookViewId="0">
      <selection activeCell="E43" sqref="E43"/>
    </sheetView>
  </sheetViews>
  <sheetFormatPr defaultRowHeight="14.4" x14ac:dyDescent="0.3"/>
  <cols>
    <col min="2" max="2" width="27.21875" style="7" customWidth="1"/>
    <col min="7" max="7" width="10.21875" customWidth="1"/>
  </cols>
  <sheetData>
    <row r="1" spans="1:21" x14ac:dyDescent="0.3">
      <c r="C1" s="3" t="s">
        <v>2</v>
      </c>
      <c r="D1" s="4">
        <v>7</v>
      </c>
      <c r="E1" s="4">
        <v>8</v>
      </c>
      <c r="F1" s="4">
        <v>9</v>
      </c>
      <c r="G1" s="4">
        <v>10</v>
      </c>
      <c r="H1" s="4">
        <v>11</v>
      </c>
      <c r="I1" s="4">
        <v>12</v>
      </c>
      <c r="J1" s="4">
        <v>13</v>
      </c>
      <c r="K1" s="4">
        <v>14</v>
      </c>
      <c r="L1" s="4">
        <v>15</v>
      </c>
      <c r="M1" s="4">
        <v>16</v>
      </c>
      <c r="N1" s="4">
        <v>17</v>
      </c>
      <c r="O1" s="4">
        <v>18</v>
      </c>
      <c r="P1" s="4">
        <v>19</v>
      </c>
      <c r="Q1" s="4">
        <v>20</v>
      </c>
      <c r="R1" s="4">
        <v>21</v>
      </c>
      <c r="S1" s="4">
        <v>22</v>
      </c>
      <c r="T1" s="4">
        <v>23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averageCompletionTime(Dates!C8,Dates!C9)</f>
        <v>0</v>
      </c>
      <c r="D2" s="5">
        <f>averageCompletionTime(Dates!D8,Dates!D9)</f>
        <v>0</v>
      </c>
      <c r="E2" s="5">
        <f>averageCompletionTime(Dates!E8,Dates!E9)</f>
        <v>0</v>
      </c>
      <c r="F2" s="5">
        <f>averageCompletionTime(Dates!F8,Dates!F9)</f>
        <v>0</v>
      </c>
      <c r="G2" s="5">
        <f>averageCompletionTime(Dates!G8,Dates!G9)</f>
        <v>0</v>
      </c>
      <c r="H2" s="5">
        <f>averageCompletionTime(Dates!H8,Dates!H9)</f>
        <v>0</v>
      </c>
      <c r="I2" s="5">
        <f>averageCompletionTime(Dates!I8,Dates!I9)</f>
        <v>0</v>
      </c>
      <c r="J2" s="5">
        <f>averageCompletionTime(Dates!J8,Dates!J9)</f>
        <v>0</v>
      </c>
      <c r="K2" s="5">
        <f>averageCompletionTime(Dates!K8,Dates!K9)</f>
        <v>0</v>
      </c>
      <c r="L2" s="5">
        <f>averageCompletionTime(Dates!L8,Dates!L9)</f>
        <v>0</v>
      </c>
      <c r="M2" s="5">
        <f>averageCompletionTime(Dates!M8,Dates!M9)</f>
        <v>0</v>
      </c>
      <c r="N2" s="5">
        <f>averageCompletionTime(Dates!N8,Dates!N9)</f>
        <v>0</v>
      </c>
      <c r="O2" s="5">
        <f>averageCompletionTime(Dates!O8,Dates!O9)</f>
        <v>0</v>
      </c>
      <c r="P2" s="5">
        <f>averageCompletionTime(Dates!P8,Dates!P9)</f>
        <v>0</v>
      </c>
      <c r="Q2" s="5">
        <f>averageCompletionTime(Dates!Q8,Dates!Q9)</f>
        <v>0</v>
      </c>
      <c r="R2" s="5">
        <f>averageCompletionTime(Dates!R8,Dates!R9)</f>
        <v>0</v>
      </c>
      <c r="S2" s="5">
        <f>averageCompletionTime(Dates!S8,Dates!S9)</f>
        <v>0</v>
      </c>
      <c r="T2" s="5">
        <f>averageCompletionTime(Dates!T8,Dates!T9)</f>
        <v>0</v>
      </c>
      <c r="U2" s="5">
        <f>averageCompletionTime(Dates!C8,Dates!T9)</f>
        <v>0</v>
      </c>
    </row>
    <row r="3" spans="1:21" x14ac:dyDescent="0.3">
      <c r="A3" s="6" t="s">
        <v>5</v>
      </c>
      <c r="B3" s="8">
        <v>1</v>
      </c>
      <c r="C3" s="5">
        <f>averageCompletionTimePorter(Dates!C$8,Dates!C$9,'Day3'!$B3)</f>
        <v>0</v>
      </c>
      <c r="D3" s="5">
        <f>averageCompletionTimePorter(Dates!D$8,Dates!D$9,'Day3'!$B3)</f>
        <v>0</v>
      </c>
      <c r="E3" s="5">
        <f>averageCompletionTimePorter(Dates!E$8,Dates!E$9,'Day3'!$B3)</f>
        <v>0</v>
      </c>
      <c r="F3" s="5">
        <f>averageCompletionTimePorter(Dates!F$8,Dates!F$9,'Day3'!$B3)</f>
        <v>0</v>
      </c>
      <c r="G3" s="5">
        <f>averageCompletionTimePorter(Dates!G$8,Dates!G$9,'Day3'!$B3)</f>
        <v>0</v>
      </c>
      <c r="H3" s="5">
        <f>averageCompletionTimePorter(Dates!H$8,Dates!H$9,'Day3'!$B3)</f>
        <v>0</v>
      </c>
      <c r="I3" s="5">
        <f>averageCompletionTimePorter(Dates!I$8,Dates!I$9,'Day3'!$B3)</f>
        <v>0</v>
      </c>
      <c r="J3" s="5">
        <f>averageCompletionTimePorter(Dates!J$8,Dates!J$9,'Day3'!$B3)</f>
        <v>0</v>
      </c>
      <c r="K3" s="5">
        <f>averageCompletionTimePorter(Dates!K$8,Dates!K$9,'Day3'!$B3)</f>
        <v>0</v>
      </c>
      <c r="L3" s="5">
        <f>averageCompletionTimePorter(Dates!L$8,Dates!L$9,'Day3'!$B3)</f>
        <v>0</v>
      </c>
      <c r="M3" s="5">
        <f>averageCompletionTimePorter(Dates!M$8,Dates!M$9,'Day3'!$B3)</f>
        <v>0</v>
      </c>
      <c r="N3" s="5">
        <f>averageCompletionTimePorter(Dates!N$8,Dates!N$9,'Day3'!$B3)</f>
        <v>0</v>
      </c>
      <c r="O3" s="5">
        <f>averageCompletionTimePorter(Dates!O$8,Dates!O$9,'Day3'!$B3)</f>
        <v>0</v>
      </c>
      <c r="P3" s="5">
        <f>averageCompletionTimePorter(Dates!P$8,Dates!P$9,'Day3'!$B3)</f>
        <v>0</v>
      </c>
      <c r="Q3" s="5">
        <f>averageCompletionTimePorter(Dates!Q$8,Dates!Q$9,'Day3'!$B3)</f>
        <v>0</v>
      </c>
      <c r="R3" s="5">
        <f>averageCompletionTimePorter(Dates!R$8,Dates!R$9,'Day3'!$B3)</f>
        <v>0</v>
      </c>
      <c r="S3" s="5">
        <f>averageCompletionTimePorter(Dates!S$8,Dates!S$9,'Day3'!$B3)</f>
        <v>0</v>
      </c>
      <c r="T3" s="5">
        <f>averageCompletionTimePorter(Dates!T$8,Dates!T$9,'Day3'!$B3)</f>
        <v>0</v>
      </c>
      <c r="U3" s="5">
        <f>averageCompletionTimePorter(Dates!$C$8,Dates!$T$9,'Day3'!$B3)</f>
        <v>0</v>
      </c>
    </row>
    <row r="4" spans="1:21" x14ac:dyDescent="0.3">
      <c r="A4" s="6"/>
      <c r="B4" s="8">
        <v>0</v>
      </c>
      <c r="C4" s="5">
        <f>averageCompletionTimePorter(Dates!C$8,Dates!C$9,'Day3'!$B4)</f>
        <v>0</v>
      </c>
      <c r="D4" s="5">
        <f>averageCompletionTimePorter(Dates!D$8,Dates!D$9,'Day3'!$B4)</f>
        <v>0</v>
      </c>
      <c r="E4" s="5">
        <f>averageCompletionTimePorter(Dates!E$8,Dates!E$9,'Day3'!$B4)</f>
        <v>0</v>
      </c>
      <c r="F4" s="5">
        <f>averageCompletionTimePorter(Dates!F$8,Dates!F$9,'Day3'!$B4)</f>
        <v>0</v>
      </c>
      <c r="G4" s="5">
        <f>averageCompletionTimePorter(Dates!G$8,Dates!G$9,'Day3'!$B4)</f>
        <v>0</v>
      </c>
      <c r="H4" s="5">
        <f>averageCompletionTimePorter(Dates!H$8,Dates!H$9,'Day3'!$B4)</f>
        <v>0</v>
      </c>
      <c r="I4" s="5">
        <f>averageCompletionTimePorter(Dates!I$8,Dates!I$9,'Day3'!$B4)</f>
        <v>0</v>
      </c>
      <c r="J4" s="5">
        <f>averageCompletionTimePorter(Dates!J$8,Dates!J$9,'Day3'!$B4)</f>
        <v>0</v>
      </c>
      <c r="K4" s="5">
        <f>averageCompletionTimePorter(Dates!K$8,Dates!K$9,'Day3'!$B4)</f>
        <v>0</v>
      </c>
      <c r="L4" s="5">
        <f>averageCompletionTimePorter(Dates!L$8,Dates!L$9,'Day3'!$B4)</f>
        <v>0</v>
      </c>
      <c r="M4" s="5">
        <f>averageCompletionTimePorter(Dates!M$8,Dates!M$9,'Day3'!$B4)</f>
        <v>0</v>
      </c>
      <c r="N4" s="5">
        <f>averageCompletionTimePorter(Dates!N$8,Dates!N$9,'Day3'!$B4)</f>
        <v>0</v>
      </c>
      <c r="O4" s="5">
        <f>averageCompletionTimePorter(Dates!O$8,Dates!O$9,'Day3'!$B4)</f>
        <v>0</v>
      </c>
      <c r="P4" s="5">
        <f>averageCompletionTimePorter(Dates!P$8,Dates!P$9,'Day3'!$B4)</f>
        <v>0</v>
      </c>
      <c r="Q4" s="5">
        <f>averageCompletionTimePorter(Dates!Q$8,Dates!Q$9,'Day3'!$B4)</f>
        <v>0</v>
      </c>
      <c r="R4" s="5">
        <f>averageCompletionTimePorter(Dates!R$8,Dates!R$9,'Day3'!$B4)</f>
        <v>0</v>
      </c>
      <c r="S4" s="5">
        <f>averageCompletionTimePorter(Dates!S$8,Dates!S$9,'Day3'!$B4)</f>
        <v>0</v>
      </c>
      <c r="T4" s="5">
        <f>averageCompletionTimePorter(Dates!T$8,Dates!T$9,'Day3'!$B4)</f>
        <v>0</v>
      </c>
      <c r="U4" s="5">
        <f>averageCompletionTimePorter(Dates!$C$8,Dates!$T$9,'Day3'!$B4)</f>
        <v>0</v>
      </c>
    </row>
    <row r="5" spans="1:21" x14ac:dyDescent="0.3">
      <c r="A5" s="6"/>
      <c r="B5" s="8">
        <v>3</v>
      </c>
      <c r="C5" s="5">
        <f>averageCompletionTimePorter(Dates!C$8,Dates!C$9,'Day3'!$B5)</f>
        <v>0</v>
      </c>
      <c r="D5" s="5">
        <f>averageCompletionTimePorter(Dates!D$8,Dates!D$9,'Day3'!$B5)</f>
        <v>0</v>
      </c>
      <c r="E5" s="5">
        <f>averageCompletionTimePorter(Dates!E$8,Dates!E$9,'Day3'!$B5)</f>
        <v>0</v>
      </c>
      <c r="F5" s="5">
        <f>averageCompletionTimePorter(Dates!F$8,Dates!F$9,'Day3'!$B5)</f>
        <v>0</v>
      </c>
      <c r="G5" s="5">
        <f>averageCompletionTimePorter(Dates!G$8,Dates!G$9,'Day3'!$B5)</f>
        <v>0</v>
      </c>
      <c r="H5" s="5">
        <f>averageCompletionTimePorter(Dates!H$8,Dates!H$9,'Day3'!$B5)</f>
        <v>0</v>
      </c>
      <c r="I5" s="5">
        <f>averageCompletionTimePorter(Dates!I$8,Dates!I$9,'Day3'!$B5)</f>
        <v>0</v>
      </c>
      <c r="J5" s="5">
        <f>averageCompletionTimePorter(Dates!J$8,Dates!J$9,'Day3'!$B5)</f>
        <v>0</v>
      </c>
      <c r="K5" s="5">
        <f>averageCompletionTimePorter(Dates!K$8,Dates!K$9,'Day3'!$B5)</f>
        <v>0</v>
      </c>
      <c r="L5" s="5">
        <f>averageCompletionTimePorter(Dates!L$8,Dates!L$9,'Day3'!$B5)</f>
        <v>0</v>
      </c>
      <c r="M5" s="5">
        <f>averageCompletionTimePorter(Dates!M$8,Dates!M$9,'Day3'!$B5)</f>
        <v>0</v>
      </c>
      <c r="N5" s="5">
        <f>averageCompletionTimePorter(Dates!N$8,Dates!N$9,'Day3'!$B5)</f>
        <v>0</v>
      </c>
      <c r="O5" s="5">
        <f>averageCompletionTimePorter(Dates!O$8,Dates!O$9,'Day3'!$B5)</f>
        <v>0</v>
      </c>
      <c r="P5" s="5">
        <f>averageCompletionTimePorter(Dates!P$8,Dates!P$9,'Day3'!$B5)</f>
        <v>0</v>
      </c>
      <c r="Q5" s="5">
        <f>averageCompletionTimePorter(Dates!Q$8,Dates!Q$9,'Day3'!$B5)</f>
        <v>0</v>
      </c>
      <c r="R5" s="5">
        <f>averageCompletionTimePorter(Dates!R$8,Dates!R$9,'Day3'!$B5)</f>
        <v>0</v>
      </c>
      <c r="S5" s="5">
        <f>averageCompletionTimePorter(Dates!S$8,Dates!S$9,'Day3'!$B5)</f>
        <v>0</v>
      </c>
      <c r="T5" s="5">
        <f>averageCompletionTimePorter(Dates!T$8,Dates!T$9,'Day3'!$B5)</f>
        <v>0</v>
      </c>
      <c r="U5" s="5">
        <f>averageCompletionTimePorter(Dates!$C$8,Dates!$T$9,'Day3'!$B5)</f>
        <v>0</v>
      </c>
    </row>
    <row r="6" spans="1:21" x14ac:dyDescent="0.3">
      <c r="A6" s="6"/>
      <c r="B6" s="8">
        <v>2</v>
      </c>
      <c r="C6" s="5">
        <f>averageCompletionTimePorter(Dates!C$8,Dates!C$9,'Day3'!$B6)</f>
        <v>0</v>
      </c>
      <c r="D6" s="5">
        <f>averageCompletionTimePorter(Dates!D$8,Dates!D$9,'Day3'!$B6)</f>
        <v>0</v>
      </c>
      <c r="E6" s="5">
        <f>averageCompletionTimePorter(Dates!E$8,Dates!E$9,'Day3'!$B6)</f>
        <v>0</v>
      </c>
      <c r="F6" s="5">
        <f>averageCompletionTimePorter(Dates!F$8,Dates!F$9,'Day3'!$B6)</f>
        <v>0</v>
      </c>
      <c r="G6" s="5">
        <f>averageCompletionTimePorter(Dates!G$8,Dates!G$9,'Day3'!$B6)</f>
        <v>0</v>
      </c>
      <c r="H6" s="5">
        <f>averageCompletionTimePorter(Dates!H$8,Dates!H$9,'Day3'!$B6)</f>
        <v>0</v>
      </c>
      <c r="I6" s="5">
        <f>averageCompletionTimePorter(Dates!I$8,Dates!I$9,'Day3'!$B6)</f>
        <v>0</v>
      </c>
      <c r="J6" s="5">
        <f>averageCompletionTimePorter(Dates!J$8,Dates!J$9,'Day3'!$B6)</f>
        <v>0</v>
      </c>
      <c r="K6" s="5">
        <f>averageCompletionTimePorter(Dates!K$8,Dates!K$9,'Day3'!$B6)</f>
        <v>0</v>
      </c>
      <c r="L6" s="5">
        <f>averageCompletionTimePorter(Dates!L$8,Dates!L$9,'Day3'!$B6)</f>
        <v>0</v>
      </c>
      <c r="M6" s="5">
        <f>averageCompletionTimePorter(Dates!M$8,Dates!M$9,'Day3'!$B6)</f>
        <v>0</v>
      </c>
      <c r="N6" s="5">
        <f>averageCompletionTimePorter(Dates!N$8,Dates!N$9,'Day3'!$B6)</f>
        <v>0</v>
      </c>
      <c r="O6" s="5">
        <f>averageCompletionTimePorter(Dates!O$8,Dates!O$9,'Day3'!$B6)</f>
        <v>0</v>
      </c>
      <c r="P6" s="5">
        <f>averageCompletionTimePorter(Dates!P$8,Dates!P$9,'Day3'!$B6)</f>
        <v>0</v>
      </c>
      <c r="Q6" s="5">
        <f>averageCompletionTimePorter(Dates!Q$8,Dates!Q$9,'Day3'!$B6)</f>
        <v>0</v>
      </c>
      <c r="R6" s="5">
        <f>averageCompletionTimePorter(Dates!R$8,Dates!R$9,'Day3'!$B6)</f>
        <v>0</v>
      </c>
      <c r="S6" s="5">
        <f>averageCompletionTimePorter(Dates!S$8,Dates!S$9,'Day3'!$B6)</f>
        <v>0</v>
      </c>
      <c r="T6" s="5">
        <f>averageCompletionTimePorter(Dates!T$8,Dates!T$9,'Day3'!$B6)</f>
        <v>0</v>
      </c>
      <c r="U6" s="5">
        <f>averageCompletionTimePorter(Dates!$C$8,Dates!$T$9,'Day3'!$B6)</f>
        <v>0</v>
      </c>
    </row>
    <row r="7" spans="1:21" x14ac:dyDescent="0.3">
      <c r="A7" s="6"/>
      <c r="B7" s="8">
        <v>5</v>
      </c>
      <c r="C7" s="5">
        <f>averageCompletionTimePorter(Dates!C$8,Dates!C$9,'Day3'!$B7)</f>
        <v>0</v>
      </c>
      <c r="D7" s="5">
        <f>averageCompletionTimePorter(Dates!D$8,Dates!D$9,'Day3'!$B7)</f>
        <v>0</v>
      </c>
      <c r="E7" s="5">
        <f>averageCompletionTimePorter(Dates!E$8,Dates!E$9,'Day3'!$B7)</f>
        <v>0</v>
      </c>
      <c r="F7" s="5">
        <f>averageCompletionTimePorter(Dates!F$8,Dates!F$9,'Day3'!$B7)</f>
        <v>0</v>
      </c>
      <c r="G7" s="5">
        <f>averageCompletionTimePorter(Dates!G$8,Dates!G$9,'Day3'!$B7)</f>
        <v>0</v>
      </c>
      <c r="H7" s="5">
        <f>averageCompletionTimePorter(Dates!H$8,Dates!H$9,'Day3'!$B7)</f>
        <v>0</v>
      </c>
      <c r="I7" s="5">
        <f>averageCompletionTimePorter(Dates!I$8,Dates!I$9,'Day3'!$B7)</f>
        <v>0</v>
      </c>
      <c r="J7" s="5">
        <f>averageCompletionTimePorter(Dates!J$8,Dates!J$9,'Day3'!$B7)</f>
        <v>0</v>
      </c>
      <c r="K7" s="5">
        <f>averageCompletionTimePorter(Dates!K$8,Dates!K$9,'Day3'!$B7)</f>
        <v>0</v>
      </c>
      <c r="L7" s="5">
        <f>averageCompletionTimePorter(Dates!L$8,Dates!L$9,'Day3'!$B7)</f>
        <v>0</v>
      </c>
      <c r="M7" s="5">
        <f>averageCompletionTimePorter(Dates!M$8,Dates!M$9,'Day3'!$B7)</f>
        <v>0</v>
      </c>
      <c r="N7" s="5">
        <f>averageCompletionTimePorter(Dates!N$8,Dates!N$9,'Day3'!$B7)</f>
        <v>0</v>
      </c>
      <c r="O7" s="5">
        <f>averageCompletionTimePorter(Dates!O$8,Dates!O$9,'Day3'!$B7)</f>
        <v>0</v>
      </c>
      <c r="P7" s="5">
        <f>averageCompletionTimePorter(Dates!P$8,Dates!P$9,'Day3'!$B7)</f>
        <v>0</v>
      </c>
      <c r="Q7" s="5">
        <f>averageCompletionTimePorter(Dates!Q$8,Dates!Q$9,'Day3'!$B7)</f>
        <v>0</v>
      </c>
      <c r="R7" s="5">
        <f>averageCompletionTimePorter(Dates!R$8,Dates!R$9,'Day3'!$B7)</f>
        <v>0</v>
      </c>
      <c r="S7" s="5">
        <f>averageCompletionTimePorter(Dates!S$8,Dates!S$9,'Day3'!$B7)</f>
        <v>0</v>
      </c>
      <c r="T7" s="5">
        <f>averageCompletionTimePorter(Dates!T$8,Dates!T$9,'Day3'!$B7)</f>
        <v>0</v>
      </c>
      <c r="U7" s="5">
        <f>averageCompletionTimePorter(Dates!$C$8,Dates!$T$9,'Day3'!$B7)</f>
        <v>0</v>
      </c>
    </row>
    <row r="8" spans="1:21" x14ac:dyDescent="0.3">
      <c r="A8" s="6"/>
      <c r="B8" s="8">
        <v>4</v>
      </c>
      <c r="C8" s="5">
        <f>averageCompletionTimePorter(Dates!C$8,Dates!C$9,'Day3'!$B8)</f>
        <v>0</v>
      </c>
      <c r="D8" s="5">
        <f>averageCompletionTimePorter(Dates!D$8,Dates!D$9,'Day3'!$B8)</f>
        <v>0</v>
      </c>
      <c r="E8" s="5">
        <f>averageCompletionTimePorter(Dates!E$8,Dates!E$9,'Day3'!$B8)</f>
        <v>0</v>
      </c>
      <c r="F8" s="5">
        <f>averageCompletionTimePorter(Dates!F$8,Dates!F$9,'Day3'!$B8)</f>
        <v>0</v>
      </c>
      <c r="G8" s="5">
        <f>averageCompletionTimePorter(Dates!G$8,Dates!G$9,'Day3'!$B8)</f>
        <v>0</v>
      </c>
      <c r="H8" s="5">
        <f>averageCompletionTimePorter(Dates!H$8,Dates!H$9,'Day3'!$B8)</f>
        <v>0</v>
      </c>
      <c r="I8" s="5">
        <f>averageCompletionTimePorter(Dates!I$8,Dates!I$9,'Day3'!$B8)</f>
        <v>0</v>
      </c>
      <c r="J8" s="5">
        <f>averageCompletionTimePorter(Dates!J$8,Dates!J$9,'Day3'!$B8)</f>
        <v>0</v>
      </c>
      <c r="K8" s="5">
        <f>averageCompletionTimePorter(Dates!K$8,Dates!K$9,'Day3'!$B8)</f>
        <v>0</v>
      </c>
      <c r="L8" s="5">
        <f>averageCompletionTimePorter(Dates!L$8,Dates!L$9,'Day3'!$B8)</f>
        <v>0</v>
      </c>
      <c r="M8" s="5">
        <f>averageCompletionTimePorter(Dates!M$8,Dates!M$9,'Day3'!$B8)</f>
        <v>0</v>
      </c>
      <c r="N8" s="5">
        <f>averageCompletionTimePorter(Dates!N$8,Dates!N$9,'Day3'!$B8)</f>
        <v>0</v>
      </c>
      <c r="O8" s="5">
        <f>averageCompletionTimePorter(Dates!O$8,Dates!O$9,'Day3'!$B8)</f>
        <v>0</v>
      </c>
      <c r="P8" s="5">
        <f>averageCompletionTimePorter(Dates!P$8,Dates!P$9,'Day3'!$B8)</f>
        <v>0</v>
      </c>
      <c r="Q8" s="5">
        <f>averageCompletionTimePorter(Dates!Q$8,Dates!Q$9,'Day3'!$B8)</f>
        <v>0</v>
      </c>
      <c r="R8" s="5">
        <f>averageCompletionTimePorter(Dates!R$8,Dates!R$9,'Day3'!$B8)</f>
        <v>0</v>
      </c>
      <c r="S8" s="5">
        <f>averageCompletionTimePorter(Dates!S$8,Dates!S$9,'Day3'!$B8)</f>
        <v>0</v>
      </c>
      <c r="T8" s="5">
        <f>averageCompletionTimePorter(Dates!T$8,Dates!T$9,'Day3'!$B8)</f>
        <v>0</v>
      </c>
      <c r="U8" s="5">
        <f>averageCompletionTimePorter(Dates!$C$8,Dates!$T$9,'Day3'!$B8)</f>
        <v>0</v>
      </c>
    </row>
    <row r="9" spans="1:21" x14ac:dyDescent="0.3">
      <c r="A9" s="6"/>
      <c r="B9" s="8">
        <v>6</v>
      </c>
      <c r="C9" s="5">
        <f>averageCompletionTimePorter(Dates!C$8,Dates!C$9,'Day3'!$B9)</f>
        <v>0</v>
      </c>
      <c r="D9" s="5">
        <f>averageCompletionTimePorter(Dates!D$8,Dates!D$9,'Day3'!$B9)</f>
        <v>0</v>
      </c>
      <c r="E9" s="5">
        <f>averageCompletionTimePorter(Dates!E$8,Dates!E$9,'Day3'!$B9)</f>
        <v>0</v>
      </c>
      <c r="F9" s="5">
        <f>averageCompletionTimePorter(Dates!F$8,Dates!F$9,'Day3'!$B9)</f>
        <v>0</v>
      </c>
      <c r="G9" s="5">
        <f>averageCompletionTimePorter(Dates!G$8,Dates!G$9,'Day3'!$B9)</f>
        <v>0</v>
      </c>
      <c r="H9" s="5">
        <f>averageCompletionTimePorter(Dates!H$8,Dates!H$9,'Day3'!$B9)</f>
        <v>0</v>
      </c>
      <c r="I9" s="5">
        <f>averageCompletionTimePorter(Dates!I$8,Dates!I$9,'Day3'!$B9)</f>
        <v>0</v>
      </c>
      <c r="J9" s="5">
        <f>averageCompletionTimePorter(Dates!J$8,Dates!J$9,'Day3'!$B9)</f>
        <v>0</v>
      </c>
      <c r="K9" s="5">
        <f>averageCompletionTimePorter(Dates!K$8,Dates!K$9,'Day3'!$B9)</f>
        <v>0</v>
      </c>
      <c r="L9" s="5">
        <f>averageCompletionTimePorter(Dates!L$8,Dates!L$9,'Day3'!$B9)</f>
        <v>0</v>
      </c>
      <c r="M9" s="5">
        <f>averageCompletionTimePorter(Dates!M$8,Dates!M$9,'Day3'!$B9)</f>
        <v>0</v>
      </c>
      <c r="N9" s="5">
        <f>averageCompletionTimePorter(Dates!N$8,Dates!N$9,'Day3'!$B9)</f>
        <v>0</v>
      </c>
      <c r="O9" s="5">
        <f>averageCompletionTimePorter(Dates!O$8,Dates!O$9,'Day3'!$B9)</f>
        <v>0</v>
      </c>
      <c r="P9" s="5">
        <f>averageCompletionTimePorter(Dates!P$8,Dates!P$9,'Day3'!$B9)</f>
        <v>0</v>
      </c>
      <c r="Q9" s="5">
        <f>averageCompletionTimePorter(Dates!Q$8,Dates!Q$9,'Day3'!$B9)</f>
        <v>0</v>
      </c>
      <c r="R9" s="5">
        <f>averageCompletionTimePorter(Dates!R$8,Dates!R$9,'Day3'!$B9)</f>
        <v>0</v>
      </c>
      <c r="S9" s="5">
        <f>averageCompletionTimePorter(Dates!S$8,Dates!S$9,'Day3'!$B9)</f>
        <v>0</v>
      </c>
      <c r="T9" s="5">
        <f>averageCompletionTimePorter(Dates!T$8,Dates!T$9,'Day3'!$B9)</f>
        <v>0</v>
      </c>
      <c r="U9" s="5">
        <f>averageCompletionTimePorter(Dates!$C$8,Dates!$T$9,'Day3'!$B9)</f>
        <v>0</v>
      </c>
    </row>
    <row r="10" spans="1:21" x14ac:dyDescent="0.3">
      <c r="A10" s="6"/>
      <c r="B10" s="8" t="s">
        <v>69</v>
      </c>
      <c r="C10" s="5">
        <f>averageCompletionTimePorter(Dates!C$8,Dates!C$9,'Day3'!$B10)</f>
        <v>0</v>
      </c>
      <c r="D10" s="5">
        <f>averageCompletionTimePorter(Dates!D$8,Dates!D$9,'Day3'!$B10)</f>
        <v>0</v>
      </c>
      <c r="E10" s="5">
        <f>averageCompletionTimePorter(Dates!E$8,Dates!E$9,'Day3'!$B10)</f>
        <v>0</v>
      </c>
      <c r="F10" s="5">
        <f>averageCompletionTimePorter(Dates!F$8,Dates!F$9,'Day3'!$B10)</f>
        <v>0</v>
      </c>
      <c r="G10" s="5">
        <f>averageCompletionTimePorter(Dates!G$8,Dates!G$9,'Day3'!$B10)</f>
        <v>0</v>
      </c>
      <c r="H10" s="5">
        <f>averageCompletionTimePorter(Dates!H$8,Dates!H$9,'Day3'!$B10)</f>
        <v>0</v>
      </c>
      <c r="I10" s="5">
        <f>averageCompletionTimePorter(Dates!I$8,Dates!I$9,'Day3'!$B10)</f>
        <v>0</v>
      </c>
      <c r="J10" s="5">
        <f>averageCompletionTimePorter(Dates!J$8,Dates!J$9,'Day3'!$B10)</f>
        <v>0</v>
      </c>
      <c r="K10" s="5">
        <f>averageCompletionTimePorter(Dates!K$8,Dates!K$9,'Day3'!$B10)</f>
        <v>0</v>
      </c>
      <c r="L10" s="5">
        <f>averageCompletionTimePorter(Dates!L$8,Dates!L$9,'Day3'!$B10)</f>
        <v>0</v>
      </c>
      <c r="M10" s="5">
        <f>averageCompletionTimePorter(Dates!M$8,Dates!M$9,'Day3'!$B10)</f>
        <v>0</v>
      </c>
      <c r="N10" s="5">
        <f>averageCompletionTimePorter(Dates!N$8,Dates!N$9,'Day3'!$B10)</f>
        <v>0</v>
      </c>
      <c r="O10" s="5">
        <f>averageCompletionTimePorter(Dates!O$8,Dates!O$9,'Day3'!$B10)</f>
        <v>0</v>
      </c>
      <c r="P10" s="5">
        <f>averageCompletionTimePorter(Dates!P$8,Dates!P$9,'Day3'!$B10)</f>
        <v>0</v>
      </c>
      <c r="Q10" s="5">
        <f>averageCompletionTimePorter(Dates!Q$8,Dates!Q$9,'Day3'!$B10)</f>
        <v>0</v>
      </c>
      <c r="R10" s="5">
        <f>averageCompletionTimePorter(Dates!R$8,Dates!R$9,'Day3'!$B10)</f>
        <v>0</v>
      </c>
      <c r="S10" s="5">
        <f>averageCompletionTimePorter(Dates!S$8,Dates!S$9,'Day3'!$B10)</f>
        <v>0</v>
      </c>
      <c r="T10" s="5">
        <f>averageCompletionTimePorter(Dates!T$8,Dates!T$9,'Day3'!$B10)</f>
        <v>0</v>
      </c>
      <c r="U10" s="5">
        <f>averageCompletionTimePorter(Dates!$C$8,Dates!$T$9,'Day3'!$B10)</f>
        <v>0</v>
      </c>
    </row>
    <row r="11" spans="1:21" x14ac:dyDescent="0.3">
      <c r="A11" s="6"/>
      <c r="B11" s="8" t="s">
        <v>70</v>
      </c>
      <c r="C11" s="5">
        <f>averageCompletionTimePorter(Dates!C$8,Dates!C$9,'Day3'!$B11)</f>
        <v>0</v>
      </c>
      <c r="D11" s="5">
        <f>averageCompletionTimePorter(Dates!D$8,Dates!D$9,'Day3'!$B11)</f>
        <v>0</v>
      </c>
      <c r="E11" s="5">
        <f>averageCompletionTimePorter(Dates!E$8,Dates!E$9,'Day3'!$B11)</f>
        <v>0</v>
      </c>
      <c r="F11" s="5">
        <f>averageCompletionTimePorter(Dates!F$8,Dates!F$9,'Day3'!$B11)</f>
        <v>0</v>
      </c>
      <c r="G11" s="5">
        <f>averageCompletionTimePorter(Dates!G$8,Dates!G$9,'Day3'!$B11)</f>
        <v>0</v>
      </c>
      <c r="H11" s="5">
        <f>averageCompletionTimePorter(Dates!H$8,Dates!H$9,'Day3'!$B11)</f>
        <v>0</v>
      </c>
      <c r="I11" s="5">
        <f>averageCompletionTimePorter(Dates!I$8,Dates!I$9,'Day3'!$B11)</f>
        <v>0</v>
      </c>
      <c r="J11" s="5">
        <f>averageCompletionTimePorter(Dates!J$8,Dates!J$9,'Day3'!$B11)</f>
        <v>0</v>
      </c>
      <c r="K11" s="5">
        <f>averageCompletionTimePorter(Dates!K$8,Dates!K$9,'Day3'!$B11)</f>
        <v>0</v>
      </c>
      <c r="L11" s="5">
        <f>averageCompletionTimePorter(Dates!L$8,Dates!L$9,'Day3'!$B11)</f>
        <v>0</v>
      </c>
      <c r="M11" s="5">
        <f>averageCompletionTimePorter(Dates!M$8,Dates!M$9,'Day3'!$B11)</f>
        <v>0</v>
      </c>
      <c r="N11" s="5">
        <f>averageCompletionTimePorter(Dates!N$8,Dates!N$9,'Day3'!$B11)</f>
        <v>0</v>
      </c>
      <c r="O11" s="5">
        <f>averageCompletionTimePorter(Dates!O$8,Dates!O$9,'Day3'!$B11)</f>
        <v>0</v>
      </c>
      <c r="P11" s="5">
        <f>averageCompletionTimePorter(Dates!P$8,Dates!P$9,'Day3'!$B11)</f>
        <v>0</v>
      </c>
      <c r="Q11" s="5">
        <f>averageCompletionTimePorter(Dates!Q$8,Dates!Q$9,'Day3'!$B11)</f>
        <v>0</v>
      </c>
      <c r="R11" s="5">
        <f>averageCompletionTimePorter(Dates!R$8,Dates!R$9,'Day3'!$B11)</f>
        <v>0</v>
      </c>
      <c r="S11" s="5">
        <f>averageCompletionTimePorter(Dates!S$8,Dates!S$9,'Day3'!$B11)</f>
        <v>0</v>
      </c>
      <c r="T11" s="5">
        <f>averageCompletionTimePorter(Dates!T$8,Dates!T$9,'Day3'!$B11)</f>
        <v>0</v>
      </c>
      <c r="U11" s="5">
        <f>averageCompletionTimePorter(Dates!$C$8,Dates!$T$9,'Day3'!$B11)</f>
        <v>0</v>
      </c>
    </row>
    <row r="12" spans="1:21" x14ac:dyDescent="0.3">
      <c r="A12" s="6"/>
      <c r="B12" s="8" t="s">
        <v>61</v>
      </c>
      <c r="C12" s="5">
        <f>averageCompletionTimePorter(Dates!C$8,Dates!C$9,'Day3'!$B12)</f>
        <v>0</v>
      </c>
      <c r="D12" s="5">
        <f>averageCompletionTimePorter(Dates!D$8,Dates!D$9,'Day3'!$B12)</f>
        <v>0</v>
      </c>
      <c r="E12" s="5">
        <f>averageCompletionTimePorter(Dates!E$8,Dates!E$9,'Day3'!$B12)</f>
        <v>0</v>
      </c>
      <c r="F12" s="5">
        <f>averageCompletionTimePorter(Dates!F$8,Dates!F$9,'Day3'!$B12)</f>
        <v>0</v>
      </c>
      <c r="G12" s="5">
        <f>averageCompletionTimePorter(Dates!G$8,Dates!G$9,'Day3'!$B12)</f>
        <v>0</v>
      </c>
      <c r="H12" s="5">
        <f>averageCompletionTimePorter(Dates!H$8,Dates!H$9,'Day3'!$B12)</f>
        <v>0</v>
      </c>
      <c r="I12" s="5">
        <f>averageCompletionTimePorter(Dates!I$8,Dates!I$9,'Day3'!$B12)</f>
        <v>0</v>
      </c>
      <c r="J12" s="5">
        <f>averageCompletionTimePorter(Dates!J$8,Dates!J$9,'Day3'!$B12)</f>
        <v>0</v>
      </c>
      <c r="K12" s="5">
        <f>averageCompletionTimePorter(Dates!K$8,Dates!K$9,'Day3'!$B12)</f>
        <v>0</v>
      </c>
      <c r="L12" s="5">
        <f>averageCompletionTimePorter(Dates!L$8,Dates!L$9,'Day3'!$B12)</f>
        <v>0</v>
      </c>
      <c r="M12" s="5">
        <f>averageCompletionTimePorter(Dates!M$8,Dates!M$9,'Day3'!$B12)</f>
        <v>0</v>
      </c>
      <c r="N12" s="5">
        <f>averageCompletionTimePorter(Dates!N$8,Dates!N$9,'Day3'!$B12)</f>
        <v>0</v>
      </c>
      <c r="O12" s="5">
        <f>averageCompletionTimePorter(Dates!O$8,Dates!O$9,'Day3'!$B12)</f>
        <v>0</v>
      </c>
      <c r="P12" s="5">
        <f>averageCompletionTimePorter(Dates!P$8,Dates!P$9,'Day3'!$B12)</f>
        <v>0</v>
      </c>
      <c r="Q12" s="5">
        <f>averageCompletionTimePorter(Dates!Q$8,Dates!Q$9,'Day3'!$B12)</f>
        <v>0</v>
      </c>
      <c r="R12" s="5">
        <f>averageCompletionTimePorter(Dates!R$8,Dates!R$9,'Day3'!$B12)</f>
        <v>0</v>
      </c>
      <c r="S12" s="5">
        <f>averageCompletionTimePorter(Dates!S$8,Dates!S$9,'Day3'!$B12)</f>
        <v>0</v>
      </c>
      <c r="T12" s="5">
        <f>averageCompletionTimePorter(Dates!T$8,Dates!T$9,'Day3'!$B12)</f>
        <v>0</v>
      </c>
      <c r="U12" s="5">
        <f>averageCompletionTimePorter(Dates!$C$8,Dates!$T$9,'Day3'!$B12)</f>
        <v>0</v>
      </c>
    </row>
    <row r="13" spans="1:21" x14ac:dyDescent="0.3">
      <c r="A13" s="6"/>
      <c r="B13" s="8" t="s">
        <v>28</v>
      </c>
      <c r="C13" s="5">
        <f>averageCompletionTimePorter(Dates!C$8,Dates!C$9,'Day3'!$B13)</f>
        <v>0</v>
      </c>
      <c r="D13" s="5">
        <f>averageCompletionTimePorter(Dates!D$8,Dates!D$9,'Day3'!$B13)</f>
        <v>0</v>
      </c>
      <c r="E13" s="5">
        <f>averageCompletionTimePorter(Dates!E$8,Dates!E$9,'Day3'!$B13)</f>
        <v>0</v>
      </c>
      <c r="F13" s="5">
        <f>averageCompletionTimePorter(Dates!F$8,Dates!F$9,'Day3'!$B13)</f>
        <v>0</v>
      </c>
      <c r="G13" s="5">
        <f>averageCompletionTimePorter(Dates!G$8,Dates!G$9,'Day3'!$B13)</f>
        <v>0</v>
      </c>
      <c r="H13" s="5">
        <f>averageCompletionTimePorter(Dates!H$8,Dates!H$9,'Day3'!$B13)</f>
        <v>0</v>
      </c>
      <c r="I13" s="5">
        <f>averageCompletionTimePorter(Dates!I$8,Dates!I$9,'Day3'!$B13)</f>
        <v>0</v>
      </c>
      <c r="J13" s="5">
        <f>averageCompletionTimePorter(Dates!J$8,Dates!J$9,'Day3'!$B13)</f>
        <v>0</v>
      </c>
      <c r="K13" s="5">
        <f>averageCompletionTimePorter(Dates!K$8,Dates!K$9,'Day3'!$B13)</f>
        <v>0</v>
      </c>
      <c r="L13" s="5">
        <f>averageCompletionTimePorter(Dates!L$8,Dates!L$9,'Day3'!$B13)</f>
        <v>0</v>
      </c>
      <c r="M13" s="5">
        <f>averageCompletionTimePorter(Dates!M$8,Dates!M$9,'Day3'!$B13)</f>
        <v>0</v>
      </c>
      <c r="N13" s="5">
        <f>averageCompletionTimePorter(Dates!N$8,Dates!N$9,'Day3'!$B13)</f>
        <v>0</v>
      </c>
      <c r="O13" s="5">
        <f>averageCompletionTimePorter(Dates!O$8,Dates!O$9,'Day3'!$B13)</f>
        <v>0</v>
      </c>
      <c r="P13" s="5">
        <f>averageCompletionTimePorter(Dates!P$8,Dates!P$9,'Day3'!$B13)</f>
        <v>0</v>
      </c>
      <c r="Q13" s="5">
        <f>averageCompletionTimePorter(Dates!Q$8,Dates!Q$9,'Day3'!$B13)</f>
        <v>0</v>
      </c>
      <c r="R13" s="5">
        <f>averageCompletionTimePorter(Dates!R$8,Dates!R$9,'Day3'!$B13)</f>
        <v>0</v>
      </c>
      <c r="S13" s="5">
        <f>averageCompletionTimePorter(Dates!S$8,Dates!S$9,'Day3'!$B13)</f>
        <v>0</v>
      </c>
      <c r="T13" s="5">
        <f>averageCompletionTimePorter(Dates!T$8,Dates!T$9,'Day3'!$B13)</f>
        <v>0</v>
      </c>
      <c r="U13" s="5">
        <f>averageCompletionTimePorter(Dates!$C$8,Dates!$T$9,'Day3'!$B13)</f>
        <v>0</v>
      </c>
    </row>
    <row r="14" spans="1:21" x14ac:dyDescent="0.3">
      <c r="B14" s="8" t="s">
        <v>13</v>
      </c>
      <c r="C14" s="5">
        <f>averageCompletionTimePorter(Dates!C$8,Dates!C$9,'Day3'!$B14)</f>
        <v>0</v>
      </c>
      <c r="D14" s="5">
        <f>averageCompletionTimePorter(Dates!D$8,Dates!D$9,'Day3'!$B14)</f>
        <v>0</v>
      </c>
      <c r="E14" s="5">
        <f>averageCompletionTimePorter(Dates!E$8,Dates!E$9,'Day3'!$B14)</f>
        <v>0</v>
      </c>
      <c r="F14" s="5">
        <f>averageCompletionTimePorter(Dates!F$8,Dates!F$9,'Day3'!$B14)</f>
        <v>0</v>
      </c>
      <c r="G14" s="5">
        <f>averageCompletionTimePorter(Dates!G$8,Dates!G$9,'Day3'!$B14)</f>
        <v>0</v>
      </c>
      <c r="H14" s="5">
        <f>averageCompletionTimePorter(Dates!H$8,Dates!H$9,'Day3'!$B14)</f>
        <v>0</v>
      </c>
      <c r="I14" s="5">
        <f>averageCompletionTimePorter(Dates!I$8,Dates!I$9,'Day3'!$B14)</f>
        <v>0</v>
      </c>
      <c r="J14" s="5">
        <f>averageCompletionTimePorter(Dates!J$8,Dates!J$9,'Day3'!$B14)</f>
        <v>0</v>
      </c>
      <c r="K14" s="5">
        <f>averageCompletionTimePorter(Dates!K$8,Dates!K$9,'Day3'!$B14)</f>
        <v>0</v>
      </c>
      <c r="L14" s="5">
        <f>averageCompletionTimePorter(Dates!L$8,Dates!L$9,'Day3'!$B14)</f>
        <v>0</v>
      </c>
      <c r="M14" s="5">
        <f>averageCompletionTimePorter(Dates!M$8,Dates!M$9,'Day3'!$B14)</f>
        <v>0</v>
      </c>
      <c r="N14" s="5">
        <f>averageCompletionTimePorter(Dates!N$8,Dates!N$9,'Day3'!$B14)</f>
        <v>0</v>
      </c>
      <c r="O14" s="5">
        <f>averageCompletionTimePorter(Dates!O$8,Dates!O$9,'Day3'!$B14)</f>
        <v>0</v>
      </c>
      <c r="P14" s="5">
        <f>averageCompletionTimePorter(Dates!P$8,Dates!P$9,'Day3'!$B14)</f>
        <v>0</v>
      </c>
      <c r="Q14" s="5">
        <f>averageCompletionTimePorter(Dates!Q$8,Dates!Q$9,'Day3'!$B14)</f>
        <v>0</v>
      </c>
      <c r="R14" s="5">
        <f>averageCompletionTimePorter(Dates!R$8,Dates!R$9,'Day3'!$B14)</f>
        <v>0</v>
      </c>
      <c r="S14" s="5">
        <f>averageCompletionTimePorter(Dates!S$8,Dates!S$9,'Day3'!$B14)</f>
        <v>0</v>
      </c>
      <c r="T14" s="5">
        <f>averageCompletionTimePorter(Dates!T$8,Dates!T$9,'Day3'!$B14)</f>
        <v>0</v>
      </c>
      <c r="U14" s="5">
        <f>averageCompletionTimePorter(Dates!$C$8,Dates!$T$9,'Day3'!$B14)</f>
        <v>0</v>
      </c>
    </row>
    <row r="15" spans="1:21" x14ac:dyDescent="0.3">
      <c r="B15" s="8" t="s">
        <v>14</v>
      </c>
      <c r="C15" s="5">
        <f>averageCompletionTimePorter(Dates!C$8,Dates!C$9,'Day3'!$B15)</f>
        <v>0</v>
      </c>
      <c r="D15" s="5">
        <f>averageCompletionTimePorter(Dates!D$8,Dates!D$9,'Day3'!$B15)</f>
        <v>0</v>
      </c>
      <c r="E15" s="5">
        <f>averageCompletionTimePorter(Dates!E$8,Dates!E$9,'Day3'!$B15)</f>
        <v>0</v>
      </c>
      <c r="F15" s="5">
        <f>averageCompletionTimePorter(Dates!F$8,Dates!F$9,'Day3'!$B15)</f>
        <v>0</v>
      </c>
      <c r="G15" s="5">
        <f>averageCompletionTimePorter(Dates!G$8,Dates!G$9,'Day3'!$B15)</f>
        <v>0</v>
      </c>
      <c r="H15" s="5">
        <f>averageCompletionTimePorter(Dates!H$8,Dates!H$9,'Day3'!$B15)</f>
        <v>0</v>
      </c>
      <c r="I15" s="5">
        <f>averageCompletionTimePorter(Dates!I$8,Dates!I$9,'Day3'!$B15)</f>
        <v>0</v>
      </c>
      <c r="J15" s="5">
        <f>averageCompletionTimePorter(Dates!J$8,Dates!J$9,'Day3'!$B15)</f>
        <v>0</v>
      </c>
      <c r="K15" s="5">
        <f>averageCompletionTimePorter(Dates!K$8,Dates!K$9,'Day3'!$B15)</f>
        <v>0</v>
      </c>
      <c r="L15" s="5">
        <f>averageCompletionTimePorter(Dates!L$8,Dates!L$9,'Day3'!$B15)</f>
        <v>0</v>
      </c>
      <c r="M15" s="5">
        <f>averageCompletionTimePorter(Dates!M$8,Dates!M$9,'Day3'!$B15)</f>
        <v>0</v>
      </c>
      <c r="N15" s="5">
        <f>averageCompletionTimePorter(Dates!N$8,Dates!N$9,'Day3'!$B15)</f>
        <v>0</v>
      </c>
      <c r="O15" s="5">
        <f>averageCompletionTimePorter(Dates!O$8,Dates!O$9,'Day3'!$B15)</f>
        <v>0</v>
      </c>
      <c r="P15" s="5">
        <f>averageCompletionTimePorter(Dates!P$8,Dates!P$9,'Day3'!$B15)</f>
        <v>0</v>
      </c>
      <c r="Q15" s="5">
        <f>averageCompletionTimePorter(Dates!Q$8,Dates!Q$9,'Day3'!$B15)</f>
        <v>0</v>
      </c>
      <c r="R15" s="5">
        <f>averageCompletionTimePorter(Dates!R$8,Dates!R$9,'Day3'!$B15)</f>
        <v>0</v>
      </c>
      <c r="S15" s="5">
        <f>averageCompletionTimePorter(Dates!S$8,Dates!S$9,'Day3'!$B15)</f>
        <v>0</v>
      </c>
      <c r="T15" s="5">
        <f>averageCompletionTimePorter(Dates!T$8,Dates!T$9,'Day3'!$B15)</f>
        <v>0</v>
      </c>
      <c r="U15" s="5">
        <f>averageCompletionTimePorter(Dates!$C$8,Dates!$T$9,'Day3'!$B15)</f>
        <v>0</v>
      </c>
    </row>
    <row r="16" spans="1:21" x14ac:dyDescent="0.3">
      <c r="B16" s="8" t="s">
        <v>15</v>
      </c>
      <c r="C16" s="5">
        <f>averageCompletionTimePorter(Dates!C$8,Dates!C$9,'Day3'!$B16)</f>
        <v>0</v>
      </c>
      <c r="D16" s="5">
        <f>averageCompletionTimePorter(Dates!D$8,Dates!D$9,'Day3'!$B16)</f>
        <v>0</v>
      </c>
      <c r="E16" s="5">
        <f>averageCompletionTimePorter(Dates!E$8,Dates!E$9,'Day3'!$B16)</f>
        <v>0</v>
      </c>
      <c r="F16" s="5">
        <f>averageCompletionTimePorter(Dates!F$8,Dates!F$9,'Day3'!$B16)</f>
        <v>0</v>
      </c>
      <c r="G16" s="5">
        <f>averageCompletionTimePorter(Dates!G$8,Dates!G$9,'Day3'!$B16)</f>
        <v>0</v>
      </c>
      <c r="H16" s="5">
        <f>averageCompletionTimePorter(Dates!H$8,Dates!H$9,'Day3'!$B16)</f>
        <v>0</v>
      </c>
      <c r="I16" s="5">
        <f>averageCompletionTimePorter(Dates!I$8,Dates!I$9,'Day3'!$B16)</f>
        <v>0</v>
      </c>
      <c r="J16" s="5">
        <f>averageCompletionTimePorter(Dates!J$8,Dates!J$9,'Day3'!$B16)</f>
        <v>0</v>
      </c>
      <c r="K16" s="5">
        <f>averageCompletionTimePorter(Dates!K$8,Dates!K$9,'Day3'!$B16)</f>
        <v>0</v>
      </c>
      <c r="L16" s="5">
        <f>averageCompletionTimePorter(Dates!L$8,Dates!L$9,'Day3'!$B16)</f>
        <v>0</v>
      </c>
      <c r="M16" s="5">
        <f>averageCompletionTimePorter(Dates!M$8,Dates!M$9,'Day3'!$B16)</f>
        <v>0</v>
      </c>
      <c r="N16" s="5">
        <f>averageCompletionTimePorter(Dates!N$8,Dates!N$9,'Day3'!$B16)</f>
        <v>0</v>
      </c>
      <c r="O16" s="5">
        <f>averageCompletionTimePorter(Dates!O$8,Dates!O$9,'Day3'!$B16)</f>
        <v>0</v>
      </c>
      <c r="P16" s="5">
        <f>averageCompletionTimePorter(Dates!P$8,Dates!P$9,'Day3'!$B16)</f>
        <v>0</v>
      </c>
      <c r="Q16" s="5">
        <f>averageCompletionTimePorter(Dates!Q$8,Dates!Q$9,'Day3'!$B16)</f>
        <v>0</v>
      </c>
      <c r="R16" s="5">
        <f>averageCompletionTimePorter(Dates!R$8,Dates!R$9,'Day3'!$B16)</f>
        <v>0</v>
      </c>
      <c r="S16" s="5">
        <f>averageCompletionTimePorter(Dates!S$8,Dates!S$9,'Day3'!$B16)</f>
        <v>0</v>
      </c>
      <c r="T16" s="5">
        <f>averageCompletionTimePorter(Dates!T$8,Dates!T$9,'Day3'!$B16)</f>
        <v>0</v>
      </c>
      <c r="U16" s="5">
        <f>averageCompletionTimePorter(Dates!$C$8,Dates!$T$9,'Day3'!$B16)</f>
        <v>0</v>
      </c>
    </row>
    <row r="17" spans="2:21" x14ac:dyDescent="0.3">
      <c r="B17" s="8" t="s">
        <v>16</v>
      </c>
      <c r="C17" s="5">
        <f>averageCompletionTimePorter(Dates!C$8,Dates!C$9,'Day3'!$B17)</f>
        <v>0</v>
      </c>
      <c r="D17" s="5">
        <f>averageCompletionTimePorter(Dates!D$8,Dates!D$9,'Day3'!$B17)</f>
        <v>0</v>
      </c>
      <c r="E17" s="5">
        <f>averageCompletionTimePorter(Dates!E$8,Dates!E$9,'Day3'!$B17)</f>
        <v>0</v>
      </c>
      <c r="F17" s="5">
        <f>averageCompletionTimePorter(Dates!F$8,Dates!F$9,'Day3'!$B17)</f>
        <v>0</v>
      </c>
      <c r="G17" s="5">
        <f>averageCompletionTimePorter(Dates!G$8,Dates!G$9,'Day3'!$B17)</f>
        <v>0</v>
      </c>
      <c r="H17" s="5">
        <f>averageCompletionTimePorter(Dates!H$8,Dates!H$9,'Day3'!$B17)</f>
        <v>0</v>
      </c>
      <c r="I17" s="5">
        <f>averageCompletionTimePorter(Dates!I$8,Dates!I$9,'Day3'!$B17)</f>
        <v>0</v>
      </c>
      <c r="J17" s="5">
        <f>averageCompletionTimePorter(Dates!J$8,Dates!J$9,'Day3'!$B17)</f>
        <v>0</v>
      </c>
      <c r="K17" s="5">
        <f>averageCompletionTimePorter(Dates!K$8,Dates!K$9,'Day3'!$B17)</f>
        <v>0</v>
      </c>
      <c r="L17" s="5">
        <f>averageCompletionTimePorter(Dates!L$8,Dates!L$9,'Day3'!$B17)</f>
        <v>0</v>
      </c>
      <c r="M17" s="5">
        <f>averageCompletionTimePorter(Dates!M$8,Dates!M$9,'Day3'!$B17)</f>
        <v>0</v>
      </c>
      <c r="N17" s="5">
        <f>averageCompletionTimePorter(Dates!N$8,Dates!N$9,'Day3'!$B17)</f>
        <v>0</v>
      </c>
      <c r="O17" s="5">
        <f>averageCompletionTimePorter(Dates!O$8,Dates!O$9,'Day3'!$B17)</f>
        <v>0</v>
      </c>
      <c r="P17" s="5">
        <f>averageCompletionTimePorter(Dates!P$8,Dates!P$9,'Day3'!$B17)</f>
        <v>0</v>
      </c>
      <c r="Q17" s="5">
        <f>averageCompletionTimePorter(Dates!Q$8,Dates!Q$9,'Day3'!$B17)</f>
        <v>0</v>
      </c>
      <c r="R17" s="5">
        <f>averageCompletionTimePorter(Dates!R$8,Dates!R$9,'Day3'!$B17)</f>
        <v>0</v>
      </c>
      <c r="S17" s="5">
        <f>averageCompletionTimePorter(Dates!S$8,Dates!S$9,'Day3'!$B17)</f>
        <v>0</v>
      </c>
      <c r="T17" s="5">
        <f>averageCompletionTimePorter(Dates!T$8,Dates!T$9,'Day3'!$B17)</f>
        <v>0</v>
      </c>
      <c r="U17" s="5">
        <f>averageCompletionTimePorter(Dates!$C$8,Dates!$T$9,'Day3'!$B17)</f>
        <v>0</v>
      </c>
    </row>
    <row r="18" spans="2:21" x14ac:dyDescent="0.3">
      <c r="B18" s="8" t="s">
        <v>17</v>
      </c>
      <c r="C18" s="5">
        <f>averageCompletionTimePorter(Dates!C$8,Dates!C$9,'Day3'!$B18)</f>
        <v>0</v>
      </c>
      <c r="D18" s="5">
        <f>averageCompletionTimePorter(Dates!D$8,Dates!D$9,'Day3'!$B18)</f>
        <v>0</v>
      </c>
      <c r="E18" s="5">
        <f>averageCompletionTimePorter(Dates!E$8,Dates!E$9,'Day3'!$B18)</f>
        <v>0</v>
      </c>
      <c r="F18" s="5">
        <f>averageCompletionTimePorter(Dates!F$8,Dates!F$9,'Day3'!$B18)</f>
        <v>0</v>
      </c>
      <c r="G18" s="5">
        <f>averageCompletionTimePorter(Dates!G$8,Dates!G$9,'Day3'!$B18)</f>
        <v>0</v>
      </c>
      <c r="H18" s="5">
        <f>averageCompletionTimePorter(Dates!H$8,Dates!H$9,'Day3'!$B18)</f>
        <v>0</v>
      </c>
      <c r="I18" s="5">
        <f>averageCompletionTimePorter(Dates!I$8,Dates!I$9,'Day3'!$B18)</f>
        <v>0</v>
      </c>
      <c r="J18" s="5">
        <f>averageCompletionTimePorter(Dates!J$8,Dates!J$9,'Day3'!$B18)</f>
        <v>0</v>
      </c>
      <c r="K18" s="5">
        <f>averageCompletionTimePorter(Dates!K$8,Dates!K$9,'Day3'!$B18)</f>
        <v>0</v>
      </c>
      <c r="L18" s="5">
        <f>averageCompletionTimePorter(Dates!L$8,Dates!L$9,'Day3'!$B18)</f>
        <v>0</v>
      </c>
      <c r="M18" s="5">
        <f>averageCompletionTimePorter(Dates!M$8,Dates!M$9,'Day3'!$B18)</f>
        <v>0</v>
      </c>
      <c r="N18" s="5">
        <f>averageCompletionTimePorter(Dates!N$8,Dates!N$9,'Day3'!$B18)</f>
        <v>0</v>
      </c>
      <c r="O18" s="5">
        <f>averageCompletionTimePorter(Dates!O$8,Dates!O$9,'Day3'!$B18)</f>
        <v>0</v>
      </c>
      <c r="P18" s="5">
        <f>averageCompletionTimePorter(Dates!P$8,Dates!P$9,'Day3'!$B18)</f>
        <v>0</v>
      </c>
      <c r="Q18" s="5">
        <f>averageCompletionTimePorter(Dates!Q$8,Dates!Q$9,'Day3'!$B18)</f>
        <v>0</v>
      </c>
      <c r="R18" s="5">
        <f>averageCompletionTimePorter(Dates!R$8,Dates!R$9,'Day3'!$B18)</f>
        <v>0</v>
      </c>
      <c r="S18" s="5">
        <f>averageCompletionTimePorter(Dates!S$8,Dates!S$9,'Day3'!$B18)</f>
        <v>0</v>
      </c>
      <c r="T18" s="5">
        <f>averageCompletionTimePorter(Dates!T$8,Dates!T$9,'Day3'!$B18)</f>
        <v>0</v>
      </c>
      <c r="U18" s="5">
        <f>averageCompletionTimePorter(Dates!$C$8,Dates!$T$9,'Day3'!$B18)</f>
        <v>0</v>
      </c>
    </row>
    <row r="19" spans="2:21" x14ac:dyDescent="0.3">
      <c r="B19" s="8" t="s">
        <v>18</v>
      </c>
      <c r="C19" s="5">
        <f>averageCompletionTimePorter(Dates!C$8,Dates!C$9,'Day3'!$B19)</f>
        <v>0</v>
      </c>
      <c r="D19" s="5">
        <f>averageCompletionTimePorter(Dates!D$8,Dates!D$9,'Day3'!$B19)</f>
        <v>0</v>
      </c>
      <c r="E19" s="5">
        <f>averageCompletionTimePorter(Dates!E$8,Dates!E$9,'Day3'!$B19)</f>
        <v>0</v>
      </c>
      <c r="F19" s="5">
        <f>averageCompletionTimePorter(Dates!F$8,Dates!F$9,'Day3'!$B19)</f>
        <v>0</v>
      </c>
      <c r="G19" s="5">
        <f>averageCompletionTimePorter(Dates!G$8,Dates!G$9,'Day3'!$B19)</f>
        <v>0</v>
      </c>
      <c r="H19" s="5">
        <f>averageCompletionTimePorter(Dates!H$8,Dates!H$9,'Day3'!$B19)</f>
        <v>0</v>
      </c>
      <c r="I19" s="5">
        <f>averageCompletionTimePorter(Dates!I$8,Dates!I$9,'Day3'!$B19)</f>
        <v>0</v>
      </c>
      <c r="J19" s="5">
        <f>averageCompletionTimePorter(Dates!J$8,Dates!J$9,'Day3'!$B19)</f>
        <v>0</v>
      </c>
      <c r="K19" s="5">
        <f>averageCompletionTimePorter(Dates!K$8,Dates!K$9,'Day3'!$B19)</f>
        <v>0</v>
      </c>
      <c r="L19" s="5">
        <f>averageCompletionTimePorter(Dates!L$8,Dates!L$9,'Day3'!$B19)</f>
        <v>0</v>
      </c>
      <c r="M19" s="5">
        <f>averageCompletionTimePorter(Dates!M$8,Dates!M$9,'Day3'!$B19)</f>
        <v>0</v>
      </c>
      <c r="N19" s="5">
        <f>averageCompletionTimePorter(Dates!N$8,Dates!N$9,'Day3'!$B19)</f>
        <v>0</v>
      </c>
      <c r="O19" s="5">
        <f>averageCompletionTimePorter(Dates!O$8,Dates!O$9,'Day3'!$B19)</f>
        <v>0</v>
      </c>
      <c r="P19" s="5">
        <f>averageCompletionTimePorter(Dates!P$8,Dates!P$9,'Day3'!$B19)</f>
        <v>0</v>
      </c>
      <c r="Q19" s="5">
        <f>averageCompletionTimePorter(Dates!Q$8,Dates!Q$9,'Day3'!$B19)</f>
        <v>0</v>
      </c>
      <c r="R19" s="5">
        <f>averageCompletionTimePorter(Dates!R$8,Dates!R$9,'Day3'!$B19)</f>
        <v>0</v>
      </c>
      <c r="S19" s="5">
        <f>averageCompletionTimePorter(Dates!S$8,Dates!S$9,'Day3'!$B19)</f>
        <v>0</v>
      </c>
      <c r="T19" s="5">
        <f>averageCompletionTimePorter(Dates!T$8,Dates!T$9,'Day3'!$B19)</f>
        <v>0</v>
      </c>
      <c r="U19" s="5">
        <f>averageCompletionTimePorter(Dates!$C$8,Dates!$T$9,'Day3'!$B19)</f>
        <v>0</v>
      </c>
    </row>
    <row r="20" spans="2:21" x14ac:dyDescent="0.3">
      <c r="B20" s="8" t="s">
        <v>19</v>
      </c>
      <c r="C20" s="5">
        <f>averageCompletionTimePorter(Dates!C$8,Dates!C$9,'Day3'!$B20)</f>
        <v>0</v>
      </c>
      <c r="D20" s="5">
        <f>averageCompletionTimePorter(Dates!D$8,Dates!D$9,'Day3'!$B20)</f>
        <v>0</v>
      </c>
      <c r="E20" s="5">
        <f>averageCompletionTimePorter(Dates!E$8,Dates!E$9,'Day3'!$B20)</f>
        <v>0</v>
      </c>
      <c r="F20" s="5">
        <f>averageCompletionTimePorter(Dates!F$8,Dates!F$9,'Day3'!$B20)</f>
        <v>0</v>
      </c>
      <c r="G20" s="5">
        <f>averageCompletionTimePorter(Dates!G$8,Dates!G$9,'Day3'!$B20)</f>
        <v>0</v>
      </c>
      <c r="H20" s="5">
        <f>averageCompletionTimePorter(Dates!H$8,Dates!H$9,'Day3'!$B20)</f>
        <v>0</v>
      </c>
      <c r="I20" s="5">
        <f>averageCompletionTimePorter(Dates!I$8,Dates!I$9,'Day3'!$B20)</f>
        <v>0</v>
      </c>
      <c r="J20" s="5">
        <f>averageCompletionTimePorter(Dates!J$8,Dates!J$9,'Day3'!$B20)</f>
        <v>0</v>
      </c>
      <c r="K20" s="5">
        <f>averageCompletionTimePorter(Dates!K$8,Dates!K$9,'Day3'!$B20)</f>
        <v>0</v>
      </c>
      <c r="L20" s="5">
        <f>averageCompletionTimePorter(Dates!L$8,Dates!L$9,'Day3'!$B20)</f>
        <v>0</v>
      </c>
      <c r="M20" s="5">
        <f>averageCompletionTimePorter(Dates!M$8,Dates!M$9,'Day3'!$B20)</f>
        <v>0</v>
      </c>
      <c r="N20" s="5">
        <f>averageCompletionTimePorter(Dates!N$8,Dates!N$9,'Day3'!$B20)</f>
        <v>0</v>
      </c>
      <c r="O20" s="5">
        <f>averageCompletionTimePorter(Dates!O$8,Dates!O$9,'Day3'!$B20)</f>
        <v>0</v>
      </c>
      <c r="P20" s="5">
        <f>averageCompletionTimePorter(Dates!P$8,Dates!P$9,'Day3'!$B20)</f>
        <v>0</v>
      </c>
      <c r="Q20" s="5">
        <f>averageCompletionTimePorter(Dates!Q$8,Dates!Q$9,'Day3'!$B20)</f>
        <v>0</v>
      </c>
      <c r="R20" s="5">
        <f>averageCompletionTimePorter(Dates!R$8,Dates!R$9,'Day3'!$B20)</f>
        <v>0</v>
      </c>
      <c r="S20" s="5">
        <f>averageCompletionTimePorter(Dates!S$8,Dates!S$9,'Day3'!$B20)</f>
        <v>0</v>
      </c>
      <c r="T20" s="5">
        <f>averageCompletionTimePorter(Dates!T$8,Dates!T$9,'Day3'!$B20)</f>
        <v>0</v>
      </c>
      <c r="U20" s="5">
        <f>averageCompletionTimePorter(Dates!$C$8,Dates!$T$9,'Day3'!$B20)</f>
        <v>0</v>
      </c>
    </row>
    <row r="21" spans="2:21" x14ac:dyDescent="0.3">
      <c r="B21" s="8" t="s">
        <v>20</v>
      </c>
      <c r="C21" s="5">
        <f>averageCompletionTimePorter(Dates!C$8,Dates!C$9,'Day3'!$B21)</f>
        <v>0</v>
      </c>
      <c r="D21" s="5">
        <f>averageCompletionTimePorter(Dates!D$8,Dates!D$9,'Day3'!$B21)</f>
        <v>0</v>
      </c>
      <c r="E21" s="5">
        <f>averageCompletionTimePorter(Dates!E$8,Dates!E$9,'Day3'!$B21)</f>
        <v>0</v>
      </c>
      <c r="F21" s="5">
        <f>averageCompletionTimePorter(Dates!F$8,Dates!F$9,'Day3'!$B21)</f>
        <v>0</v>
      </c>
      <c r="G21" s="5">
        <f>averageCompletionTimePorter(Dates!G$8,Dates!G$9,'Day3'!$B21)</f>
        <v>0</v>
      </c>
      <c r="H21" s="5">
        <f>averageCompletionTimePorter(Dates!H$8,Dates!H$9,'Day3'!$B21)</f>
        <v>0</v>
      </c>
      <c r="I21" s="5">
        <f>averageCompletionTimePorter(Dates!I$8,Dates!I$9,'Day3'!$B21)</f>
        <v>0</v>
      </c>
      <c r="J21" s="5">
        <f>averageCompletionTimePorter(Dates!J$8,Dates!J$9,'Day3'!$B21)</f>
        <v>0</v>
      </c>
      <c r="K21" s="5">
        <f>averageCompletionTimePorter(Dates!K$8,Dates!K$9,'Day3'!$B21)</f>
        <v>0</v>
      </c>
      <c r="L21" s="5">
        <f>averageCompletionTimePorter(Dates!L$8,Dates!L$9,'Day3'!$B21)</f>
        <v>0</v>
      </c>
      <c r="M21" s="5">
        <f>averageCompletionTimePorter(Dates!M$8,Dates!M$9,'Day3'!$B21)</f>
        <v>0</v>
      </c>
      <c r="N21" s="5">
        <f>averageCompletionTimePorter(Dates!N$8,Dates!N$9,'Day3'!$B21)</f>
        <v>0</v>
      </c>
      <c r="O21" s="5">
        <f>averageCompletionTimePorter(Dates!O$8,Dates!O$9,'Day3'!$B21)</f>
        <v>0</v>
      </c>
      <c r="P21" s="5">
        <f>averageCompletionTimePorter(Dates!P$8,Dates!P$9,'Day3'!$B21)</f>
        <v>0</v>
      </c>
      <c r="Q21" s="5">
        <f>averageCompletionTimePorter(Dates!Q$8,Dates!Q$9,'Day3'!$B21)</f>
        <v>0</v>
      </c>
      <c r="R21" s="5">
        <f>averageCompletionTimePorter(Dates!R$8,Dates!R$9,'Day3'!$B21)</f>
        <v>0</v>
      </c>
      <c r="S21" s="5">
        <f>averageCompletionTimePorter(Dates!S$8,Dates!S$9,'Day3'!$B21)</f>
        <v>0</v>
      </c>
      <c r="T21" s="5">
        <f>averageCompletionTimePorter(Dates!T$8,Dates!T$9,'Day3'!$B21)</f>
        <v>0</v>
      </c>
      <c r="U21" s="5">
        <f>averageCompletionTimePorter(Dates!$C$8,Dates!$T$9,'Day3'!$B21)</f>
        <v>0</v>
      </c>
    </row>
    <row r="22" spans="2:21" x14ac:dyDescent="0.3">
      <c r="B22" s="8" t="s">
        <v>21</v>
      </c>
      <c r="C22" s="5">
        <f>averageCompletionTimePorter(Dates!C$8,Dates!C$9,'Day3'!$B22)</f>
        <v>0</v>
      </c>
      <c r="D22" s="5">
        <f>averageCompletionTimePorter(Dates!D$8,Dates!D$9,'Day3'!$B22)</f>
        <v>0</v>
      </c>
      <c r="E22" s="5">
        <f>averageCompletionTimePorter(Dates!E$8,Dates!E$9,'Day3'!$B22)</f>
        <v>0</v>
      </c>
      <c r="F22" s="5">
        <f>averageCompletionTimePorter(Dates!F$8,Dates!F$9,'Day3'!$B22)</f>
        <v>0</v>
      </c>
      <c r="G22" s="5">
        <f>averageCompletionTimePorter(Dates!G$8,Dates!G$9,'Day3'!$B22)</f>
        <v>0</v>
      </c>
      <c r="H22" s="5">
        <f>averageCompletionTimePorter(Dates!H$8,Dates!H$9,'Day3'!$B22)</f>
        <v>0</v>
      </c>
      <c r="I22" s="5">
        <f>averageCompletionTimePorter(Dates!I$8,Dates!I$9,'Day3'!$B22)</f>
        <v>0</v>
      </c>
      <c r="J22" s="5">
        <f>averageCompletionTimePorter(Dates!J$8,Dates!J$9,'Day3'!$B22)</f>
        <v>0</v>
      </c>
      <c r="K22" s="5">
        <f>averageCompletionTimePorter(Dates!K$8,Dates!K$9,'Day3'!$B22)</f>
        <v>0</v>
      </c>
      <c r="L22" s="5">
        <f>averageCompletionTimePorter(Dates!L$8,Dates!L$9,'Day3'!$B22)</f>
        <v>0</v>
      </c>
      <c r="M22" s="5">
        <f>averageCompletionTimePorter(Dates!M$8,Dates!M$9,'Day3'!$B22)</f>
        <v>0</v>
      </c>
      <c r="N22" s="5">
        <f>averageCompletionTimePorter(Dates!N$8,Dates!N$9,'Day3'!$B22)</f>
        <v>0</v>
      </c>
      <c r="O22" s="5">
        <f>averageCompletionTimePorter(Dates!O$8,Dates!O$9,'Day3'!$B22)</f>
        <v>0</v>
      </c>
      <c r="P22" s="5">
        <f>averageCompletionTimePorter(Dates!P$8,Dates!P$9,'Day3'!$B22)</f>
        <v>0</v>
      </c>
      <c r="Q22" s="5">
        <f>averageCompletionTimePorter(Dates!Q$8,Dates!Q$9,'Day3'!$B22)</f>
        <v>0</v>
      </c>
      <c r="R22" s="5">
        <f>averageCompletionTimePorter(Dates!R$8,Dates!R$9,'Day3'!$B22)</f>
        <v>0</v>
      </c>
      <c r="S22" s="5">
        <f>averageCompletionTimePorter(Dates!S$8,Dates!S$9,'Day3'!$B22)</f>
        <v>0</v>
      </c>
      <c r="T22" s="5">
        <f>averageCompletionTimePorter(Dates!T$8,Dates!T$9,'Day3'!$B22)</f>
        <v>0</v>
      </c>
      <c r="U22" s="5">
        <f>averageCompletionTimePorter(Dates!$C$8,Dates!$T$9,'Day3'!$B22)</f>
        <v>0</v>
      </c>
    </row>
    <row r="23" spans="2:21" x14ac:dyDescent="0.3">
      <c r="B23" s="8" t="s">
        <v>22</v>
      </c>
      <c r="C23" s="5">
        <f>averageCompletionTimePorter(Dates!C$8,Dates!C$9,'Day3'!$B23)</f>
        <v>0</v>
      </c>
      <c r="D23" s="5">
        <f>averageCompletionTimePorter(Dates!D$8,Dates!D$9,'Day3'!$B23)</f>
        <v>0</v>
      </c>
      <c r="E23" s="5">
        <f>averageCompletionTimePorter(Dates!E$8,Dates!E$9,'Day3'!$B23)</f>
        <v>0</v>
      </c>
      <c r="F23" s="5">
        <f>averageCompletionTimePorter(Dates!F$8,Dates!F$9,'Day3'!$B23)</f>
        <v>0</v>
      </c>
      <c r="G23" s="5">
        <f>averageCompletionTimePorter(Dates!G$8,Dates!G$9,'Day3'!$B23)</f>
        <v>0</v>
      </c>
      <c r="H23" s="5">
        <f>averageCompletionTimePorter(Dates!H$8,Dates!H$9,'Day3'!$B23)</f>
        <v>0</v>
      </c>
      <c r="I23" s="5">
        <f>averageCompletionTimePorter(Dates!I$8,Dates!I$9,'Day3'!$B23)</f>
        <v>0</v>
      </c>
      <c r="J23" s="5">
        <f>averageCompletionTimePorter(Dates!J$8,Dates!J$9,'Day3'!$B23)</f>
        <v>0</v>
      </c>
      <c r="K23" s="5">
        <f>averageCompletionTimePorter(Dates!K$8,Dates!K$9,'Day3'!$B23)</f>
        <v>0</v>
      </c>
      <c r="L23" s="5">
        <f>averageCompletionTimePorter(Dates!L$8,Dates!L$9,'Day3'!$B23)</f>
        <v>0</v>
      </c>
      <c r="M23" s="5">
        <f>averageCompletionTimePorter(Dates!M$8,Dates!M$9,'Day3'!$B23)</f>
        <v>0</v>
      </c>
      <c r="N23" s="5">
        <f>averageCompletionTimePorter(Dates!N$8,Dates!N$9,'Day3'!$B23)</f>
        <v>0</v>
      </c>
      <c r="O23" s="5">
        <f>averageCompletionTimePorter(Dates!O$8,Dates!O$9,'Day3'!$B23)</f>
        <v>0</v>
      </c>
      <c r="P23" s="5">
        <f>averageCompletionTimePorter(Dates!P$8,Dates!P$9,'Day3'!$B23)</f>
        <v>0</v>
      </c>
      <c r="Q23" s="5">
        <f>averageCompletionTimePorter(Dates!Q$8,Dates!Q$9,'Day3'!$B23)</f>
        <v>0</v>
      </c>
      <c r="R23" s="5">
        <f>averageCompletionTimePorter(Dates!R$8,Dates!R$9,'Day3'!$B23)</f>
        <v>0</v>
      </c>
      <c r="S23" s="5">
        <f>averageCompletionTimePorter(Dates!S$8,Dates!S$9,'Day3'!$B23)</f>
        <v>0</v>
      </c>
      <c r="T23" s="5">
        <f>averageCompletionTimePorter(Dates!T$8,Dates!T$9,'Day3'!$B23)</f>
        <v>0</v>
      </c>
      <c r="U23" s="5">
        <f>averageCompletionTimePorter(Dates!$C$8,Dates!$T$9,'Day3'!$B23)</f>
        <v>0</v>
      </c>
    </row>
    <row r="25" spans="2:21" x14ac:dyDescent="0.3">
      <c r="B25" s="7" t="s">
        <v>12</v>
      </c>
      <c r="C25" s="5">
        <f>averageResponseTime(Dates!C8,Dates!C9)</f>
        <v>0</v>
      </c>
      <c r="D25" s="5">
        <f>averageResponseTime(Dates!D8,Dates!D9)</f>
        <v>0</v>
      </c>
      <c r="E25" s="5">
        <f>averageResponseTime(Dates!E8,Dates!E9)</f>
        <v>0</v>
      </c>
      <c r="F25" s="5">
        <f>averageResponseTime(Dates!F8,Dates!F9)</f>
        <v>0</v>
      </c>
      <c r="G25" s="5">
        <f>averageResponseTime(Dates!G8,Dates!G9)</f>
        <v>0</v>
      </c>
      <c r="H25" s="5">
        <f>averageResponseTime(Dates!H8,Dates!H9)</f>
        <v>0</v>
      </c>
      <c r="I25" s="5">
        <f>averageResponseTime(Dates!I8,Dates!I9)</f>
        <v>0</v>
      </c>
      <c r="J25" s="5">
        <f>averageResponseTime(Dates!J8,Dates!J9)</f>
        <v>0</v>
      </c>
      <c r="K25" s="5">
        <f>averageResponseTime(Dates!K8,Dates!K9)</f>
        <v>0</v>
      </c>
      <c r="L25" s="5">
        <f>averageResponseTime(Dates!L8,Dates!L9)</f>
        <v>0</v>
      </c>
      <c r="M25" s="5">
        <f>averageResponseTime(Dates!M8,Dates!M9)</f>
        <v>0</v>
      </c>
      <c r="N25" s="5">
        <f>averageResponseTime(Dates!N8,Dates!N9)</f>
        <v>0</v>
      </c>
      <c r="O25" s="5">
        <f>averageResponseTime(Dates!O8,Dates!O9)</f>
        <v>0</v>
      </c>
      <c r="P25" s="5">
        <f>averageResponseTime(Dates!P8,Dates!P9)</f>
        <v>0</v>
      </c>
      <c r="Q25" s="5">
        <f>averageResponseTime(Dates!Q8,Dates!Q9)</f>
        <v>0</v>
      </c>
      <c r="R25" s="5">
        <f>averageResponseTime(Dates!R8,Dates!R9)</f>
        <v>0</v>
      </c>
      <c r="S25" s="5">
        <f>averageResponseTime(Dates!S8,Dates!S9)</f>
        <v>0</v>
      </c>
      <c r="T25" s="5">
        <f>averageResponseTime(Dates!T8,Dates!T9)</f>
        <v>0</v>
      </c>
      <c r="U25" s="5">
        <f>averageResponseTime(Dates!C8,Dates!T9)</f>
        <v>0</v>
      </c>
    </row>
    <row r="26" spans="2:21" x14ac:dyDescent="0.3">
      <c r="B26" s="7">
        <f>B3</f>
        <v>1</v>
      </c>
      <c r="C26" s="5">
        <f>averageResponseTimePorter(Dates!C$8,Dates!C$9,'Day3'!$B26)</f>
        <v>0</v>
      </c>
      <c r="D26" s="5">
        <f>averageResponseTimePorter(Dates!D$8,Dates!D$9,'Day3'!$B26)</f>
        <v>0</v>
      </c>
      <c r="E26" s="5">
        <f>averageResponseTimePorter(Dates!E$8,Dates!E$9,'Day3'!$B26)</f>
        <v>0</v>
      </c>
      <c r="F26" s="5">
        <f>averageResponseTimePorter(Dates!F$8,Dates!F$9,'Day3'!$B26)</f>
        <v>0</v>
      </c>
      <c r="G26" s="5">
        <f>averageResponseTimePorter(Dates!G$8,Dates!G$9,'Day3'!$B26)</f>
        <v>0</v>
      </c>
      <c r="H26" s="5">
        <f>averageResponseTimePorter(Dates!H$8,Dates!H$9,'Day3'!$B26)</f>
        <v>0</v>
      </c>
      <c r="I26" s="5">
        <f>averageResponseTimePorter(Dates!I$8,Dates!I$9,'Day3'!$B26)</f>
        <v>0</v>
      </c>
      <c r="J26" s="5">
        <f>averageResponseTimePorter(Dates!J$8,Dates!J$9,'Day3'!$B26)</f>
        <v>0</v>
      </c>
      <c r="K26" s="5">
        <f>averageResponseTimePorter(Dates!K$8,Dates!K$9,'Day3'!$B26)</f>
        <v>0</v>
      </c>
      <c r="L26" s="5">
        <f>averageResponseTimePorter(Dates!L$8,Dates!L$9,'Day3'!$B26)</f>
        <v>0</v>
      </c>
      <c r="M26" s="5">
        <f>averageResponseTimePorter(Dates!M$8,Dates!M$9,'Day3'!$B26)</f>
        <v>0</v>
      </c>
      <c r="N26" s="5">
        <f>averageResponseTimePorter(Dates!N$8,Dates!N$9,'Day3'!$B26)</f>
        <v>0</v>
      </c>
      <c r="O26" s="5">
        <f>averageResponseTimePorter(Dates!O$8,Dates!O$9,'Day3'!$B26)</f>
        <v>0</v>
      </c>
      <c r="P26" s="5">
        <f>averageResponseTimePorter(Dates!P$8,Dates!P$9,'Day3'!$B26)</f>
        <v>0</v>
      </c>
      <c r="Q26" s="5">
        <f>averageResponseTimePorter(Dates!Q$8,Dates!Q$9,'Day3'!$B26)</f>
        <v>0</v>
      </c>
      <c r="R26" s="5">
        <f>averageResponseTimePorter(Dates!R$8,Dates!R$9,'Day3'!$B26)</f>
        <v>0</v>
      </c>
      <c r="S26" s="5">
        <f>averageResponseTimePorter(Dates!S$8,Dates!S$9,'Day3'!$B26)</f>
        <v>0</v>
      </c>
      <c r="T26" s="5">
        <f>averageResponseTimePorter(Dates!T$8,Dates!T$9,'Day3'!$B26)</f>
        <v>0</v>
      </c>
      <c r="U26" s="5">
        <f>averageResponseTimePorter(Dates!$C$8,Dates!$T$9,'Day3'!$B3)</f>
        <v>0</v>
      </c>
    </row>
    <row r="27" spans="2:21" x14ac:dyDescent="0.3">
      <c r="B27" s="7">
        <f t="shared" ref="B27:B46" si="0">B4</f>
        <v>0</v>
      </c>
      <c r="C27" s="5">
        <f>averageResponseTimePorter(Dates!C$8,Dates!C$9,'Day3'!$B27)</f>
        <v>0</v>
      </c>
      <c r="D27" s="5">
        <f>averageResponseTimePorter(Dates!D$8,Dates!D$9,'Day3'!$B27)</f>
        <v>0</v>
      </c>
      <c r="E27" s="5">
        <f>averageResponseTimePorter(Dates!E$8,Dates!E$9,'Day3'!$B27)</f>
        <v>0</v>
      </c>
      <c r="F27" s="5">
        <f>averageResponseTimePorter(Dates!F$8,Dates!F$9,'Day3'!$B27)</f>
        <v>0</v>
      </c>
      <c r="G27" s="5">
        <f>averageResponseTimePorter(Dates!G$8,Dates!G$9,'Day3'!$B27)</f>
        <v>0</v>
      </c>
      <c r="H27" s="5">
        <f>averageResponseTimePorter(Dates!H$8,Dates!H$9,'Day3'!$B27)</f>
        <v>0</v>
      </c>
      <c r="I27" s="5">
        <f>averageResponseTimePorter(Dates!I$8,Dates!I$9,'Day3'!$B27)</f>
        <v>0</v>
      </c>
      <c r="J27" s="5">
        <f>averageResponseTimePorter(Dates!J$8,Dates!J$9,'Day3'!$B27)</f>
        <v>0</v>
      </c>
      <c r="K27" s="5">
        <f>averageResponseTimePorter(Dates!K$8,Dates!K$9,'Day3'!$B27)</f>
        <v>0</v>
      </c>
      <c r="L27" s="5">
        <f>averageResponseTimePorter(Dates!L$8,Dates!L$9,'Day3'!$B27)</f>
        <v>0</v>
      </c>
      <c r="M27" s="5">
        <f>averageResponseTimePorter(Dates!M$8,Dates!M$9,'Day3'!$B27)</f>
        <v>0</v>
      </c>
      <c r="N27" s="5">
        <f>averageResponseTimePorter(Dates!N$8,Dates!N$9,'Day3'!$B27)</f>
        <v>0</v>
      </c>
      <c r="O27" s="5">
        <f>averageResponseTimePorter(Dates!O$8,Dates!O$9,'Day3'!$B27)</f>
        <v>0</v>
      </c>
      <c r="P27" s="5">
        <f>averageResponseTimePorter(Dates!P$8,Dates!P$9,'Day3'!$B27)</f>
        <v>0</v>
      </c>
      <c r="Q27" s="5">
        <f>averageResponseTimePorter(Dates!Q$8,Dates!Q$9,'Day3'!$B27)</f>
        <v>0</v>
      </c>
      <c r="R27" s="5">
        <f>averageResponseTimePorter(Dates!R$8,Dates!R$9,'Day3'!$B27)</f>
        <v>0</v>
      </c>
      <c r="S27" s="5">
        <f>averageResponseTimePorter(Dates!S$8,Dates!S$9,'Day3'!$B27)</f>
        <v>0</v>
      </c>
      <c r="T27" s="5">
        <f>averageResponseTimePorter(Dates!T$8,Dates!T$9,'Day3'!$B27)</f>
        <v>0</v>
      </c>
      <c r="U27" s="5">
        <f>averageResponseTimePorter(Dates!$C$8,Dates!$T$9,'Day3'!$B4)</f>
        <v>0</v>
      </c>
    </row>
    <row r="28" spans="2:21" x14ac:dyDescent="0.3">
      <c r="B28" s="7">
        <f t="shared" si="0"/>
        <v>3</v>
      </c>
      <c r="C28" s="5">
        <f>averageResponseTimePorter(Dates!C$8,Dates!C$9,'Day3'!$B28)</f>
        <v>0</v>
      </c>
      <c r="D28" s="5">
        <f>averageResponseTimePorter(Dates!D$8,Dates!D$9,'Day3'!$B28)</f>
        <v>0</v>
      </c>
      <c r="E28" s="5">
        <f>averageResponseTimePorter(Dates!E$8,Dates!E$9,'Day3'!$B28)</f>
        <v>0</v>
      </c>
      <c r="F28" s="5">
        <f>averageResponseTimePorter(Dates!F$8,Dates!F$9,'Day3'!$B28)</f>
        <v>0</v>
      </c>
      <c r="G28" s="5">
        <f>averageResponseTimePorter(Dates!G$8,Dates!G$9,'Day3'!$B28)</f>
        <v>0</v>
      </c>
      <c r="H28" s="5">
        <f>averageResponseTimePorter(Dates!H$8,Dates!H$9,'Day3'!$B28)</f>
        <v>0</v>
      </c>
      <c r="I28" s="5">
        <f>averageResponseTimePorter(Dates!I$8,Dates!I$9,'Day3'!$B28)</f>
        <v>0</v>
      </c>
      <c r="J28" s="5">
        <f>averageResponseTimePorter(Dates!J$8,Dates!J$9,'Day3'!$B28)</f>
        <v>0</v>
      </c>
      <c r="K28" s="5">
        <f>averageResponseTimePorter(Dates!K$8,Dates!K$9,'Day3'!$B28)</f>
        <v>0</v>
      </c>
      <c r="L28" s="5">
        <f>averageResponseTimePorter(Dates!L$8,Dates!L$9,'Day3'!$B28)</f>
        <v>0</v>
      </c>
      <c r="M28" s="5">
        <f>averageResponseTimePorter(Dates!M$8,Dates!M$9,'Day3'!$B28)</f>
        <v>0</v>
      </c>
      <c r="N28" s="5">
        <f>averageResponseTimePorter(Dates!N$8,Dates!N$9,'Day3'!$B28)</f>
        <v>0</v>
      </c>
      <c r="O28" s="5">
        <f>averageResponseTimePorter(Dates!O$8,Dates!O$9,'Day3'!$B28)</f>
        <v>0</v>
      </c>
      <c r="P28" s="5">
        <f>averageResponseTimePorter(Dates!P$8,Dates!P$9,'Day3'!$B28)</f>
        <v>0</v>
      </c>
      <c r="Q28" s="5">
        <f>averageResponseTimePorter(Dates!Q$8,Dates!Q$9,'Day3'!$B28)</f>
        <v>0</v>
      </c>
      <c r="R28" s="5">
        <f>averageResponseTimePorter(Dates!R$8,Dates!R$9,'Day3'!$B28)</f>
        <v>0</v>
      </c>
      <c r="S28" s="5">
        <f>averageResponseTimePorter(Dates!S$8,Dates!S$9,'Day3'!$B28)</f>
        <v>0</v>
      </c>
      <c r="T28" s="5">
        <f>averageResponseTimePorter(Dates!T$8,Dates!T$9,'Day3'!$B28)</f>
        <v>0</v>
      </c>
      <c r="U28" s="5">
        <f>averageResponseTimePorter(Dates!$C$8,Dates!$T$9,'Day3'!$B5)</f>
        <v>0</v>
      </c>
    </row>
    <row r="29" spans="2:21" x14ac:dyDescent="0.3">
      <c r="B29" s="7">
        <f t="shared" si="0"/>
        <v>2</v>
      </c>
      <c r="C29" s="5">
        <f>averageResponseTimePorter(Dates!C$8,Dates!C$9,'Day3'!$B29)</f>
        <v>0</v>
      </c>
      <c r="D29" s="5">
        <f>averageResponseTimePorter(Dates!D$8,Dates!D$9,'Day3'!$B29)</f>
        <v>0</v>
      </c>
      <c r="E29" s="5">
        <f>averageResponseTimePorter(Dates!E$8,Dates!E$9,'Day3'!$B29)</f>
        <v>0</v>
      </c>
      <c r="F29" s="5">
        <f>averageResponseTimePorter(Dates!F$8,Dates!F$9,'Day3'!$B29)</f>
        <v>0</v>
      </c>
      <c r="G29" s="5">
        <f>averageResponseTimePorter(Dates!G$8,Dates!G$9,'Day3'!$B29)</f>
        <v>0</v>
      </c>
      <c r="H29" s="5">
        <f>averageResponseTimePorter(Dates!H$8,Dates!H$9,'Day3'!$B29)</f>
        <v>0</v>
      </c>
      <c r="I29" s="5">
        <f>averageResponseTimePorter(Dates!I$8,Dates!I$9,'Day3'!$B29)</f>
        <v>0</v>
      </c>
      <c r="J29" s="5">
        <f>averageResponseTimePorter(Dates!J$8,Dates!J$9,'Day3'!$B29)</f>
        <v>0</v>
      </c>
      <c r="K29" s="5">
        <f>averageResponseTimePorter(Dates!K$8,Dates!K$9,'Day3'!$B29)</f>
        <v>0</v>
      </c>
      <c r="L29" s="5">
        <f>averageResponseTimePorter(Dates!L$8,Dates!L$9,'Day3'!$B29)</f>
        <v>0</v>
      </c>
      <c r="M29" s="5">
        <f>averageResponseTimePorter(Dates!M$8,Dates!M$9,'Day3'!$B29)</f>
        <v>0</v>
      </c>
      <c r="N29" s="5">
        <f>averageResponseTimePorter(Dates!N$8,Dates!N$9,'Day3'!$B29)</f>
        <v>0</v>
      </c>
      <c r="O29" s="5">
        <f>averageResponseTimePorter(Dates!O$8,Dates!O$9,'Day3'!$B29)</f>
        <v>0</v>
      </c>
      <c r="P29" s="5">
        <f>averageResponseTimePorter(Dates!P$8,Dates!P$9,'Day3'!$B29)</f>
        <v>0</v>
      </c>
      <c r="Q29" s="5">
        <f>averageResponseTimePorter(Dates!Q$8,Dates!Q$9,'Day3'!$B29)</f>
        <v>0</v>
      </c>
      <c r="R29" s="5">
        <f>averageResponseTimePorter(Dates!R$8,Dates!R$9,'Day3'!$B29)</f>
        <v>0</v>
      </c>
      <c r="S29" s="5">
        <f>averageResponseTimePorter(Dates!S$8,Dates!S$9,'Day3'!$B29)</f>
        <v>0</v>
      </c>
      <c r="T29" s="5">
        <f>averageResponseTimePorter(Dates!T$8,Dates!T$9,'Day3'!$B29)</f>
        <v>0</v>
      </c>
      <c r="U29" s="5">
        <f>averageResponseTimePorter(Dates!$C$8,Dates!$T$9,'Day3'!$B6)</f>
        <v>0</v>
      </c>
    </row>
    <row r="30" spans="2:21" x14ac:dyDescent="0.3">
      <c r="B30" s="7">
        <f t="shared" si="0"/>
        <v>5</v>
      </c>
      <c r="C30" s="5">
        <f>averageResponseTimePorter(Dates!C$8,Dates!C$9,'Day3'!$B30)</f>
        <v>0</v>
      </c>
      <c r="D30" s="5">
        <f>averageResponseTimePorter(Dates!D$8,Dates!D$9,'Day3'!$B30)</f>
        <v>0</v>
      </c>
      <c r="E30" s="5">
        <f>averageResponseTimePorter(Dates!E$8,Dates!E$9,'Day3'!$B30)</f>
        <v>0</v>
      </c>
      <c r="F30" s="5">
        <f>averageResponseTimePorter(Dates!F$8,Dates!F$9,'Day3'!$B30)</f>
        <v>0</v>
      </c>
      <c r="G30" s="5">
        <f>averageResponseTimePorter(Dates!G$8,Dates!G$9,'Day3'!$B30)</f>
        <v>0</v>
      </c>
      <c r="H30" s="5">
        <f>averageResponseTimePorter(Dates!H$8,Dates!H$9,'Day3'!$B30)</f>
        <v>0</v>
      </c>
      <c r="I30" s="5">
        <f>averageResponseTimePorter(Dates!I$8,Dates!I$9,'Day3'!$B30)</f>
        <v>0</v>
      </c>
      <c r="J30" s="5">
        <f>averageResponseTimePorter(Dates!J$8,Dates!J$9,'Day3'!$B30)</f>
        <v>0</v>
      </c>
      <c r="K30" s="5">
        <f>averageResponseTimePorter(Dates!K$8,Dates!K$9,'Day3'!$B30)</f>
        <v>0</v>
      </c>
      <c r="L30" s="5">
        <f>averageResponseTimePorter(Dates!L$8,Dates!L$9,'Day3'!$B30)</f>
        <v>0</v>
      </c>
      <c r="M30" s="5">
        <f>averageResponseTimePorter(Dates!M$8,Dates!M$9,'Day3'!$B30)</f>
        <v>0</v>
      </c>
      <c r="N30" s="5">
        <f>averageResponseTimePorter(Dates!N$8,Dates!N$9,'Day3'!$B30)</f>
        <v>0</v>
      </c>
      <c r="O30" s="5">
        <f>averageResponseTimePorter(Dates!O$8,Dates!O$9,'Day3'!$B30)</f>
        <v>0</v>
      </c>
      <c r="P30" s="5">
        <f>averageResponseTimePorter(Dates!P$8,Dates!P$9,'Day3'!$B30)</f>
        <v>0</v>
      </c>
      <c r="Q30" s="5">
        <f>averageResponseTimePorter(Dates!Q$8,Dates!Q$9,'Day3'!$B30)</f>
        <v>0</v>
      </c>
      <c r="R30" s="5">
        <f>averageResponseTimePorter(Dates!R$8,Dates!R$9,'Day3'!$B30)</f>
        <v>0</v>
      </c>
      <c r="S30" s="5">
        <f>averageResponseTimePorter(Dates!S$8,Dates!S$9,'Day3'!$B30)</f>
        <v>0</v>
      </c>
      <c r="T30" s="5">
        <f>averageResponseTimePorter(Dates!T$8,Dates!T$9,'Day3'!$B30)</f>
        <v>0</v>
      </c>
      <c r="U30" s="5">
        <f>averageResponseTimePorter(Dates!$C$8,Dates!$T$9,'Day3'!$B7)</f>
        <v>0</v>
      </c>
    </row>
    <row r="31" spans="2:21" x14ac:dyDescent="0.3">
      <c r="B31" s="7">
        <f t="shared" si="0"/>
        <v>4</v>
      </c>
      <c r="C31" s="5">
        <f>averageResponseTimePorter(Dates!C$8,Dates!C$9,'Day3'!$B31)</f>
        <v>0</v>
      </c>
      <c r="D31" s="5">
        <f>averageResponseTimePorter(Dates!D$8,Dates!D$9,'Day3'!$B31)</f>
        <v>0</v>
      </c>
      <c r="E31" s="5">
        <f>averageResponseTimePorter(Dates!E$8,Dates!E$9,'Day3'!$B31)</f>
        <v>0</v>
      </c>
      <c r="F31" s="5">
        <f>averageResponseTimePorter(Dates!F$8,Dates!F$9,'Day3'!$B31)</f>
        <v>0</v>
      </c>
      <c r="G31" s="5">
        <f>averageResponseTimePorter(Dates!G$8,Dates!G$9,'Day3'!$B31)</f>
        <v>0</v>
      </c>
      <c r="H31" s="5">
        <f>averageResponseTimePorter(Dates!H$8,Dates!H$9,'Day3'!$B31)</f>
        <v>0</v>
      </c>
      <c r="I31" s="5">
        <f>averageResponseTimePorter(Dates!I$8,Dates!I$9,'Day3'!$B31)</f>
        <v>0</v>
      </c>
      <c r="J31" s="5">
        <f>averageResponseTimePorter(Dates!J$8,Dates!J$9,'Day3'!$B31)</f>
        <v>0</v>
      </c>
      <c r="K31" s="5">
        <f>averageResponseTimePorter(Dates!K$8,Dates!K$9,'Day3'!$B31)</f>
        <v>0</v>
      </c>
      <c r="L31" s="5">
        <f>averageResponseTimePorter(Dates!L$8,Dates!L$9,'Day3'!$B31)</f>
        <v>0</v>
      </c>
      <c r="M31" s="5">
        <f>averageResponseTimePorter(Dates!M$8,Dates!M$9,'Day3'!$B31)</f>
        <v>0</v>
      </c>
      <c r="N31" s="5">
        <f>averageResponseTimePorter(Dates!N$8,Dates!N$9,'Day3'!$B31)</f>
        <v>0</v>
      </c>
      <c r="O31" s="5">
        <f>averageResponseTimePorter(Dates!O$8,Dates!O$9,'Day3'!$B31)</f>
        <v>0</v>
      </c>
      <c r="P31" s="5">
        <f>averageResponseTimePorter(Dates!P$8,Dates!P$9,'Day3'!$B31)</f>
        <v>0</v>
      </c>
      <c r="Q31" s="5">
        <f>averageResponseTimePorter(Dates!Q$8,Dates!Q$9,'Day3'!$B31)</f>
        <v>0</v>
      </c>
      <c r="R31" s="5">
        <f>averageResponseTimePorter(Dates!R$8,Dates!R$9,'Day3'!$B31)</f>
        <v>0</v>
      </c>
      <c r="S31" s="5">
        <f>averageResponseTimePorter(Dates!S$8,Dates!S$9,'Day3'!$B31)</f>
        <v>0</v>
      </c>
      <c r="T31" s="5">
        <f>averageResponseTimePorter(Dates!T$8,Dates!T$9,'Day3'!$B31)</f>
        <v>0</v>
      </c>
      <c r="U31" s="5">
        <f>averageResponseTimePorter(Dates!$C$8,Dates!$T$9,'Day3'!$B8)</f>
        <v>0</v>
      </c>
    </row>
    <row r="32" spans="2:21" x14ac:dyDescent="0.3">
      <c r="B32" s="7">
        <f t="shared" si="0"/>
        <v>6</v>
      </c>
      <c r="C32" s="5">
        <f>averageResponseTimePorter(Dates!C$8,Dates!C$9,'Day3'!$B32)</f>
        <v>0</v>
      </c>
      <c r="D32" s="5">
        <f>averageResponseTimePorter(Dates!D$8,Dates!D$9,'Day3'!$B32)</f>
        <v>0</v>
      </c>
      <c r="E32" s="5">
        <f>averageResponseTimePorter(Dates!E$8,Dates!E$9,'Day3'!$B32)</f>
        <v>0</v>
      </c>
      <c r="F32" s="5">
        <f>averageResponseTimePorter(Dates!F$8,Dates!F$9,'Day3'!$B32)</f>
        <v>0</v>
      </c>
      <c r="G32" s="5">
        <f>averageResponseTimePorter(Dates!G$8,Dates!G$9,'Day3'!$B32)</f>
        <v>0</v>
      </c>
      <c r="H32" s="5">
        <f>averageResponseTimePorter(Dates!H$8,Dates!H$9,'Day3'!$B32)</f>
        <v>0</v>
      </c>
      <c r="I32" s="5">
        <f>averageResponseTimePorter(Dates!I$8,Dates!I$9,'Day3'!$B32)</f>
        <v>0</v>
      </c>
      <c r="J32" s="5">
        <f>averageResponseTimePorter(Dates!J$8,Dates!J$9,'Day3'!$B32)</f>
        <v>0</v>
      </c>
      <c r="K32" s="5">
        <f>averageResponseTimePorter(Dates!K$8,Dates!K$9,'Day3'!$B32)</f>
        <v>0</v>
      </c>
      <c r="L32" s="5">
        <f>averageResponseTimePorter(Dates!L$8,Dates!L$9,'Day3'!$B32)</f>
        <v>0</v>
      </c>
      <c r="M32" s="5">
        <f>averageResponseTimePorter(Dates!M$8,Dates!M$9,'Day3'!$B32)</f>
        <v>0</v>
      </c>
      <c r="N32" s="5">
        <f>averageResponseTimePorter(Dates!N$8,Dates!N$9,'Day3'!$B32)</f>
        <v>0</v>
      </c>
      <c r="O32" s="5">
        <f>averageResponseTimePorter(Dates!O$8,Dates!O$9,'Day3'!$B32)</f>
        <v>0</v>
      </c>
      <c r="P32" s="5">
        <f>averageResponseTimePorter(Dates!P$8,Dates!P$9,'Day3'!$B32)</f>
        <v>0</v>
      </c>
      <c r="Q32" s="5">
        <f>averageResponseTimePorter(Dates!Q$8,Dates!Q$9,'Day3'!$B32)</f>
        <v>0</v>
      </c>
      <c r="R32" s="5">
        <f>averageResponseTimePorter(Dates!R$8,Dates!R$9,'Day3'!$B32)</f>
        <v>0</v>
      </c>
      <c r="S32" s="5">
        <f>averageResponseTimePorter(Dates!S$8,Dates!S$9,'Day3'!$B32)</f>
        <v>0</v>
      </c>
      <c r="T32" s="5">
        <f>averageResponseTimePorter(Dates!T$8,Dates!T$9,'Day3'!$B32)</f>
        <v>0</v>
      </c>
      <c r="U32" s="5">
        <f>averageResponseTimePorter(Dates!$C$8,Dates!$T$9,'Day3'!$B9)</f>
        <v>0</v>
      </c>
    </row>
    <row r="33" spans="2:21" x14ac:dyDescent="0.3">
      <c r="B33" s="7" t="str">
        <f t="shared" si="0"/>
        <v>NA10</v>
      </c>
      <c r="C33" s="5">
        <f>averageResponseTimePorter(Dates!C$8,Dates!C$9,'Day3'!$B33)</f>
        <v>0</v>
      </c>
      <c r="D33" s="5">
        <f>averageResponseTimePorter(Dates!D$8,Dates!D$9,'Day3'!$B33)</f>
        <v>0</v>
      </c>
      <c r="E33" s="5">
        <f>averageResponseTimePorter(Dates!E$8,Dates!E$9,'Day3'!$B33)</f>
        <v>0</v>
      </c>
      <c r="F33" s="5">
        <f>averageResponseTimePorter(Dates!F$8,Dates!F$9,'Day3'!$B33)</f>
        <v>0</v>
      </c>
      <c r="G33" s="5">
        <f>averageResponseTimePorter(Dates!G$8,Dates!G$9,'Day3'!$B33)</f>
        <v>0</v>
      </c>
      <c r="H33" s="5">
        <f>averageResponseTimePorter(Dates!H$8,Dates!H$9,'Day3'!$B33)</f>
        <v>0</v>
      </c>
      <c r="I33" s="5">
        <f>averageResponseTimePorter(Dates!I$8,Dates!I$9,'Day3'!$B33)</f>
        <v>0</v>
      </c>
      <c r="J33" s="5">
        <f>averageResponseTimePorter(Dates!J$8,Dates!J$9,'Day3'!$B33)</f>
        <v>0</v>
      </c>
      <c r="K33" s="5">
        <f>averageResponseTimePorter(Dates!K$8,Dates!K$9,'Day3'!$B33)</f>
        <v>0</v>
      </c>
      <c r="L33" s="5">
        <f>averageResponseTimePorter(Dates!L$8,Dates!L$9,'Day3'!$B33)</f>
        <v>0</v>
      </c>
      <c r="M33" s="5">
        <f>averageResponseTimePorter(Dates!M$8,Dates!M$9,'Day3'!$B33)</f>
        <v>0</v>
      </c>
      <c r="N33" s="5">
        <f>averageResponseTimePorter(Dates!N$8,Dates!N$9,'Day3'!$B33)</f>
        <v>0</v>
      </c>
      <c r="O33" s="5">
        <f>averageResponseTimePorter(Dates!O$8,Dates!O$9,'Day3'!$B33)</f>
        <v>0</v>
      </c>
      <c r="P33" s="5">
        <f>averageResponseTimePorter(Dates!P$8,Dates!P$9,'Day3'!$B33)</f>
        <v>0</v>
      </c>
      <c r="Q33" s="5">
        <f>averageResponseTimePorter(Dates!Q$8,Dates!Q$9,'Day3'!$B33)</f>
        <v>0</v>
      </c>
      <c r="R33" s="5">
        <f>averageResponseTimePorter(Dates!R$8,Dates!R$9,'Day3'!$B33)</f>
        <v>0</v>
      </c>
      <c r="S33" s="5">
        <f>averageResponseTimePorter(Dates!S$8,Dates!S$9,'Day3'!$B33)</f>
        <v>0</v>
      </c>
      <c r="T33" s="5">
        <f>averageResponseTimePorter(Dates!T$8,Dates!T$9,'Day3'!$B33)</f>
        <v>0</v>
      </c>
      <c r="U33" s="5">
        <f>averageResponseTimePorter(Dates!$C$8,Dates!$T$9,'Day3'!$B10)</f>
        <v>0</v>
      </c>
    </row>
    <row r="34" spans="2:21" x14ac:dyDescent="0.3">
      <c r="B34" s="7" t="str">
        <f t="shared" si="0"/>
        <v>NA11</v>
      </c>
      <c r="C34" s="5">
        <f>averageResponseTimePorter(Dates!C$8,Dates!C$9,'Day3'!$B34)</f>
        <v>0</v>
      </c>
      <c r="D34" s="5">
        <f>averageResponseTimePorter(Dates!D$8,Dates!D$9,'Day3'!$B34)</f>
        <v>0</v>
      </c>
      <c r="E34" s="5">
        <f>averageResponseTimePorter(Dates!E$8,Dates!E$9,'Day3'!$B34)</f>
        <v>0</v>
      </c>
      <c r="F34" s="5">
        <f>averageResponseTimePorter(Dates!F$8,Dates!F$9,'Day3'!$B34)</f>
        <v>0</v>
      </c>
      <c r="G34" s="5">
        <f>averageResponseTimePorter(Dates!G$8,Dates!G$9,'Day3'!$B34)</f>
        <v>0</v>
      </c>
      <c r="H34" s="5">
        <f>averageResponseTimePorter(Dates!H$8,Dates!H$9,'Day3'!$B34)</f>
        <v>0</v>
      </c>
      <c r="I34" s="5">
        <f>averageResponseTimePorter(Dates!I$8,Dates!I$9,'Day3'!$B34)</f>
        <v>0</v>
      </c>
      <c r="J34" s="5">
        <f>averageResponseTimePorter(Dates!J$8,Dates!J$9,'Day3'!$B34)</f>
        <v>0</v>
      </c>
      <c r="K34" s="5">
        <f>averageResponseTimePorter(Dates!K$8,Dates!K$9,'Day3'!$B34)</f>
        <v>0</v>
      </c>
      <c r="L34" s="5">
        <f>averageResponseTimePorter(Dates!L$8,Dates!L$9,'Day3'!$B34)</f>
        <v>0</v>
      </c>
      <c r="M34" s="5">
        <f>averageResponseTimePorter(Dates!M$8,Dates!M$9,'Day3'!$B34)</f>
        <v>0</v>
      </c>
      <c r="N34" s="5">
        <f>averageResponseTimePorter(Dates!N$8,Dates!N$9,'Day3'!$B34)</f>
        <v>0</v>
      </c>
      <c r="O34" s="5">
        <f>averageResponseTimePorter(Dates!O$8,Dates!O$9,'Day3'!$B34)</f>
        <v>0</v>
      </c>
      <c r="P34" s="5">
        <f>averageResponseTimePorter(Dates!P$8,Dates!P$9,'Day3'!$B34)</f>
        <v>0</v>
      </c>
      <c r="Q34" s="5">
        <f>averageResponseTimePorter(Dates!Q$8,Dates!Q$9,'Day3'!$B34)</f>
        <v>0</v>
      </c>
      <c r="R34" s="5">
        <f>averageResponseTimePorter(Dates!R$8,Dates!R$9,'Day3'!$B34)</f>
        <v>0</v>
      </c>
      <c r="S34" s="5">
        <f>averageResponseTimePorter(Dates!S$8,Dates!S$9,'Day3'!$B34)</f>
        <v>0</v>
      </c>
      <c r="T34" s="5">
        <f>averageResponseTimePorter(Dates!T$8,Dates!T$9,'Day3'!$B34)</f>
        <v>0</v>
      </c>
      <c r="U34" s="5">
        <f>averageResponseTimePorter(Dates!$C$8,Dates!$T$9,'Day3'!$B11)</f>
        <v>0</v>
      </c>
    </row>
    <row r="35" spans="2:21" x14ac:dyDescent="0.3">
      <c r="B35" s="7" t="str">
        <f t="shared" si="0"/>
        <v>NA12</v>
      </c>
      <c r="C35" s="5">
        <f>averageResponseTimePorter(Dates!C$8,Dates!C$9,'Day3'!$B35)</f>
        <v>0</v>
      </c>
      <c r="D35" s="5">
        <f>averageResponseTimePorter(Dates!D$8,Dates!D$9,'Day3'!$B35)</f>
        <v>0</v>
      </c>
      <c r="E35" s="5">
        <f>averageResponseTimePorter(Dates!E$8,Dates!E$9,'Day3'!$B35)</f>
        <v>0</v>
      </c>
      <c r="F35" s="5">
        <f>averageResponseTimePorter(Dates!F$8,Dates!F$9,'Day3'!$B35)</f>
        <v>0</v>
      </c>
      <c r="G35" s="5">
        <f>averageResponseTimePorter(Dates!G$8,Dates!G$9,'Day3'!$B35)</f>
        <v>0</v>
      </c>
      <c r="H35" s="5">
        <f>averageResponseTimePorter(Dates!H$8,Dates!H$9,'Day3'!$B35)</f>
        <v>0</v>
      </c>
      <c r="I35" s="5">
        <f>averageResponseTimePorter(Dates!I$8,Dates!I$9,'Day3'!$B35)</f>
        <v>0</v>
      </c>
      <c r="J35" s="5">
        <f>averageResponseTimePorter(Dates!J$8,Dates!J$9,'Day3'!$B35)</f>
        <v>0</v>
      </c>
      <c r="K35" s="5">
        <f>averageResponseTimePorter(Dates!K$8,Dates!K$9,'Day3'!$B35)</f>
        <v>0</v>
      </c>
      <c r="L35" s="5">
        <f>averageResponseTimePorter(Dates!L$8,Dates!L$9,'Day3'!$B35)</f>
        <v>0</v>
      </c>
      <c r="M35" s="5">
        <f>averageResponseTimePorter(Dates!M$8,Dates!M$9,'Day3'!$B35)</f>
        <v>0</v>
      </c>
      <c r="N35" s="5">
        <f>averageResponseTimePorter(Dates!N$8,Dates!N$9,'Day3'!$B35)</f>
        <v>0</v>
      </c>
      <c r="O35" s="5">
        <f>averageResponseTimePorter(Dates!O$8,Dates!O$9,'Day3'!$B35)</f>
        <v>0</v>
      </c>
      <c r="P35" s="5">
        <f>averageResponseTimePorter(Dates!P$8,Dates!P$9,'Day3'!$B35)</f>
        <v>0</v>
      </c>
      <c r="Q35" s="5">
        <f>averageResponseTimePorter(Dates!Q$8,Dates!Q$9,'Day3'!$B35)</f>
        <v>0</v>
      </c>
      <c r="R35" s="5">
        <f>averageResponseTimePorter(Dates!R$8,Dates!R$9,'Day3'!$B35)</f>
        <v>0</v>
      </c>
      <c r="S35" s="5">
        <f>averageResponseTimePorter(Dates!S$8,Dates!S$9,'Day3'!$B35)</f>
        <v>0</v>
      </c>
      <c r="T35" s="5">
        <f>averageResponseTimePorter(Dates!T$8,Dates!T$9,'Day3'!$B35)</f>
        <v>0</v>
      </c>
      <c r="U35" s="5">
        <f>averageResponseTimePorter(Dates!$C$8,Dates!$T$9,'Day3'!$B12)</f>
        <v>0</v>
      </c>
    </row>
    <row r="36" spans="2:21" x14ac:dyDescent="0.3">
      <c r="B36" s="7" t="str">
        <f t="shared" si="0"/>
        <v>NA13</v>
      </c>
      <c r="C36" s="5">
        <f>averageResponseTimePorter(Dates!C$8,Dates!C$9,'Day3'!$B36)</f>
        <v>0</v>
      </c>
      <c r="D36" s="5">
        <f>averageResponseTimePorter(Dates!D$8,Dates!D$9,'Day3'!$B36)</f>
        <v>0</v>
      </c>
      <c r="E36" s="5">
        <f>averageResponseTimePorter(Dates!E$8,Dates!E$9,'Day3'!$B36)</f>
        <v>0</v>
      </c>
      <c r="F36" s="5">
        <f>averageResponseTimePorter(Dates!F$8,Dates!F$9,'Day3'!$B36)</f>
        <v>0</v>
      </c>
      <c r="G36" s="5">
        <f>averageResponseTimePorter(Dates!G$8,Dates!G$9,'Day3'!$B36)</f>
        <v>0</v>
      </c>
      <c r="H36" s="5">
        <f>averageResponseTimePorter(Dates!H$8,Dates!H$9,'Day3'!$B36)</f>
        <v>0</v>
      </c>
      <c r="I36" s="5">
        <f>averageResponseTimePorter(Dates!I$8,Dates!I$9,'Day3'!$B36)</f>
        <v>0</v>
      </c>
      <c r="J36" s="5">
        <f>averageResponseTimePorter(Dates!J$8,Dates!J$9,'Day3'!$B36)</f>
        <v>0</v>
      </c>
      <c r="K36" s="5">
        <f>averageResponseTimePorter(Dates!K$8,Dates!K$9,'Day3'!$B36)</f>
        <v>0</v>
      </c>
      <c r="L36" s="5">
        <f>averageResponseTimePorter(Dates!L$8,Dates!L$9,'Day3'!$B36)</f>
        <v>0</v>
      </c>
      <c r="M36" s="5">
        <f>averageResponseTimePorter(Dates!M$8,Dates!M$9,'Day3'!$B36)</f>
        <v>0</v>
      </c>
      <c r="N36" s="5">
        <f>averageResponseTimePorter(Dates!N$8,Dates!N$9,'Day3'!$B36)</f>
        <v>0</v>
      </c>
      <c r="O36" s="5">
        <f>averageResponseTimePorter(Dates!O$8,Dates!O$9,'Day3'!$B36)</f>
        <v>0</v>
      </c>
      <c r="P36" s="5">
        <f>averageResponseTimePorter(Dates!P$8,Dates!P$9,'Day3'!$B36)</f>
        <v>0</v>
      </c>
      <c r="Q36" s="5">
        <f>averageResponseTimePorter(Dates!Q$8,Dates!Q$9,'Day3'!$B36)</f>
        <v>0</v>
      </c>
      <c r="R36" s="5">
        <f>averageResponseTimePorter(Dates!R$8,Dates!R$9,'Day3'!$B36)</f>
        <v>0</v>
      </c>
      <c r="S36" s="5">
        <f>averageResponseTimePorter(Dates!S$8,Dates!S$9,'Day3'!$B36)</f>
        <v>0</v>
      </c>
      <c r="T36" s="5">
        <f>averageResponseTimePorter(Dates!T$8,Dates!T$9,'Day3'!$B36)</f>
        <v>0</v>
      </c>
      <c r="U36" s="5">
        <f>averageResponseTimePorter(Dates!$C$8,Dates!$T$9,'Day3'!$B13)</f>
        <v>0</v>
      </c>
    </row>
    <row r="37" spans="2:21" x14ac:dyDescent="0.3">
      <c r="B37" s="7" t="str">
        <f t="shared" si="0"/>
        <v>NA14</v>
      </c>
      <c r="C37" s="5">
        <f>averageResponseTimePorter(Dates!C$8,Dates!C$9,'Day3'!$B37)</f>
        <v>0</v>
      </c>
      <c r="D37" s="5">
        <f>averageResponseTimePorter(Dates!D$8,Dates!D$9,'Day3'!$B37)</f>
        <v>0</v>
      </c>
      <c r="E37" s="5">
        <f>averageResponseTimePorter(Dates!E$8,Dates!E$9,'Day3'!$B37)</f>
        <v>0</v>
      </c>
      <c r="F37" s="5">
        <f>averageResponseTimePorter(Dates!F$8,Dates!F$9,'Day3'!$B37)</f>
        <v>0</v>
      </c>
      <c r="G37" s="5">
        <f>averageResponseTimePorter(Dates!G$8,Dates!G$9,'Day3'!$B37)</f>
        <v>0</v>
      </c>
      <c r="H37" s="5">
        <f>averageResponseTimePorter(Dates!H$8,Dates!H$9,'Day3'!$B37)</f>
        <v>0</v>
      </c>
      <c r="I37" s="5">
        <f>averageResponseTimePorter(Dates!I$8,Dates!I$9,'Day3'!$B37)</f>
        <v>0</v>
      </c>
      <c r="J37" s="5">
        <f>averageResponseTimePorter(Dates!J$8,Dates!J$9,'Day3'!$B37)</f>
        <v>0</v>
      </c>
      <c r="K37" s="5">
        <f>averageResponseTimePorter(Dates!K$8,Dates!K$9,'Day3'!$B37)</f>
        <v>0</v>
      </c>
      <c r="L37" s="5">
        <f>averageResponseTimePorter(Dates!L$8,Dates!L$9,'Day3'!$B37)</f>
        <v>0</v>
      </c>
      <c r="M37" s="5">
        <f>averageResponseTimePorter(Dates!M$8,Dates!M$9,'Day3'!$B37)</f>
        <v>0</v>
      </c>
      <c r="N37" s="5">
        <f>averageResponseTimePorter(Dates!N$8,Dates!N$9,'Day3'!$B37)</f>
        <v>0</v>
      </c>
      <c r="O37" s="5">
        <f>averageResponseTimePorter(Dates!O$8,Dates!O$9,'Day3'!$B37)</f>
        <v>0</v>
      </c>
      <c r="P37" s="5">
        <f>averageResponseTimePorter(Dates!P$8,Dates!P$9,'Day3'!$B37)</f>
        <v>0</v>
      </c>
      <c r="Q37" s="5">
        <f>averageResponseTimePorter(Dates!Q$8,Dates!Q$9,'Day3'!$B37)</f>
        <v>0</v>
      </c>
      <c r="R37" s="5">
        <f>averageResponseTimePorter(Dates!R$8,Dates!R$9,'Day3'!$B37)</f>
        <v>0</v>
      </c>
      <c r="S37" s="5">
        <f>averageResponseTimePorter(Dates!S$8,Dates!S$9,'Day3'!$B37)</f>
        <v>0</v>
      </c>
      <c r="T37" s="5">
        <f>averageResponseTimePorter(Dates!T$8,Dates!T$9,'Day3'!$B37)</f>
        <v>0</v>
      </c>
      <c r="U37" s="5">
        <f>averageResponseTimePorter(Dates!$C$8,Dates!$T$9,'Day3'!$B14)</f>
        <v>0</v>
      </c>
    </row>
    <row r="38" spans="2:21" x14ac:dyDescent="0.3">
      <c r="B38" s="7" t="str">
        <f t="shared" si="0"/>
        <v>NA15</v>
      </c>
      <c r="C38" s="5">
        <f>averageResponseTimePorter(Dates!C$8,Dates!C$9,'Day3'!$B38)</f>
        <v>0</v>
      </c>
      <c r="D38" s="5">
        <f>averageResponseTimePorter(Dates!D$8,Dates!D$9,'Day3'!$B38)</f>
        <v>0</v>
      </c>
      <c r="E38" s="5">
        <f>averageResponseTimePorter(Dates!E$8,Dates!E$9,'Day3'!$B38)</f>
        <v>0</v>
      </c>
      <c r="F38" s="5">
        <f>averageResponseTimePorter(Dates!F$8,Dates!F$9,'Day3'!$B38)</f>
        <v>0</v>
      </c>
      <c r="G38" s="5">
        <f>averageResponseTimePorter(Dates!G$8,Dates!G$9,'Day3'!$B38)</f>
        <v>0</v>
      </c>
      <c r="H38" s="5">
        <f>averageResponseTimePorter(Dates!H$8,Dates!H$9,'Day3'!$B38)</f>
        <v>0</v>
      </c>
      <c r="I38" s="5">
        <f>averageResponseTimePorter(Dates!I$8,Dates!I$9,'Day3'!$B38)</f>
        <v>0</v>
      </c>
      <c r="J38" s="5">
        <f>averageResponseTimePorter(Dates!J$8,Dates!J$9,'Day3'!$B38)</f>
        <v>0</v>
      </c>
      <c r="K38" s="5">
        <f>averageResponseTimePorter(Dates!K$8,Dates!K$9,'Day3'!$B38)</f>
        <v>0</v>
      </c>
      <c r="L38" s="5">
        <f>averageResponseTimePorter(Dates!L$8,Dates!L$9,'Day3'!$B38)</f>
        <v>0</v>
      </c>
      <c r="M38" s="5">
        <f>averageResponseTimePorter(Dates!M$8,Dates!M$9,'Day3'!$B38)</f>
        <v>0</v>
      </c>
      <c r="N38" s="5">
        <f>averageResponseTimePorter(Dates!N$8,Dates!N$9,'Day3'!$B38)</f>
        <v>0</v>
      </c>
      <c r="O38" s="5">
        <f>averageResponseTimePorter(Dates!O$8,Dates!O$9,'Day3'!$B38)</f>
        <v>0</v>
      </c>
      <c r="P38" s="5">
        <f>averageResponseTimePorter(Dates!P$8,Dates!P$9,'Day3'!$B38)</f>
        <v>0</v>
      </c>
      <c r="Q38" s="5">
        <f>averageResponseTimePorter(Dates!Q$8,Dates!Q$9,'Day3'!$B38)</f>
        <v>0</v>
      </c>
      <c r="R38" s="5">
        <f>averageResponseTimePorter(Dates!R$8,Dates!R$9,'Day3'!$B38)</f>
        <v>0</v>
      </c>
      <c r="S38" s="5">
        <f>averageResponseTimePorter(Dates!S$8,Dates!S$9,'Day3'!$B38)</f>
        <v>0</v>
      </c>
      <c r="T38" s="5">
        <f>averageResponseTimePorter(Dates!T$8,Dates!T$9,'Day3'!$B38)</f>
        <v>0</v>
      </c>
      <c r="U38" s="5">
        <f>averageResponseTimePorter(Dates!$C$8,Dates!$T$9,'Day3'!$B15)</f>
        <v>0</v>
      </c>
    </row>
    <row r="39" spans="2:21" x14ac:dyDescent="0.3">
      <c r="B39" s="7" t="str">
        <f t="shared" si="0"/>
        <v>NA16</v>
      </c>
      <c r="C39" s="5">
        <f>averageResponseTimePorter(Dates!C$8,Dates!C$9,'Day3'!$B39)</f>
        <v>0</v>
      </c>
      <c r="D39" s="5">
        <f>averageResponseTimePorter(Dates!D$8,Dates!D$9,'Day3'!$B39)</f>
        <v>0</v>
      </c>
      <c r="E39" s="5">
        <f>averageResponseTimePorter(Dates!E$8,Dates!E$9,'Day3'!$B39)</f>
        <v>0</v>
      </c>
      <c r="F39" s="5">
        <f>averageResponseTimePorter(Dates!F$8,Dates!F$9,'Day3'!$B39)</f>
        <v>0</v>
      </c>
      <c r="G39" s="5">
        <f>averageResponseTimePorter(Dates!G$8,Dates!G$9,'Day3'!$B39)</f>
        <v>0</v>
      </c>
      <c r="H39" s="5">
        <f>averageResponseTimePorter(Dates!H$8,Dates!H$9,'Day3'!$B39)</f>
        <v>0</v>
      </c>
      <c r="I39" s="5">
        <f>averageResponseTimePorter(Dates!I$8,Dates!I$9,'Day3'!$B39)</f>
        <v>0</v>
      </c>
      <c r="J39" s="5">
        <f>averageResponseTimePorter(Dates!J$8,Dates!J$9,'Day3'!$B39)</f>
        <v>0</v>
      </c>
      <c r="K39" s="5">
        <f>averageResponseTimePorter(Dates!K$8,Dates!K$9,'Day3'!$B39)</f>
        <v>0</v>
      </c>
      <c r="L39" s="5">
        <f>averageResponseTimePorter(Dates!L$8,Dates!L$9,'Day3'!$B39)</f>
        <v>0</v>
      </c>
      <c r="M39" s="5">
        <f>averageResponseTimePorter(Dates!M$8,Dates!M$9,'Day3'!$B39)</f>
        <v>0</v>
      </c>
      <c r="N39" s="5">
        <f>averageResponseTimePorter(Dates!N$8,Dates!N$9,'Day3'!$B39)</f>
        <v>0</v>
      </c>
      <c r="O39" s="5">
        <f>averageResponseTimePorter(Dates!O$8,Dates!O$9,'Day3'!$B39)</f>
        <v>0</v>
      </c>
      <c r="P39" s="5">
        <f>averageResponseTimePorter(Dates!P$8,Dates!P$9,'Day3'!$B39)</f>
        <v>0</v>
      </c>
      <c r="Q39" s="5">
        <f>averageResponseTimePorter(Dates!Q$8,Dates!Q$9,'Day3'!$B39)</f>
        <v>0</v>
      </c>
      <c r="R39" s="5">
        <f>averageResponseTimePorter(Dates!R$8,Dates!R$9,'Day3'!$B39)</f>
        <v>0</v>
      </c>
      <c r="S39" s="5">
        <f>averageResponseTimePorter(Dates!S$8,Dates!S$9,'Day3'!$B39)</f>
        <v>0</v>
      </c>
      <c r="T39" s="5">
        <f>averageResponseTimePorter(Dates!T$8,Dates!T$9,'Day3'!$B39)</f>
        <v>0</v>
      </c>
      <c r="U39" s="5">
        <f>averageResponseTimePorter(Dates!$C$8,Dates!$T$9,'Day3'!$B16)</f>
        <v>0</v>
      </c>
    </row>
    <row r="40" spans="2:21" x14ac:dyDescent="0.3">
      <c r="B40" s="7" t="str">
        <f t="shared" si="0"/>
        <v>NA17</v>
      </c>
      <c r="C40" s="5">
        <f>averageResponseTimePorter(Dates!C$8,Dates!C$9,'Day3'!$B40)</f>
        <v>0</v>
      </c>
      <c r="D40" s="5">
        <f>averageResponseTimePorter(Dates!D$8,Dates!D$9,'Day3'!$B40)</f>
        <v>0</v>
      </c>
      <c r="E40" s="5">
        <f>averageResponseTimePorter(Dates!E$8,Dates!E$9,'Day3'!$B40)</f>
        <v>0</v>
      </c>
      <c r="F40" s="5">
        <f>averageResponseTimePorter(Dates!F$8,Dates!F$9,'Day3'!$B40)</f>
        <v>0</v>
      </c>
      <c r="G40" s="5">
        <f>averageResponseTimePorter(Dates!G$8,Dates!G$9,'Day3'!$B40)</f>
        <v>0</v>
      </c>
      <c r="H40" s="5">
        <f>averageResponseTimePorter(Dates!H$8,Dates!H$9,'Day3'!$B40)</f>
        <v>0</v>
      </c>
      <c r="I40" s="5">
        <f>averageResponseTimePorter(Dates!I$8,Dates!I$9,'Day3'!$B40)</f>
        <v>0</v>
      </c>
      <c r="J40" s="5">
        <f>averageResponseTimePorter(Dates!J$8,Dates!J$9,'Day3'!$B40)</f>
        <v>0</v>
      </c>
      <c r="K40" s="5">
        <f>averageResponseTimePorter(Dates!K$8,Dates!K$9,'Day3'!$B40)</f>
        <v>0</v>
      </c>
      <c r="L40" s="5">
        <f>averageResponseTimePorter(Dates!L$8,Dates!L$9,'Day3'!$B40)</f>
        <v>0</v>
      </c>
      <c r="M40" s="5">
        <f>averageResponseTimePorter(Dates!M$8,Dates!M$9,'Day3'!$B40)</f>
        <v>0</v>
      </c>
      <c r="N40" s="5">
        <f>averageResponseTimePorter(Dates!N$8,Dates!N$9,'Day3'!$B40)</f>
        <v>0</v>
      </c>
      <c r="O40" s="5">
        <f>averageResponseTimePorter(Dates!O$8,Dates!O$9,'Day3'!$B40)</f>
        <v>0</v>
      </c>
      <c r="P40" s="5">
        <f>averageResponseTimePorter(Dates!P$8,Dates!P$9,'Day3'!$B40)</f>
        <v>0</v>
      </c>
      <c r="Q40" s="5">
        <f>averageResponseTimePorter(Dates!Q$8,Dates!Q$9,'Day3'!$B40)</f>
        <v>0</v>
      </c>
      <c r="R40" s="5">
        <f>averageResponseTimePorter(Dates!R$8,Dates!R$9,'Day3'!$B40)</f>
        <v>0</v>
      </c>
      <c r="S40" s="5">
        <f>averageResponseTimePorter(Dates!S$8,Dates!S$9,'Day3'!$B40)</f>
        <v>0</v>
      </c>
      <c r="T40" s="5">
        <f>averageResponseTimePorter(Dates!T$8,Dates!T$9,'Day3'!$B40)</f>
        <v>0</v>
      </c>
      <c r="U40" s="5">
        <f>averageResponseTimePorter(Dates!$C$8,Dates!$T$9,'Day3'!$B17)</f>
        <v>0</v>
      </c>
    </row>
    <row r="41" spans="2:21" x14ac:dyDescent="0.3">
      <c r="B41" s="7" t="str">
        <f t="shared" si="0"/>
        <v>NA18</v>
      </c>
      <c r="C41" s="5">
        <f>averageResponseTimePorter(Dates!C$8,Dates!C$9,'Day3'!$B41)</f>
        <v>0</v>
      </c>
      <c r="D41" s="5">
        <f>averageResponseTimePorter(Dates!D$8,Dates!D$9,'Day3'!$B41)</f>
        <v>0</v>
      </c>
      <c r="E41" s="5">
        <f>averageResponseTimePorter(Dates!E$8,Dates!E$9,'Day3'!$B41)</f>
        <v>0</v>
      </c>
      <c r="F41" s="5">
        <f>averageResponseTimePorter(Dates!F$8,Dates!F$9,'Day3'!$B41)</f>
        <v>0</v>
      </c>
      <c r="G41" s="5">
        <f>averageResponseTimePorter(Dates!G$8,Dates!G$9,'Day3'!$B41)</f>
        <v>0</v>
      </c>
      <c r="H41" s="5">
        <f>averageResponseTimePorter(Dates!H$8,Dates!H$9,'Day3'!$B41)</f>
        <v>0</v>
      </c>
      <c r="I41" s="5">
        <f>averageResponseTimePorter(Dates!I$8,Dates!I$9,'Day3'!$B41)</f>
        <v>0</v>
      </c>
      <c r="J41" s="5">
        <f>averageResponseTimePorter(Dates!J$8,Dates!J$9,'Day3'!$B41)</f>
        <v>0</v>
      </c>
      <c r="K41" s="5">
        <f>averageResponseTimePorter(Dates!K$8,Dates!K$9,'Day3'!$B41)</f>
        <v>0</v>
      </c>
      <c r="L41" s="5">
        <f>averageResponseTimePorter(Dates!L$8,Dates!L$9,'Day3'!$B41)</f>
        <v>0</v>
      </c>
      <c r="M41" s="5">
        <f>averageResponseTimePorter(Dates!M$8,Dates!M$9,'Day3'!$B41)</f>
        <v>0</v>
      </c>
      <c r="N41" s="5">
        <f>averageResponseTimePorter(Dates!N$8,Dates!N$9,'Day3'!$B41)</f>
        <v>0</v>
      </c>
      <c r="O41" s="5">
        <f>averageResponseTimePorter(Dates!O$8,Dates!O$9,'Day3'!$B41)</f>
        <v>0</v>
      </c>
      <c r="P41" s="5">
        <f>averageResponseTimePorter(Dates!P$8,Dates!P$9,'Day3'!$B41)</f>
        <v>0</v>
      </c>
      <c r="Q41" s="5">
        <f>averageResponseTimePorter(Dates!Q$8,Dates!Q$9,'Day3'!$B41)</f>
        <v>0</v>
      </c>
      <c r="R41" s="5">
        <f>averageResponseTimePorter(Dates!R$8,Dates!R$9,'Day3'!$B41)</f>
        <v>0</v>
      </c>
      <c r="S41" s="5">
        <f>averageResponseTimePorter(Dates!S$8,Dates!S$9,'Day3'!$B41)</f>
        <v>0</v>
      </c>
      <c r="T41" s="5">
        <f>averageResponseTimePorter(Dates!T$8,Dates!T$9,'Day3'!$B41)</f>
        <v>0</v>
      </c>
      <c r="U41" s="5">
        <f>averageResponseTimePorter(Dates!$C$8,Dates!$T$9,'Day3'!$B18)</f>
        <v>0</v>
      </c>
    </row>
    <row r="42" spans="2:21" x14ac:dyDescent="0.3">
      <c r="B42" s="7" t="str">
        <f t="shared" si="0"/>
        <v>NA19</v>
      </c>
      <c r="C42" s="5">
        <f>averageResponseTimePorter(Dates!C$8,Dates!C$9,'Day3'!$B42)</f>
        <v>0</v>
      </c>
      <c r="D42" s="5">
        <f>averageResponseTimePorter(Dates!D$8,Dates!D$9,'Day3'!$B42)</f>
        <v>0</v>
      </c>
      <c r="E42" s="5">
        <f>averageResponseTimePorter(Dates!E$8,Dates!E$9,'Day3'!$B42)</f>
        <v>0</v>
      </c>
      <c r="F42" s="5">
        <f>averageResponseTimePorter(Dates!F$8,Dates!F$9,'Day3'!$B42)</f>
        <v>0</v>
      </c>
      <c r="G42" s="5">
        <f>averageResponseTimePorter(Dates!G$8,Dates!G$9,'Day3'!$B42)</f>
        <v>0</v>
      </c>
      <c r="H42" s="5">
        <f>averageResponseTimePorter(Dates!H$8,Dates!H$9,'Day3'!$B42)</f>
        <v>0</v>
      </c>
      <c r="I42" s="5">
        <f>averageResponseTimePorter(Dates!I$8,Dates!I$9,'Day3'!$B42)</f>
        <v>0</v>
      </c>
      <c r="J42" s="5">
        <f>averageResponseTimePorter(Dates!J$8,Dates!J$9,'Day3'!$B42)</f>
        <v>0</v>
      </c>
      <c r="K42" s="5">
        <f>averageResponseTimePorter(Dates!K$8,Dates!K$9,'Day3'!$B42)</f>
        <v>0</v>
      </c>
      <c r="L42" s="5">
        <f>averageResponseTimePorter(Dates!L$8,Dates!L$9,'Day3'!$B42)</f>
        <v>0</v>
      </c>
      <c r="M42" s="5">
        <f>averageResponseTimePorter(Dates!M$8,Dates!M$9,'Day3'!$B42)</f>
        <v>0</v>
      </c>
      <c r="N42" s="5">
        <f>averageResponseTimePorter(Dates!N$8,Dates!N$9,'Day3'!$B42)</f>
        <v>0</v>
      </c>
      <c r="O42" s="5">
        <f>averageResponseTimePorter(Dates!O$8,Dates!O$9,'Day3'!$B42)</f>
        <v>0</v>
      </c>
      <c r="P42" s="5">
        <f>averageResponseTimePorter(Dates!P$8,Dates!P$9,'Day3'!$B42)</f>
        <v>0</v>
      </c>
      <c r="Q42" s="5">
        <f>averageResponseTimePorter(Dates!Q$8,Dates!Q$9,'Day3'!$B42)</f>
        <v>0</v>
      </c>
      <c r="R42" s="5">
        <f>averageResponseTimePorter(Dates!R$8,Dates!R$9,'Day3'!$B42)</f>
        <v>0</v>
      </c>
      <c r="S42" s="5">
        <f>averageResponseTimePorter(Dates!S$8,Dates!S$9,'Day3'!$B42)</f>
        <v>0</v>
      </c>
      <c r="T42" s="5">
        <f>averageResponseTimePorter(Dates!T$8,Dates!T$9,'Day3'!$B42)</f>
        <v>0</v>
      </c>
      <c r="U42" s="5">
        <f>averageResponseTimePorter(Dates!$C$8,Dates!$T$9,'Day3'!$B19)</f>
        <v>0</v>
      </c>
    </row>
    <row r="43" spans="2:21" x14ac:dyDescent="0.3">
      <c r="B43" s="7" t="str">
        <f t="shared" si="0"/>
        <v>NA20</v>
      </c>
      <c r="C43" s="5">
        <f>averageResponseTimePorter(Dates!C$8,Dates!C$9,'Day3'!$B43)</f>
        <v>0</v>
      </c>
      <c r="D43" s="5">
        <f>averageResponseTimePorter(Dates!D$8,Dates!D$9,'Day3'!$B43)</f>
        <v>0</v>
      </c>
      <c r="E43" s="5">
        <f>averageResponseTimePorter(Dates!E$8,Dates!E$9,'Day3'!$B43)</f>
        <v>0</v>
      </c>
      <c r="F43" s="5">
        <f>averageResponseTimePorter(Dates!F$8,Dates!F$9,'Day3'!$B43)</f>
        <v>0</v>
      </c>
      <c r="G43" s="5">
        <f>averageResponseTimePorter(Dates!G$8,Dates!G$9,'Day3'!$B43)</f>
        <v>0</v>
      </c>
      <c r="H43" s="5">
        <f>averageResponseTimePorter(Dates!H$8,Dates!H$9,'Day3'!$B43)</f>
        <v>0</v>
      </c>
      <c r="I43" s="5">
        <f>averageResponseTimePorter(Dates!I$8,Dates!I$9,'Day3'!$B43)</f>
        <v>0</v>
      </c>
      <c r="J43" s="5">
        <f>averageResponseTimePorter(Dates!J$8,Dates!J$9,'Day3'!$B43)</f>
        <v>0</v>
      </c>
      <c r="K43" s="5">
        <f>averageResponseTimePorter(Dates!K$8,Dates!K$9,'Day3'!$B43)</f>
        <v>0</v>
      </c>
      <c r="L43" s="5">
        <f>averageResponseTimePorter(Dates!L$8,Dates!L$9,'Day3'!$B43)</f>
        <v>0</v>
      </c>
      <c r="M43" s="5">
        <f>averageResponseTimePorter(Dates!M$8,Dates!M$9,'Day3'!$B43)</f>
        <v>0</v>
      </c>
      <c r="N43" s="5">
        <f>averageResponseTimePorter(Dates!N$8,Dates!N$9,'Day3'!$B43)</f>
        <v>0</v>
      </c>
      <c r="O43" s="5">
        <f>averageResponseTimePorter(Dates!O$8,Dates!O$9,'Day3'!$B43)</f>
        <v>0</v>
      </c>
      <c r="P43" s="5">
        <f>averageResponseTimePorter(Dates!P$8,Dates!P$9,'Day3'!$B43)</f>
        <v>0</v>
      </c>
      <c r="Q43" s="5">
        <f>averageResponseTimePorter(Dates!Q$8,Dates!Q$9,'Day3'!$B43)</f>
        <v>0</v>
      </c>
      <c r="R43" s="5">
        <f>averageResponseTimePorter(Dates!R$8,Dates!R$9,'Day3'!$B43)</f>
        <v>0</v>
      </c>
      <c r="S43" s="5">
        <f>averageResponseTimePorter(Dates!S$8,Dates!S$9,'Day3'!$B43)</f>
        <v>0</v>
      </c>
      <c r="T43" s="5">
        <f>averageResponseTimePorter(Dates!T$8,Dates!T$9,'Day3'!$B43)</f>
        <v>0</v>
      </c>
      <c r="U43" s="5">
        <f>averageResponseTimePorter(Dates!$C$8,Dates!$T$9,'Day3'!$B20)</f>
        <v>0</v>
      </c>
    </row>
    <row r="44" spans="2:21" x14ac:dyDescent="0.3">
      <c r="B44" s="7" t="str">
        <f t="shared" si="0"/>
        <v>NA21</v>
      </c>
      <c r="C44" s="5">
        <f>averageResponseTimePorter(Dates!C$8,Dates!C$9,'Day3'!$B44)</f>
        <v>0</v>
      </c>
      <c r="D44" s="5">
        <f>averageResponseTimePorter(Dates!D$8,Dates!D$9,'Day3'!$B44)</f>
        <v>0</v>
      </c>
      <c r="E44" s="5">
        <f>averageResponseTimePorter(Dates!E$8,Dates!E$9,'Day3'!$B44)</f>
        <v>0</v>
      </c>
      <c r="F44" s="5">
        <f>averageResponseTimePorter(Dates!F$8,Dates!F$9,'Day3'!$B44)</f>
        <v>0</v>
      </c>
      <c r="G44" s="5">
        <f>averageResponseTimePorter(Dates!G$8,Dates!G$9,'Day3'!$B44)</f>
        <v>0</v>
      </c>
      <c r="H44" s="5">
        <f>averageResponseTimePorter(Dates!H$8,Dates!H$9,'Day3'!$B44)</f>
        <v>0</v>
      </c>
      <c r="I44" s="5">
        <f>averageResponseTimePorter(Dates!I$8,Dates!I$9,'Day3'!$B44)</f>
        <v>0</v>
      </c>
      <c r="J44" s="5">
        <f>averageResponseTimePorter(Dates!J$8,Dates!J$9,'Day3'!$B44)</f>
        <v>0</v>
      </c>
      <c r="K44" s="5">
        <f>averageResponseTimePorter(Dates!K$8,Dates!K$9,'Day3'!$B44)</f>
        <v>0</v>
      </c>
      <c r="L44" s="5">
        <f>averageResponseTimePorter(Dates!L$8,Dates!L$9,'Day3'!$B44)</f>
        <v>0</v>
      </c>
      <c r="M44" s="5">
        <f>averageResponseTimePorter(Dates!M$8,Dates!M$9,'Day3'!$B44)</f>
        <v>0</v>
      </c>
      <c r="N44" s="5">
        <f>averageResponseTimePorter(Dates!N$8,Dates!N$9,'Day3'!$B44)</f>
        <v>0</v>
      </c>
      <c r="O44" s="5">
        <f>averageResponseTimePorter(Dates!O$8,Dates!O$9,'Day3'!$B44)</f>
        <v>0</v>
      </c>
      <c r="P44" s="5">
        <f>averageResponseTimePorter(Dates!P$8,Dates!P$9,'Day3'!$B44)</f>
        <v>0</v>
      </c>
      <c r="Q44" s="5">
        <f>averageResponseTimePorter(Dates!Q$8,Dates!Q$9,'Day3'!$B44)</f>
        <v>0</v>
      </c>
      <c r="R44" s="5">
        <f>averageResponseTimePorter(Dates!R$8,Dates!R$9,'Day3'!$B44)</f>
        <v>0</v>
      </c>
      <c r="S44" s="5">
        <f>averageResponseTimePorter(Dates!S$8,Dates!S$9,'Day3'!$B44)</f>
        <v>0</v>
      </c>
      <c r="T44" s="5">
        <f>averageResponseTimePorter(Dates!T$8,Dates!T$9,'Day3'!$B44)</f>
        <v>0</v>
      </c>
      <c r="U44" s="5">
        <f>averageResponseTimePorter(Dates!$C$8,Dates!$T$9,'Day3'!$B21)</f>
        <v>0</v>
      </c>
    </row>
    <row r="45" spans="2:21" x14ac:dyDescent="0.3">
      <c r="B45" s="7" t="str">
        <f t="shared" si="0"/>
        <v>NA22</v>
      </c>
      <c r="C45" s="5">
        <f>averageResponseTimePorter(Dates!C$8,Dates!C$9,'Day3'!$B45)</f>
        <v>0</v>
      </c>
      <c r="D45" s="5">
        <f>averageResponseTimePorter(Dates!D$8,Dates!D$9,'Day3'!$B45)</f>
        <v>0</v>
      </c>
      <c r="E45" s="5">
        <f>averageResponseTimePorter(Dates!E$8,Dates!E$9,'Day3'!$B45)</f>
        <v>0</v>
      </c>
      <c r="F45" s="5">
        <f>averageResponseTimePorter(Dates!F$8,Dates!F$9,'Day3'!$B45)</f>
        <v>0</v>
      </c>
      <c r="G45" s="5">
        <f>averageResponseTimePorter(Dates!G$8,Dates!G$9,'Day3'!$B45)</f>
        <v>0</v>
      </c>
      <c r="H45" s="5">
        <f>averageResponseTimePorter(Dates!H$8,Dates!H$9,'Day3'!$B45)</f>
        <v>0</v>
      </c>
      <c r="I45" s="5">
        <f>averageResponseTimePorter(Dates!I$8,Dates!I$9,'Day3'!$B45)</f>
        <v>0</v>
      </c>
      <c r="J45" s="5">
        <f>averageResponseTimePorter(Dates!J$8,Dates!J$9,'Day3'!$B45)</f>
        <v>0</v>
      </c>
      <c r="K45" s="5">
        <f>averageResponseTimePorter(Dates!K$8,Dates!K$9,'Day3'!$B45)</f>
        <v>0</v>
      </c>
      <c r="L45" s="5">
        <f>averageResponseTimePorter(Dates!L$8,Dates!L$9,'Day3'!$B45)</f>
        <v>0</v>
      </c>
      <c r="M45" s="5">
        <f>averageResponseTimePorter(Dates!M$8,Dates!M$9,'Day3'!$B45)</f>
        <v>0</v>
      </c>
      <c r="N45" s="5">
        <f>averageResponseTimePorter(Dates!N$8,Dates!N$9,'Day3'!$B45)</f>
        <v>0</v>
      </c>
      <c r="O45" s="5">
        <f>averageResponseTimePorter(Dates!O$8,Dates!O$9,'Day3'!$B45)</f>
        <v>0</v>
      </c>
      <c r="P45" s="5">
        <f>averageResponseTimePorter(Dates!P$8,Dates!P$9,'Day3'!$B45)</f>
        <v>0</v>
      </c>
      <c r="Q45" s="5">
        <f>averageResponseTimePorter(Dates!Q$8,Dates!Q$9,'Day3'!$B45)</f>
        <v>0</v>
      </c>
      <c r="R45" s="5">
        <f>averageResponseTimePorter(Dates!R$8,Dates!R$9,'Day3'!$B45)</f>
        <v>0</v>
      </c>
      <c r="S45" s="5">
        <f>averageResponseTimePorter(Dates!S$8,Dates!S$9,'Day3'!$B45)</f>
        <v>0</v>
      </c>
      <c r="T45" s="5">
        <f>averageResponseTimePorter(Dates!T$8,Dates!T$9,'Day3'!$B45)</f>
        <v>0</v>
      </c>
      <c r="U45" s="5">
        <f>averageResponseTimePorter(Dates!$C$8,Dates!$T$9,'Day3'!$B22)</f>
        <v>0</v>
      </c>
    </row>
    <row r="46" spans="2:21" x14ac:dyDescent="0.3">
      <c r="B46" s="7" t="str">
        <f t="shared" si="0"/>
        <v>NA23</v>
      </c>
      <c r="C46" s="5">
        <f>averageResponseTimePorter(Dates!C$8,Dates!C$9,'Day3'!$B46)</f>
        <v>0</v>
      </c>
      <c r="D46" s="5">
        <f>averageResponseTimePorter(Dates!D$8,Dates!D$9,'Day3'!$B46)</f>
        <v>0</v>
      </c>
      <c r="E46" s="5">
        <f>averageResponseTimePorter(Dates!E$8,Dates!E$9,'Day3'!$B46)</f>
        <v>0</v>
      </c>
      <c r="F46" s="5">
        <f>averageResponseTimePorter(Dates!F$8,Dates!F$9,'Day3'!$B46)</f>
        <v>0</v>
      </c>
      <c r="G46" s="5">
        <f>averageResponseTimePorter(Dates!G$8,Dates!G$9,'Day3'!$B46)</f>
        <v>0</v>
      </c>
      <c r="H46" s="5">
        <f>averageResponseTimePorter(Dates!H$8,Dates!H$9,'Day3'!$B46)</f>
        <v>0</v>
      </c>
      <c r="I46" s="5">
        <f>averageResponseTimePorter(Dates!I$8,Dates!I$9,'Day3'!$B46)</f>
        <v>0</v>
      </c>
      <c r="J46" s="5">
        <f>averageResponseTimePorter(Dates!J$8,Dates!J$9,'Day3'!$B46)</f>
        <v>0</v>
      </c>
      <c r="K46" s="5">
        <f>averageResponseTimePorter(Dates!K$8,Dates!K$9,'Day3'!$B46)</f>
        <v>0</v>
      </c>
      <c r="L46" s="5">
        <f>averageResponseTimePorter(Dates!L$8,Dates!L$9,'Day3'!$B46)</f>
        <v>0</v>
      </c>
      <c r="M46" s="5">
        <f>averageResponseTimePorter(Dates!M$8,Dates!M$9,'Day3'!$B46)</f>
        <v>0</v>
      </c>
      <c r="N46" s="5">
        <f>averageResponseTimePorter(Dates!N$8,Dates!N$9,'Day3'!$B46)</f>
        <v>0</v>
      </c>
      <c r="O46" s="5">
        <f>averageResponseTimePorter(Dates!O$8,Dates!O$9,'Day3'!$B46)</f>
        <v>0</v>
      </c>
      <c r="P46" s="5">
        <f>averageResponseTimePorter(Dates!P$8,Dates!P$9,'Day3'!$B46)</f>
        <v>0</v>
      </c>
      <c r="Q46" s="5">
        <f>averageResponseTimePorter(Dates!Q$8,Dates!Q$9,'Day3'!$B46)</f>
        <v>0</v>
      </c>
      <c r="R46" s="5">
        <f>averageResponseTimePorter(Dates!R$8,Dates!R$9,'Day3'!$B46)</f>
        <v>0</v>
      </c>
      <c r="S46" s="5">
        <f>averageResponseTimePorter(Dates!S$8,Dates!S$9,'Day3'!$B46)</f>
        <v>0</v>
      </c>
      <c r="T46" s="5">
        <f>averageResponseTimePorter(Dates!T$8,Dates!T$9,'Day3'!$B46)</f>
        <v>0</v>
      </c>
      <c r="U46" s="5">
        <f>averageResponseTimePorter(Dates!$C$8,Dates!$T$9,'Day3'!$B23)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46"/>
  <sheetViews>
    <sheetView topLeftCell="A26" zoomScale="80" zoomScaleNormal="80" workbookViewId="0">
      <selection activeCell="B26" sqref="B26:B46"/>
    </sheetView>
  </sheetViews>
  <sheetFormatPr defaultRowHeight="14.4" x14ac:dyDescent="0.3"/>
  <cols>
    <col min="2" max="2" width="27.21875" style="7" customWidth="1"/>
    <col min="7" max="7" width="10.21875" customWidth="1"/>
  </cols>
  <sheetData>
    <row r="1" spans="1:21" x14ac:dyDescent="0.3">
      <c r="C1" s="3" t="s">
        <v>2</v>
      </c>
      <c r="D1" s="4">
        <v>7</v>
      </c>
      <c r="E1" s="4">
        <v>8</v>
      </c>
      <c r="F1" s="4">
        <v>9</v>
      </c>
      <c r="G1" s="4">
        <v>10</v>
      </c>
      <c r="H1" s="4">
        <v>11</v>
      </c>
      <c r="I1" s="4">
        <v>12</v>
      </c>
      <c r="J1" s="4">
        <v>13</v>
      </c>
      <c r="K1" s="4">
        <v>14</v>
      </c>
      <c r="L1" s="4">
        <v>15</v>
      </c>
      <c r="M1" s="4">
        <v>16</v>
      </c>
      <c r="N1" s="4">
        <v>17</v>
      </c>
      <c r="O1" s="4">
        <v>18</v>
      </c>
      <c r="P1" s="4">
        <v>19</v>
      </c>
      <c r="Q1" s="4">
        <v>20</v>
      </c>
      <c r="R1" s="4">
        <v>21</v>
      </c>
      <c r="S1" s="4">
        <v>22</v>
      </c>
      <c r="T1" s="4">
        <v>23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averageCompletionTime(Dates!C10,Dates!C11)</f>
        <v>0</v>
      </c>
      <c r="D2" s="5">
        <f>averageCompletionTime(Dates!D10,Dates!D11)</f>
        <v>0</v>
      </c>
      <c r="E2" s="5">
        <f>averageCompletionTime(Dates!E10,Dates!E11)</f>
        <v>0</v>
      </c>
      <c r="F2" s="5">
        <f>averageCompletionTime(Dates!F10,Dates!F11)</f>
        <v>0</v>
      </c>
      <c r="G2" s="5">
        <f>averageCompletionTime(Dates!G10,Dates!G11)</f>
        <v>0</v>
      </c>
      <c r="H2" s="5">
        <f>averageCompletionTime(Dates!H10,Dates!H11)</f>
        <v>0</v>
      </c>
      <c r="I2" s="5">
        <f>averageCompletionTime(Dates!I10,Dates!I11)</f>
        <v>0</v>
      </c>
      <c r="J2" s="5">
        <f>averageCompletionTime(Dates!J10,Dates!J11)</f>
        <v>0</v>
      </c>
      <c r="K2" s="5">
        <f>averageCompletionTime(Dates!K10,Dates!K11)</f>
        <v>0</v>
      </c>
      <c r="L2" s="5">
        <f>averageCompletionTime(Dates!L10,Dates!L11)</f>
        <v>0</v>
      </c>
      <c r="M2" s="5">
        <f>averageCompletionTime(Dates!M10,Dates!M11)</f>
        <v>0</v>
      </c>
      <c r="N2" s="5">
        <f>averageCompletionTime(Dates!N10,Dates!N11)</f>
        <v>0</v>
      </c>
      <c r="O2" s="5">
        <f>averageCompletionTime(Dates!O10,Dates!O11)</f>
        <v>0</v>
      </c>
      <c r="P2" s="5">
        <f>averageCompletionTime(Dates!P10,Dates!P11)</f>
        <v>0</v>
      </c>
      <c r="Q2" s="5">
        <f>averageCompletionTime(Dates!Q10,Dates!Q11)</f>
        <v>0</v>
      </c>
      <c r="R2" s="5">
        <f>averageCompletionTime(Dates!R10,Dates!R11)</f>
        <v>0</v>
      </c>
      <c r="S2" s="5">
        <f>averageCompletionTime(Dates!S10,Dates!S11)</f>
        <v>0</v>
      </c>
      <c r="T2" s="5">
        <f>averageCompletionTime(Dates!T10,Dates!T11)</f>
        <v>0</v>
      </c>
      <c r="U2" s="5">
        <f>averageCompletionTime(Dates!C10,Dates!T11)</f>
        <v>0</v>
      </c>
    </row>
    <row r="3" spans="1:21" x14ac:dyDescent="0.3">
      <c r="A3" s="6" t="s">
        <v>5</v>
      </c>
      <c r="B3" s="8">
        <v>1</v>
      </c>
      <c r="C3" s="5">
        <f>averageCompletionTimePorter(Dates!C$10,Dates!C$11,'Day4'!$B3)</f>
        <v>0</v>
      </c>
      <c r="D3" s="5">
        <f>averageCompletionTimePorter(Dates!D$10,Dates!D$11,'Day4'!$B3)</f>
        <v>0</v>
      </c>
      <c r="E3" s="5">
        <f>averageCompletionTimePorter(Dates!E$10,Dates!E$11,'Day4'!$B3)</f>
        <v>0</v>
      </c>
      <c r="F3" s="5">
        <f>averageCompletionTimePorter(Dates!F$10,Dates!F$11,'Day4'!$B3)</f>
        <v>0</v>
      </c>
      <c r="G3" s="5">
        <f>averageCompletionTimePorter(Dates!G$10,Dates!G$11,'Day4'!$B3)</f>
        <v>0</v>
      </c>
      <c r="H3" s="5">
        <f>averageCompletionTimePorter(Dates!H$10,Dates!H$11,'Day4'!$B3)</f>
        <v>0</v>
      </c>
      <c r="I3" s="5">
        <f>averageCompletionTimePorter(Dates!I$10,Dates!I$11,'Day4'!$B3)</f>
        <v>0</v>
      </c>
      <c r="J3" s="5">
        <f>averageCompletionTimePorter(Dates!J$10,Dates!J$11,'Day4'!$B3)</f>
        <v>0</v>
      </c>
      <c r="K3" s="5">
        <f>averageCompletionTimePorter(Dates!K$10,Dates!K$11,'Day4'!$B3)</f>
        <v>0</v>
      </c>
      <c r="L3" s="5">
        <f>averageCompletionTimePorter(Dates!L$10,Dates!L$11,'Day4'!$B3)</f>
        <v>0</v>
      </c>
      <c r="M3" s="5">
        <f>averageCompletionTimePorter(Dates!M$10,Dates!M$11,'Day4'!$B3)</f>
        <v>0</v>
      </c>
      <c r="N3" s="5">
        <f>averageCompletionTimePorter(Dates!N$10,Dates!N$11,'Day4'!$B3)</f>
        <v>0</v>
      </c>
      <c r="O3" s="5">
        <f>averageCompletionTimePorter(Dates!O$10,Dates!O$11,'Day4'!$B3)</f>
        <v>0</v>
      </c>
      <c r="P3" s="5">
        <f>averageCompletionTimePorter(Dates!P$10,Dates!P$11,'Day4'!$B3)</f>
        <v>0</v>
      </c>
      <c r="Q3" s="5">
        <f>averageCompletionTimePorter(Dates!Q$10,Dates!Q$11,'Day4'!$B3)</f>
        <v>0</v>
      </c>
      <c r="R3" s="5">
        <f>averageCompletionTimePorter(Dates!R$10,Dates!R$11,'Day4'!$B3)</f>
        <v>0</v>
      </c>
      <c r="S3" s="5">
        <f>averageCompletionTimePorter(Dates!S$10,Dates!S$11,'Day4'!$B3)</f>
        <v>0</v>
      </c>
      <c r="T3" s="5">
        <f>averageCompletionTimePorter(Dates!T$10,Dates!T$11,'Day4'!$B3)</f>
        <v>0</v>
      </c>
      <c r="U3" s="5">
        <f>averageCompletionTimePorter(Dates!$C$10,Dates!$T$11,'Day4'!$B3)</f>
        <v>0</v>
      </c>
    </row>
    <row r="4" spans="1:21" x14ac:dyDescent="0.3">
      <c r="A4" s="6"/>
      <c r="B4" s="8">
        <v>0</v>
      </c>
      <c r="C4" s="5">
        <f>averageCompletionTimePorter(Dates!C$10,Dates!C$11,'Day4'!$B4)</f>
        <v>0</v>
      </c>
      <c r="D4" s="5">
        <f>averageCompletionTimePorter(Dates!D$10,Dates!D$11,'Day4'!$B4)</f>
        <v>0</v>
      </c>
      <c r="E4" s="5">
        <f>averageCompletionTimePorter(Dates!E$10,Dates!E$11,'Day4'!$B4)</f>
        <v>0</v>
      </c>
      <c r="F4" s="5">
        <f>averageCompletionTimePorter(Dates!F$10,Dates!F$11,'Day4'!$B4)</f>
        <v>0</v>
      </c>
      <c r="G4" s="5">
        <f>averageCompletionTimePorter(Dates!G$10,Dates!G$11,'Day4'!$B4)</f>
        <v>0</v>
      </c>
      <c r="H4" s="5">
        <f>averageCompletionTimePorter(Dates!H$10,Dates!H$11,'Day4'!$B4)</f>
        <v>0</v>
      </c>
      <c r="I4" s="5">
        <f>averageCompletionTimePorter(Dates!I$10,Dates!I$11,'Day4'!$B4)</f>
        <v>0</v>
      </c>
      <c r="J4" s="5">
        <f>averageCompletionTimePorter(Dates!J$10,Dates!J$11,'Day4'!$B4)</f>
        <v>0</v>
      </c>
      <c r="K4" s="5">
        <f>averageCompletionTimePorter(Dates!K$10,Dates!K$11,'Day4'!$B4)</f>
        <v>0</v>
      </c>
      <c r="L4" s="5">
        <f>averageCompletionTimePorter(Dates!L$10,Dates!L$11,'Day4'!$B4)</f>
        <v>0</v>
      </c>
      <c r="M4" s="5">
        <f>averageCompletionTimePorter(Dates!M$10,Dates!M$11,'Day4'!$B4)</f>
        <v>0</v>
      </c>
      <c r="N4" s="5">
        <f>averageCompletionTimePorter(Dates!N$10,Dates!N$11,'Day4'!$B4)</f>
        <v>0</v>
      </c>
      <c r="O4" s="5">
        <f>averageCompletionTimePorter(Dates!O$10,Dates!O$11,'Day4'!$B4)</f>
        <v>0</v>
      </c>
      <c r="P4" s="5">
        <f>averageCompletionTimePorter(Dates!P$10,Dates!P$11,'Day4'!$B4)</f>
        <v>0</v>
      </c>
      <c r="Q4" s="5">
        <f>averageCompletionTimePorter(Dates!Q$10,Dates!Q$11,'Day4'!$B4)</f>
        <v>0</v>
      </c>
      <c r="R4" s="5">
        <f>averageCompletionTimePorter(Dates!R$10,Dates!R$11,'Day4'!$B4)</f>
        <v>0</v>
      </c>
      <c r="S4" s="5">
        <f>averageCompletionTimePorter(Dates!S$10,Dates!S$11,'Day4'!$B4)</f>
        <v>0</v>
      </c>
      <c r="T4" s="5">
        <f>averageCompletionTimePorter(Dates!T$10,Dates!T$11,'Day4'!$B4)</f>
        <v>0</v>
      </c>
      <c r="U4" s="5">
        <f>averageCompletionTimePorter(Dates!$C$10,Dates!$T$11,'Day4'!$B4)</f>
        <v>0</v>
      </c>
    </row>
    <row r="5" spans="1:21" x14ac:dyDescent="0.3">
      <c r="A5" s="6"/>
      <c r="B5" s="8">
        <v>3</v>
      </c>
      <c r="C5" s="5">
        <f>averageCompletionTimePorter(Dates!C$10,Dates!C$11,'Day4'!$B5)</f>
        <v>0</v>
      </c>
      <c r="D5" s="5">
        <f>averageCompletionTimePorter(Dates!D$10,Dates!D$11,'Day4'!$B5)</f>
        <v>0</v>
      </c>
      <c r="E5" s="5">
        <f>averageCompletionTimePorter(Dates!E$10,Dates!E$11,'Day4'!$B5)</f>
        <v>0</v>
      </c>
      <c r="F5" s="5">
        <f>averageCompletionTimePorter(Dates!F$10,Dates!F$11,'Day4'!$B5)</f>
        <v>0</v>
      </c>
      <c r="G5" s="5">
        <f>averageCompletionTimePorter(Dates!G$10,Dates!G$11,'Day4'!$B5)</f>
        <v>0</v>
      </c>
      <c r="H5" s="5">
        <f>averageCompletionTimePorter(Dates!H$10,Dates!H$11,'Day4'!$B5)</f>
        <v>0</v>
      </c>
      <c r="I5" s="5">
        <f>averageCompletionTimePorter(Dates!I$10,Dates!I$11,'Day4'!$B5)</f>
        <v>0</v>
      </c>
      <c r="J5" s="5">
        <f>averageCompletionTimePorter(Dates!J$10,Dates!J$11,'Day4'!$B5)</f>
        <v>0</v>
      </c>
      <c r="K5" s="5">
        <f>averageCompletionTimePorter(Dates!K$10,Dates!K$11,'Day4'!$B5)</f>
        <v>0</v>
      </c>
      <c r="L5" s="5">
        <f>averageCompletionTimePorter(Dates!L$10,Dates!L$11,'Day4'!$B5)</f>
        <v>0</v>
      </c>
      <c r="M5" s="5">
        <f>averageCompletionTimePorter(Dates!M$10,Dates!M$11,'Day4'!$B5)</f>
        <v>0</v>
      </c>
      <c r="N5" s="5">
        <f>averageCompletionTimePorter(Dates!N$10,Dates!N$11,'Day4'!$B5)</f>
        <v>0</v>
      </c>
      <c r="O5" s="5">
        <f>averageCompletionTimePorter(Dates!O$10,Dates!O$11,'Day4'!$B5)</f>
        <v>0</v>
      </c>
      <c r="P5" s="5">
        <f>averageCompletionTimePorter(Dates!P$10,Dates!P$11,'Day4'!$B5)</f>
        <v>0</v>
      </c>
      <c r="Q5" s="5">
        <f>averageCompletionTimePorter(Dates!Q$10,Dates!Q$11,'Day4'!$B5)</f>
        <v>0</v>
      </c>
      <c r="R5" s="5">
        <f>averageCompletionTimePorter(Dates!R$10,Dates!R$11,'Day4'!$B5)</f>
        <v>0</v>
      </c>
      <c r="S5" s="5">
        <f>averageCompletionTimePorter(Dates!S$10,Dates!S$11,'Day4'!$B5)</f>
        <v>0</v>
      </c>
      <c r="T5" s="5">
        <f>averageCompletionTimePorter(Dates!T$10,Dates!T$11,'Day4'!$B5)</f>
        <v>0</v>
      </c>
      <c r="U5" s="5">
        <f>averageCompletionTimePorter(Dates!$C$10,Dates!$T$11,'Day4'!$B5)</f>
        <v>0</v>
      </c>
    </row>
    <row r="6" spans="1:21" x14ac:dyDescent="0.3">
      <c r="A6" s="6"/>
      <c r="B6" s="8">
        <v>2</v>
      </c>
      <c r="C6" s="5">
        <f>averageCompletionTimePorter(Dates!C$10,Dates!C$11,'Day4'!$B6)</f>
        <v>0</v>
      </c>
      <c r="D6" s="5">
        <f>averageCompletionTimePorter(Dates!D$10,Dates!D$11,'Day4'!$B6)</f>
        <v>0</v>
      </c>
      <c r="E6" s="5">
        <f>averageCompletionTimePorter(Dates!E$10,Dates!E$11,'Day4'!$B6)</f>
        <v>0</v>
      </c>
      <c r="F6" s="5">
        <f>averageCompletionTimePorter(Dates!F$10,Dates!F$11,'Day4'!$B6)</f>
        <v>0</v>
      </c>
      <c r="G6" s="5">
        <f>averageCompletionTimePorter(Dates!G$10,Dates!G$11,'Day4'!$B6)</f>
        <v>0</v>
      </c>
      <c r="H6" s="5">
        <f>averageCompletionTimePorter(Dates!H$10,Dates!H$11,'Day4'!$B6)</f>
        <v>0</v>
      </c>
      <c r="I6" s="5">
        <f>averageCompletionTimePorter(Dates!I$10,Dates!I$11,'Day4'!$B6)</f>
        <v>0</v>
      </c>
      <c r="J6" s="5">
        <f>averageCompletionTimePorter(Dates!J$10,Dates!J$11,'Day4'!$B6)</f>
        <v>0</v>
      </c>
      <c r="K6" s="5">
        <f>averageCompletionTimePorter(Dates!K$10,Dates!K$11,'Day4'!$B6)</f>
        <v>0</v>
      </c>
      <c r="L6" s="5">
        <f>averageCompletionTimePorter(Dates!L$10,Dates!L$11,'Day4'!$B6)</f>
        <v>0</v>
      </c>
      <c r="M6" s="5">
        <f>averageCompletionTimePorter(Dates!M$10,Dates!M$11,'Day4'!$B6)</f>
        <v>0</v>
      </c>
      <c r="N6" s="5">
        <f>averageCompletionTimePorter(Dates!N$10,Dates!N$11,'Day4'!$B6)</f>
        <v>0</v>
      </c>
      <c r="O6" s="5">
        <f>averageCompletionTimePorter(Dates!O$10,Dates!O$11,'Day4'!$B6)</f>
        <v>0</v>
      </c>
      <c r="P6" s="5">
        <f>averageCompletionTimePorter(Dates!P$10,Dates!P$11,'Day4'!$B6)</f>
        <v>0</v>
      </c>
      <c r="Q6" s="5">
        <f>averageCompletionTimePorter(Dates!Q$10,Dates!Q$11,'Day4'!$B6)</f>
        <v>0</v>
      </c>
      <c r="R6" s="5">
        <f>averageCompletionTimePorter(Dates!R$10,Dates!R$11,'Day4'!$B6)</f>
        <v>0</v>
      </c>
      <c r="S6" s="5">
        <f>averageCompletionTimePorter(Dates!S$10,Dates!S$11,'Day4'!$B6)</f>
        <v>0</v>
      </c>
      <c r="T6" s="5">
        <f>averageCompletionTimePorter(Dates!T$10,Dates!T$11,'Day4'!$B6)</f>
        <v>0</v>
      </c>
      <c r="U6" s="5">
        <f>averageCompletionTimePorter(Dates!$C$10,Dates!$T$11,'Day4'!$B6)</f>
        <v>0</v>
      </c>
    </row>
    <row r="7" spans="1:21" x14ac:dyDescent="0.3">
      <c r="A7" s="6"/>
      <c r="B7" s="8">
        <v>5</v>
      </c>
      <c r="C7" s="5">
        <f>averageCompletionTimePorter(Dates!C$10,Dates!C$11,'Day4'!$B7)</f>
        <v>0</v>
      </c>
      <c r="D7" s="5">
        <f>averageCompletionTimePorter(Dates!D$10,Dates!D$11,'Day4'!$B7)</f>
        <v>0</v>
      </c>
      <c r="E7" s="5">
        <f>averageCompletionTimePorter(Dates!E$10,Dates!E$11,'Day4'!$B7)</f>
        <v>0</v>
      </c>
      <c r="F7" s="5">
        <f>averageCompletionTimePorter(Dates!F$10,Dates!F$11,'Day4'!$B7)</f>
        <v>0</v>
      </c>
      <c r="G7" s="5">
        <f>averageCompletionTimePorter(Dates!G$10,Dates!G$11,'Day4'!$B7)</f>
        <v>0</v>
      </c>
      <c r="H7" s="5">
        <f>averageCompletionTimePorter(Dates!H$10,Dates!H$11,'Day4'!$B7)</f>
        <v>0</v>
      </c>
      <c r="I7" s="5">
        <f>averageCompletionTimePorter(Dates!I$10,Dates!I$11,'Day4'!$B7)</f>
        <v>0</v>
      </c>
      <c r="J7" s="5">
        <f>averageCompletionTimePorter(Dates!J$10,Dates!J$11,'Day4'!$B7)</f>
        <v>0</v>
      </c>
      <c r="K7" s="5">
        <f>averageCompletionTimePorter(Dates!K$10,Dates!K$11,'Day4'!$B7)</f>
        <v>0</v>
      </c>
      <c r="L7" s="5">
        <f>averageCompletionTimePorter(Dates!L$10,Dates!L$11,'Day4'!$B7)</f>
        <v>0</v>
      </c>
      <c r="M7" s="5">
        <f>averageCompletionTimePorter(Dates!M$10,Dates!M$11,'Day4'!$B7)</f>
        <v>0</v>
      </c>
      <c r="N7" s="5">
        <f>averageCompletionTimePorter(Dates!N$10,Dates!N$11,'Day4'!$B7)</f>
        <v>0</v>
      </c>
      <c r="O7" s="5">
        <f>averageCompletionTimePorter(Dates!O$10,Dates!O$11,'Day4'!$B7)</f>
        <v>0</v>
      </c>
      <c r="P7" s="5">
        <f>averageCompletionTimePorter(Dates!P$10,Dates!P$11,'Day4'!$B7)</f>
        <v>0</v>
      </c>
      <c r="Q7" s="5">
        <f>averageCompletionTimePorter(Dates!Q$10,Dates!Q$11,'Day4'!$B7)</f>
        <v>0</v>
      </c>
      <c r="R7" s="5">
        <f>averageCompletionTimePorter(Dates!R$10,Dates!R$11,'Day4'!$B7)</f>
        <v>0</v>
      </c>
      <c r="S7" s="5">
        <f>averageCompletionTimePorter(Dates!S$10,Dates!S$11,'Day4'!$B7)</f>
        <v>0</v>
      </c>
      <c r="T7" s="5">
        <f>averageCompletionTimePorter(Dates!T$10,Dates!T$11,'Day4'!$B7)</f>
        <v>0</v>
      </c>
      <c r="U7" s="5">
        <f>averageCompletionTimePorter(Dates!$C$10,Dates!$T$11,'Day4'!$B7)</f>
        <v>0</v>
      </c>
    </row>
    <row r="8" spans="1:21" x14ac:dyDescent="0.3">
      <c r="A8" s="6"/>
      <c r="B8" s="8">
        <v>4</v>
      </c>
      <c r="C8" s="5">
        <f>averageCompletionTimePorter(Dates!C$10,Dates!C$11,'Day4'!$B8)</f>
        <v>0</v>
      </c>
      <c r="D8" s="5">
        <f>averageCompletionTimePorter(Dates!D$10,Dates!D$11,'Day4'!$B8)</f>
        <v>0</v>
      </c>
      <c r="E8" s="5">
        <f>averageCompletionTimePorter(Dates!E$10,Dates!E$11,'Day4'!$B8)</f>
        <v>0</v>
      </c>
      <c r="F8" s="5">
        <f>averageCompletionTimePorter(Dates!F$10,Dates!F$11,'Day4'!$B8)</f>
        <v>0</v>
      </c>
      <c r="G8" s="5">
        <f>averageCompletionTimePorter(Dates!G$10,Dates!G$11,'Day4'!$B8)</f>
        <v>0</v>
      </c>
      <c r="H8" s="5">
        <f>averageCompletionTimePorter(Dates!H$10,Dates!H$11,'Day4'!$B8)</f>
        <v>0</v>
      </c>
      <c r="I8" s="5">
        <f>averageCompletionTimePorter(Dates!I$10,Dates!I$11,'Day4'!$B8)</f>
        <v>0</v>
      </c>
      <c r="J8" s="5">
        <f>averageCompletionTimePorter(Dates!J$10,Dates!J$11,'Day4'!$B8)</f>
        <v>0</v>
      </c>
      <c r="K8" s="5">
        <f>averageCompletionTimePorter(Dates!K$10,Dates!K$11,'Day4'!$B8)</f>
        <v>0</v>
      </c>
      <c r="L8" s="5">
        <f>averageCompletionTimePorter(Dates!L$10,Dates!L$11,'Day4'!$B8)</f>
        <v>0</v>
      </c>
      <c r="M8" s="5">
        <f>averageCompletionTimePorter(Dates!M$10,Dates!M$11,'Day4'!$B8)</f>
        <v>0</v>
      </c>
      <c r="N8" s="5">
        <f>averageCompletionTimePorter(Dates!N$10,Dates!N$11,'Day4'!$B8)</f>
        <v>0</v>
      </c>
      <c r="O8" s="5">
        <f>averageCompletionTimePorter(Dates!O$10,Dates!O$11,'Day4'!$B8)</f>
        <v>0</v>
      </c>
      <c r="P8" s="5">
        <f>averageCompletionTimePorter(Dates!P$10,Dates!P$11,'Day4'!$B8)</f>
        <v>0</v>
      </c>
      <c r="Q8" s="5">
        <f>averageCompletionTimePorter(Dates!Q$10,Dates!Q$11,'Day4'!$B8)</f>
        <v>0</v>
      </c>
      <c r="R8" s="5">
        <f>averageCompletionTimePorter(Dates!R$10,Dates!R$11,'Day4'!$B8)</f>
        <v>0</v>
      </c>
      <c r="S8" s="5">
        <f>averageCompletionTimePorter(Dates!S$10,Dates!S$11,'Day4'!$B8)</f>
        <v>0</v>
      </c>
      <c r="T8" s="5">
        <f>averageCompletionTimePorter(Dates!T$10,Dates!T$11,'Day4'!$B8)</f>
        <v>0</v>
      </c>
      <c r="U8" s="5">
        <f>averageCompletionTimePorter(Dates!$C$10,Dates!$T$11,'Day4'!$B8)</f>
        <v>0</v>
      </c>
    </row>
    <row r="9" spans="1:21" x14ac:dyDescent="0.3">
      <c r="A9" s="6"/>
      <c r="B9" s="8">
        <v>6</v>
      </c>
      <c r="C9" s="5">
        <f>averageCompletionTimePorter(Dates!C$10,Dates!C$11,'Day4'!$B9)</f>
        <v>0</v>
      </c>
      <c r="D9" s="5">
        <f>averageCompletionTimePorter(Dates!D$10,Dates!D$11,'Day4'!$B9)</f>
        <v>0</v>
      </c>
      <c r="E9" s="5">
        <f>averageCompletionTimePorter(Dates!E$10,Dates!E$11,'Day4'!$B9)</f>
        <v>0</v>
      </c>
      <c r="F9" s="5">
        <f>averageCompletionTimePorter(Dates!F$10,Dates!F$11,'Day4'!$B9)</f>
        <v>0</v>
      </c>
      <c r="G9" s="5">
        <f>averageCompletionTimePorter(Dates!G$10,Dates!G$11,'Day4'!$B9)</f>
        <v>0</v>
      </c>
      <c r="H9" s="5">
        <f>averageCompletionTimePorter(Dates!H$10,Dates!H$11,'Day4'!$B9)</f>
        <v>0</v>
      </c>
      <c r="I9" s="5">
        <f>averageCompletionTimePorter(Dates!I$10,Dates!I$11,'Day4'!$B9)</f>
        <v>0</v>
      </c>
      <c r="J9" s="5">
        <f>averageCompletionTimePorter(Dates!J$10,Dates!J$11,'Day4'!$B9)</f>
        <v>0</v>
      </c>
      <c r="K9" s="5">
        <f>averageCompletionTimePorter(Dates!K$10,Dates!K$11,'Day4'!$B9)</f>
        <v>0</v>
      </c>
      <c r="L9" s="5">
        <f>averageCompletionTimePorter(Dates!L$10,Dates!L$11,'Day4'!$B9)</f>
        <v>0</v>
      </c>
      <c r="M9" s="5">
        <f>averageCompletionTimePorter(Dates!M$10,Dates!M$11,'Day4'!$B9)</f>
        <v>0</v>
      </c>
      <c r="N9" s="5">
        <f>averageCompletionTimePorter(Dates!N$10,Dates!N$11,'Day4'!$B9)</f>
        <v>0</v>
      </c>
      <c r="O9" s="5">
        <f>averageCompletionTimePorter(Dates!O$10,Dates!O$11,'Day4'!$B9)</f>
        <v>0</v>
      </c>
      <c r="P9" s="5">
        <f>averageCompletionTimePorter(Dates!P$10,Dates!P$11,'Day4'!$B9)</f>
        <v>0</v>
      </c>
      <c r="Q9" s="5">
        <f>averageCompletionTimePorter(Dates!Q$10,Dates!Q$11,'Day4'!$B9)</f>
        <v>0</v>
      </c>
      <c r="R9" s="5">
        <f>averageCompletionTimePorter(Dates!R$10,Dates!R$11,'Day4'!$B9)</f>
        <v>0</v>
      </c>
      <c r="S9" s="5">
        <f>averageCompletionTimePorter(Dates!S$10,Dates!S$11,'Day4'!$B9)</f>
        <v>0</v>
      </c>
      <c r="T9" s="5">
        <f>averageCompletionTimePorter(Dates!T$10,Dates!T$11,'Day4'!$B9)</f>
        <v>0</v>
      </c>
      <c r="U9" s="5">
        <f>averageCompletionTimePorter(Dates!$C$10,Dates!$T$11,'Day4'!$B9)</f>
        <v>0</v>
      </c>
    </row>
    <row r="10" spans="1:21" x14ac:dyDescent="0.3">
      <c r="A10" s="6"/>
      <c r="B10" s="8" t="s">
        <v>69</v>
      </c>
      <c r="C10" s="5">
        <f>averageCompletionTimePorter(Dates!C$10,Dates!C$11,'Day4'!$B10)</f>
        <v>0</v>
      </c>
      <c r="D10" s="5">
        <f>averageCompletionTimePorter(Dates!D$10,Dates!D$11,'Day4'!$B10)</f>
        <v>0</v>
      </c>
      <c r="E10" s="5">
        <f>averageCompletionTimePorter(Dates!E$10,Dates!E$11,'Day4'!$B10)</f>
        <v>0</v>
      </c>
      <c r="F10" s="5">
        <f>averageCompletionTimePorter(Dates!F$10,Dates!F$11,'Day4'!$B10)</f>
        <v>0</v>
      </c>
      <c r="G10" s="5">
        <f>averageCompletionTimePorter(Dates!G$10,Dates!G$11,'Day4'!$B10)</f>
        <v>0</v>
      </c>
      <c r="H10" s="5">
        <f>averageCompletionTimePorter(Dates!H$10,Dates!H$11,'Day4'!$B10)</f>
        <v>0</v>
      </c>
      <c r="I10" s="5">
        <f>averageCompletionTimePorter(Dates!I$10,Dates!I$11,'Day4'!$B10)</f>
        <v>0</v>
      </c>
      <c r="J10" s="5">
        <f>averageCompletionTimePorter(Dates!J$10,Dates!J$11,'Day4'!$B10)</f>
        <v>0</v>
      </c>
      <c r="K10" s="5">
        <f>averageCompletionTimePorter(Dates!K$10,Dates!K$11,'Day4'!$B10)</f>
        <v>0</v>
      </c>
      <c r="L10" s="5">
        <f>averageCompletionTimePorter(Dates!L$10,Dates!L$11,'Day4'!$B10)</f>
        <v>0</v>
      </c>
      <c r="M10" s="5">
        <f>averageCompletionTimePorter(Dates!M$10,Dates!M$11,'Day4'!$B10)</f>
        <v>0</v>
      </c>
      <c r="N10" s="5">
        <f>averageCompletionTimePorter(Dates!N$10,Dates!N$11,'Day4'!$B10)</f>
        <v>0</v>
      </c>
      <c r="O10" s="5">
        <f>averageCompletionTimePorter(Dates!O$10,Dates!O$11,'Day4'!$B10)</f>
        <v>0</v>
      </c>
      <c r="P10" s="5">
        <f>averageCompletionTimePorter(Dates!P$10,Dates!P$11,'Day4'!$B10)</f>
        <v>0</v>
      </c>
      <c r="Q10" s="5">
        <f>averageCompletionTimePorter(Dates!Q$10,Dates!Q$11,'Day4'!$B10)</f>
        <v>0</v>
      </c>
      <c r="R10" s="5">
        <f>averageCompletionTimePorter(Dates!R$10,Dates!R$11,'Day4'!$B10)</f>
        <v>0</v>
      </c>
      <c r="S10" s="5">
        <f>averageCompletionTimePorter(Dates!S$10,Dates!S$11,'Day4'!$B10)</f>
        <v>0</v>
      </c>
      <c r="T10" s="5">
        <f>averageCompletionTimePorter(Dates!T$10,Dates!T$11,'Day4'!$B10)</f>
        <v>0</v>
      </c>
      <c r="U10" s="5">
        <f>averageCompletionTimePorter(Dates!$C$10,Dates!$T$11,'Day4'!$B10)</f>
        <v>0</v>
      </c>
    </row>
    <row r="11" spans="1:21" x14ac:dyDescent="0.3">
      <c r="A11" s="6"/>
      <c r="B11" s="8" t="s">
        <v>70</v>
      </c>
      <c r="C11" s="5">
        <f>averageCompletionTimePorter(Dates!C$10,Dates!C$11,'Day4'!$B11)</f>
        <v>0</v>
      </c>
      <c r="D11" s="5">
        <f>averageCompletionTimePorter(Dates!D$10,Dates!D$11,'Day4'!$B11)</f>
        <v>0</v>
      </c>
      <c r="E11" s="5">
        <f>averageCompletionTimePorter(Dates!E$10,Dates!E$11,'Day4'!$B11)</f>
        <v>0</v>
      </c>
      <c r="F11" s="5">
        <f>averageCompletionTimePorter(Dates!F$10,Dates!F$11,'Day4'!$B11)</f>
        <v>0</v>
      </c>
      <c r="G11" s="5">
        <f>averageCompletionTimePorter(Dates!G$10,Dates!G$11,'Day4'!$B11)</f>
        <v>0</v>
      </c>
      <c r="H11" s="5">
        <f>averageCompletionTimePorter(Dates!H$10,Dates!H$11,'Day4'!$B11)</f>
        <v>0</v>
      </c>
      <c r="I11" s="5">
        <f>averageCompletionTimePorter(Dates!I$10,Dates!I$11,'Day4'!$B11)</f>
        <v>0</v>
      </c>
      <c r="J11" s="5">
        <f>averageCompletionTimePorter(Dates!J$10,Dates!J$11,'Day4'!$B11)</f>
        <v>0</v>
      </c>
      <c r="K11" s="5">
        <f>averageCompletionTimePorter(Dates!K$10,Dates!K$11,'Day4'!$B11)</f>
        <v>0</v>
      </c>
      <c r="L11" s="5">
        <f>averageCompletionTimePorter(Dates!L$10,Dates!L$11,'Day4'!$B11)</f>
        <v>0</v>
      </c>
      <c r="M11" s="5">
        <f>averageCompletionTimePorter(Dates!M$10,Dates!M$11,'Day4'!$B11)</f>
        <v>0</v>
      </c>
      <c r="N11" s="5">
        <f>averageCompletionTimePorter(Dates!N$10,Dates!N$11,'Day4'!$B11)</f>
        <v>0</v>
      </c>
      <c r="O11" s="5">
        <f>averageCompletionTimePorter(Dates!O$10,Dates!O$11,'Day4'!$B11)</f>
        <v>0</v>
      </c>
      <c r="P11" s="5">
        <f>averageCompletionTimePorter(Dates!P$10,Dates!P$11,'Day4'!$B11)</f>
        <v>0</v>
      </c>
      <c r="Q11" s="5">
        <f>averageCompletionTimePorter(Dates!Q$10,Dates!Q$11,'Day4'!$B11)</f>
        <v>0</v>
      </c>
      <c r="R11" s="5">
        <f>averageCompletionTimePorter(Dates!R$10,Dates!R$11,'Day4'!$B11)</f>
        <v>0</v>
      </c>
      <c r="S11" s="5">
        <f>averageCompletionTimePorter(Dates!S$10,Dates!S$11,'Day4'!$B11)</f>
        <v>0</v>
      </c>
      <c r="T11" s="5">
        <f>averageCompletionTimePorter(Dates!T$10,Dates!T$11,'Day4'!$B11)</f>
        <v>0</v>
      </c>
      <c r="U11" s="5">
        <f>averageCompletionTimePorter(Dates!$C$10,Dates!$T$11,'Day4'!$B11)</f>
        <v>0</v>
      </c>
    </row>
    <row r="12" spans="1:21" x14ac:dyDescent="0.3">
      <c r="A12" s="6"/>
      <c r="B12" s="8" t="s">
        <v>61</v>
      </c>
      <c r="C12" s="5">
        <f>averageCompletionTimePorter(Dates!C$10,Dates!C$11,'Day4'!$B12)</f>
        <v>0</v>
      </c>
      <c r="D12" s="5">
        <f>averageCompletionTimePorter(Dates!D$10,Dates!D$11,'Day4'!$B12)</f>
        <v>0</v>
      </c>
      <c r="E12" s="5">
        <f>averageCompletionTimePorter(Dates!E$10,Dates!E$11,'Day4'!$B12)</f>
        <v>0</v>
      </c>
      <c r="F12" s="5">
        <f>averageCompletionTimePorter(Dates!F$10,Dates!F$11,'Day4'!$B12)</f>
        <v>0</v>
      </c>
      <c r="G12" s="5">
        <f>averageCompletionTimePorter(Dates!G$10,Dates!G$11,'Day4'!$B12)</f>
        <v>0</v>
      </c>
      <c r="H12" s="5">
        <f>averageCompletionTimePorter(Dates!H$10,Dates!H$11,'Day4'!$B12)</f>
        <v>0</v>
      </c>
      <c r="I12" s="5">
        <f>averageCompletionTimePorter(Dates!I$10,Dates!I$11,'Day4'!$B12)</f>
        <v>0</v>
      </c>
      <c r="J12" s="5">
        <f>averageCompletionTimePorter(Dates!J$10,Dates!J$11,'Day4'!$B12)</f>
        <v>0</v>
      </c>
      <c r="K12" s="5">
        <f>averageCompletionTimePorter(Dates!K$10,Dates!K$11,'Day4'!$B12)</f>
        <v>0</v>
      </c>
      <c r="L12" s="5">
        <f>averageCompletionTimePorter(Dates!L$10,Dates!L$11,'Day4'!$B12)</f>
        <v>0</v>
      </c>
      <c r="M12" s="5">
        <f>averageCompletionTimePorter(Dates!M$10,Dates!M$11,'Day4'!$B12)</f>
        <v>0</v>
      </c>
      <c r="N12" s="5">
        <f>averageCompletionTimePorter(Dates!N$10,Dates!N$11,'Day4'!$B12)</f>
        <v>0</v>
      </c>
      <c r="O12" s="5">
        <f>averageCompletionTimePorter(Dates!O$10,Dates!O$11,'Day4'!$B12)</f>
        <v>0</v>
      </c>
      <c r="P12" s="5">
        <f>averageCompletionTimePorter(Dates!P$10,Dates!P$11,'Day4'!$B12)</f>
        <v>0</v>
      </c>
      <c r="Q12" s="5">
        <f>averageCompletionTimePorter(Dates!Q$10,Dates!Q$11,'Day4'!$B12)</f>
        <v>0</v>
      </c>
      <c r="R12" s="5">
        <f>averageCompletionTimePorter(Dates!R$10,Dates!R$11,'Day4'!$B12)</f>
        <v>0</v>
      </c>
      <c r="S12" s="5">
        <f>averageCompletionTimePorter(Dates!S$10,Dates!S$11,'Day4'!$B12)</f>
        <v>0</v>
      </c>
      <c r="T12" s="5">
        <f>averageCompletionTimePorter(Dates!T$10,Dates!T$11,'Day4'!$B12)</f>
        <v>0</v>
      </c>
      <c r="U12" s="5">
        <f>averageCompletionTimePorter(Dates!$C$10,Dates!$T$11,'Day4'!$B12)</f>
        <v>0</v>
      </c>
    </row>
    <row r="13" spans="1:21" x14ac:dyDescent="0.3">
      <c r="A13" s="6"/>
      <c r="B13" s="8" t="s">
        <v>28</v>
      </c>
      <c r="C13" s="5">
        <f>averageCompletionTimePorter(Dates!C$10,Dates!C$11,'Day4'!$B13)</f>
        <v>0</v>
      </c>
      <c r="D13" s="5">
        <f>averageCompletionTimePorter(Dates!D$10,Dates!D$11,'Day4'!$B13)</f>
        <v>0</v>
      </c>
      <c r="E13" s="5">
        <f>averageCompletionTimePorter(Dates!E$10,Dates!E$11,'Day4'!$B13)</f>
        <v>0</v>
      </c>
      <c r="F13" s="5">
        <f>averageCompletionTimePorter(Dates!F$10,Dates!F$11,'Day4'!$B13)</f>
        <v>0</v>
      </c>
      <c r="G13" s="5">
        <f>averageCompletionTimePorter(Dates!G$10,Dates!G$11,'Day4'!$B13)</f>
        <v>0</v>
      </c>
      <c r="H13" s="5">
        <f>averageCompletionTimePorter(Dates!H$10,Dates!H$11,'Day4'!$B13)</f>
        <v>0</v>
      </c>
      <c r="I13" s="5">
        <f>averageCompletionTimePorter(Dates!I$10,Dates!I$11,'Day4'!$B13)</f>
        <v>0</v>
      </c>
      <c r="J13" s="5">
        <f>averageCompletionTimePorter(Dates!J$10,Dates!J$11,'Day4'!$B13)</f>
        <v>0</v>
      </c>
      <c r="K13" s="5">
        <f>averageCompletionTimePorter(Dates!K$10,Dates!K$11,'Day4'!$B13)</f>
        <v>0</v>
      </c>
      <c r="L13" s="5">
        <f>averageCompletionTimePorter(Dates!L$10,Dates!L$11,'Day4'!$B13)</f>
        <v>0</v>
      </c>
      <c r="M13" s="5">
        <f>averageCompletionTimePorter(Dates!M$10,Dates!M$11,'Day4'!$B13)</f>
        <v>0</v>
      </c>
      <c r="N13" s="5">
        <f>averageCompletionTimePorter(Dates!N$10,Dates!N$11,'Day4'!$B13)</f>
        <v>0</v>
      </c>
      <c r="O13" s="5">
        <f>averageCompletionTimePorter(Dates!O$10,Dates!O$11,'Day4'!$B13)</f>
        <v>0</v>
      </c>
      <c r="P13" s="5">
        <f>averageCompletionTimePorter(Dates!P$10,Dates!P$11,'Day4'!$B13)</f>
        <v>0</v>
      </c>
      <c r="Q13" s="5">
        <f>averageCompletionTimePorter(Dates!Q$10,Dates!Q$11,'Day4'!$B13)</f>
        <v>0</v>
      </c>
      <c r="R13" s="5">
        <f>averageCompletionTimePorter(Dates!R$10,Dates!R$11,'Day4'!$B13)</f>
        <v>0</v>
      </c>
      <c r="S13" s="5">
        <f>averageCompletionTimePorter(Dates!S$10,Dates!S$11,'Day4'!$B13)</f>
        <v>0</v>
      </c>
      <c r="T13" s="5">
        <f>averageCompletionTimePorter(Dates!T$10,Dates!T$11,'Day4'!$B13)</f>
        <v>0</v>
      </c>
      <c r="U13" s="5">
        <f>averageCompletionTimePorter(Dates!$C$10,Dates!$T$11,'Day4'!$B13)</f>
        <v>0</v>
      </c>
    </row>
    <row r="14" spans="1:21" x14ac:dyDescent="0.3">
      <c r="B14" s="8" t="s">
        <v>13</v>
      </c>
      <c r="C14" s="5">
        <f>averageCompletionTimePorter(Dates!C$10,Dates!C$11,'Day4'!$B14)</f>
        <v>0</v>
      </c>
      <c r="D14" s="5">
        <f>averageCompletionTimePorter(Dates!D$10,Dates!D$11,'Day4'!$B14)</f>
        <v>0</v>
      </c>
      <c r="E14" s="5">
        <f>averageCompletionTimePorter(Dates!E$10,Dates!E$11,'Day4'!$B14)</f>
        <v>0</v>
      </c>
      <c r="F14" s="5">
        <f>averageCompletionTimePorter(Dates!F$10,Dates!F$11,'Day4'!$B14)</f>
        <v>0</v>
      </c>
      <c r="G14" s="5">
        <f>averageCompletionTimePorter(Dates!G$10,Dates!G$11,'Day4'!$B14)</f>
        <v>0</v>
      </c>
      <c r="H14" s="5">
        <f>averageCompletionTimePorter(Dates!H$10,Dates!H$11,'Day4'!$B14)</f>
        <v>0</v>
      </c>
      <c r="I14" s="5">
        <f>averageCompletionTimePorter(Dates!I$10,Dates!I$11,'Day4'!$B14)</f>
        <v>0</v>
      </c>
      <c r="J14" s="5">
        <f>averageCompletionTimePorter(Dates!J$10,Dates!J$11,'Day4'!$B14)</f>
        <v>0</v>
      </c>
      <c r="K14" s="5">
        <f>averageCompletionTimePorter(Dates!K$10,Dates!K$11,'Day4'!$B14)</f>
        <v>0</v>
      </c>
      <c r="L14" s="5">
        <f>averageCompletionTimePorter(Dates!L$10,Dates!L$11,'Day4'!$B14)</f>
        <v>0</v>
      </c>
      <c r="M14" s="5">
        <f>averageCompletionTimePorter(Dates!M$10,Dates!M$11,'Day4'!$B14)</f>
        <v>0</v>
      </c>
      <c r="N14" s="5">
        <f>averageCompletionTimePorter(Dates!N$10,Dates!N$11,'Day4'!$B14)</f>
        <v>0</v>
      </c>
      <c r="O14" s="5">
        <f>averageCompletionTimePorter(Dates!O$10,Dates!O$11,'Day4'!$B14)</f>
        <v>0</v>
      </c>
      <c r="P14" s="5">
        <f>averageCompletionTimePorter(Dates!P$10,Dates!P$11,'Day4'!$B14)</f>
        <v>0</v>
      </c>
      <c r="Q14" s="5">
        <f>averageCompletionTimePorter(Dates!Q$10,Dates!Q$11,'Day4'!$B14)</f>
        <v>0</v>
      </c>
      <c r="R14" s="5">
        <f>averageCompletionTimePorter(Dates!R$10,Dates!R$11,'Day4'!$B14)</f>
        <v>0</v>
      </c>
      <c r="S14" s="5">
        <f>averageCompletionTimePorter(Dates!S$10,Dates!S$11,'Day4'!$B14)</f>
        <v>0</v>
      </c>
      <c r="T14" s="5">
        <f>averageCompletionTimePorter(Dates!T$10,Dates!T$11,'Day4'!$B14)</f>
        <v>0</v>
      </c>
      <c r="U14" s="5">
        <f>averageCompletionTimePorter(Dates!$C$10,Dates!$T$11,'Day4'!$B14)</f>
        <v>0</v>
      </c>
    </row>
    <row r="15" spans="1:21" x14ac:dyDescent="0.3">
      <c r="B15" s="8" t="s">
        <v>14</v>
      </c>
      <c r="C15" s="5">
        <f>averageCompletionTimePorter(Dates!C$10,Dates!C$11,'Day4'!$B15)</f>
        <v>0</v>
      </c>
      <c r="D15" s="5">
        <f>averageCompletionTimePorter(Dates!D$10,Dates!D$11,'Day4'!$B15)</f>
        <v>0</v>
      </c>
      <c r="E15" s="5">
        <f>averageCompletionTimePorter(Dates!E$10,Dates!E$11,'Day4'!$B15)</f>
        <v>0</v>
      </c>
      <c r="F15" s="5">
        <f>averageCompletionTimePorter(Dates!F$10,Dates!F$11,'Day4'!$B15)</f>
        <v>0</v>
      </c>
      <c r="G15" s="5">
        <f>averageCompletionTimePorter(Dates!G$10,Dates!G$11,'Day4'!$B15)</f>
        <v>0</v>
      </c>
      <c r="H15" s="5">
        <f>averageCompletionTimePorter(Dates!H$10,Dates!H$11,'Day4'!$B15)</f>
        <v>0</v>
      </c>
      <c r="I15" s="5">
        <f>averageCompletionTimePorter(Dates!I$10,Dates!I$11,'Day4'!$B15)</f>
        <v>0</v>
      </c>
      <c r="J15" s="5">
        <f>averageCompletionTimePorter(Dates!J$10,Dates!J$11,'Day4'!$B15)</f>
        <v>0</v>
      </c>
      <c r="K15" s="5">
        <f>averageCompletionTimePorter(Dates!K$10,Dates!K$11,'Day4'!$B15)</f>
        <v>0</v>
      </c>
      <c r="L15" s="5">
        <f>averageCompletionTimePorter(Dates!L$10,Dates!L$11,'Day4'!$B15)</f>
        <v>0</v>
      </c>
      <c r="M15" s="5">
        <f>averageCompletionTimePorter(Dates!M$10,Dates!M$11,'Day4'!$B15)</f>
        <v>0</v>
      </c>
      <c r="N15" s="5">
        <f>averageCompletionTimePorter(Dates!N$10,Dates!N$11,'Day4'!$B15)</f>
        <v>0</v>
      </c>
      <c r="O15" s="5">
        <f>averageCompletionTimePorter(Dates!O$10,Dates!O$11,'Day4'!$B15)</f>
        <v>0</v>
      </c>
      <c r="P15" s="5">
        <f>averageCompletionTimePorter(Dates!P$10,Dates!P$11,'Day4'!$B15)</f>
        <v>0</v>
      </c>
      <c r="Q15" s="5">
        <f>averageCompletionTimePorter(Dates!Q$10,Dates!Q$11,'Day4'!$B15)</f>
        <v>0</v>
      </c>
      <c r="R15" s="5">
        <f>averageCompletionTimePorter(Dates!R$10,Dates!R$11,'Day4'!$B15)</f>
        <v>0</v>
      </c>
      <c r="S15" s="5">
        <f>averageCompletionTimePorter(Dates!S$10,Dates!S$11,'Day4'!$B15)</f>
        <v>0</v>
      </c>
      <c r="T15" s="5">
        <f>averageCompletionTimePorter(Dates!T$10,Dates!T$11,'Day4'!$B15)</f>
        <v>0</v>
      </c>
      <c r="U15" s="5">
        <f>averageCompletionTimePorter(Dates!$C$10,Dates!$T$11,'Day4'!$B15)</f>
        <v>0</v>
      </c>
    </row>
    <row r="16" spans="1:21" x14ac:dyDescent="0.3">
      <c r="B16" s="8" t="s">
        <v>15</v>
      </c>
      <c r="C16" s="5">
        <f>averageCompletionTimePorter(Dates!C$10,Dates!C$11,'Day4'!$B16)</f>
        <v>0</v>
      </c>
      <c r="D16" s="5">
        <f>averageCompletionTimePorter(Dates!D$10,Dates!D$11,'Day4'!$B16)</f>
        <v>0</v>
      </c>
      <c r="E16" s="5">
        <f>averageCompletionTimePorter(Dates!E$10,Dates!E$11,'Day4'!$B16)</f>
        <v>0</v>
      </c>
      <c r="F16" s="5">
        <f>averageCompletionTimePorter(Dates!F$10,Dates!F$11,'Day4'!$B16)</f>
        <v>0</v>
      </c>
      <c r="G16" s="5">
        <f>averageCompletionTimePorter(Dates!G$10,Dates!G$11,'Day4'!$B16)</f>
        <v>0</v>
      </c>
      <c r="H16" s="5">
        <f>averageCompletionTimePorter(Dates!H$10,Dates!H$11,'Day4'!$B16)</f>
        <v>0</v>
      </c>
      <c r="I16" s="5">
        <f>averageCompletionTimePorter(Dates!I$10,Dates!I$11,'Day4'!$B16)</f>
        <v>0</v>
      </c>
      <c r="J16" s="5">
        <f>averageCompletionTimePorter(Dates!J$10,Dates!J$11,'Day4'!$B16)</f>
        <v>0</v>
      </c>
      <c r="K16" s="5">
        <f>averageCompletionTimePorter(Dates!K$10,Dates!K$11,'Day4'!$B16)</f>
        <v>0</v>
      </c>
      <c r="L16" s="5">
        <f>averageCompletionTimePorter(Dates!L$10,Dates!L$11,'Day4'!$B16)</f>
        <v>0</v>
      </c>
      <c r="M16" s="5">
        <f>averageCompletionTimePorter(Dates!M$10,Dates!M$11,'Day4'!$B16)</f>
        <v>0</v>
      </c>
      <c r="N16" s="5">
        <f>averageCompletionTimePorter(Dates!N$10,Dates!N$11,'Day4'!$B16)</f>
        <v>0</v>
      </c>
      <c r="O16" s="5">
        <f>averageCompletionTimePorter(Dates!O$10,Dates!O$11,'Day4'!$B16)</f>
        <v>0</v>
      </c>
      <c r="P16" s="5">
        <f>averageCompletionTimePorter(Dates!P$10,Dates!P$11,'Day4'!$B16)</f>
        <v>0</v>
      </c>
      <c r="Q16" s="5">
        <f>averageCompletionTimePorter(Dates!Q$10,Dates!Q$11,'Day4'!$B16)</f>
        <v>0</v>
      </c>
      <c r="R16" s="5">
        <f>averageCompletionTimePorter(Dates!R$10,Dates!R$11,'Day4'!$B16)</f>
        <v>0</v>
      </c>
      <c r="S16" s="5">
        <f>averageCompletionTimePorter(Dates!S$10,Dates!S$11,'Day4'!$B16)</f>
        <v>0</v>
      </c>
      <c r="T16" s="5">
        <f>averageCompletionTimePorter(Dates!T$10,Dates!T$11,'Day4'!$B16)</f>
        <v>0</v>
      </c>
      <c r="U16" s="5">
        <f>averageCompletionTimePorter(Dates!$C$10,Dates!$T$11,'Day4'!$B16)</f>
        <v>0</v>
      </c>
    </row>
    <row r="17" spans="2:21" x14ac:dyDescent="0.3">
      <c r="B17" s="8" t="s">
        <v>16</v>
      </c>
      <c r="C17" s="5">
        <f>averageCompletionTimePorter(Dates!C$10,Dates!C$11,'Day4'!$B17)</f>
        <v>0</v>
      </c>
      <c r="D17" s="5">
        <f>averageCompletionTimePorter(Dates!D$10,Dates!D$11,'Day4'!$B17)</f>
        <v>0</v>
      </c>
      <c r="E17" s="5">
        <f>averageCompletionTimePorter(Dates!E$10,Dates!E$11,'Day4'!$B17)</f>
        <v>0</v>
      </c>
      <c r="F17" s="5">
        <f>averageCompletionTimePorter(Dates!F$10,Dates!F$11,'Day4'!$B17)</f>
        <v>0</v>
      </c>
      <c r="G17" s="5">
        <f>averageCompletionTimePorter(Dates!G$10,Dates!G$11,'Day4'!$B17)</f>
        <v>0</v>
      </c>
      <c r="H17" s="5">
        <f>averageCompletionTimePorter(Dates!H$10,Dates!H$11,'Day4'!$B17)</f>
        <v>0</v>
      </c>
      <c r="I17" s="5">
        <f>averageCompletionTimePorter(Dates!I$10,Dates!I$11,'Day4'!$B17)</f>
        <v>0</v>
      </c>
      <c r="J17" s="5">
        <f>averageCompletionTimePorter(Dates!J$10,Dates!J$11,'Day4'!$B17)</f>
        <v>0</v>
      </c>
      <c r="K17" s="5">
        <f>averageCompletionTimePorter(Dates!K$10,Dates!K$11,'Day4'!$B17)</f>
        <v>0</v>
      </c>
      <c r="L17" s="5">
        <f>averageCompletionTimePorter(Dates!L$10,Dates!L$11,'Day4'!$B17)</f>
        <v>0</v>
      </c>
      <c r="M17" s="5">
        <f>averageCompletionTimePorter(Dates!M$10,Dates!M$11,'Day4'!$B17)</f>
        <v>0</v>
      </c>
      <c r="N17" s="5">
        <f>averageCompletionTimePorter(Dates!N$10,Dates!N$11,'Day4'!$B17)</f>
        <v>0</v>
      </c>
      <c r="O17" s="5">
        <f>averageCompletionTimePorter(Dates!O$10,Dates!O$11,'Day4'!$B17)</f>
        <v>0</v>
      </c>
      <c r="P17" s="5">
        <f>averageCompletionTimePorter(Dates!P$10,Dates!P$11,'Day4'!$B17)</f>
        <v>0</v>
      </c>
      <c r="Q17" s="5">
        <f>averageCompletionTimePorter(Dates!Q$10,Dates!Q$11,'Day4'!$B17)</f>
        <v>0</v>
      </c>
      <c r="R17" s="5">
        <f>averageCompletionTimePorter(Dates!R$10,Dates!R$11,'Day4'!$B17)</f>
        <v>0</v>
      </c>
      <c r="S17" s="5">
        <f>averageCompletionTimePorter(Dates!S$10,Dates!S$11,'Day4'!$B17)</f>
        <v>0</v>
      </c>
      <c r="T17" s="5">
        <f>averageCompletionTimePorter(Dates!T$10,Dates!T$11,'Day4'!$B17)</f>
        <v>0</v>
      </c>
      <c r="U17" s="5">
        <f>averageCompletionTimePorter(Dates!$C$10,Dates!$T$11,'Day4'!$B17)</f>
        <v>0</v>
      </c>
    </row>
    <row r="18" spans="2:21" x14ac:dyDescent="0.3">
      <c r="B18" s="8" t="s">
        <v>17</v>
      </c>
      <c r="C18" s="5">
        <f>averageCompletionTimePorter(Dates!C$10,Dates!C$11,'Day4'!$B18)</f>
        <v>0</v>
      </c>
      <c r="D18" s="5">
        <f>averageCompletionTimePorter(Dates!D$10,Dates!D$11,'Day4'!$B18)</f>
        <v>0</v>
      </c>
      <c r="E18" s="5">
        <f>averageCompletionTimePorter(Dates!E$10,Dates!E$11,'Day4'!$B18)</f>
        <v>0</v>
      </c>
      <c r="F18" s="5">
        <f>averageCompletionTimePorter(Dates!F$10,Dates!F$11,'Day4'!$B18)</f>
        <v>0</v>
      </c>
      <c r="G18" s="5">
        <f>averageCompletionTimePorter(Dates!G$10,Dates!G$11,'Day4'!$B18)</f>
        <v>0</v>
      </c>
      <c r="H18" s="5">
        <f>averageCompletionTimePorter(Dates!H$10,Dates!H$11,'Day4'!$B18)</f>
        <v>0</v>
      </c>
      <c r="I18" s="5">
        <f>averageCompletionTimePorter(Dates!I$10,Dates!I$11,'Day4'!$B18)</f>
        <v>0</v>
      </c>
      <c r="J18" s="5">
        <f>averageCompletionTimePorter(Dates!J$10,Dates!J$11,'Day4'!$B18)</f>
        <v>0</v>
      </c>
      <c r="K18" s="5">
        <f>averageCompletionTimePorter(Dates!K$10,Dates!K$11,'Day4'!$B18)</f>
        <v>0</v>
      </c>
      <c r="L18" s="5">
        <f>averageCompletionTimePorter(Dates!L$10,Dates!L$11,'Day4'!$B18)</f>
        <v>0</v>
      </c>
      <c r="M18" s="5">
        <f>averageCompletionTimePorter(Dates!M$10,Dates!M$11,'Day4'!$B18)</f>
        <v>0</v>
      </c>
      <c r="N18" s="5">
        <f>averageCompletionTimePorter(Dates!N$10,Dates!N$11,'Day4'!$B18)</f>
        <v>0</v>
      </c>
      <c r="O18" s="5">
        <f>averageCompletionTimePorter(Dates!O$10,Dates!O$11,'Day4'!$B18)</f>
        <v>0</v>
      </c>
      <c r="P18" s="5">
        <f>averageCompletionTimePorter(Dates!P$10,Dates!P$11,'Day4'!$B18)</f>
        <v>0</v>
      </c>
      <c r="Q18" s="5">
        <f>averageCompletionTimePorter(Dates!Q$10,Dates!Q$11,'Day4'!$B18)</f>
        <v>0</v>
      </c>
      <c r="R18" s="5">
        <f>averageCompletionTimePorter(Dates!R$10,Dates!R$11,'Day4'!$B18)</f>
        <v>0</v>
      </c>
      <c r="S18" s="5">
        <f>averageCompletionTimePorter(Dates!S$10,Dates!S$11,'Day4'!$B18)</f>
        <v>0</v>
      </c>
      <c r="T18" s="5">
        <f>averageCompletionTimePorter(Dates!T$10,Dates!T$11,'Day4'!$B18)</f>
        <v>0</v>
      </c>
      <c r="U18" s="5">
        <f>averageCompletionTimePorter(Dates!$C$10,Dates!$T$11,'Day4'!$B18)</f>
        <v>0</v>
      </c>
    </row>
    <row r="19" spans="2:21" x14ac:dyDescent="0.3">
      <c r="B19" s="8" t="s">
        <v>18</v>
      </c>
      <c r="C19" s="5">
        <f>averageCompletionTimePorter(Dates!C$10,Dates!C$11,'Day4'!$B19)</f>
        <v>0</v>
      </c>
      <c r="D19" s="5">
        <f>averageCompletionTimePorter(Dates!D$10,Dates!D$11,'Day4'!$B19)</f>
        <v>0</v>
      </c>
      <c r="E19" s="5">
        <f>averageCompletionTimePorter(Dates!E$10,Dates!E$11,'Day4'!$B19)</f>
        <v>0</v>
      </c>
      <c r="F19" s="5">
        <f>averageCompletionTimePorter(Dates!F$10,Dates!F$11,'Day4'!$B19)</f>
        <v>0</v>
      </c>
      <c r="G19" s="5">
        <f>averageCompletionTimePorter(Dates!G$10,Dates!G$11,'Day4'!$B19)</f>
        <v>0</v>
      </c>
      <c r="H19" s="5">
        <f>averageCompletionTimePorter(Dates!H$10,Dates!H$11,'Day4'!$B19)</f>
        <v>0</v>
      </c>
      <c r="I19" s="5">
        <f>averageCompletionTimePorter(Dates!I$10,Dates!I$11,'Day4'!$B19)</f>
        <v>0</v>
      </c>
      <c r="J19" s="5">
        <f>averageCompletionTimePorter(Dates!J$10,Dates!J$11,'Day4'!$B19)</f>
        <v>0</v>
      </c>
      <c r="K19" s="5">
        <f>averageCompletionTimePorter(Dates!K$10,Dates!K$11,'Day4'!$B19)</f>
        <v>0</v>
      </c>
      <c r="L19" s="5">
        <f>averageCompletionTimePorter(Dates!L$10,Dates!L$11,'Day4'!$B19)</f>
        <v>0</v>
      </c>
      <c r="M19" s="5">
        <f>averageCompletionTimePorter(Dates!M$10,Dates!M$11,'Day4'!$B19)</f>
        <v>0</v>
      </c>
      <c r="N19" s="5">
        <f>averageCompletionTimePorter(Dates!N$10,Dates!N$11,'Day4'!$B19)</f>
        <v>0</v>
      </c>
      <c r="O19" s="5">
        <f>averageCompletionTimePorter(Dates!O$10,Dates!O$11,'Day4'!$B19)</f>
        <v>0</v>
      </c>
      <c r="P19" s="5">
        <f>averageCompletionTimePorter(Dates!P$10,Dates!P$11,'Day4'!$B19)</f>
        <v>0</v>
      </c>
      <c r="Q19" s="5">
        <f>averageCompletionTimePorter(Dates!Q$10,Dates!Q$11,'Day4'!$B19)</f>
        <v>0</v>
      </c>
      <c r="R19" s="5">
        <f>averageCompletionTimePorter(Dates!R$10,Dates!R$11,'Day4'!$B19)</f>
        <v>0</v>
      </c>
      <c r="S19" s="5">
        <f>averageCompletionTimePorter(Dates!S$10,Dates!S$11,'Day4'!$B19)</f>
        <v>0</v>
      </c>
      <c r="T19" s="5">
        <f>averageCompletionTimePorter(Dates!T$10,Dates!T$11,'Day4'!$B19)</f>
        <v>0</v>
      </c>
      <c r="U19" s="5">
        <f>averageCompletionTimePorter(Dates!$C$10,Dates!$T$11,'Day4'!$B19)</f>
        <v>0</v>
      </c>
    </row>
    <row r="20" spans="2:21" x14ac:dyDescent="0.3">
      <c r="B20" s="8" t="s">
        <v>19</v>
      </c>
      <c r="C20" s="5">
        <f>averageCompletionTimePorter(Dates!C$10,Dates!C$11,'Day4'!$B20)</f>
        <v>0</v>
      </c>
      <c r="D20" s="5">
        <f>averageCompletionTimePorter(Dates!D$10,Dates!D$11,'Day4'!$B20)</f>
        <v>0</v>
      </c>
      <c r="E20" s="5">
        <f>averageCompletionTimePorter(Dates!E$10,Dates!E$11,'Day4'!$B20)</f>
        <v>0</v>
      </c>
      <c r="F20" s="5">
        <f>averageCompletionTimePorter(Dates!F$10,Dates!F$11,'Day4'!$B20)</f>
        <v>0</v>
      </c>
      <c r="G20" s="5">
        <f>averageCompletionTimePorter(Dates!G$10,Dates!G$11,'Day4'!$B20)</f>
        <v>0</v>
      </c>
      <c r="H20" s="5">
        <f>averageCompletionTimePorter(Dates!H$10,Dates!H$11,'Day4'!$B20)</f>
        <v>0</v>
      </c>
      <c r="I20" s="5">
        <f>averageCompletionTimePorter(Dates!I$10,Dates!I$11,'Day4'!$B20)</f>
        <v>0</v>
      </c>
      <c r="J20" s="5">
        <f>averageCompletionTimePorter(Dates!J$10,Dates!J$11,'Day4'!$B20)</f>
        <v>0</v>
      </c>
      <c r="K20" s="5">
        <f>averageCompletionTimePorter(Dates!K$10,Dates!K$11,'Day4'!$B20)</f>
        <v>0</v>
      </c>
      <c r="L20" s="5">
        <f>averageCompletionTimePorter(Dates!L$10,Dates!L$11,'Day4'!$B20)</f>
        <v>0</v>
      </c>
      <c r="M20" s="5">
        <f>averageCompletionTimePorter(Dates!M$10,Dates!M$11,'Day4'!$B20)</f>
        <v>0</v>
      </c>
      <c r="N20" s="5">
        <f>averageCompletionTimePorter(Dates!N$10,Dates!N$11,'Day4'!$B20)</f>
        <v>0</v>
      </c>
      <c r="O20" s="5">
        <f>averageCompletionTimePorter(Dates!O$10,Dates!O$11,'Day4'!$B20)</f>
        <v>0</v>
      </c>
      <c r="P20" s="5">
        <f>averageCompletionTimePorter(Dates!P$10,Dates!P$11,'Day4'!$B20)</f>
        <v>0</v>
      </c>
      <c r="Q20" s="5">
        <f>averageCompletionTimePorter(Dates!Q$10,Dates!Q$11,'Day4'!$B20)</f>
        <v>0</v>
      </c>
      <c r="R20" s="5">
        <f>averageCompletionTimePorter(Dates!R$10,Dates!R$11,'Day4'!$B20)</f>
        <v>0</v>
      </c>
      <c r="S20" s="5">
        <f>averageCompletionTimePorter(Dates!S$10,Dates!S$11,'Day4'!$B20)</f>
        <v>0</v>
      </c>
      <c r="T20" s="5">
        <f>averageCompletionTimePorter(Dates!T$10,Dates!T$11,'Day4'!$B20)</f>
        <v>0</v>
      </c>
      <c r="U20" s="5">
        <f>averageCompletionTimePorter(Dates!$C$10,Dates!$T$11,'Day4'!$B20)</f>
        <v>0</v>
      </c>
    </row>
    <row r="21" spans="2:21" x14ac:dyDescent="0.3">
      <c r="B21" s="8" t="s">
        <v>20</v>
      </c>
      <c r="C21" s="5">
        <f>averageCompletionTimePorter(Dates!C$10,Dates!C$11,'Day4'!$B21)</f>
        <v>0</v>
      </c>
      <c r="D21" s="5">
        <f>averageCompletionTimePorter(Dates!D$10,Dates!D$11,'Day4'!$B21)</f>
        <v>0</v>
      </c>
      <c r="E21" s="5">
        <f>averageCompletionTimePorter(Dates!E$10,Dates!E$11,'Day4'!$B21)</f>
        <v>0</v>
      </c>
      <c r="F21" s="5">
        <f>averageCompletionTimePorter(Dates!F$10,Dates!F$11,'Day4'!$B21)</f>
        <v>0</v>
      </c>
      <c r="G21" s="5">
        <f>averageCompletionTimePorter(Dates!G$10,Dates!G$11,'Day4'!$B21)</f>
        <v>0</v>
      </c>
      <c r="H21" s="5">
        <f>averageCompletionTimePorter(Dates!H$10,Dates!H$11,'Day4'!$B21)</f>
        <v>0</v>
      </c>
      <c r="I21" s="5">
        <f>averageCompletionTimePorter(Dates!I$10,Dates!I$11,'Day4'!$B21)</f>
        <v>0</v>
      </c>
      <c r="J21" s="5">
        <f>averageCompletionTimePorter(Dates!J$10,Dates!J$11,'Day4'!$B21)</f>
        <v>0</v>
      </c>
      <c r="K21" s="5">
        <f>averageCompletionTimePorter(Dates!K$10,Dates!K$11,'Day4'!$B21)</f>
        <v>0</v>
      </c>
      <c r="L21" s="5">
        <f>averageCompletionTimePorter(Dates!L$10,Dates!L$11,'Day4'!$B21)</f>
        <v>0</v>
      </c>
      <c r="M21" s="5">
        <f>averageCompletionTimePorter(Dates!M$10,Dates!M$11,'Day4'!$B21)</f>
        <v>0</v>
      </c>
      <c r="N21" s="5">
        <f>averageCompletionTimePorter(Dates!N$10,Dates!N$11,'Day4'!$B21)</f>
        <v>0</v>
      </c>
      <c r="O21" s="5">
        <f>averageCompletionTimePorter(Dates!O$10,Dates!O$11,'Day4'!$B21)</f>
        <v>0</v>
      </c>
      <c r="P21" s="5">
        <f>averageCompletionTimePorter(Dates!P$10,Dates!P$11,'Day4'!$B21)</f>
        <v>0</v>
      </c>
      <c r="Q21" s="5">
        <f>averageCompletionTimePorter(Dates!Q$10,Dates!Q$11,'Day4'!$B21)</f>
        <v>0</v>
      </c>
      <c r="R21" s="5">
        <f>averageCompletionTimePorter(Dates!R$10,Dates!R$11,'Day4'!$B21)</f>
        <v>0</v>
      </c>
      <c r="S21" s="5">
        <f>averageCompletionTimePorter(Dates!S$10,Dates!S$11,'Day4'!$B21)</f>
        <v>0</v>
      </c>
      <c r="T21" s="5">
        <f>averageCompletionTimePorter(Dates!T$10,Dates!T$11,'Day4'!$B21)</f>
        <v>0</v>
      </c>
      <c r="U21" s="5">
        <f>averageCompletionTimePorter(Dates!$C$10,Dates!$T$11,'Day4'!$B21)</f>
        <v>0</v>
      </c>
    </row>
    <row r="22" spans="2:21" x14ac:dyDescent="0.3">
      <c r="B22" s="8" t="s">
        <v>21</v>
      </c>
      <c r="C22" s="5">
        <f>averageCompletionTimePorter(Dates!C$10,Dates!C$11,'Day4'!$B22)</f>
        <v>0</v>
      </c>
      <c r="D22" s="5">
        <f>averageCompletionTimePorter(Dates!D$10,Dates!D$11,'Day4'!$B22)</f>
        <v>0</v>
      </c>
      <c r="E22" s="5">
        <f>averageCompletionTimePorter(Dates!E$10,Dates!E$11,'Day4'!$B22)</f>
        <v>0</v>
      </c>
      <c r="F22" s="5">
        <f>averageCompletionTimePorter(Dates!F$10,Dates!F$11,'Day4'!$B22)</f>
        <v>0</v>
      </c>
      <c r="G22" s="5">
        <f>averageCompletionTimePorter(Dates!G$10,Dates!G$11,'Day4'!$B22)</f>
        <v>0</v>
      </c>
      <c r="H22" s="5">
        <f>averageCompletionTimePorter(Dates!H$10,Dates!H$11,'Day4'!$B22)</f>
        <v>0</v>
      </c>
      <c r="I22" s="5">
        <f>averageCompletionTimePorter(Dates!I$10,Dates!I$11,'Day4'!$B22)</f>
        <v>0</v>
      </c>
      <c r="J22" s="5">
        <f>averageCompletionTimePorter(Dates!J$10,Dates!J$11,'Day4'!$B22)</f>
        <v>0</v>
      </c>
      <c r="K22" s="5">
        <f>averageCompletionTimePorter(Dates!K$10,Dates!K$11,'Day4'!$B22)</f>
        <v>0</v>
      </c>
      <c r="L22" s="5">
        <f>averageCompletionTimePorter(Dates!L$10,Dates!L$11,'Day4'!$B22)</f>
        <v>0</v>
      </c>
      <c r="M22" s="5">
        <f>averageCompletionTimePorter(Dates!M$10,Dates!M$11,'Day4'!$B22)</f>
        <v>0</v>
      </c>
      <c r="N22" s="5">
        <f>averageCompletionTimePorter(Dates!N$10,Dates!N$11,'Day4'!$B22)</f>
        <v>0</v>
      </c>
      <c r="O22" s="5">
        <f>averageCompletionTimePorter(Dates!O$10,Dates!O$11,'Day4'!$B22)</f>
        <v>0</v>
      </c>
      <c r="P22" s="5">
        <f>averageCompletionTimePorter(Dates!P$10,Dates!P$11,'Day4'!$B22)</f>
        <v>0</v>
      </c>
      <c r="Q22" s="5">
        <f>averageCompletionTimePorter(Dates!Q$10,Dates!Q$11,'Day4'!$B22)</f>
        <v>0</v>
      </c>
      <c r="R22" s="5">
        <f>averageCompletionTimePorter(Dates!R$10,Dates!R$11,'Day4'!$B22)</f>
        <v>0</v>
      </c>
      <c r="S22" s="5">
        <f>averageCompletionTimePorter(Dates!S$10,Dates!S$11,'Day4'!$B22)</f>
        <v>0</v>
      </c>
      <c r="T22" s="5">
        <f>averageCompletionTimePorter(Dates!T$10,Dates!T$11,'Day4'!$B22)</f>
        <v>0</v>
      </c>
      <c r="U22" s="5">
        <f>averageCompletionTimePorter(Dates!$C$10,Dates!$T$11,'Day4'!$B22)</f>
        <v>0</v>
      </c>
    </row>
    <row r="23" spans="2:21" x14ac:dyDescent="0.3">
      <c r="B23" s="8" t="s">
        <v>22</v>
      </c>
      <c r="C23" s="5">
        <f>averageCompletionTimePorter(Dates!C$10,Dates!C$11,'Day4'!$B23)</f>
        <v>0</v>
      </c>
      <c r="D23" s="5">
        <f>averageCompletionTimePorter(Dates!D$10,Dates!D$11,'Day4'!$B23)</f>
        <v>0</v>
      </c>
      <c r="E23" s="5">
        <f>averageCompletionTimePorter(Dates!E$10,Dates!E$11,'Day4'!$B23)</f>
        <v>0</v>
      </c>
      <c r="F23" s="5">
        <f>averageCompletionTimePorter(Dates!F$10,Dates!F$11,'Day4'!$B23)</f>
        <v>0</v>
      </c>
      <c r="G23" s="5">
        <f>averageCompletionTimePorter(Dates!G$10,Dates!G$11,'Day4'!$B23)</f>
        <v>0</v>
      </c>
      <c r="H23" s="5">
        <f>averageCompletionTimePorter(Dates!H$10,Dates!H$11,'Day4'!$B23)</f>
        <v>0</v>
      </c>
      <c r="I23" s="5">
        <f>averageCompletionTimePorter(Dates!I$10,Dates!I$11,'Day4'!$B23)</f>
        <v>0</v>
      </c>
      <c r="J23" s="5">
        <f>averageCompletionTimePorter(Dates!J$10,Dates!J$11,'Day4'!$B23)</f>
        <v>0</v>
      </c>
      <c r="K23" s="5">
        <f>averageCompletionTimePorter(Dates!K$10,Dates!K$11,'Day4'!$B23)</f>
        <v>0</v>
      </c>
      <c r="L23" s="5">
        <f>averageCompletionTimePorter(Dates!L$10,Dates!L$11,'Day4'!$B23)</f>
        <v>0</v>
      </c>
      <c r="M23" s="5">
        <f>averageCompletionTimePorter(Dates!M$10,Dates!M$11,'Day4'!$B23)</f>
        <v>0</v>
      </c>
      <c r="N23" s="5">
        <f>averageCompletionTimePorter(Dates!N$10,Dates!N$11,'Day4'!$B23)</f>
        <v>0</v>
      </c>
      <c r="O23" s="5">
        <f>averageCompletionTimePorter(Dates!O$10,Dates!O$11,'Day4'!$B23)</f>
        <v>0</v>
      </c>
      <c r="P23" s="5">
        <f>averageCompletionTimePorter(Dates!P$10,Dates!P$11,'Day4'!$B23)</f>
        <v>0</v>
      </c>
      <c r="Q23" s="5">
        <f>averageCompletionTimePorter(Dates!Q$10,Dates!Q$11,'Day4'!$B23)</f>
        <v>0</v>
      </c>
      <c r="R23" s="5">
        <f>averageCompletionTimePorter(Dates!R$10,Dates!R$11,'Day4'!$B23)</f>
        <v>0</v>
      </c>
      <c r="S23" s="5">
        <f>averageCompletionTimePorter(Dates!S$10,Dates!S$11,'Day4'!$B23)</f>
        <v>0</v>
      </c>
      <c r="T23" s="5">
        <f>averageCompletionTimePorter(Dates!T$10,Dates!T$11,'Day4'!$B23)</f>
        <v>0</v>
      </c>
      <c r="U23" s="5">
        <f>averageCompletionTimePorter(Dates!$C$10,Dates!$T$11,'Day4'!$B23)</f>
        <v>0</v>
      </c>
    </row>
    <row r="25" spans="2:21" x14ac:dyDescent="0.3">
      <c r="B25" s="7" t="s">
        <v>12</v>
      </c>
      <c r="C25" s="5">
        <f>averageResponseTime(Dates!C10,Dates!C11)</f>
        <v>0</v>
      </c>
      <c r="D25" s="5">
        <f>averageResponseTime(Dates!D10,Dates!D11)</f>
        <v>0</v>
      </c>
      <c r="E25" s="5">
        <f>averageResponseTime(Dates!E10,Dates!E11)</f>
        <v>0</v>
      </c>
      <c r="F25" s="5">
        <f>averageResponseTime(Dates!F10,Dates!F11)</f>
        <v>0</v>
      </c>
      <c r="G25" s="5">
        <f>averageResponseTime(Dates!G10,Dates!G11)</f>
        <v>0</v>
      </c>
      <c r="H25" s="5">
        <f>averageResponseTime(Dates!H10,Dates!H11)</f>
        <v>0</v>
      </c>
      <c r="I25" s="5">
        <f>averageResponseTime(Dates!I10,Dates!I11)</f>
        <v>0</v>
      </c>
      <c r="J25" s="5">
        <f>averageResponseTime(Dates!J10,Dates!J11)</f>
        <v>0</v>
      </c>
      <c r="K25" s="5">
        <f>averageResponseTime(Dates!K10,Dates!K11)</f>
        <v>0</v>
      </c>
      <c r="L25" s="5">
        <f>averageResponseTime(Dates!L10,Dates!L11)</f>
        <v>0</v>
      </c>
      <c r="M25" s="5">
        <f>averageResponseTime(Dates!M10,Dates!M11)</f>
        <v>0</v>
      </c>
      <c r="N25" s="5">
        <f>averageResponseTime(Dates!N10,Dates!N11)</f>
        <v>0</v>
      </c>
      <c r="O25" s="5">
        <f>averageResponseTime(Dates!O10,Dates!O11)</f>
        <v>0</v>
      </c>
      <c r="P25" s="5">
        <f>averageResponseTime(Dates!P10,Dates!P11)</f>
        <v>0</v>
      </c>
      <c r="Q25" s="5">
        <f>averageResponseTime(Dates!Q10,Dates!Q11)</f>
        <v>0</v>
      </c>
      <c r="R25" s="5">
        <f>averageResponseTime(Dates!R10,Dates!R11)</f>
        <v>0</v>
      </c>
      <c r="S25" s="5">
        <f>averageResponseTime(Dates!S10,Dates!S11)</f>
        <v>0</v>
      </c>
      <c r="T25" s="5">
        <f>averageResponseTime(Dates!T10,Dates!T11)</f>
        <v>0</v>
      </c>
      <c r="U25" s="5">
        <f>averageResponseTime(Dates!C10,Dates!T11)</f>
        <v>0</v>
      </c>
    </row>
    <row r="26" spans="2:21" x14ac:dyDescent="0.3">
      <c r="B26" s="7">
        <f>B3</f>
        <v>1</v>
      </c>
      <c r="C26" s="5">
        <f>averageResponseTimePorter(Dates!C$10,Dates!C$11,'Day4'!$B26)</f>
        <v>0</v>
      </c>
      <c r="D26" s="5">
        <f>averageResponseTimePorter(Dates!D$10,Dates!D$11,'Day4'!$B26)</f>
        <v>0</v>
      </c>
      <c r="E26" s="5">
        <f>averageResponseTimePorter(Dates!E$10,Dates!E$11,'Day4'!$B26)</f>
        <v>0</v>
      </c>
      <c r="F26" s="5">
        <f>averageResponseTimePorter(Dates!F$10,Dates!F$11,'Day4'!$B26)</f>
        <v>0</v>
      </c>
      <c r="G26" s="5">
        <f>averageResponseTimePorter(Dates!G$10,Dates!G$11,'Day4'!$B26)</f>
        <v>0</v>
      </c>
      <c r="H26" s="5">
        <f>averageResponseTimePorter(Dates!H$10,Dates!H$11,'Day4'!$B26)</f>
        <v>0</v>
      </c>
      <c r="I26" s="5">
        <f>averageResponseTimePorter(Dates!I$10,Dates!I$11,'Day4'!$B26)</f>
        <v>0</v>
      </c>
      <c r="J26" s="5">
        <f>averageResponseTimePorter(Dates!J$10,Dates!J$11,'Day4'!$B26)</f>
        <v>0</v>
      </c>
      <c r="K26" s="5">
        <f>averageResponseTimePorter(Dates!K$10,Dates!K$11,'Day4'!$B26)</f>
        <v>0</v>
      </c>
      <c r="L26" s="5">
        <f>averageResponseTimePorter(Dates!L$10,Dates!L$11,'Day4'!$B26)</f>
        <v>0</v>
      </c>
      <c r="M26" s="5">
        <f>averageResponseTimePorter(Dates!M$10,Dates!M$11,'Day4'!$B26)</f>
        <v>0</v>
      </c>
      <c r="N26" s="5">
        <f>averageResponseTimePorter(Dates!N$10,Dates!N$11,'Day4'!$B26)</f>
        <v>0</v>
      </c>
      <c r="O26" s="5">
        <f>averageResponseTimePorter(Dates!O$10,Dates!O$11,'Day4'!$B26)</f>
        <v>0</v>
      </c>
      <c r="P26" s="5">
        <f>averageResponseTimePorter(Dates!P$10,Dates!P$11,'Day4'!$B26)</f>
        <v>0</v>
      </c>
      <c r="Q26" s="5">
        <f>averageResponseTimePorter(Dates!Q$10,Dates!Q$11,'Day4'!$B26)</f>
        <v>0</v>
      </c>
      <c r="R26" s="5">
        <f>averageResponseTimePorter(Dates!R$10,Dates!R$11,'Day4'!$B26)</f>
        <v>0</v>
      </c>
      <c r="S26" s="5">
        <f>averageResponseTimePorter(Dates!S$10,Dates!S$11,'Day4'!$B26)</f>
        <v>0</v>
      </c>
      <c r="T26" s="5">
        <f>averageResponseTimePorter(Dates!T$10,Dates!T$11,'Day4'!$B26)</f>
        <v>0</v>
      </c>
      <c r="U26" s="5">
        <f>averageResponseTimePorter(Dates!$C$10,Dates!$T$11,'Day4'!$B3)</f>
        <v>0</v>
      </c>
    </row>
    <row r="27" spans="2:21" x14ac:dyDescent="0.3">
      <c r="B27" s="7">
        <f t="shared" ref="B27:B46" si="0">B4</f>
        <v>0</v>
      </c>
      <c r="C27" s="5">
        <f>averageResponseTimePorter(Dates!C$10,Dates!C$11,'Day4'!$B27)</f>
        <v>0</v>
      </c>
      <c r="D27" s="5">
        <f>averageResponseTimePorter(Dates!D$10,Dates!D$11,'Day4'!$B27)</f>
        <v>0</v>
      </c>
      <c r="E27" s="5">
        <f>averageResponseTimePorter(Dates!E$10,Dates!E$11,'Day4'!$B27)</f>
        <v>0</v>
      </c>
      <c r="F27" s="5">
        <f>averageResponseTimePorter(Dates!F$10,Dates!F$11,'Day4'!$B27)</f>
        <v>0</v>
      </c>
      <c r="G27" s="5">
        <f>averageResponseTimePorter(Dates!G$10,Dates!G$11,'Day4'!$B27)</f>
        <v>0</v>
      </c>
      <c r="H27" s="5">
        <f>averageResponseTimePorter(Dates!H$10,Dates!H$11,'Day4'!$B27)</f>
        <v>0</v>
      </c>
      <c r="I27" s="5">
        <f>averageResponseTimePorter(Dates!I$10,Dates!I$11,'Day4'!$B27)</f>
        <v>0</v>
      </c>
      <c r="J27" s="5">
        <f>averageResponseTimePorter(Dates!J$10,Dates!J$11,'Day4'!$B27)</f>
        <v>0</v>
      </c>
      <c r="K27" s="5">
        <f>averageResponseTimePorter(Dates!K$10,Dates!K$11,'Day4'!$B27)</f>
        <v>0</v>
      </c>
      <c r="L27" s="5">
        <f>averageResponseTimePorter(Dates!L$10,Dates!L$11,'Day4'!$B27)</f>
        <v>0</v>
      </c>
      <c r="M27" s="5">
        <f>averageResponseTimePorter(Dates!M$10,Dates!M$11,'Day4'!$B27)</f>
        <v>0</v>
      </c>
      <c r="N27" s="5">
        <f>averageResponseTimePorter(Dates!N$10,Dates!N$11,'Day4'!$B27)</f>
        <v>0</v>
      </c>
      <c r="O27" s="5">
        <f>averageResponseTimePorter(Dates!O$10,Dates!O$11,'Day4'!$B27)</f>
        <v>0</v>
      </c>
      <c r="P27" s="5">
        <f>averageResponseTimePorter(Dates!P$10,Dates!P$11,'Day4'!$B27)</f>
        <v>0</v>
      </c>
      <c r="Q27" s="5">
        <f>averageResponseTimePorter(Dates!Q$10,Dates!Q$11,'Day4'!$B27)</f>
        <v>0</v>
      </c>
      <c r="R27" s="5">
        <f>averageResponseTimePorter(Dates!R$10,Dates!R$11,'Day4'!$B27)</f>
        <v>0</v>
      </c>
      <c r="S27" s="5">
        <f>averageResponseTimePorter(Dates!S$10,Dates!S$11,'Day4'!$B27)</f>
        <v>0</v>
      </c>
      <c r="T27" s="5">
        <f>averageResponseTimePorter(Dates!T$10,Dates!T$11,'Day4'!$B27)</f>
        <v>0</v>
      </c>
      <c r="U27" s="5">
        <f>averageResponseTimePorter(Dates!$C$10,Dates!$T$11,'Day4'!$B4)</f>
        <v>0</v>
      </c>
    </row>
    <row r="28" spans="2:21" x14ac:dyDescent="0.3">
      <c r="B28" s="7">
        <f t="shared" si="0"/>
        <v>3</v>
      </c>
      <c r="C28" s="5">
        <f>averageResponseTimePorter(Dates!C$10,Dates!C$11,'Day4'!$B28)</f>
        <v>0</v>
      </c>
      <c r="D28" s="5">
        <f>averageResponseTimePorter(Dates!D$10,Dates!D$11,'Day4'!$B28)</f>
        <v>0</v>
      </c>
      <c r="E28" s="5">
        <f>averageResponseTimePorter(Dates!E$10,Dates!E$11,'Day4'!$B28)</f>
        <v>0</v>
      </c>
      <c r="F28" s="5">
        <f>averageResponseTimePorter(Dates!F$10,Dates!F$11,'Day4'!$B28)</f>
        <v>0</v>
      </c>
      <c r="G28" s="5">
        <f>averageResponseTimePorter(Dates!G$10,Dates!G$11,'Day4'!$B28)</f>
        <v>0</v>
      </c>
      <c r="H28" s="5">
        <f>averageResponseTimePorter(Dates!H$10,Dates!H$11,'Day4'!$B28)</f>
        <v>0</v>
      </c>
      <c r="I28" s="5">
        <f>averageResponseTimePorter(Dates!I$10,Dates!I$11,'Day4'!$B28)</f>
        <v>0</v>
      </c>
      <c r="J28" s="5">
        <f>averageResponseTimePorter(Dates!J$10,Dates!J$11,'Day4'!$B28)</f>
        <v>0</v>
      </c>
      <c r="K28" s="5">
        <f>averageResponseTimePorter(Dates!K$10,Dates!K$11,'Day4'!$B28)</f>
        <v>0</v>
      </c>
      <c r="L28" s="5">
        <f>averageResponseTimePorter(Dates!L$10,Dates!L$11,'Day4'!$B28)</f>
        <v>0</v>
      </c>
      <c r="M28" s="5">
        <f>averageResponseTimePorter(Dates!M$10,Dates!M$11,'Day4'!$B28)</f>
        <v>0</v>
      </c>
      <c r="N28" s="5">
        <f>averageResponseTimePorter(Dates!N$10,Dates!N$11,'Day4'!$B28)</f>
        <v>0</v>
      </c>
      <c r="O28" s="5">
        <f>averageResponseTimePorter(Dates!O$10,Dates!O$11,'Day4'!$B28)</f>
        <v>0</v>
      </c>
      <c r="P28" s="5">
        <f>averageResponseTimePorter(Dates!P$10,Dates!P$11,'Day4'!$B28)</f>
        <v>0</v>
      </c>
      <c r="Q28" s="5">
        <f>averageResponseTimePorter(Dates!Q$10,Dates!Q$11,'Day4'!$B28)</f>
        <v>0</v>
      </c>
      <c r="R28" s="5">
        <f>averageResponseTimePorter(Dates!R$10,Dates!R$11,'Day4'!$B28)</f>
        <v>0</v>
      </c>
      <c r="S28" s="5">
        <f>averageResponseTimePorter(Dates!S$10,Dates!S$11,'Day4'!$B28)</f>
        <v>0</v>
      </c>
      <c r="T28" s="5">
        <f>averageResponseTimePorter(Dates!T$10,Dates!T$11,'Day4'!$B28)</f>
        <v>0</v>
      </c>
      <c r="U28" s="5">
        <f>averageResponseTimePorter(Dates!$C$10,Dates!$T$11,'Day4'!$B5)</f>
        <v>0</v>
      </c>
    </row>
    <row r="29" spans="2:21" x14ac:dyDescent="0.3">
      <c r="B29" s="7">
        <f t="shared" si="0"/>
        <v>2</v>
      </c>
      <c r="C29" s="5">
        <f>averageResponseTimePorter(Dates!C$10,Dates!C$11,'Day4'!$B29)</f>
        <v>0</v>
      </c>
      <c r="D29" s="5">
        <f>averageResponseTimePorter(Dates!D$10,Dates!D$11,'Day4'!$B29)</f>
        <v>0</v>
      </c>
      <c r="E29" s="5">
        <f>averageResponseTimePorter(Dates!E$10,Dates!E$11,'Day4'!$B29)</f>
        <v>0</v>
      </c>
      <c r="F29" s="5">
        <f>averageResponseTimePorter(Dates!F$10,Dates!F$11,'Day4'!$B29)</f>
        <v>0</v>
      </c>
      <c r="G29" s="5">
        <f>averageResponseTimePorter(Dates!G$10,Dates!G$11,'Day4'!$B29)</f>
        <v>0</v>
      </c>
      <c r="H29" s="5">
        <f>averageResponseTimePorter(Dates!H$10,Dates!H$11,'Day4'!$B29)</f>
        <v>0</v>
      </c>
      <c r="I29" s="5">
        <f>averageResponseTimePorter(Dates!I$10,Dates!I$11,'Day4'!$B29)</f>
        <v>0</v>
      </c>
      <c r="J29" s="5">
        <f>averageResponseTimePorter(Dates!J$10,Dates!J$11,'Day4'!$B29)</f>
        <v>0</v>
      </c>
      <c r="K29" s="5">
        <f>averageResponseTimePorter(Dates!K$10,Dates!K$11,'Day4'!$B29)</f>
        <v>0</v>
      </c>
      <c r="L29" s="5">
        <f>averageResponseTimePorter(Dates!L$10,Dates!L$11,'Day4'!$B29)</f>
        <v>0</v>
      </c>
      <c r="M29" s="5">
        <f>averageResponseTimePorter(Dates!M$10,Dates!M$11,'Day4'!$B29)</f>
        <v>0</v>
      </c>
      <c r="N29" s="5">
        <f>averageResponseTimePorter(Dates!N$10,Dates!N$11,'Day4'!$B29)</f>
        <v>0</v>
      </c>
      <c r="O29" s="5">
        <f>averageResponseTimePorter(Dates!O$10,Dates!O$11,'Day4'!$B29)</f>
        <v>0</v>
      </c>
      <c r="P29" s="5">
        <f>averageResponseTimePorter(Dates!P$10,Dates!P$11,'Day4'!$B29)</f>
        <v>0</v>
      </c>
      <c r="Q29" s="5">
        <f>averageResponseTimePorter(Dates!Q$10,Dates!Q$11,'Day4'!$B29)</f>
        <v>0</v>
      </c>
      <c r="R29" s="5">
        <f>averageResponseTimePorter(Dates!R$10,Dates!R$11,'Day4'!$B29)</f>
        <v>0</v>
      </c>
      <c r="S29" s="5">
        <f>averageResponseTimePorter(Dates!S$10,Dates!S$11,'Day4'!$B29)</f>
        <v>0</v>
      </c>
      <c r="T29" s="5">
        <f>averageResponseTimePorter(Dates!T$10,Dates!T$11,'Day4'!$B29)</f>
        <v>0</v>
      </c>
      <c r="U29" s="5">
        <f>averageResponseTimePorter(Dates!$C$10,Dates!$T$11,'Day4'!$B6)</f>
        <v>0</v>
      </c>
    </row>
    <row r="30" spans="2:21" x14ac:dyDescent="0.3">
      <c r="B30" s="7">
        <f t="shared" si="0"/>
        <v>5</v>
      </c>
      <c r="C30" s="5">
        <f>averageResponseTimePorter(Dates!C$10,Dates!C$11,'Day4'!$B30)</f>
        <v>0</v>
      </c>
      <c r="D30" s="5">
        <f>averageResponseTimePorter(Dates!D$10,Dates!D$11,'Day4'!$B30)</f>
        <v>0</v>
      </c>
      <c r="E30" s="5">
        <f>averageResponseTimePorter(Dates!E$10,Dates!E$11,'Day4'!$B30)</f>
        <v>0</v>
      </c>
      <c r="F30" s="5">
        <f>averageResponseTimePorter(Dates!F$10,Dates!F$11,'Day4'!$B30)</f>
        <v>0</v>
      </c>
      <c r="G30" s="5">
        <f>averageResponseTimePorter(Dates!G$10,Dates!G$11,'Day4'!$B30)</f>
        <v>0</v>
      </c>
      <c r="H30" s="5">
        <f>averageResponseTimePorter(Dates!H$10,Dates!H$11,'Day4'!$B30)</f>
        <v>0</v>
      </c>
      <c r="I30" s="5">
        <f>averageResponseTimePorter(Dates!I$10,Dates!I$11,'Day4'!$B30)</f>
        <v>0</v>
      </c>
      <c r="J30" s="5">
        <f>averageResponseTimePorter(Dates!J$10,Dates!J$11,'Day4'!$B30)</f>
        <v>0</v>
      </c>
      <c r="K30" s="5">
        <f>averageResponseTimePorter(Dates!K$10,Dates!K$11,'Day4'!$B30)</f>
        <v>0</v>
      </c>
      <c r="L30" s="5">
        <f>averageResponseTimePorter(Dates!L$10,Dates!L$11,'Day4'!$B30)</f>
        <v>0</v>
      </c>
      <c r="M30" s="5">
        <f>averageResponseTimePorter(Dates!M$10,Dates!M$11,'Day4'!$B30)</f>
        <v>0</v>
      </c>
      <c r="N30" s="5">
        <f>averageResponseTimePorter(Dates!N$10,Dates!N$11,'Day4'!$B30)</f>
        <v>0</v>
      </c>
      <c r="O30" s="5">
        <f>averageResponseTimePorter(Dates!O$10,Dates!O$11,'Day4'!$B30)</f>
        <v>0</v>
      </c>
      <c r="P30" s="5">
        <f>averageResponseTimePorter(Dates!P$10,Dates!P$11,'Day4'!$B30)</f>
        <v>0</v>
      </c>
      <c r="Q30" s="5">
        <f>averageResponseTimePorter(Dates!Q$10,Dates!Q$11,'Day4'!$B30)</f>
        <v>0</v>
      </c>
      <c r="R30" s="5">
        <f>averageResponseTimePorter(Dates!R$10,Dates!R$11,'Day4'!$B30)</f>
        <v>0</v>
      </c>
      <c r="S30" s="5">
        <f>averageResponseTimePorter(Dates!S$10,Dates!S$11,'Day4'!$B30)</f>
        <v>0</v>
      </c>
      <c r="T30" s="5">
        <f>averageResponseTimePorter(Dates!T$10,Dates!T$11,'Day4'!$B30)</f>
        <v>0</v>
      </c>
      <c r="U30" s="5">
        <f>averageResponseTimePorter(Dates!$C$10,Dates!$T$11,'Day4'!$B7)</f>
        <v>0</v>
      </c>
    </row>
    <row r="31" spans="2:21" x14ac:dyDescent="0.3">
      <c r="B31" s="7">
        <f t="shared" si="0"/>
        <v>4</v>
      </c>
      <c r="C31" s="5">
        <f>averageResponseTimePorter(Dates!C$10,Dates!C$11,'Day4'!$B31)</f>
        <v>0</v>
      </c>
      <c r="D31" s="5">
        <f>averageResponseTimePorter(Dates!D$10,Dates!D$11,'Day4'!$B31)</f>
        <v>0</v>
      </c>
      <c r="E31" s="5">
        <f>averageResponseTimePorter(Dates!E$10,Dates!E$11,'Day4'!$B31)</f>
        <v>0</v>
      </c>
      <c r="F31" s="5">
        <f>averageResponseTimePorter(Dates!F$10,Dates!F$11,'Day4'!$B31)</f>
        <v>0</v>
      </c>
      <c r="G31" s="5">
        <f>averageResponseTimePorter(Dates!G$10,Dates!G$11,'Day4'!$B31)</f>
        <v>0</v>
      </c>
      <c r="H31" s="5">
        <f>averageResponseTimePorter(Dates!H$10,Dates!H$11,'Day4'!$B31)</f>
        <v>0</v>
      </c>
      <c r="I31" s="5">
        <f>averageResponseTimePorter(Dates!I$10,Dates!I$11,'Day4'!$B31)</f>
        <v>0</v>
      </c>
      <c r="J31" s="5">
        <f>averageResponseTimePorter(Dates!J$10,Dates!J$11,'Day4'!$B31)</f>
        <v>0</v>
      </c>
      <c r="K31" s="5">
        <f>averageResponseTimePorter(Dates!K$10,Dates!K$11,'Day4'!$B31)</f>
        <v>0</v>
      </c>
      <c r="L31" s="5">
        <f>averageResponseTimePorter(Dates!L$10,Dates!L$11,'Day4'!$B31)</f>
        <v>0</v>
      </c>
      <c r="M31" s="5">
        <f>averageResponseTimePorter(Dates!M$10,Dates!M$11,'Day4'!$B31)</f>
        <v>0</v>
      </c>
      <c r="N31" s="5">
        <f>averageResponseTimePorter(Dates!N$10,Dates!N$11,'Day4'!$B31)</f>
        <v>0</v>
      </c>
      <c r="O31" s="5">
        <f>averageResponseTimePorter(Dates!O$10,Dates!O$11,'Day4'!$B31)</f>
        <v>0</v>
      </c>
      <c r="P31" s="5">
        <f>averageResponseTimePorter(Dates!P$10,Dates!P$11,'Day4'!$B31)</f>
        <v>0</v>
      </c>
      <c r="Q31" s="5">
        <f>averageResponseTimePorter(Dates!Q$10,Dates!Q$11,'Day4'!$B31)</f>
        <v>0</v>
      </c>
      <c r="R31" s="5">
        <f>averageResponseTimePorter(Dates!R$10,Dates!R$11,'Day4'!$B31)</f>
        <v>0</v>
      </c>
      <c r="S31" s="5">
        <f>averageResponseTimePorter(Dates!S$10,Dates!S$11,'Day4'!$B31)</f>
        <v>0</v>
      </c>
      <c r="T31" s="5">
        <f>averageResponseTimePorter(Dates!T$10,Dates!T$11,'Day4'!$B31)</f>
        <v>0</v>
      </c>
      <c r="U31" s="5">
        <f>averageResponseTimePorter(Dates!$C$10,Dates!$T$11,'Day4'!$B8)</f>
        <v>0</v>
      </c>
    </row>
    <row r="32" spans="2:21" x14ac:dyDescent="0.3">
      <c r="B32" s="7">
        <f t="shared" si="0"/>
        <v>6</v>
      </c>
      <c r="C32" s="5">
        <f>averageResponseTimePorter(Dates!C$10,Dates!C$11,'Day4'!$B32)</f>
        <v>0</v>
      </c>
      <c r="D32" s="5">
        <f>averageResponseTimePorter(Dates!D$10,Dates!D$11,'Day4'!$B32)</f>
        <v>0</v>
      </c>
      <c r="E32" s="5">
        <f>averageResponseTimePorter(Dates!E$10,Dates!E$11,'Day4'!$B32)</f>
        <v>0</v>
      </c>
      <c r="F32" s="5">
        <f>averageResponseTimePorter(Dates!F$10,Dates!F$11,'Day4'!$B32)</f>
        <v>0</v>
      </c>
      <c r="G32" s="5">
        <f>averageResponseTimePorter(Dates!G$10,Dates!G$11,'Day4'!$B32)</f>
        <v>0</v>
      </c>
      <c r="H32" s="5">
        <f>averageResponseTimePorter(Dates!H$10,Dates!H$11,'Day4'!$B32)</f>
        <v>0</v>
      </c>
      <c r="I32" s="5">
        <f>averageResponseTimePorter(Dates!I$10,Dates!I$11,'Day4'!$B32)</f>
        <v>0</v>
      </c>
      <c r="J32" s="5">
        <f>averageResponseTimePorter(Dates!J$10,Dates!J$11,'Day4'!$B32)</f>
        <v>0</v>
      </c>
      <c r="K32" s="5">
        <f>averageResponseTimePorter(Dates!K$10,Dates!K$11,'Day4'!$B32)</f>
        <v>0</v>
      </c>
      <c r="L32" s="5">
        <f>averageResponseTimePorter(Dates!L$10,Dates!L$11,'Day4'!$B32)</f>
        <v>0</v>
      </c>
      <c r="M32" s="5">
        <f>averageResponseTimePorter(Dates!M$10,Dates!M$11,'Day4'!$B32)</f>
        <v>0</v>
      </c>
      <c r="N32" s="5">
        <f>averageResponseTimePorter(Dates!N$10,Dates!N$11,'Day4'!$B32)</f>
        <v>0</v>
      </c>
      <c r="O32" s="5">
        <f>averageResponseTimePorter(Dates!O$10,Dates!O$11,'Day4'!$B32)</f>
        <v>0</v>
      </c>
      <c r="P32" s="5">
        <f>averageResponseTimePorter(Dates!P$10,Dates!P$11,'Day4'!$B32)</f>
        <v>0</v>
      </c>
      <c r="Q32" s="5">
        <f>averageResponseTimePorter(Dates!Q$10,Dates!Q$11,'Day4'!$B32)</f>
        <v>0</v>
      </c>
      <c r="R32" s="5">
        <f>averageResponseTimePorter(Dates!R$10,Dates!R$11,'Day4'!$B32)</f>
        <v>0</v>
      </c>
      <c r="S32" s="5">
        <f>averageResponseTimePorter(Dates!S$10,Dates!S$11,'Day4'!$B32)</f>
        <v>0</v>
      </c>
      <c r="T32" s="5">
        <f>averageResponseTimePorter(Dates!T$10,Dates!T$11,'Day4'!$B32)</f>
        <v>0</v>
      </c>
      <c r="U32" s="5">
        <f>averageResponseTimePorter(Dates!$C$10,Dates!$T$11,'Day4'!$B9)</f>
        <v>0</v>
      </c>
    </row>
    <row r="33" spans="2:21" x14ac:dyDescent="0.3">
      <c r="B33" s="7" t="str">
        <f t="shared" si="0"/>
        <v>NA10</v>
      </c>
      <c r="C33" s="5">
        <f>averageResponseTimePorter(Dates!C$10,Dates!C$11,'Day4'!$B33)</f>
        <v>0</v>
      </c>
      <c r="D33" s="5">
        <f>averageResponseTimePorter(Dates!D$10,Dates!D$11,'Day4'!$B33)</f>
        <v>0</v>
      </c>
      <c r="E33" s="5">
        <f>averageResponseTimePorter(Dates!E$10,Dates!E$11,'Day4'!$B33)</f>
        <v>0</v>
      </c>
      <c r="F33" s="5">
        <f>averageResponseTimePorter(Dates!F$10,Dates!F$11,'Day4'!$B33)</f>
        <v>0</v>
      </c>
      <c r="G33" s="5">
        <f>averageResponseTimePorter(Dates!G$10,Dates!G$11,'Day4'!$B33)</f>
        <v>0</v>
      </c>
      <c r="H33" s="5">
        <f>averageResponseTimePorter(Dates!H$10,Dates!H$11,'Day4'!$B33)</f>
        <v>0</v>
      </c>
      <c r="I33" s="5">
        <f>averageResponseTimePorter(Dates!I$10,Dates!I$11,'Day4'!$B33)</f>
        <v>0</v>
      </c>
      <c r="J33" s="5">
        <f>averageResponseTimePorter(Dates!J$10,Dates!J$11,'Day4'!$B33)</f>
        <v>0</v>
      </c>
      <c r="K33" s="5">
        <f>averageResponseTimePorter(Dates!K$10,Dates!K$11,'Day4'!$B33)</f>
        <v>0</v>
      </c>
      <c r="L33" s="5">
        <f>averageResponseTimePorter(Dates!L$10,Dates!L$11,'Day4'!$B33)</f>
        <v>0</v>
      </c>
      <c r="M33" s="5">
        <f>averageResponseTimePorter(Dates!M$10,Dates!M$11,'Day4'!$B33)</f>
        <v>0</v>
      </c>
      <c r="N33" s="5">
        <f>averageResponseTimePorter(Dates!N$10,Dates!N$11,'Day4'!$B33)</f>
        <v>0</v>
      </c>
      <c r="O33" s="5">
        <f>averageResponseTimePorter(Dates!O$10,Dates!O$11,'Day4'!$B33)</f>
        <v>0</v>
      </c>
      <c r="P33" s="5">
        <f>averageResponseTimePorter(Dates!P$10,Dates!P$11,'Day4'!$B33)</f>
        <v>0</v>
      </c>
      <c r="Q33" s="5">
        <f>averageResponseTimePorter(Dates!Q$10,Dates!Q$11,'Day4'!$B33)</f>
        <v>0</v>
      </c>
      <c r="R33" s="5">
        <f>averageResponseTimePorter(Dates!R$10,Dates!R$11,'Day4'!$B33)</f>
        <v>0</v>
      </c>
      <c r="S33" s="5">
        <f>averageResponseTimePorter(Dates!S$10,Dates!S$11,'Day4'!$B33)</f>
        <v>0</v>
      </c>
      <c r="T33" s="5">
        <f>averageResponseTimePorter(Dates!T$10,Dates!T$11,'Day4'!$B33)</f>
        <v>0</v>
      </c>
      <c r="U33" s="5">
        <f>averageResponseTimePorter(Dates!$C$10,Dates!$T$11,'Day4'!$B10)</f>
        <v>0</v>
      </c>
    </row>
    <row r="34" spans="2:21" x14ac:dyDescent="0.3">
      <c r="B34" s="7" t="str">
        <f t="shared" si="0"/>
        <v>NA11</v>
      </c>
      <c r="C34" s="5">
        <f>averageResponseTimePorter(Dates!C$10,Dates!C$11,'Day4'!$B34)</f>
        <v>0</v>
      </c>
      <c r="D34" s="5">
        <f>averageResponseTimePorter(Dates!D$10,Dates!D$11,'Day4'!$B34)</f>
        <v>0</v>
      </c>
      <c r="E34" s="5">
        <f>averageResponseTimePorter(Dates!E$10,Dates!E$11,'Day4'!$B34)</f>
        <v>0</v>
      </c>
      <c r="F34" s="5">
        <f>averageResponseTimePorter(Dates!F$10,Dates!F$11,'Day4'!$B34)</f>
        <v>0</v>
      </c>
      <c r="G34" s="5">
        <f>averageResponseTimePorter(Dates!G$10,Dates!G$11,'Day4'!$B34)</f>
        <v>0</v>
      </c>
      <c r="H34" s="5">
        <f>averageResponseTimePorter(Dates!H$10,Dates!H$11,'Day4'!$B34)</f>
        <v>0</v>
      </c>
      <c r="I34" s="5">
        <f>averageResponseTimePorter(Dates!I$10,Dates!I$11,'Day4'!$B34)</f>
        <v>0</v>
      </c>
      <c r="J34" s="5">
        <f>averageResponseTimePorter(Dates!J$10,Dates!J$11,'Day4'!$B34)</f>
        <v>0</v>
      </c>
      <c r="K34" s="5">
        <f>averageResponseTimePorter(Dates!K$10,Dates!K$11,'Day4'!$B34)</f>
        <v>0</v>
      </c>
      <c r="L34" s="5">
        <f>averageResponseTimePorter(Dates!L$10,Dates!L$11,'Day4'!$B34)</f>
        <v>0</v>
      </c>
      <c r="M34" s="5">
        <f>averageResponseTimePorter(Dates!M$10,Dates!M$11,'Day4'!$B34)</f>
        <v>0</v>
      </c>
      <c r="N34" s="5">
        <f>averageResponseTimePorter(Dates!N$10,Dates!N$11,'Day4'!$B34)</f>
        <v>0</v>
      </c>
      <c r="O34" s="5">
        <f>averageResponseTimePorter(Dates!O$10,Dates!O$11,'Day4'!$B34)</f>
        <v>0</v>
      </c>
      <c r="P34" s="5">
        <f>averageResponseTimePorter(Dates!P$10,Dates!P$11,'Day4'!$B34)</f>
        <v>0</v>
      </c>
      <c r="Q34" s="5">
        <f>averageResponseTimePorter(Dates!Q$10,Dates!Q$11,'Day4'!$B34)</f>
        <v>0</v>
      </c>
      <c r="R34" s="5">
        <f>averageResponseTimePorter(Dates!R$10,Dates!R$11,'Day4'!$B34)</f>
        <v>0</v>
      </c>
      <c r="S34" s="5">
        <f>averageResponseTimePorter(Dates!S$10,Dates!S$11,'Day4'!$B34)</f>
        <v>0</v>
      </c>
      <c r="T34" s="5">
        <f>averageResponseTimePorter(Dates!T$10,Dates!T$11,'Day4'!$B34)</f>
        <v>0</v>
      </c>
      <c r="U34" s="5">
        <f>averageResponseTimePorter(Dates!$C$10,Dates!$T$11,'Day4'!$B11)</f>
        <v>0</v>
      </c>
    </row>
    <row r="35" spans="2:21" x14ac:dyDescent="0.3">
      <c r="B35" s="7" t="str">
        <f t="shared" si="0"/>
        <v>NA12</v>
      </c>
      <c r="C35" s="5">
        <f>averageResponseTimePorter(Dates!C$10,Dates!C$11,'Day4'!$B35)</f>
        <v>0</v>
      </c>
      <c r="D35" s="5">
        <f>averageResponseTimePorter(Dates!D$10,Dates!D$11,'Day4'!$B35)</f>
        <v>0</v>
      </c>
      <c r="E35" s="5">
        <f>averageResponseTimePorter(Dates!E$10,Dates!E$11,'Day4'!$B35)</f>
        <v>0</v>
      </c>
      <c r="F35" s="5">
        <f>averageResponseTimePorter(Dates!F$10,Dates!F$11,'Day4'!$B35)</f>
        <v>0</v>
      </c>
      <c r="G35" s="5">
        <f>averageResponseTimePorter(Dates!G$10,Dates!G$11,'Day4'!$B35)</f>
        <v>0</v>
      </c>
      <c r="H35" s="5">
        <f>averageResponseTimePorter(Dates!H$10,Dates!H$11,'Day4'!$B35)</f>
        <v>0</v>
      </c>
      <c r="I35" s="5">
        <f>averageResponseTimePorter(Dates!I$10,Dates!I$11,'Day4'!$B35)</f>
        <v>0</v>
      </c>
      <c r="J35" s="5">
        <f>averageResponseTimePorter(Dates!J$10,Dates!J$11,'Day4'!$B35)</f>
        <v>0</v>
      </c>
      <c r="K35" s="5">
        <f>averageResponseTimePorter(Dates!K$10,Dates!K$11,'Day4'!$B35)</f>
        <v>0</v>
      </c>
      <c r="L35" s="5">
        <f>averageResponseTimePorter(Dates!L$10,Dates!L$11,'Day4'!$B35)</f>
        <v>0</v>
      </c>
      <c r="M35" s="5">
        <f>averageResponseTimePorter(Dates!M$10,Dates!M$11,'Day4'!$B35)</f>
        <v>0</v>
      </c>
      <c r="N35" s="5">
        <f>averageResponseTimePorter(Dates!N$10,Dates!N$11,'Day4'!$B35)</f>
        <v>0</v>
      </c>
      <c r="O35" s="5">
        <f>averageResponseTimePorter(Dates!O$10,Dates!O$11,'Day4'!$B35)</f>
        <v>0</v>
      </c>
      <c r="P35" s="5">
        <f>averageResponseTimePorter(Dates!P$10,Dates!P$11,'Day4'!$B35)</f>
        <v>0</v>
      </c>
      <c r="Q35" s="5">
        <f>averageResponseTimePorter(Dates!Q$10,Dates!Q$11,'Day4'!$B35)</f>
        <v>0</v>
      </c>
      <c r="R35" s="5">
        <f>averageResponseTimePorter(Dates!R$10,Dates!R$11,'Day4'!$B35)</f>
        <v>0</v>
      </c>
      <c r="S35" s="5">
        <f>averageResponseTimePorter(Dates!S$10,Dates!S$11,'Day4'!$B35)</f>
        <v>0</v>
      </c>
      <c r="T35" s="5">
        <f>averageResponseTimePorter(Dates!T$10,Dates!T$11,'Day4'!$B35)</f>
        <v>0</v>
      </c>
      <c r="U35" s="5">
        <f>averageResponseTimePorter(Dates!$C$10,Dates!$T$11,'Day4'!$B12)</f>
        <v>0</v>
      </c>
    </row>
    <row r="36" spans="2:21" x14ac:dyDescent="0.3">
      <c r="B36" s="7" t="str">
        <f t="shared" si="0"/>
        <v>NA13</v>
      </c>
      <c r="C36" s="5">
        <f>averageResponseTimePorter(Dates!C$10,Dates!C$11,'Day4'!$B36)</f>
        <v>0</v>
      </c>
      <c r="D36" s="5">
        <f>averageResponseTimePorter(Dates!D$10,Dates!D$11,'Day4'!$B36)</f>
        <v>0</v>
      </c>
      <c r="E36" s="5">
        <f>averageResponseTimePorter(Dates!E$10,Dates!E$11,'Day4'!$B36)</f>
        <v>0</v>
      </c>
      <c r="F36" s="5">
        <f>averageResponseTimePorter(Dates!F$10,Dates!F$11,'Day4'!$B36)</f>
        <v>0</v>
      </c>
      <c r="G36" s="5">
        <f>averageResponseTimePorter(Dates!G$10,Dates!G$11,'Day4'!$B36)</f>
        <v>0</v>
      </c>
      <c r="H36" s="5">
        <f>averageResponseTimePorter(Dates!H$10,Dates!H$11,'Day4'!$B36)</f>
        <v>0</v>
      </c>
      <c r="I36" s="5">
        <f>averageResponseTimePorter(Dates!I$10,Dates!I$11,'Day4'!$B36)</f>
        <v>0</v>
      </c>
      <c r="J36" s="5">
        <f>averageResponseTimePorter(Dates!J$10,Dates!J$11,'Day4'!$B36)</f>
        <v>0</v>
      </c>
      <c r="K36" s="5">
        <f>averageResponseTimePorter(Dates!K$10,Dates!K$11,'Day4'!$B36)</f>
        <v>0</v>
      </c>
      <c r="L36" s="5">
        <f>averageResponseTimePorter(Dates!L$10,Dates!L$11,'Day4'!$B36)</f>
        <v>0</v>
      </c>
      <c r="M36" s="5">
        <f>averageResponseTimePorter(Dates!M$10,Dates!M$11,'Day4'!$B36)</f>
        <v>0</v>
      </c>
      <c r="N36" s="5">
        <f>averageResponseTimePorter(Dates!N$10,Dates!N$11,'Day4'!$B36)</f>
        <v>0</v>
      </c>
      <c r="O36" s="5">
        <f>averageResponseTimePorter(Dates!O$10,Dates!O$11,'Day4'!$B36)</f>
        <v>0</v>
      </c>
      <c r="P36" s="5">
        <f>averageResponseTimePorter(Dates!P$10,Dates!P$11,'Day4'!$B36)</f>
        <v>0</v>
      </c>
      <c r="Q36" s="5">
        <f>averageResponseTimePorter(Dates!Q$10,Dates!Q$11,'Day4'!$B36)</f>
        <v>0</v>
      </c>
      <c r="R36" s="5">
        <f>averageResponseTimePorter(Dates!R$10,Dates!R$11,'Day4'!$B36)</f>
        <v>0</v>
      </c>
      <c r="S36" s="5">
        <f>averageResponseTimePorter(Dates!S$10,Dates!S$11,'Day4'!$B36)</f>
        <v>0</v>
      </c>
      <c r="T36" s="5">
        <f>averageResponseTimePorter(Dates!T$10,Dates!T$11,'Day4'!$B36)</f>
        <v>0</v>
      </c>
      <c r="U36" s="5">
        <f>averageResponseTimePorter(Dates!$C$10,Dates!$T$11,'Day4'!$B13)</f>
        <v>0</v>
      </c>
    </row>
    <row r="37" spans="2:21" x14ac:dyDescent="0.3">
      <c r="B37" s="7" t="str">
        <f t="shared" si="0"/>
        <v>NA14</v>
      </c>
      <c r="C37" s="5">
        <f>averageResponseTimePorter(Dates!C$10,Dates!C$11,'Day4'!$B37)</f>
        <v>0</v>
      </c>
      <c r="D37" s="5">
        <f>averageResponseTimePorter(Dates!D$10,Dates!D$11,'Day4'!$B37)</f>
        <v>0</v>
      </c>
      <c r="E37" s="5">
        <f>averageResponseTimePorter(Dates!E$10,Dates!E$11,'Day4'!$B37)</f>
        <v>0</v>
      </c>
      <c r="F37" s="5">
        <f>averageResponseTimePorter(Dates!F$10,Dates!F$11,'Day4'!$B37)</f>
        <v>0</v>
      </c>
      <c r="G37" s="5">
        <f>averageResponseTimePorter(Dates!G$10,Dates!G$11,'Day4'!$B37)</f>
        <v>0</v>
      </c>
      <c r="H37" s="5">
        <f>averageResponseTimePorter(Dates!H$10,Dates!H$11,'Day4'!$B37)</f>
        <v>0</v>
      </c>
      <c r="I37" s="5">
        <f>averageResponseTimePorter(Dates!I$10,Dates!I$11,'Day4'!$B37)</f>
        <v>0</v>
      </c>
      <c r="J37" s="5">
        <f>averageResponseTimePorter(Dates!J$10,Dates!J$11,'Day4'!$B37)</f>
        <v>0</v>
      </c>
      <c r="K37" s="5">
        <f>averageResponseTimePorter(Dates!K$10,Dates!K$11,'Day4'!$B37)</f>
        <v>0</v>
      </c>
      <c r="L37" s="5">
        <f>averageResponseTimePorter(Dates!L$10,Dates!L$11,'Day4'!$B37)</f>
        <v>0</v>
      </c>
      <c r="M37" s="5">
        <f>averageResponseTimePorter(Dates!M$10,Dates!M$11,'Day4'!$B37)</f>
        <v>0</v>
      </c>
      <c r="N37" s="5">
        <f>averageResponseTimePorter(Dates!N$10,Dates!N$11,'Day4'!$B37)</f>
        <v>0</v>
      </c>
      <c r="O37" s="5">
        <f>averageResponseTimePorter(Dates!O$10,Dates!O$11,'Day4'!$B37)</f>
        <v>0</v>
      </c>
      <c r="P37" s="5">
        <f>averageResponseTimePorter(Dates!P$10,Dates!P$11,'Day4'!$B37)</f>
        <v>0</v>
      </c>
      <c r="Q37" s="5">
        <f>averageResponseTimePorter(Dates!Q$10,Dates!Q$11,'Day4'!$B37)</f>
        <v>0</v>
      </c>
      <c r="R37" s="5">
        <f>averageResponseTimePorter(Dates!R$10,Dates!R$11,'Day4'!$B37)</f>
        <v>0</v>
      </c>
      <c r="S37" s="5">
        <f>averageResponseTimePorter(Dates!S$10,Dates!S$11,'Day4'!$B37)</f>
        <v>0</v>
      </c>
      <c r="T37" s="5">
        <f>averageResponseTimePorter(Dates!T$10,Dates!T$11,'Day4'!$B37)</f>
        <v>0</v>
      </c>
      <c r="U37" s="5">
        <f>averageResponseTimePorter(Dates!$C$10,Dates!$T$11,'Day4'!$B14)</f>
        <v>0</v>
      </c>
    </row>
    <row r="38" spans="2:21" x14ac:dyDescent="0.3">
      <c r="B38" s="7" t="str">
        <f t="shared" si="0"/>
        <v>NA15</v>
      </c>
      <c r="C38" s="5">
        <f>averageResponseTimePorter(Dates!C$10,Dates!C$11,'Day4'!$B38)</f>
        <v>0</v>
      </c>
      <c r="D38" s="5">
        <f>averageResponseTimePorter(Dates!D$10,Dates!D$11,'Day4'!$B38)</f>
        <v>0</v>
      </c>
      <c r="E38" s="5">
        <f>averageResponseTimePorter(Dates!E$10,Dates!E$11,'Day4'!$B38)</f>
        <v>0</v>
      </c>
      <c r="F38" s="5">
        <f>averageResponseTimePorter(Dates!F$10,Dates!F$11,'Day4'!$B38)</f>
        <v>0</v>
      </c>
      <c r="G38" s="5">
        <f>averageResponseTimePorter(Dates!G$10,Dates!G$11,'Day4'!$B38)</f>
        <v>0</v>
      </c>
      <c r="H38" s="5">
        <f>averageResponseTimePorter(Dates!H$10,Dates!H$11,'Day4'!$B38)</f>
        <v>0</v>
      </c>
      <c r="I38" s="5">
        <f>averageResponseTimePorter(Dates!I$10,Dates!I$11,'Day4'!$B38)</f>
        <v>0</v>
      </c>
      <c r="J38" s="5">
        <f>averageResponseTimePorter(Dates!J$10,Dates!J$11,'Day4'!$B38)</f>
        <v>0</v>
      </c>
      <c r="K38" s="5">
        <f>averageResponseTimePorter(Dates!K$10,Dates!K$11,'Day4'!$B38)</f>
        <v>0</v>
      </c>
      <c r="L38" s="5">
        <f>averageResponseTimePorter(Dates!L$10,Dates!L$11,'Day4'!$B38)</f>
        <v>0</v>
      </c>
      <c r="M38" s="5">
        <f>averageResponseTimePorter(Dates!M$10,Dates!M$11,'Day4'!$B38)</f>
        <v>0</v>
      </c>
      <c r="N38" s="5">
        <f>averageResponseTimePorter(Dates!N$10,Dates!N$11,'Day4'!$B38)</f>
        <v>0</v>
      </c>
      <c r="O38" s="5">
        <f>averageResponseTimePorter(Dates!O$10,Dates!O$11,'Day4'!$B38)</f>
        <v>0</v>
      </c>
      <c r="P38" s="5">
        <f>averageResponseTimePorter(Dates!P$10,Dates!P$11,'Day4'!$B38)</f>
        <v>0</v>
      </c>
      <c r="Q38" s="5">
        <f>averageResponseTimePorter(Dates!Q$10,Dates!Q$11,'Day4'!$B38)</f>
        <v>0</v>
      </c>
      <c r="R38" s="5">
        <f>averageResponseTimePorter(Dates!R$10,Dates!R$11,'Day4'!$B38)</f>
        <v>0</v>
      </c>
      <c r="S38" s="5">
        <f>averageResponseTimePorter(Dates!S$10,Dates!S$11,'Day4'!$B38)</f>
        <v>0</v>
      </c>
      <c r="T38" s="5">
        <f>averageResponseTimePorter(Dates!T$10,Dates!T$11,'Day4'!$B38)</f>
        <v>0</v>
      </c>
      <c r="U38" s="5">
        <f>averageResponseTimePorter(Dates!$C$10,Dates!$T$11,'Day4'!$B15)</f>
        <v>0</v>
      </c>
    </row>
    <row r="39" spans="2:21" x14ac:dyDescent="0.3">
      <c r="B39" s="7" t="str">
        <f t="shared" si="0"/>
        <v>NA16</v>
      </c>
      <c r="C39" s="5">
        <f>averageResponseTimePorter(Dates!C$10,Dates!C$11,'Day4'!$B39)</f>
        <v>0</v>
      </c>
      <c r="D39" s="5">
        <f>averageResponseTimePorter(Dates!D$10,Dates!D$11,'Day4'!$B39)</f>
        <v>0</v>
      </c>
      <c r="E39" s="5">
        <f>averageResponseTimePorter(Dates!E$10,Dates!E$11,'Day4'!$B39)</f>
        <v>0</v>
      </c>
      <c r="F39" s="5">
        <f>averageResponseTimePorter(Dates!F$10,Dates!F$11,'Day4'!$B39)</f>
        <v>0</v>
      </c>
      <c r="G39" s="5">
        <f>averageResponseTimePorter(Dates!G$10,Dates!G$11,'Day4'!$B39)</f>
        <v>0</v>
      </c>
      <c r="H39" s="5">
        <f>averageResponseTimePorter(Dates!H$10,Dates!H$11,'Day4'!$B39)</f>
        <v>0</v>
      </c>
      <c r="I39" s="5">
        <f>averageResponseTimePorter(Dates!I$10,Dates!I$11,'Day4'!$B39)</f>
        <v>0</v>
      </c>
      <c r="J39" s="5">
        <f>averageResponseTimePorter(Dates!J$10,Dates!J$11,'Day4'!$B39)</f>
        <v>0</v>
      </c>
      <c r="K39" s="5">
        <f>averageResponseTimePorter(Dates!K$10,Dates!K$11,'Day4'!$B39)</f>
        <v>0</v>
      </c>
      <c r="L39" s="5">
        <f>averageResponseTimePorter(Dates!L$10,Dates!L$11,'Day4'!$B39)</f>
        <v>0</v>
      </c>
      <c r="M39" s="5">
        <f>averageResponseTimePorter(Dates!M$10,Dates!M$11,'Day4'!$B39)</f>
        <v>0</v>
      </c>
      <c r="N39" s="5">
        <f>averageResponseTimePorter(Dates!N$10,Dates!N$11,'Day4'!$B39)</f>
        <v>0</v>
      </c>
      <c r="O39" s="5">
        <f>averageResponseTimePorter(Dates!O$10,Dates!O$11,'Day4'!$B39)</f>
        <v>0</v>
      </c>
      <c r="P39" s="5">
        <f>averageResponseTimePorter(Dates!P$10,Dates!P$11,'Day4'!$B39)</f>
        <v>0</v>
      </c>
      <c r="Q39" s="5">
        <f>averageResponseTimePorter(Dates!Q$10,Dates!Q$11,'Day4'!$B39)</f>
        <v>0</v>
      </c>
      <c r="R39" s="5">
        <f>averageResponseTimePorter(Dates!R$10,Dates!R$11,'Day4'!$B39)</f>
        <v>0</v>
      </c>
      <c r="S39" s="5">
        <f>averageResponseTimePorter(Dates!S$10,Dates!S$11,'Day4'!$B39)</f>
        <v>0</v>
      </c>
      <c r="T39" s="5">
        <f>averageResponseTimePorter(Dates!T$10,Dates!T$11,'Day4'!$B39)</f>
        <v>0</v>
      </c>
      <c r="U39" s="5">
        <f>averageResponseTimePorter(Dates!$C$10,Dates!$T$11,'Day4'!$B16)</f>
        <v>0</v>
      </c>
    </row>
    <row r="40" spans="2:21" x14ac:dyDescent="0.3">
      <c r="B40" s="7" t="str">
        <f t="shared" si="0"/>
        <v>NA17</v>
      </c>
      <c r="C40" s="5">
        <f>averageResponseTimePorter(Dates!C$10,Dates!C$11,'Day4'!$B40)</f>
        <v>0</v>
      </c>
      <c r="D40" s="5">
        <f>averageResponseTimePorter(Dates!D$10,Dates!D$11,'Day4'!$B40)</f>
        <v>0</v>
      </c>
      <c r="E40" s="5">
        <f>averageResponseTimePorter(Dates!E$10,Dates!E$11,'Day4'!$B40)</f>
        <v>0</v>
      </c>
      <c r="F40" s="5">
        <f>averageResponseTimePorter(Dates!F$10,Dates!F$11,'Day4'!$B40)</f>
        <v>0</v>
      </c>
      <c r="G40" s="5">
        <f>averageResponseTimePorter(Dates!G$10,Dates!G$11,'Day4'!$B40)</f>
        <v>0</v>
      </c>
      <c r="H40" s="5">
        <f>averageResponseTimePorter(Dates!H$10,Dates!H$11,'Day4'!$B40)</f>
        <v>0</v>
      </c>
      <c r="I40" s="5">
        <f>averageResponseTimePorter(Dates!I$10,Dates!I$11,'Day4'!$B40)</f>
        <v>0</v>
      </c>
      <c r="J40" s="5">
        <f>averageResponseTimePorter(Dates!J$10,Dates!J$11,'Day4'!$B40)</f>
        <v>0</v>
      </c>
      <c r="K40" s="5">
        <f>averageResponseTimePorter(Dates!K$10,Dates!K$11,'Day4'!$B40)</f>
        <v>0</v>
      </c>
      <c r="L40" s="5">
        <f>averageResponseTimePorter(Dates!L$10,Dates!L$11,'Day4'!$B40)</f>
        <v>0</v>
      </c>
      <c r="M40" s="5">
        <f>averageResponseTimePorter(Dates!M$10,Dates!M$11,'Day4'!$B40)</f>
        <v>0</v>
      </c>
      <c r="N40" s="5">
        <f>averageResponseTimePorter(Dates!N$10,Dates!N$11,'Day4'!$B40)</f>
        <v>0</v>
      </c>
      <c r="O40" s="5">
        <f>averageResponseTimePorter(Dates!O$10,Dates!O$11,'Day4'!$B40)</f>
        <v>0</v>
      </c>
      <c r="P40" s="5">
        <f>averageResponseTimePorter(Dates!P$10,Dates!P$11,'Day4'!$B40)</f>
        <v>0</v>
      </c>
      <c r="Q40" s="5">
        <f>averageResponseTimePorter(Dates!Q$10,Dates!Q$11,'Day4'!$B40)</f>
        <v>0</v>
      </c>
      <c r="R40" s="5">
        <f>averageResponseTimePorter(Dates!R$10,Dates!R$11,'Day4'!$B40)</f>
        <v>0</v>
      </c>
      <c r="S40" s="5">
        <f>averageResponseTimePorter(Dates!S$10,Dates!S$11,'Day4'!$B40)</f>
        <v>0</v>
      </c>
      <c r="T40" s="5">
        <f>averageResponseTimePorter(Dates!T$10,Dates!T$11,'Day4'!$B40)</f>
        <v>0</v>
      </c>
      <c r="U40" s="5">
        <f>averageResponseTimePorter(Dates!$C$10,Dates!$T$11,'Day4'!$B17)</f>
        <v>0</v>
      </c>
    </row>
    <row r="41" spans="2:21" x14ac:dyDescent="0.3">
      <c r="B41" s="7" t="str">
        <f t="shared" si="0"/>
        <v>NA18</v>
      </c>
      <c r="C41" s="5">
        <f>averageResponseTimePorter(Dates!C$10,Dates!C$11,'Day4'!$B41)</f>
        <v>0</v>
      </c>
      <c r="D41" s="5">
        <f>averageResponseTimePorter(Dates!D$10,Dates!D$11,'Day4'!$B41)</f>
        <v>0</v>
      </c>
      <c r="E41" s="5">
        <f>averageResponseTimePorter(Dates!E$10,Dates!E$11,'Day4'!$B41)</f>
        <v>0</v>
      </c>
      <c r="F41" s="5">
        <f>averageResponseTimePorter(Dates!F$10,Dates!F$11,'Day4'!$B41)</f>
        <v>0</v>
      </c>
      <c r="G41" s="5">
        <f>averageResponseTimePorter(Dates!G$10,Dates!G$11,'Day4'!$B41)</f>
        <v>0</v>
      </c>
      <c r="H41" s="5">
        <f>averageResponseTimePorter(Dates!H$10,Dates!H$11,'Day4'!$B41)</f>
        <v>0</v>
      </c>
      <c r="I41" s="5">
        <f>averageResponseTimePorter(Dates!I$10,Dates!I$11,'Day4'!$B41)</f>
        <v>0</v>
      </c>
      <c r="J41" s="5">
        <f>averageResponseTimePorter(Dates!J$10,Dates!J$11,'Day4'!$B41)</f>
        <v>0</v>
      </c>
      <c r="K41" s="5">
        <f>averageResponseTimePorter(Dates!K$10,Dates!K$11,'Day4'!$B41)</f>
        <v>0</v>
      </c>
      <c r="L41" s="5">
        <f>averageResponseTimePorter(Dates!L$10,Dates!L$11,'Day4'!$B41)</f>
        <v>0</v>
      </c>
      <c r="M41" s="5">
        <f>averageResponseTimePorter(Dates!M$10,Dates!M$11,'Day4'!$B41)</f>
        <v>0</v>
      </c>
      <c r="N41" s="5">
        <f>averageResponseTimePorter(Dates!N$10,Dates!N$11,'Day4'!$B41)</f>
        <v>0</v>
      </c>
      <c r="O41" s="5">
        <f>averageResponseTimePorter(Dates!O$10,Dates!O$11,'Day4'!$B41)</f>
        <v>0</v>
      </c>
      <c r="P41" s="5">
        <f>averageResponseTimePorter(Dates!P$10,Dates!P$11,'Day4'!$B41)</f>
        <v>0</v>
      </c>
      <c r="Q41" s="5">
        <f>averageResponseTimePorter(Dates!Q$10,Dates!Q$11,'Day4'!$B41)</f>
        <v>0</v>
      </c>
      <c r="R41" s="5">
        <f>averageResponseTimePorter(Dates!R$10,Dates!R$11,'Day4'!$B41)</f>
        <v>0</v>
      </c>
      <c r="S41" s="5">
        <f>averageResponseTimePorter(Dates!S$10,Dates!S$11,'Day4'!$B41)</f>
        <v>0</v>
      </c>
      <c r="T41" s="5">
        <f>averageResponseTimePorter(Dates!T$10,Dates!T$11,'Day4'!$B41)</f>
        <v>0</v>
      </c>
      <c r="U41" s="5">
        <f>averageResponseTimePorter(Dates!$C$10,Dates!$T$11,'Day4'!$B18)</f>
        <v>0</v>
      </c>
    </row>
    <row r="42" spans="2:21" x14ac:dyDescent="0.3">
      <c r="B42" s="7" t="str">
        <f t="shared" si="0"/>
        <v>NA19</v>
      </c>
      <c r="C42" s="5">
        <f>averageResponseTimePorter(Dates!C$10,Dates!C$11,'Day4'!$B42)</f>
        <v>0</v>
      </c>
      <c r="D42" s="5">
        <f>averageResponseTimePorter(Dates!D$10,Dates!D$11,'Day4'!$B42)</f>
        <v>0</v>
      </c>
      <c r="E42" s="5">
        <f>averageResponseTimePorter(Dates!E$10,Dates!E$11,'Day4'!$B42)</f>
        <v>0</v>
      </c>
      <c r="F42" s="5">
        <f>averageResponseTimePorter(Dates!F$10,Dates!F$11,'Day4'!$B42)</f>
        <v>0</v>
      </c>
      <c r="G42" s="5">
        <f>averageResponseTimePorter(Dates!G$10,Dates!G$11,'Day4'!$B42)</f>
        <v>0</v>
      </c>
      <c r="H42" s="5">
        <f>averageResponseTimePorter(Dates!H$10,Dates!H$11,'Day4'!$B42)</f>
        <v>0</v>
      </c>
      <c r="I42" s="5">
        <f>averageResponseTimePorter(Dates!I$10,Dates!I$11,'Day4'!$B42)</f>
        <v>0</v>
      </c>
      <c r="J42" s="5">
        <f>averageResponseTimePorter(Dates!J$10,Dates!J$11,'Day4'!$B42)</f>
        <v>0</v>
      </c>
      <c r="K42" s="5">
        <f>averageResponseTimePorter(Dates!K$10,Dates!K$11,'Day4'!$B42)</f>
        <v>0</v>
      </c>
      <c r="L42" s="5">
        <f>averageResponseTimePorter(Dates!L$10,Dates!L$11,'Day4'!$B42)</f>
        <v>0</v>
      </c>
      <c r="M42" s="5">
        <f>averageResponseTimePorter(Dates!M$10,Dates!M$11,'Day4'!$B42)</f>
        <v>0</v>
      </c>
      <c r="N42" s="5">
        <f>averageResponseTimePorter(Dates!N$10,Dates!N$11,'Day4'!$B42)</f>
        <v>0</v>
      </c>
      <c r="O42" s="5">
        <f>averageResponseTimePorter(Dates!O$10,Dates!O$11,'Day4'!$B42)</f>
        <v>0</v>
      </c>
      <c r="P42" s="5">
        <f>averageResponseTimePorter(Dates!P$10,Dates!P$11,'Day4'!$B42)</f>
        <v>0</v>
      </c>
      <c r="Q42" s="5">
        <f>averageResponseTimePorter(Dates!Q$10,Dates!Q$11,'Day4'!$B42)</f>
        <v>0</v>
      </c>
      <c r="R42" s="5">
        <f>averageResponseTimePorter(Dates!R$10,Dates!R$11,'Day4'!$B42)</f>
        <v>0</v>
      </c>
      <c r="S42" s="5">
        <f>averageResponseTimePorter(Dates!S$10,Dates!S$11,'Day4'!$B42)</f>
        <v>0</v>
      </c>
      <c r="T42" s="5">
        <f>averageResponseTimePorter(Dates!T$10,Dates!T$11,'Day4'!$B42)</f>
        <v>0</v>
      </c>
      <c r="U42" s="5">
        <f>averageResponseTimePorter(Dates!$C$10,Dates!$T$11,'Day4'!$B19)</f>
        <v>0</v>
      </c>
    </row>
    <row r="43" spans="2:21" x14ac:dyDescent="0.3">
      <c r="B43" s="7" t="str">
        <f t="shared" si="0"/>
        <v>NA20</v>
      </c>
      <c r="C43" s="5">
        <f>averageResponseTimePorter(Dates!C$10,Dates!C$11,'Day4'!$B43)</f>
        <v>0</v>
      </c>
      <c r="D43" s="5">
        <f>averageResponseTimePorter(Dates!D$10,Dates!D$11,'Day4'!$B43)</f>
        <v>0</v>
      </c>
      <c r="E43" s="5">
        <f>averageResponseTimePorter(Dates!E$10,Dates!E$11,'Day4'!$B43)</f>
        <v>0</v>
      </c>
      <c r="F43" s="5">
        <f>averageResponseTimePorter(Dates!F$10,Dates!F$11,'Day4'!$B43)</f>
        <v>0</v>
      </c>
      <c r="G43" s="5">
        <f>averageResponseTimePorter(Dates!G$10,Dates!G$11,'Day4'!$B43)</f>
        <v>0</v>
      </c>
      <c r="H43" s="5">
        <f>averageResponseTimePorter(Dates!H$10,Dates!H$11,'Day4'!$B43)</f>
        <v>0</v>
      </c>
      <c r="I43" s="5">
        <f>averageResponseTimePorter(Dates!I$10,Dates!I$11,'Day4'!$B43)</f>
        <v>0</v>
      </c>
      <c r="J43" s="5">
        <f>averageResponseTimePorter(Dates!J$10,Dates!J$11,'Day4'!$B43)</f>
        <v>0</v>
      </c>
      <c r="K43" s="5">
        <f>averageResponseTimePorter(Dates!K$10,Dates!K$11,'Day4'!$B43)</f>
        <v>0</v>
      </c>
      <c r="L43" s="5">
        <f>averageResponseTimePorter(Dates!L$10,Dates!L$11,'Day4'!$B43)</f>
        <v>0</v>
      </c>
      <c r="M43" s="5">
        <f>averageResponseTimePorter(Dates!M$10,Dates!M$11,'Day4'!$B43)</f>
        <v>0</v>
      </c>
      <c r="N43" s="5">
        <f>averageResponseTimePorter(Dates!N$10,Dates!N$11,'Day4'!$B43)</f>
        <v>0</v>
      </c>
      <c r="O43" s="5">
        <f>averageResponseTimePorter(Dates!O$10,Dates!O$11,'Day4'!$B43)</f>
        <v>0</v>
      </c>
      <c r="P43" s="5">
        <f>averageResponseTimePorter(Dates!P$10,Dates!P$11,'Day4'!$B43)</f>
        <v>0</v>
      </c>
      <c r="Q43" s="5">
        <f>averageResponseTimePorter(Dates!Q$10,Dates!Q$11,'Day4'!$B43)</f>
        <v>0</v>
      </c>
      <c r="R43" s="5">
        <f>averageResponseTimePorter(Dates!R$10,Dates!R$11,'Day4'!$B43)</f>
        <v>0</v>
      </c>
      <c r="S43" s="5">
        <f>averageResponseTimePorter(Dates!S$10,Dates!S$11,'Day4'!$B43)</f>
        <v>0</v>
      </c>
      <c r="T43" s="5">
        <f>averageResponseTimePorter(Dates!T$10,Dates!T$11,'Day4'!$B43)</f>
        <v>0</v>
      </c>
      <c r="U43" s="5">
        <f>averageResponseTimePorter(Dates!$C$10,Dates!$T$11,'Day4'!$B20)</f>
        <v>0</v>
      </c>
    </row>
    <row r="44" spans="2:21" x14ac:dyDescent="0.3">
      <c r="B44" s="7" t="str">
        <f t="shared" si="0"/>
        <v>NA21</v>
      </c>
      <c r="C44" s="5">
        <f>averageResponseTimePorter(Dates!C$10,Dates!C$11,'Day4'!$B44)</f>
        <v>0</v>
      </c>
      <c r="D44" s="5">
        <f>averageResponseTimePorter(Dates!D$10,Dates!D$11,'Day4'!$B44)</f>
        <v>0</v>
      </c>
      <c r="E44" s="5">
        <f>averageResponseTimePorter(Dates!E$10,Dates!E$11,'Day4'!$B44)</f>
        <v>0</v>
      </c>
      <c r="F44" s="5">
        <f>averageResponseTimePorter(Dates!F$10,Dates!F$11,'Day4'!$B44)</f>
        <v>0</v>
      </c>
      <c r="G44" s="5">
        <f>averageResponseTimePorter(Dates!G$10,Dates!G$11,'Day4'!$B44)</f>
        <v>0</v>
      </c>
      <c r="H44" s="5">
        <f>averageResponseTimePorter(Dates!H$10,Dates!H$11,'Day4'!$B44)</f>
        <v>0</v>
      </c>
      <c r="I44" s="5">
        <f>averageResponseTimePorter(Dates!I$10,Dates!I$11,'Day4'!$B44)</f>
        <v>0</v>
      </c>
      <c r="J44" s="5">
        <f>averageResponseTimePorter(Dates!J$10,Dates!J$11,'Day4'!$B44)</f>
        <v>0</v>
      </c>
      <c r="K44" s="5">
        <f>averageResponseTimePorter(Dates!K$10,Dates!K$11,'Day4'!$B44)</f>
        <v>0</v>
      </c>
      <c r="L44" s="5">
        <f>averageResponseTimePorter(Dates!L$10,Dates!L$11,'Day4'!$B44)</f>
        <v>0</v>
      </c>
      <c r="M44" s="5">
        <f>averageResponseTimePorter(Dates!M$10,Dates!M$11,'Day4'!$B44)</f>
        <v>0</v>
      </c>
      <c r="N44" s="5">
        <f>averageResponseTimePorter(Dates!N$10,Dates!N$11,'Day4'!$B44)</f>
        <v>0</v>
      </c>
      <c r="O44" s="5">
        <f>averageResponseTimePorter(Dates!O$10,Dates!O$11,'Day4'!$B44)</f>
        <v>0</v>
      </c>
      <c r="P44" s="5">
        <f>averageResponseTimePorter(Dates!P$10,Dates!P$11,'Day4'!$B44)</f>
        <v>0</v>
      </c>
      <c r="Q44" s="5">
        <f>averageResponseTimePorter(Dates!Q$10,Dates!Q$11,'Day4'!$B44)</f>
        <v>0</v>
      </c>
      <c r="R44" s="5">
        <f>averageResponseTimePorter(Dates!R$10,Dates!R$11,'Day4'!$B44)</f>
        <v>0</v>
      </c>
      <c r="S44" s="5">
        <f>averageResponseTimePorter(Dates!S$10,Dates!S$11,'Day4'!$B44)</f>
        <v>0</v>
      </c>
      <c r="T44" s="5">
        <f>averageResponseTimePorter(Dates!T$10,Dates!T$11,'Day4'!$B44)</f>
        <v>0</v>
      </c>
      <c r="U44" s="5">
        <f>averageResponseTimePorter(Dates!$C$10,Dates!$T$11,'Day4'!$B21)</f>
        <v>0</v>
      </c>
    </row>
    <row r="45" spans="2:21" x14ac:dyDescent="0.3">
      <c r="B45" s="7" t="str">
        <f t="shared" si="0"/>
        <v>NA22</v>
      </c>
      <c r="C45" s="5">
        <f>averageResponseTimePorter(Dates!C$10,Dates!C$11,'Day4'!$B45)</f>
        <v>0</v>
      </c>
      <c r="D45" s="5">
        <f>averageResponseTimePorter(Dates!D$10,Dates!D$11,'Day4'!$B45)</f>
        <v>0</v>
      </c>
      <c r="E45" s="5">
        <f>averageResponseTimePorter(Dates!E$10,Dates!E$11,'Day4'!$B45)</f>
        <v>0</v>
      </c>
      <c r="F45" s="5">
        <f>averageResponseTimePorter(Dates!F$10,Dates!F$11,'Day4'!$B45)</f>
        <v>0</v>
      </c>
      <c r="G45" s="5">
        <f>averageResponseTimePorter(Dates!G$10,Dates!G$11,'Day4'!$B45)</f>
        <v>0</v>
      </c>
      <c r="H45" s="5">
        <f>averageResponseTimePorter(Dates!H$10,Dates!H$11,'Day4'!$B45)</f>
        <v>0</v>
      </c>
      <c r="I45" s="5">
        <f>averageResponseTimePorter(Dates!I$10,Dates!I$11,'Day4'!$B45)</f>
        <v>0</v>
      </c>
      <c r="J45" s="5">
        <f>averageResponseTimePorter(Dates!J$10,Dates!J$11,'Day4'!$B45)</f>
        <v>0</v>
      </c>
      <c r="K45" s="5">
        <f>averageResponseTimePorter(Dates!K$10,Dates!K$11,'Day4'!$B45)</f>
        <v>0</v>
      </c>
      <c r="L45" s="5">
        <f>averageResponseTimePorter(Dates!L$10,Dates!L$11,'Day4'!$B45)</f>
        <v>0</v>
      </c>
      <c r="M45" s="5">
        <f>averageResponseTimePorter(Dates!M$10,Dates!M$11,'Day4'!$B45)</f>
        <v>0</v>
      </c>
      <c r="N45" s="5">
        <f>averageResponseTimePorter(Dates!N$10,Dates!N$11,'Day4'!$B45)</f>
        <v>0</v>
      </c>
      <c r="O45" s="5">
        <f>averageResponseTimePorter(Dates!O$10,Dates!O$11,'Day4'!$B45)</f>
        <v>0</v>
      </c>
      <c r="P45" s="5">
        <f>averageResponseTimePorter(Dates!P$10,Dates!P$11,'Day4'!$B45)</f>
        <v>0</v>
      </c>
      <c r="Q45" s="5">
        <f>averageResponseTimePorter(Dates!Q$10,Dates!Q$11,'Day4'!$B45)</f>
        <v>0</v>
      </c>
      <c r="R45" s="5">
        <f>averageResponseTimePorter(Dates!R$10,Dates!R$11,'Day4'!$B45)</f>
        <v>0</v>
      </c>
      <c r="S45" s="5">
        <f>averageResponseTimePorter(Dates!S$10,Dates!S$11,'Day4'!$B45)</f>
        <v>0</v>
      </c>
      <c r="T45" s="5">
        <f>averageResponseTimePorter(Dates!T$10,Dates!T$11,'Day4'!$B45)</f>
        <v>0</v>
      </c>
      <c r="U45" s="5">
        <f>averageResponseTimePorter(Dates!$C$10,Dates!$T$11,'Day4'!$B22)</f>
        <v>0</v>
      </c>
    </row>
    <row r="46" spans="2:21" x14ac:dyDescent="0.3">
      <c r="B46" s="7" t="str">
        <f t="shared" si="0"/>
        <v>NA23</v>
      </c>
      <c r="C46" s="5">
        <f>averageResponseTimePorter(Dates!C$10,Dates!C$11,'Day4'!$B46)</f>
        <v>0</v>
      </c>
      <c r="D46" s="5">
        <f>averageResponseTimePorter(Dates!D$10,Dates!D$11,'Day4'!$B46)</f>
        <v>0</v>
      </c>
      <c r="E46" s="5">
        <f>averageResponseTimePorter(Dates!E$10,Dates!E$11,'Day4'!$B46)</f>
        <v>0</v>
      </c>
      <c r="F46" s="5">
        <f>averageResponseTimePorter(Dates!F$10,Dates!F$11,'Day4'!$B46)</f>
        <v>0</v>
      </c>
      <c r="G46" s="5">
        <f>averageResponseTimePorter(Dates!G$10,Dates!G$11,'Day4'!$B46)</f>
        <v>0</v>
      </c>
      <c r="H46" s="5">
        <f>averageResponseTimePorter(Dates!H$10,Dates!H$11,'Day4'!$B46)</f>
        <v>0</v>
      </c>
      <c r="I46" s="5">
        <f>averageResponseTimePorter(Dates!I$10,Dates!I$11,'Day4'!$B46)</f>
        <v>0</v>
      </c>
      <c r="J46" s="5">
        <f>averageResponseTimePorter(Dates!J$10,Dates!J$11,'Day4'!$B46)</f>
        <v>0</v>
      </c>
      <c r="K46" s="5">
        <f>averageResponseTimePorter(Dates!K$10,Dates!K$11,'Day4'!$B46)</f>
        <v>0</v>
      </c>
      <c r="L46" s="5">
        <f>averageResponseTimePorter(Dates!L$10,Dates!L$11,'Day4'!$B46)</f>
        <v>0</v>
      </c>
      <c r="M46" s="5">
        <f>averageResponseTimePorter(Dates!M$10,Dates!M$11,'Day4'!$B46)</f>
        <v>0</v>
      </c>
      <c r="N46" s="5">
        <f>averageResponseTimePorter(Dates!N$10,Dates!N$11,'Day4'!$B46)</f>
        <v>0</v>
      </c>
      <c r="O46" s="5">
        <f>averageResponseTimePorter(Dates!O$10,Dates!O$11,'Day4'!$B46)</f>
        <v>0</v>
      </c>
      <c r="P46" s="5">
        <f>averageResponseTimePorter(Dates!P$10,Dates!P$11,'Day4'!$B46)</f>
        <v>0</v>
      </c>
      <c r="Q46" s="5">
        <f>averageResponseTimePorter(Dates!Q$10,Dates!Q$11,'Day4'!$B46)</f>
        <v>0</v>
      </c>
      <c r="R46" s="5">
        <f>averageResponseTimePorter(Dates!R$10,Dates!R$11,'Day4'!$B46)</f>
        <v>0</v>
      </c>
      <c r="S46" s="5">
        <f>averageResponseTimePorter(Dates!S$10,Dates!S$11,'Day4'!$B46)</f>
        <v>0</v>
      </c>
      <c r="T46" s="5">
        <f>averageResponseTimePorter(Dates!T$10,Dates!T$11,'Day4'!$B46)</f>
        <v>0</v>
      </c>
      <c r="U46" s="5">
        <f>averageResponseTimePorter(Dates!$C$10,Dates!$T$11,'Day4'!$B23)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46"/>
  <sheetViews>
    <sheetView zoomScaleNormal="100" workbookViewId="0">
      <selection activeCell="N12" sqref="N12"/>
    </sheetView>
  </sheetViews>
  <sheetFormatPr defaultRowHeight="14.4" x14ac:dyDescent="0.3"/>
  <cols>
    <col min="2" max="2" width="27.21875" style="7" customWidth="1"/>
    <col min="7" max="7" width="10.21875" customWidth="1"/>
  </cols>
  <sheetData>
    <row r="1" spans="1:21" x14ac:dyDescent="0.3">
      <c r="C1" s="3" t="s">
        <v>2</v>
      </c>
      <c r="D1" s="4">
        <v>7</v>
      </c>
      <c r="E1" s="4">
        <v>8</v>
      </c>
      <c r="F1" s="4">
        <v>9</v>
      </c>
      <c r="G1" s="4">
        <v>10</v>
      </c>
      <c r="H1" s="4">
        <v>11</v>
      </c>
      <c r="I1" s="4">
        <v>12</v>
      </c>
      <c r="J1" s="4">
        <v>13</v>
      </c>
      <c r="K1" s="4">
        <v>14</v>
      </c>
      <c r="L1" s="4">
        <v>15</v>
      </c>
      <c r="M1" s="4">
        <v>16</v>
      </c>
      <c r="N1" s="4">
        <v>17</v>
      </c>
      <c r="O1" s="4">
        <v>18</v>
      </c>
      <c r="P1" s="4">
        <v>19</v>
      </c>
      <c r="Q1" s="4">
        <v>20</v>
      </c>
      <c r="R1" s="4">
        <v>21</v>
      </c>
      <c r="S1" s="4">
        <v>22</v>
      </c>
      <c r="T1" s="4">
        <v>23</v>
      </c>
      <c r="U1" s="4" t="s">
        <v>11</v>
      </c>
    </row>
    <row r="2" spans="1:21" x14ac:dyDescent="0.3">
      <c r="A2" t="s">
        <v>4</v>
      </c>
      <c r="B2" s="7" t="s">
        <v>6</v>
      </c>
      <c r="C2" s="5">
        <f>averageCompletionTime(Dates!C12,Dates!C13)</f>
        <v>0</v>
      </c>
      <c r="D2" s="5">
        <f>averageCompletionTime(Dates!D12,Dates!D13)</f>
        <v>0</v>
      </c>
      <c r="E2" s="5">
        <f>averageCompletionTime(Dates!E12,Dates!E13)</f>
        <v>0</v>
      </c>
      <c r="F2" s="5">
        <f>averageCompletionTime(Dates!F12,Dates!F13)</f>
        <v>0</v>
      </c>
      <c r="G2" s="5">
        <f>averageCompletionTime(Dates!G12,Dates!G13)</f>
        <v>0</v>
      </c>
      <c r="H2" s="5">
        <f>averageCompletionTime(Dates!H12,Dates!H13)</f>
        <v>0</v>
      </c>
      <c r="I2" s="5">
        <f>averageCompletionTime(Dates!I12,Dates!I13)</f>
        <v>0</v>
      </c>
      <c r="J2" s="5">
        <f>averageCompletionTime(Dates!J12,Dates!J13)</f>
        <v>0</v>
      </c>
      <c r="K2" s="5">
        <f>averageCompletionTime(Dates!K12,Dates!K13)</f>
        <v>0</v>
      </c>
      <c r="L2" s="5">
        <f>averageCompletionTime(Dates!L12,Dates!L13)</f>
        <v>0</v>
      </c>
      <c r="M2" s="5">
        <f>averageCompletionTime(Dates!M12,Dates!M13)</f>
        <v>0</v>
      </c>
      <c r="N2" s="5">
        <f>averageCompletionTime(Dates!N12,Dates!N13)</f>
        <v>0</v>
      </c>
      <c r="O2" s="5">
        <f>averageCompletionTime(Dates!O12,Dates!O13)</f>
        <v>0</v>
      </c>
      <c r="P2" s="5">
        <f>averageCompletionTime(Dates!P12,Dates!P13)</f>
        <v>0</v>
      </c>
      <c r="Q2" s="5">
        <f>averageCompletionTime(Dates!Q12,Dates!Q13)</f>
        <v>0</v>
      </c>
      <c r="R2" s="5">
        <f>averageCompletionTime(Dates!R12,Dates!R13)</f>
        <v>0</v>
      </c>
      <c r="S2" s="5">
        <f>averageCompletionTime(Dates!S12,Dates!S13)</f>
        <v>0</v>
      </c>
      <c r="T2" s="5">
        <f>averageCompletionTime(Dates!T12,Dates!T13)</f>
        <v>0</v>
      </c>
      <c r="U2" s="5">
        <f>averageCompletionTime(Dates!C12,Dates!T13)</f>
        <v>0</v>
      </c>
    </row>
    <row r="3" spans="1:21" x14ac:dyDescent="0.3">
      <c r="A3" s="6" t="s">
        <v>5</v>
      </c>
      <c r="B3" s="8">
        <v>1</v>
      </c>
      <c r="C3" s="5">
        <f>averageCompletionTimePorter(Dates!C$12,Dates!C$13,'Day5'!$B3)</f>
        <v>0</v>
      </c>
      <c r="D3" s="5">
        <f>averageCompletionTimePorter(Dates!D$12,Dates!D$13,'Day5'!$B3)</f>
        <v>0</v>
      </c>
      <c r="E3" s="5">
        <f>averageCompletionTimePorter(Dates!E$12,Dates!E$13,'Day5'!$B3)</f>
        <v>0</v>
      </c>
      <c r="F3" s="5">
        <f>averageCompletionTimePorter(Dates!F$12,Dates!F$13,'Day5'!$B3)</f>
        <v>0</v>
      </c>
      <c r="G3" s="5">
        <f>averageCompletionTimePorter(Dates!G$12,Dates!G$13,'Day5'!$B3)</f>
        <v>0</v>
      </c>
      <c r="H3" s="5">
        <f>averageCompletionTimePorter(Dates!H$12,Dates!H$13,'Day5'!$B3)</f>
        <v>0</v>
      </c>
      <c r="I3" s="5">
        <f>averageCompletionTimePorter(Dates!I$12,Dates!I$13,'Day5'!$B3)</f>
        <v>0</v>
      </c>
      <c r="J3" s="5">
        <f>averageCompletionTimePorter(Dates!J$12,Dates!J$13,'Day5'!$B3)</f>
        <v>0</v>
      </c>
      <c r="K3" s="5">
        <f>averageCompletionTimePorter(Dates!K$12,Dates!K$13,'Day5'!$B3)</f>
        <v>0</v>
      </c>
      <c r="L3" s="5">
        <f>averageCompletionTimePorter(Dates!L$12,Dates!L$13,'Day5'!$B3)</f>
        <v>0</v>
      </c>
      <c r="M3" s="5">
        <f>averageCompletionTimePorter(Dates!M$12,Dates!M$13,'Day5'!$B3)</f>
        <v>0</v>
      </c>
      <c r="N3" s="5">
        <f>averageCompletionTimePorter(Dates!N$12,Dates!N$13,'Day5'!$B3)</f>
        <v>0</v>
      </c>
      <c r="O3" s="5">
        <f>averageCompletionTimePorter(Dates!O$12,Dates!O$13,'Day5'!$B3)</f>
        <v>0</v>
      </c>
      <c r="P3" s="5">
        <f>averageCompletionTimePorter(Dates!P$12,Dates!P$13,'Day5'!$B3)</f>
        <v>0</v>
      </c>
      <c r="Q3" s="5">
        <f>averageCompletionTimePorter(Dates!Q$12,Dates!Q$13,'Day5'!$B3)</f>
        <v>0</v>
      </c>
      <c r="R3" s="5">
        <f>averageCompletionTimePorter(Dates!R$12,Dates!R$13,'Day5'!$B3)</f>
        <v>0</v>
      </c>
      <c r="S3" s="5">
        <f>averageCompletionTimePorter(Dates!S$12,Dates!S$13,'Day5'!$B3)</f>
        <v>0</v>
      </c>
      <c r="T3" s="5">
        <f>averageCompletionTimePorter(Dates!T$12,Dates!T$13,'Day5'!$B3)</f>
        <v>0</v>
      </c>
      <c r="U3" s="5">
        <f>averageCompletionTimePorter(Dates!$C$12,Dates!$T$13,'Day5'!$B3)</f>
        <v>0</v>
      </c>
    </row>
    <row r="4" spans="1:21" x14ac:dyDescent="0.3">
      <c r="A4" s="6"/>
      <c r="B4" s="8">
        <v>0</v>
      </c>
      <c r="C4" s="5">
        <f>averageCompletionTimePorter(Dates!C$12,Dates!C$13,'Day5'!$B4)</f>
        <v>0</v>
      </c>
      <c r="D4" s="5">
        <f>averageCompletionTimePorter(Dates!D$12,Dates!D$13,'Day5'!$B4)</f>
        <v>0</v>
      </c>
      <c r="E4" s="5">
        <f>averageCompletionTimePorter(Dates!E$12,Dates!E$13,'Day5'!$B4)</f>
        <v>0</v>
      </c>
      <c r="F4" s="5">
        <f>averageCompletionTimePorter(Dates!F$12,Dates!F$13,'Day5'!$B4)</f>
        <v>0</v>
      </c>
      <c r="G4" s="5">
        <f>averageCompletionTimePorter(Dates!G$12,Dates!G$13,'Day5'!$B4)</f>
        <v>0</v>
      </c>
      <c r="H4" s="5">
        <f>averageCompletionTimePorter(Dates!H$12,Dates!H$13,'Day5'!$B4)</f>
        <v>0</v>
      </c>
      <c r="I4" s="5">
        <f>averageCompletionTimePorter(Dates!I$12,Dates!I$13,'Day5'!$B4)</f>
        <v>0</v>
      </c>
      <c r="J4" s="5">
        <f>averageCompletionTimePorter(Dates!J$12,Dates!J$13,'Day5'!$B4)</f>
        <v>0</v>
      </c>
      <c r="K4" s="5">
        <f>averageCompletionTimePorter(Dates!K$12,Dates!K$13,'Day5'!$B4)</f>
        <v>0</v>
      </c>
      <c r="L4" s="5">
        <f>averageCompletionTimePorter(Dates!L$12,Dates!L$13,'Day5'!$B4)</f>
        <v>0</v>
      </c>
      <c r="M4" s="5">
        <f>averageCompletionTimePorter(Dates!M$12,Dates!M$13,'Day5'!$B4)</f>
        <v>0</v>
      </c>
      <c r="N4" s="5">
        <f>averageCompletionTimePorter(Dates!N$12,Dates!N$13,'Day5'!$B4)</f>
        <v>0</v>
      </c>
      <c r="O4" s="5">
        <f>averageCompletionTimePorter(Dates!O$12,Dates!O$13,'Day5'!$B4)</f>
        <v>0</v>
      </c>
      <c r="P4" s="5">
        <f>averageCompletionTimePorter(Dates!P$12,Dates!P$13,'Day5'!$B4)</f>
        <v>0</v>
      </c>
      <c r="Q4" s="5">
        <f>averageCompletionTimePorter(Dates!Q$12,Dates!Q$13,'Day5'!$B4)</f>
        <v>0</v>
      </c>
      <c r="R4" s="5">
        <f>averageCompletionTimePorter(Dates!R$12,Dates!R$13,'Day5'!$B4)</f>
        <v>0</v>
      </c>
      <c r="S4" s="5">
        <f>averageCompletionTimePorter(Dates!S$12,Dates!S$13,'Day5'!$B4)</f>
        <v>0</v>
      </c>
      <c r="T4" s="5">
        <f>averageCompletionTimePorter(Dates!T$12,Dates!T$13,'Day5'!$B4)</f>
        <v>0</v>
      </c>
      <c r="U4" s="5">
        <f>averageCompletionTimePorter(Dates!$C$12,Dates!$T$13,'Day5'!$B4)</f>
        <v>0</v>
      </c>
    </row>
    <row r="5" spans="1:21" x14ac:dyDescent="0.3">
      <c r="A5" s="6"/>
      <c r="B5" s="8">
        <v>3</v>
      </c>
      <c r="C5" s="5">
        <f>averageCompletionTimePorter(Dates!C$12,Dates!C$13,'Day5'!$B5)</f>
        <v>0</v>
      </c>
      <c r="D5" s="5">
        <f>averageCompletionTimePorter(Dates!D$12,Dates!D$13,'Day5'!$B5)</f>
        <v>0</v>
      </c>
      <c r="E5" s="5">
        <f>averageCompletionTimePorter(Dates!E$12,Dates!E$13,'Day5'!$B5)</f>
        <v>0</v>
      </c>
      <c r="F5" s="5">
        <f>averageCompletionTimePorter(Dates!F$12,Dates!F$13,'Day5'!$B5)</f>
        <v>0</v>
      </c>
      <c r="G5" s="5">
        <f>averageCompletionTimePorter(Dates!G$12,Dates!G$13,'Day5'!$B5)</f>
        <v>0</v>
      </c>
      <c r="H5" s="5">
        <f>averageCompletionTimePorter(Dates!H$12,Dates!H$13,'Day5'!$B5)</f>
        <v>0</v>
      </c>
      <c r="I5" s="5">
        <f>averageCompletionTimePorter(Dates!I$12,Dates!I$13,'Day5'!$B5)</f>
        <v>0</v>
      </c>
      <c r="J5" s="5">
        <f>averageCompletionTimePorter(Dates!J$12,Dates!J$13,'Day5'!$B5)</f>
        <v>0</v>
      </c>
      <c r="K5" s="5">
        <f>averageCompletionTimePorter(Dates!K$12,Dates!K$13,'Day5'!$B5)</f>
        <v>0</v>
      </c>
      <c r="L5" s="5">
        <f>averageCompletionTimePorter(Dates!L$12,Dates!L$13,'Day5'!$B5)</f>
        <v>0</v>
      </c>
      <c r="M5" s="5">
        <f>averageCompletionTimePorter(Dates!M$12,Dates!M$13,'Day5'!$B5)</f>
        <v>0</v>
      </c>
      <c r="N5" s="5">
        <f>averageCompletionTimePorter(Dates!N$12,Dates!N$13,'Day5'!$B5)</f>
        <v>0</v>
      </c>
      <c r="O5" s="5">
        <f>averageCompletionTimePorter(Dates!O$12,Dates!O$13,'Day5'!$B5)</f>
        <v>0</v>
      </c>
      <c r="P5" s="5">
        <f>averageCompletionTimePorter(Dates!P$12,Dates!P$13,'Day5'!$B5)</f>
        <v>0</v>
      </c>
      <c r="Q5" s="5">
        <f>averageCompletionTimePorter(Dates!Q$12,Dates!Q$13,'Day5'!$B5)</f>
        <v>0</v>
      </c>
      <c r="R5" s="5">
        <f>averageCompletionTimePorter(Dates!R$12,Dates!R$13,'Day5'!$B5)</f>
        <v>0</v>
      </c>
      <c r="S5" s="5">
        <f>averageCompletionTimePorter(Dates!S$12,Dates!S$13,'Day5'!$B5)</f>
        <v>0</v>
      </c>
      <c r="T5" s="5">
        <f>averageCompletionTimePorter(Dates!T$12,Dates!T$13,'Day5'!$B5)</f>
        <v>0</v>
      </c>
      <c r="U5" s="5">
        <f>averageCompletionTimePorter(Dates!$C$12,Dates!$T$13,'Day5'!$B5)</f>
        <v>0</v>
      </c>
    </row>
    <row r="6" spans="1:21" x14ac:dyDescent="0.3">
      <c r="A6" s="6"/>
      <c r="B6" s="8">
        <v>2</v>
      </c>
      <c r="C6" s="5">
        <f>averageCompletionTimePorter(Dates!C$12,Dates!C$13,'Day5'!$B6)</f>
        <v>0</v>
      </c>
      <c r="D6" s="5">
        <f>averageCompletionTimePorter(Dates!D$12,Dates!D$13,'Day5'!$B6)</f>
        <v>0</v>
      </c>
      <c r="E6" s="5">
        <f>averageCompletionTimePorter(Dates!E$12,Dates!E$13,'Day5'!$B6)</f>
        <v>0</v>
      </c>
      <c r="F6" s="5">
        <f>averageCompletionTimePorter(Dates!F$12,Dates!F$13,'Day5'!$B6)</f>
        <v>0</v>
      </c>
      <c r="G6" s="5">
        <f>averageCompletionTimePorter(Dates!G$12,Dates!G$13,'Day5'!$B6)</f>
        <v>0</v>
      </c>
      <c r="H6" s="5">
        <f>averageCompletionTimePorter(Dates!H$12,Dates!H$13,'Day5'!$B6)</f>
        <v>0</v>
      </c>
      <c r="I6" s="5">
        <f>averageCompletionTimePorter(Dates!I$12,Dates!I$13,'Day5'!$B6)</f>
        <v>0</v>
      </c>
      <c r="J6" s="5">
        <f>averageCompletionTimePorter(Dates!J$12,Dates!J$13,'Day5'!$B6)</f>
        <v>0</v>
      </c>
      <c r="K6" s="5">
        <f>averageCompletionTimePorter(Dates!K$12,Dates!K$13,'Day5'!$B6)</f>
        <v>0</v>
      </c>
      <c r="L6" s="5">
        <f>averageCompletionTimePorter(Dates!L$12,Dates!L$13,'Day5'!$B6)</f>
        <v>0</v>
      </c>
      <c r="M6" s="5">
        <f>averageCompletionTimePorter(Dates!M$12,Dates!M$13,'Day5'!$B6)</f>
        <v>0</v>
      </c>
      <c r="N6" s="5">
        <f>averageCompletionTimePorter(Dates!N$12,Dates!N$13,'Day5'!$B6)</f>
        <v>0</v>
      </c>
      <c r="O6" s="5">
        <f>averageCompletionTimePorter(Dates!O$12,Dates!O$13,'Day5'!$B6)</f>
        <v>0</v>
      </c>
      <c r="P6" s="5">
        <f>averageCompletionTimePorter(Dates!P$12,Dates!P$13,'Day5'!$B6)</f>
        <v>0</v>
      </c>
      <c r="Q6" s="5">
        <f>averageCompletionTimePorter(Dates!Q$12,Dates!Q$13,'Day5'!$B6)</f>
        <v>0</v>
      </c>
      <c r="R6" s="5">
        <f>averageCompletionTimePorter(Dates!R$12,Dates!R$13,'Day5'!$B6)</f>
        <v>0</v>
      </c>
      <c r="S6" s="5">
        <f>averageCompletionTimePorter(Dates!S$12,Dates!S$13,'Day5'!$B6)</f>
        <v>0</v>
      </c>
      <c r="T6" s="5">
        <f>averageCompletionTimePorter(Dates!T$12,Dates!T$13,'Day5'!$B6)</f>
        <v>0</v>
      </c>
      <c r="U6" s="5">
        <f>averageCompletionTimePorter(Dates!$C$12,Dates!$T$13,'Day5'!$B6)</f>
        <v>0</v>
      </c>
    </row>
    <row r="7" spans="1:21" x14ac:dyDescent="0.3">
      <c r="A7" s="6"/>
      <c r="B7" s="8">
        <v>5</v>
      </c>
      <c r="C7" s="5">
        <f>averageCompletionTimePorter(Dates!C$12,Dates!C$13,'Day5'!$B7)</f>
        <v>0</v>
      </c>
      <c r="D7" s="5">
        <f>averageCompletionTimePorter(Dates!D$12,Dates!D$13,'Day5'!$B7)</f>
        <v>0</v>
      </c>
      <c r="E7" s="5">
        <f>averageCompletionTimePorter(Dates!E$12,Dates!E$13,'Day5'!$B7)</f>
        <v>0</v>
      </c>
      <c r="F7" s="5">
        <f>averageCompletionTimePorter(Dates!F$12,Dates!F$13,'Day5'!$B7)</f>
        <v>0</v>
      </c>
      <c r="G7" s="5">
        <f>averageCompletionTimePorter(Dates!G$12,Dates!G$13,'Day5'!$B7)</f>
        <v>0</v>
      </c>
      <c r="H7" s="5">
        <f>averageCompletionTimePorter(Dates!H$12,Dates!H$13,'Day5'!$B7)</f>
        <v>0</v>
      </c>
      <c r="I7" s="5">
        <f>averageCompletionTimePorter(Dates!I$12,Dates!I$13,'Day5'!$B7)</f>
        <v>0</v>
      </c>
      <c r="J7" s="5">
        <f>averageCompletionTimePorter(Dates!J$12,Dates!J$13,'Day5'!$B7)</f>
        <v>0</v>
      </c>
      <c r="K7" s="5">
        <f>averageCompletionTimePorter(Dates!K$12,Dates!K$13,'Day5'!$B7)</f>
        <v>0</v>
      </c>
      <c r="L7" s="5">
        <f>averageCompletionTimePorter(Dates!L$12,Dates!L$13,'Day5'!$B7)</f>
        <v>0</v>
      </c>
      <c r="M7" s="5">
        <f>averageCompletionTimePorter(Dates!M$12,Dates!M$13,'Day5'!$B7)</f>
        <v>0</v>
      </c>
      <c r="N7" s="5">
        <f>averageCompletionTimePorter(Dates!N$12,Dates!N$13,'Day5'!$B7)</f>
        <v>0</v>
      </c>
      <c r="O7" s="5">
        <f>averageCompletionTimePorter(Dates!O$12,Dates!O$13,'Day5'!$B7)</f>
        <v>0</v>
      </c>
      <c r="P7" s="5">
        <f>averageCompletionTimePorter(Dates!P$12,Dates!P$13,'Day5'!$B7)</f>
        <v>0</v>
      </c>
      <c r="Q7" s="5">
        <f>averageCompletionTimePorter(Dates!Q$12,Dates!Q$13,'Day5'!$B7)</f>
        <v>0</v>
      </c>
      <c r="R7" s="5">
        <f>averageCompletionTimePorter(Dates!R$12,Dates!R$13,'Day5'!$B7)</f>
        <v>0</v>
      </c>
      <c r="S7" s="5">
        <f>averageCompletionTimePorter(Dates!S$12,Dates!S$13,'Day5'!$B7)</f>
        <v>0</v>
      </c>
      <c r="T7" s="5">
        <f>averageCompletionTimePorter(Dates!T$12,Dates!T$13,'Day5'!$B7)</f>
        <v>0</v>
      </c>
      <c r="U7" s="5">
        <f>averageCompletionTimePorter(Dates!$C$12,Dates!$T$13,'Day5'!$B7)</f>
        <v>0</v>
      </c>
    </row>
    <row r="8" spans="1:21" x14ac:dyDescent="0.3">
      <c r="A8" s="6"/>
      <c r="B8" s="8">
        <v>4</v>
      </c>
      <c r="C8" s="5">
        <f>averageCompletionTimePorter(Dates!C$12,Dates!C$13,'Day5'!$B8)</f>
        <v>0</v>
      </c>
      <c r="D8" s="5">
        <f>averageCompletionTimePorter(Dates!D$12,Dates!D$13,'Day5'!$B8)</f>
        <v>0</v>
      </c>
      <c r="E8" s="5">
        <f>averageCompletionTimePorter(Dates!E$12,Dates!E$13,'Day5'!$B8)</f>
        <v>0</v>
      </c>
      <c r="F8" s="5">
        <f>averageCompletionTimePorter(Dates!F$12,Dates!F$13,'Day5'!$B8)</f>
        <v>0</v>
      </c>
      <c r="G8" s="5">
        <f>averageCompletionTimePorter(Dates!G$12,Dates!G$13,'Day5'!$B8)</f>
        <v>0</v>
      </c>
      <c r="H8" s="5">
        <f>averageCompletionTimePorter(Dates!H$12,Dates!H$13,'Day5'!$B8)</f>
        <v>0</v>
      </c>
      <c r="I8" s="5">
        <f>averageCompletionTimePorter(Dates!I$12,Dates!I$13,'Day5'!$B8)</f>
        <v>0</v>
      </c>
      <c r="J8" s="5">
        <f>averageCompletionTimePorter(Dates!J$12,Dates!J$13,'Day5'!$B8)</f>
        <v>0</v>
      </c>
      <c r="K8" s="5">
        <f>averageCompletionTimePorter(Dates!K$12,Dates!K$13,'Day5'!$B8)</f>
        <v>0</v>
      </c>
      <c r="L8" s="5">
        <f>averageCompletionTimePorter(Dates!L$12,Dates!L$13,'Day5'!$B8)</f>
        <v>0</v>
      </c>
      <c r="M8" s="5">
        <f>averageCompletionTimePorter(Dates!M$12,Dates!M$13,'Day5'!$B8)</f>
        <v>0</v>
      </c>
      <c r="N8" s="5">
        <f>averageCompletionTimePorter(Dates!N$12,Dates!N$13,'Day5'!$B8)</f>
        <v>0</v>
      </c>
      <c r="O8" s="5">
        <f>averageCompletionTimePorter(Dates!O$12,Dates!O$13,'Day5'!$B8)</f>
        <v>0</v>
      </c>
      <c r="P8" s="5">
        <f>averageCompletionTimePorter(Dates!P$12,Dates!P$13,'Day5'!$B8)</f>
        <v>0</v>
      </c>
      <c r="Q8" s="5">
        <f>averageCompletionTimePorter(Dates!Q$12,Dates!Q$13,'Day5'!$B8)</f>
        <v>0</v>
      </c>
      <c r="R8" s="5">
        <f>averageCompletionTimePorter(Dates!R$12,Dates!R$13,'Day5'!$B8)</f>
        <v>0</v>
      </c>
      <c r="S8" s="5">
        <f>averageCompletionTimePorter(Dates!S$12,Dates!S$13,'Day5'!$B8)</f>
        <v>0</v>
      </c>
      <c r="T8" s="5">
        <f>averageCompletionTimePorter(Dates!T$12,Dates!T$13,'Day5'!$B8)</f>
        <v>0</v>
      </c>
      <c r="U8" s="5">
        <f>averageCompletionTimePorter(Dates!$C$12,Dates!$T$13,'Day5'!$B8)</f>
        <v>0</v>
      </c>
    </row>
    <row r="9" spans="1:21" x14ac:dyDescent="0.3">
      <c r="A9" s="6"/>
      <c r="B9" s="8">
        <v>6</v>
      </c>
      <c r="C9" s="5">
        <f>averageCompletionTimePorter(Dates!C$12,Dates!C$13,'Day5'!$B9)</f>
        <v>0</v>
      </c>
      <c r="D9" s="5">
        <f>averageCompletionTimePorter(Dates!D$12,Dates!D$13,'Day5'!$B9)</f>
        <v>0</v>
      </c>
      <c r="E9" s="5">
        <f>averageCompletionTimePorter(Dates!E$12,Dates!E$13,'Day5'!$B9)</f>
        <v>0</v>
      </c>
      <c r="F9" s="5">
        <f>averageCompletionTimePorter(Dates!F$12,Dates!F$13,'Day5'!$B9)</f>
        <v>0</v>
      </c>
      <c r="G9" s="5">
        <f>averageCompletionTimePorter(Dates!G$12,Dates!G$13,'Day5'!$B9)</f>
        <v>0</v>
      </c>
      <c r="H9" s="5">
        <f>averageCompletionTimePorter(Dates!H$12,Dates!H$13,'Day5'!$B9)</f>
        <v>0</v>
      </c>
      <c r="I9" s="5">
        <f>averageCompletionTimePorter(Dates!I$12,Dates!I$13,'Day5'!$B9)</f>
        <v>0</v>
      </c>
      <c r="J9" s="5">
        <f>averageCompletionTimePorter(Dates!J$12,Dates!J$13,'Day5'!$B9)</f>
        <v>0</v>
      </c>
      <c r="K9" s="5">
        <f>averageCompletionTimePorter(Dates!K$12,Dates!K$13,'Day5'!$B9)</f>
        <v>0</v>
      </c>
      <c r="L9" s="5">
        <f>averageCompletionTimePorter(Dates!L$12,Dates!L$13,'Day5'!$B9)</f>
        <v>0</v>
      </c>
      <c r="M9" s="5">
        <f>averageCompletionTimePorter(Dates!M$12,Dates!M$13,'Day5'!$B9)</f>
        <v>0</v>
      </c>
      <c r="N9" s="5">
        <f>averageCompletionTimePorter(Dates!N$12,Dates!N$13,'Day5'!$B9)</f>
        <v>0</v>
      </c>
      <c r="O9" s="5">
        <f>averageCompletionTimePorter(Dates!O$12,Dates!O$13,'Day5'!$B9)</f>
        <v>0</v>
      </c>
      <c r="P9" s="5">
        <f>averageCompletionTimePorter(Dates!P$12,Dates!P$13,'Day5'!$B9)</f>
        <v>0</v>
      </c>
      <c r="Q9" s="5">
        <f>averageCompletionTimePorter(Dates!Q$12,Dates!Q$13,'Day5'!$B9)</f>
        <v>0</v>
      </c>
      <c r="R9" s="5">
        <f>averageCompletionTimePorter(Dates!R$12,Dates!R$13,'Day5'!$B9)</f>
        <v>0</v>
      </c>
      <c r="S9" s="5">
        <f>averageCompletionTimePorter(Dates!S$12,Dates!S$13,'Day5'!$B9)</f>
        <v>0</v>
      </c>
      <c r="T9" s="5">
        <f>averageCompletionTimePorter(Dates!T$12,Dates!T$13,'Day5'!$B9)</f>
        <v>0</v>
      </c>
      <c r="U9" s="5">
        <f>averageCompletionTimePorter(Dates!$C$12,Dates!$T$13,'Day5'!$B9)</f>
        <v>0</v>
      </c>
    </row>
    <row r="10" spans="1:21" x14ac:dyDescent="0.3">
      <c r="A10" s="6"/>
      <c r="B10" s="8" t="s">
        <v>69</v>
      </c>
      <c r="C10" s="5">
        <f>averageCompletionTimePorter(Dates!C$12,Dates!C$13,'Day5'!$B10)</f>
        <v>0</v>
      </c>
      <c r="D10" s="5">
        <f>averageCompletionTimePorter(Dates!D$12,Dates!D$13,'Day5'!$B10)</f>
        <v>0</v>
      </c>
      <c r="E10" s="5">
        <f>averageCompletionTimePorter(Dates!E$12,Dates!E$13,'Day5'!$B10)</f>
        <v>0</v>
      </c>
      <c r="F10" s="5">
        <f>averageCompletionTimePorter(Dates!F$12,Dates!F$13,'Day5'!$B10)</f>
        <v>0</v>
      </c>
      <c r="G10" s="5">
        <f>averageCompletionTimePorter(Dates!G$12,Dates!G$13,'Day5'!$B10)</f>
        <v>0</v>
      </c>
      <c r="H10" s="5">
        <f>averageCompletionTimePorter(Dates!H$12,Dates!H$13,'Day5'!$B10)</f>
        <v>0</v>
      </c>
      <c r="I10" s="5">
        <f>averageCompletionTimePorter(Dates!I$12,Dates!I$13,'Day5'!$B10)</f>
        <v>0</v>
      </c>
      <c r="J10" s="5">
        <f>averageCompletionTimePorter(Dates!J$12,Dates!J$13,'Day5'!$B10)</f>
        <v>0</v>
      </c>
      <c r="K10" s="5">
        <f>averageCompletionTimePorter(Dates!K$12,Dates!K$13,'Day5'!$B10)</f>
        <v>0</v>
      </c>
      <c r="L10" s="5">
        <f>averageCompletionTimePorter(Dates!L$12,Dates!L$13,'Day5'!$B10)</f>
        <v>0</v>
      </c>
      <c r="M10" s="5">
        <f>averageCompletionTimePorter(Dates!M$12,Dates!M$13,'Day5'!$B10)</f>
        <v>0</v>
      </c>
      <c r="N10" s="5">
        <f>averageCompletionTimePorter(Dates!N$12,Dates!N$13,'Day5'!$B10)</f>
        <v>0</v>
      </c>
      <c r="O10" s="5">
        <f>averageCompletionTimePorter(Dates!O$12,Dates!O$13,'Day5'!$B10)</f>
        <v>0</v>
      </c>
      <c r="P10" s="5">
        <f>averageCompletionTimePorter(Dates!P$12,Dates!P$13,'Day5'!$B10)</f>
        <v>0</v>
      </c>
      <c r="Q10" s="5">
        <f>averageCompletionTimePorter(Dates!Q$12,Dates!Q$13,'Day5'!$B10)</f>
        <v>0</v>
      </c>
      <c r="R10" s="5">
        <f>averageCompletionTimePorter(Dates!R$12,Dates!R$13,'Day5'!$B10)</f>
        <v>0</v>
      </c>
      <c r="S10" s="5">
        <f>averageCompletionTimePorter(Dates!S$12,Dates!S$13,'Day5'!$B10)</f>
        <v>0</v>
      </c>
      <c r="T10" s="5">
        <f>averageCompletionTimePorter(Dates!T$12,Dates!T$13,'Day5'!$B10)</f>
        <v>0</v>
      </c>
      <c r="U10" s="5">
        <f>averageCompletionTimePorter(Dates!$C$12,Dates!$T$13,'Day5'!$B10)</f>
        <v>0</v>
      </c>
    </row>
    <row r="11" spans="1:21" x14ac:dyDescent="0.3">
      <c r="A11" s="6"/>
      <c r="B11" s="8" t="s">
        <v>70</v>
      </c>
      <c r="C11" s="5">
        <f>averageCompletionTimePorter(Dates!C$12,Dates!C$13,'Day5'!$B11)</f>
        <v>0</v>
      </c>
      <c r="D11" s="5">
        <f>averageCompletionTimePorter(Dates!D$12,Dates!D$13,'Day5'!$B11)</f>
        <v>0</v>
      </c>
      <c r="E11" s="5">
        <f>averageCompletionTimePorter(Dates!E$12,Dates!E$13,'Day5'!$B11)</f>
        <v>0</v>
      </c>
      <c r="F11" s="5">
        <f>averageCompletionTimePorter(Dates!F$12,Dates!F$13,'Day5'!$B11)</f>
        <v>0</v>
      </c>
      <c r="G11" s="5">
        <f>averageCompletionTimePorter(Dates!G$12,Dates!G$13,'Day5'!$B11)</f>
        <v>0</v>
      </c>
      <c r="H11" s="5">
        <f>averageCompletionTimePorter(Dates!H$12,Dates!H$13,'Day5'!$B11)</f>
        <v>0</v>
      </c>
      <c r="I11" s="5">
        <f>averageCompletionTimePorter(Dates!I$12,Dates!I$13,'Day5'!$B11)</f>
        <v>0</v>
      </c>
      <c r="J11" s="5">
        <f>averageCompletionTimePorter(Dates!J$12,Dates!J$13,'Day5'!$B11)</f>
        <v>0</v>
      </c>
      <c r="K11" s="5">
        <f>averageCompletionTimePorter(Dates!K$12,Dates!K$13,'Day5'!$B11)</f>
        <v>0</v>
      </c>
      <c r="L11" s="5">
        <f>averageCompletionTimePorter(Dates!L$12,Dates!L$13,'Day5'!$B11)</f>
        <v>0</v>
      </c>
      <c r="M11" s="5">
        <f>averageCompletionTimePorter(Dates!M$12,Dates!M$13,'Day5'!$B11)</f>
        <v>0</v>
      </c>
      <c r="N11" s="5">
        <f>averageCompletionTimePorter(Dates!N$12,Dates!N$13,'Day5'!$B11)</f>
        <v>0</v>
      </c>
      <c r="O11" s="5">
        <f>averageCompletionTimePorter(Dates!O$12,Dates!O$13,'Day5'!$B11)</f>
        <v>0</v>
      </c>
      <c r="P11" s="5">
        <f>averageCompletionTimePorter(Dates!P$12,Dates!P$13,'Day5'!$B11)</f>
        <v>0</v>
      </c>
      <c r="Q11" s="5">
        <f>averageCompletionTimePorter(Dates!Q$12,Dates!Q$13,'Day5'!$B11)</f>
        <v>0</v>
      </c>
      <c r="R11" s="5">
        <f>averageCompletionTimePorter(Dates!R$12,Dates!R$13,'Day5'!$B11)</f>
        <v>0</v>
      </c>
      <c r="S11" s="5">
        <f>averageCompletionTimePorter(Dates!S$12,Dates!S$13,'Day5'!$B11)</f>
        <v>0</v>
      </c>
      <c r="T11" s="5">
        <f>averageCompletionTimePorter(Dates!T$12,Dates!T$13,'Day5'!$B11)</f>
        <v>0</v>
      </c>
      <c r="U11" s="5">
        <f>averageCompletionTimePorter(Dates!$C$12,Dates!$T$13,'Day5'!$B11)</f>
        <v>0</v>
      </c>
    </row>
    <row r="12" spans="1:21" x14ac:dyDescent="0.3">
      <c r="A12" s="6"/>
      <c r="B12" s="8" t="s">
        <v>61</v>
      </c>
      <c r="C12" s="5">
        <f>averageCompletionTimePorter(Dates!C$12,Dates!C$13,'Day5'!$B12)</f>
        <v>0</v>
      </c>
      <c r="D12" s="5">
        <f>averageCompletionTimePorter(Dates!D$12,Dates!D$13,'Day5'!$B12)</f>
        <v>0</v>
      </c>
      <c r="E12" s="5">
        <f>averageCompletionTimePorter(Dates!E$12,Dates!E$13,'Day5'!$B12)</f>
        <v>0</v>
      </c>
      <c r="F12" s="5">
        <f>averageCompletionTimePorter(Dates!F$12,Dates!F$13,'Day5'!$B12)</f>
        <v>0</v>
      </c>
      <c r="G12" s="5">
        <f>averageCompletionTimePorter(Dates!G$12,Dates!G$13,'Day5'!$B12)</f>
        <v>0</v>
      </c>
      <c r="H12" s="5">
        <f>averageCompletionTimePorter(Dates!H$12,Dates!H$13,'Day5'!$B12)</f>
        <v>0</v>
      </c>
      <c r="I12" s="5">
        <f>averageCompletionTimePorter(Dates!I$12,Dates!I$13,'Day5'!$B12)</f>
        <v>0</v>
      </c>
      <c r="J12" s="5">
        <f>averageCompletionTimePorter(Dates!J$12,Dates!J$13,'Day5'!$B12)</f>
        <v>0</v>
      </c>
      <c r="K12" s="5">
        <f>averageCompletionTimePorter(Dates!K$12,Dates!K$13,'Day5'!$B12)</f>
        <v>0</v>
      </c>
      <c r="L12" s="5">
        <f>averageCompletionTimePorter(Dates!L$12,Dates!L$13,'Day5'!$B12)</f>
        <v>0</v>
      </c>
      <c r="M12" s="5">
        <f>averageCompletionTimePorter(Dates!M$12,Dates!M$13,'Day5'!$B12)</f>
        <v>0</v>
      </c>
      <c r="N12" s="5">
        <f>averageCompletionTimePorter(Dates!N$12,Dates!N$13,'Day5'!$B12)</f>
        <v>0</v>
      </c>
      <c r="O12" s="5">
        <f>averageCompletionTimePorter(Dates!O$12,Dates!O$13,'Day5'!$B12)</f>
        <v>0</v>
      </c>
      <c r="P12" s="5">
        <f>averageCompletionTimePorter(Dates!P$12,Dates!P$13,'Day5'!$B12)</f>
        <v>0</v>
      </c>
      <c r="Q12" s="5">
        <f>averageCompletionTimePorter(Dates!Q$12,Dates!Q$13,'Day5'!$B12)</f>
        <v>0</v>
      </c>
      <c r="R12" s="5">
        <f>averageCompletionTimePorter(Dates!R$12,Dates!R$13,'Day5'!$B12)</f>
        <v>0</v>
      </c>
      <c r="S12" s="5">
        <f>averageCompletionTimePorter(Dates!S$12,Dates!S$13,'Day5'!$B12)</f>
        <v>0</v>
      </c>
      <c r="T12" s="5">
        <f>averageCompletionTimePorter(Dates!T$12,Dates!T$13,'Day5'!$B12)</f>
        <v>0</v>
      </c>
      <c r="U12" s="5">
        <f>averageCompletionTimePorter(Dates!$C$12,Dates!$T$13,'Day5'!$B12)</f>
        <v>0</v>
      </c>
    </row>
    <row r="13" spans="1:21" x14ac:dyDescent="0.3">
      <c r="A13" s="6"/>
      <c r="B13" s="8" t="s">
        <v>28</v>
      </c>
      <c r="C13" s="5">
        <f>averageCompletionTimePorter(Dates!C$12,Dates!C$13,'Day5'!$B13)</f>
        <v>0</v>
      </c>
      <c r="D13" s="5">
        <f>averageCompletionTimePorter(Dates!D$12,Dates!D$13,'Day5'!$B13)</f>
        <v>0</v>
      </c>
      <c r="E13" s="5">
        <f>averageCompletionTimePorter(Dates!E$12,Dates!E$13,'Day5'!$B13)</f>
        <v>0</v>
      </c>
      <c r="F13" s="5">
        <f>averageCompletionTimePorter(Dates!F$12,Dates!F$13,'Day5'!$B13)</f>
        <v>0</v>
      </c>
      <c r="G13" s="5">
        <f>averageCompletionTimePorter(Dates!G$12,Dates!G$13,'Day5'!$B13)</f>
        <v>0</v>
      </c>
      <c r="H13" s="5">
        <f>averageCompletionTimePorter(Dates!H$12,Dates!H$13,'Day5'!$B13)</f>
        <v>0</v>
      </c>
      <c r="I13" s="5">
        <f>averageCompletionTimePorter(Dates!I$12,Dates!I$13,'Day5'!$B13)</f>
        <v>0</v>
      </c>
      <c r="J13" s="5">
        <f>averageCompletionTimePorter(Dates!J$12,Dates!J$13,'Day5'!$B13)</f>
        <v>0</v>
      </c>
      <c r="K13" s="5">
        <f>averageCompletionTimePorter(Dates!K$12,Dates!K$13,'Day5'!$B13)</f>
        <v>0</v>
      </c>
      <c r="L13" s="5">
        <f>averageCompletionTimePorter(Dates!L$12,Dates!L$13,'Day5'!$B13)</f>
        <v>0</v>
      </c>
      <c r="M13" s="5">
        <f>averageCompletionTimePorter(Dates!M$12,Dates!M$13,'Day5'!$B13)</f>
        <v>0</v>
      </c>
      <c r="N13" s="5">
        <f>averageCompletionTimePorter(Dates!N$12,Dates!N$13,'Day5'!$B13)</f>
        <v>0</v>
      </c>
      <c r="O13" s="5">
        <f>averageCompletionTimePorter(Dates!O$12,Dates!O$13,'Day5'!$B13)</f>
        <v>0</v>
      </c>
      <c r="P13" s="5">
        <f>averageCompletionTimePorter(Dates!P$12,Dates!P$13,'Day5'!$B13)</f>
        <v>0</v>
      </c>
      <c r="Q13" s="5">
        <f>averageCompletionTimePorter(Dates!Q$12,Dates!Q$13,'Day5'!$B13)</f>
        <v>0</v>
      </c>
      <c r="R13" s="5">
        <f>averageCompletionTimePorter(Dates!R$12,Dates!R$13,'Day5'!$B13)</f>
        <v>0</v>
      </c>
      <c r="S13" s="5">
        <f>averageCompletionTimePorter(Dates!S$12,Dates!S$13,'Day5'!$B13)</f>
        <v>0</v>
      </c>
      <c r="T13" s="5">
        <f>averageCompletionTimePorter(Dates!T$12,Dates!T$13,'Day5'!$B13)</f>
        <v>0</v>
      </c>
      <c r="U13" s="5">
        <f>averageCompletionTimePorter(Dates!$C$12,Dates!$T$13,'Day5'!$B13)</f>
        <v>0</v>
      </c>
    </row>
    <row r="14" spans="1:21" x14ac:dyDescent="0.3">
      <c r="B14" s="8" t="s">
        <v>13</v>
      </c>
      <c r="C14" s="5">
        <f>averageCompletionTimePorter(Dates!C$12,Dates!C$13,'Day5'!$B14)</f>
        <v>0</v>
      </c>
      <c r="D14" s="5">
        <f>averageCompletionTimePorter(Dates!D$12,Dates!D$13,'Day5'!$B14)</f>
        <v>0</v>
      </c>
      <c r="E14" s="5">
        <f>averageCompletionTimePorter(Dates!E$12,Dates!E$13,'Day5'!$B14)</f>
        <v>0</v>
      </c>
      <c r="F14" s="5">
        <f>averageCompletionTimePorter(Dates!F$12,Dates!F$13,'Day5'!$B14)</f>
        <v>0</v>
      </c>
      <c r="G14" s="5">
        <f>averageCompletionTimePorter(Dates!G$12,Dates!G$13,'Day5'!$B14)</f>
        <v>0</v>
      </c>
      <c r="H14" s="5">
        <f>averageCompletionTimePorter(Dates!H$12,Dates!H$13,'Day5'!$B14)</f>
        <v>0</v>
      </c>
      <c r="I14" s="5">
        <f>averageCompletionTimePorter(Dates!I$12,Dates!I$13,'Day5'!$B14)</f>
        <v>0</v>
      </c>
      <c r="J14" s="5">
        <f>averageCompletionTimePorter(Dates!J$12,Dates!J$13,'Day5'!$B14)</f>
        <v>0</v>
      </c>
      <c r="K14" s="5">
        <f>averageCompletionTimePorter(Dates!K$12,Dates!K$13,'Day5'!$B14)</f>
        <v>0</v>
      </c>
      <c r="L14" s="5">
        <f>averageCompletionTimePorter(Dates!L$12,Dates!L$13,'Day5'!$B14)</f>
        <v>0</v>
      </c>
      <c r="M14" s="5">
        <f>averageCompletionTimePorter(Dates!M$12,Dates!M$13,'Day5'!$B14)</f>
        <v>0</v>
      </c>
      <c r="N14" s="5">
        <f>averageCompletionTimePorter(Dates!N$12,Dates!N$13,'Day5'!$B14)</f>
        <v>0</v>
      </c>
      <c r="O14" s="5">
        <f>averageCompletionTimePorter(Dates!O$12,Dates!O$13,'Day5'!$B14)</f>
        <v>0</v>
      </c>
      <c r="P14" s="5">
        <f>averageCompletionTimePorter(Dates!P$12,Dates!P$13,'Day5'!$B14)</f>
        <v>0</v>
      </c>
      <c r="Q14" s="5">
        <f>averageCompletionTimePorter(Dates!Q$12,Dates!Q$13,'Day5'!$B14)</f>
        <v>0</v>
      </c>
      <c r="R14" s="5">
        <f>averageCompletionTimePorter(Dates!R$12,Dates!R$13,'Day5'!$B14)</f>
        <v>0</v>
      </c>
      <c r="S14" s="5">
        <f>averageCompletionTimePorter(Dates!S$12,Dates!S$13,'Day5'!$B14)</f>
        <v>0</v>
      </c>
      <c r="T14" s="5">
        <f>averageCompletionTimePorter(Dates!T$12,Dates!T$13,'Day5'!$B14)</f>
        <v>0</v>
      </c>
      <c r="U14" s="5">
        <f>averageCompletionTimePorter(Dates!$C$12,Dates!$T$13,'Day5'!$B14)</f>
        <v>0</v>
      </c>
    </row>
    <row r="15" spans="1:21" x14ac:dyDescent="0.3">
      <c r="B15" s="8" t="s">
        <v>14</v>
      </c>
      <c r="C15" s="5">
        <f>averageCompletionTimePorter(Dates!C$12,Dates!C$13,'Day5'!$B15)</f>
        <v>0</v>
      </c>
      <c r="D15" s="5">
        <f>averageCompletionTimePorter(Dates!D$12,Dates!D$13,'Day5'!$B15)</f>
        <v>0</v>
      </c>
      <c r="E15" s="5">
        <f>averageCompletionTimePorter(Dates!E$12,Dates!E$13,'Day5'!$B15)</f>
        <v>0</v>
      </c>
      <c r="F15" s="5">
        <f>averageCompletionTimePorter(Dates!F$12,Dates!F$13,'Day5'!$B15)</f>
        <v>0</v>
      </c>
      <c r="G15" s="5">
        <f>averageCompletionTimePorter(Dates!G$12,Dates!G$13,'Day5'!$B15)</f>
        <v>0</v>
      </c>
      <c r="H15" s="5">
        <f>averageCompletionTimePorter(Dates!H$12,Dates!H$13,'Day5'!$B15)</f>
        <v>0</v>
      </c>
      <c r="I15" s="5">
        <f>averageCompletionTimePorter(Dates!I$12,Dates!I$13,'Day5'!$B15)</f>
        <v>0</v>
      </c>
      <c r="J15" s="5">
        <f>averageCompletionTimePorter(Dates!J$12,Dates!J$13,'Day5'!$B15)</f>
        <v>0</v>
      </c>
      <c r="K15" s="5">
        <f>averageCompletionTimePorter(Dates!K$12,Dates!K$13,'Day5'!$B15)</f>
        <v>0</v>
      </c>
      <c r="L15" s="5">
        <f>averageCompletionTimePorter(Dates!L$12,Dates!L$13,'Day5'!$B15)</f>
        <v>0</v>
      </c>
      <c r="M15" s="5">
        <f>averageCompletionTimePorter(Dates!M$12,Dates!M$13,'Day5'!$B15)</f>
        <v>0</v>
      </c>
      <c r="N15" s="5">
        <f>averageCompletionTimePorter(Dates!N$12,Dates!N$13,'Day5'!$B15)</f>
        <v>0</v>
      </c>
      <c r="O15" s="5">
        <f>averageCompletionTimePorter(Dates!O$12,Dates!O$13,'Day5'!$B15)</f>
        <v>0</v>
      </c>
      <c r="P15" s="5">
        <f>averageCompletionTimePorter(Dates!P$12,Dates!P$13,'Day5'!$B15)</f>
        <v>0</v>
      </c>
      <c r="Q15" s="5">
        <f>averageCompletionTimePorter(Dates!Q$12,Dates!Q$13,'Day5'!$B15)</f>
        <v>0</v>
      </c>
      <c r="R15" s="5">
        <f>averageCompletionTimePorter(Dates!R$12,Dates!R$13,'Day5'!$B15)</f>
        <v>0</v>
      </c>
      <c r="S15" s="5">
        <f>averageCompletionTimePorter(Dates!S$12,Dates!S$13,'Day5'!$B15)</f>
        <v>0</v>
      </c>
      <c r="T15" s="5">
        <f>averageCompletionTimePorter(Dates!T$12,Dates!T$13,'Day5'!$B15)</f>
        <v>0</v>
      </c>
      <c r="U15" s="5">
        <f>averageCompletionTimePorter(Dates!$C$12,Dates!$T$13,'Day5'!$B15)</f>
        <v>0</v>
      </c>
    </row>
    <row r="16" spans="1:21" x14ac:dyDescent="0.3">
      <c r="B16" s="8" t="s">
        <v>15</v>
      </c>
      <c r="C16" s="5">
        <f>averageCompletionTimePorter(Dates!C$12,Dates!C$13,'Day5'!$B16)</f>
        <v>0</v>
      </c>
      <c r="D16" s="5">
        <f>averageCompletionTimePorter(Dates!D$12,Dates!D$13,'Day5'!$B16)</f>
        <v>0</v>
      </c>
      <c r="E16" s="5">
        <f>averageCompletionTimePorter(Dates!E$12,Dates!E$13,'Day5'!$B16)</f>
        <v>0</v>
      </c>
      <c r="F16" s="5">
        <f>averageCompletionTimePorter(Dates!F$12,Dates!F$13,'Day5'!$B16)</f>
        <v>0</v>
      </c>
      <c r="G16" s="5">
        <f>averageCompletionTimePorter(Dates!G$12,Dates!G$13,'Day5'!$B16)</f>
        <v>0</v>
      </c>
      <c r="H16" s="5">
        <f>averageCompletionTimePorter(Dates!H$12,Dates!H$13,'Day5'!$B16)</f>
        <v>0</v>
      </c>
      <c r="I16" s="5">
        <f>averageCompletionTimePorter(Dates!I$12,Dates!I$13,'Day5'!$B16)</f>
        <v>0</v>
      </c>
      <c r="J16" s="5">
        <f>averageCompletionTimePorter(Dates!J$12,Dates!J$13,'Day5'!$B16)</f>
        <v>0</v>
      </c>
      <c r="K16" s="5">
        <f>averageCompletionTimePorter(Dates!K$12,Dates!K$13,'Day5'!$B16)</f>
        <v>0</v>
      </c>
      <c r="L16" s="5">
        <f>averageCompletionTimePorter(Dates!L$12,Dates!L$13,'Day5'!$B16)</f>
        <v>0</v>
      </c>
      <c r="M16" s="5">
        <f>averageCompletionTimePorter(Dates!M$12,Dates!M$13,'Day5'!$B16)</f>
        <v>0</v>
      </c>
      <c r="N16" s="5">
        <f>averageCompletionTimePorter(Dates!N$12,Dates!N$13,'Day5'!$B16)</f>
        <v>0</v>
      </c>
      <c r="O16" s="5">
        <f>averageCompletionTimePorter(Dates!O$12,Dates!O$13,'Day5'!$B16)</f>
        <v>0</v>
      </c>
      <c r="P16" s="5">
        <f>averageCompletionTimePorter(Dates!P$12,Dates!P$13,'Day5'!$B16)</f>
        <v>0</v>
      </c>
      <c r="Q16" s="5">
        <f>averageCompletionTimePorter(Dates!Q$12,Dates!Q$13,'Day5'!$B16)</f>
        <v>0</v>
      </c>
      <c r="R16" s="5">
        <f>averageCompletionTimePorter(Dates!R$12,Dates!R$13,'Day5'!$B16)</f>
        <v>0</v>
      </c>
      <c r="S16" s="5">
        <f>averageCompletionTimePorter(Dates!S$12,Dates!S$13,'Day5'!$B16)</f>
        <v>0</v>
      </c>
      <c r="T16" s="5">
        <f>averageCompletionTimePorter(Dates!T$12,Dates!T$13,'Day5'!$B16)</f>
        <v>0</v>
      </c>
      <c r="U16" s="5">
        <f>averageCompletionTimePorter(Dates!$C$12,Dates!$T$13,'Day5'!$B16)</f>
        <v>0</v>
      </c>
    </row>
    <row r="17" spans="2:21" x14ac:dyDescent="0.3">
      <c r="B17" s="8" t="s">
        <v>16</v>
      </c>
      <c r="C17" s="5">
        <f>averageCompletionTimePorter(Dates!C$12,Dates!C$13,'Day5'!$B17)</f>
        <v>0</v>
      </c>
      <c r="D17" s="5">
        <f>averageCompletionTimePorter(Dates!D$12,Dates!D$13,'Day5'!$B17)</f>
        <v>0</v>
      </c>
      <c r="E17" s="5">
        <f>averageCompletionTimePorter(Dates!E$12,Dates!E$13,'Day5'!$B17)</f>
        <v>0</v>
      </c>
      <c r="F17" s="5">
        <f>averageCompletionTimePorter(Dates!F$12,Dates!F$13,'Day5'!$B17)</f>
        <v>0</v>
      </c>
      <c r="G17" s="5">
        <f>averageCompletionTimePorter(Dates!G$12,Dates!G$13,'Day5'!$B17)</f>
        <v>0</v>
      </c>
      <c r="H17" s="5">
        <f>averageCompletionTimePorter(Dates!H$12,Dates!H$13,'Day5'!$B17)</f>
        <v>0</v>
      </c>
      <c r="I17" s="5">
        <f>averageCompletionTimePorter(Dates!I$12,Dates!I$13,'Day5'!$B17)</f>
        <v>0</v>
      </c>
      <c r="J17" s="5">
        <f>averageCompletionTimePorter(Dates!J$12,Dates!J$13,'Day5'!$B17)</f>
        <v>0</v>
      </c>
      <c r="K17" s="5">
        <f>averageCompletionTimePorter(Dates!K$12,Dates!K$13,'Day5'!$B17)</f>
        <v>0</v>
      </c>
      <c r="L17" s="5">
        <f>averageCompletionTimePorter(Dates!L$12,Dates!L$13,'Day5'!$B17)</f>
        <v>0</v>
      </c>
      <c r="M17" s="5">
        <f>averageCompletionTimePorter(Dates!M$12,Dates!M$13,'Day5'!$B17)</f>
        <v>0</v>
      </c>
      <c r="N17" s="5">
        <f>averageCompletionTimePorter(Dates!N$12,Dates!N$13,'Day5'!$B17)</f>
        <v>0</v>
      </c>
      <c r="O17" s="5">
        <f>averageCompletionTimePorter(Dates!O$12,Dates!O$13,'Day5'!$B17)</f>
        <v>0</v>
      </c>
      <c r="P17" s="5">
        <f>averageCompletionTimePorter(Dates!P$12,Dates!P$13,'Day5'!$B17)</f>
        <v>0</v>
      </c>
      <c r="Q17" s="5">
        <f>averageCompletionTimePorter(Dates!Q$12,Dates!Q$13,'Day5'!$B17)</f>
        <v>0</v>
      </c>
      <c r="R17" s="5">
        <f>averageCompletionTimePorter(Dates!R$12,Dates!R$13,'Day5'!$B17)</f>
        <v>0</v>
      </c>
      <c r="S17" s="5">
        <f>averageCompletionTimePorter(Dates!S$12,Dates!S$13,'Day5'!$B17)</f>
        <v>0</v>
      </c>
      <c r="T17" s="5">
        <f>averageCompletionTimePorter(Dates!T$12,Dates!T$13,'Day5'!$B17)</f>
        <v>0</v>
      </c>
      <c r="U17" s="5">
        <f>averageCompletionTimePorter(Dates!$C$12,Dates!$T$13,'Day5'!$B17)</f>
        <v>0</v>
      </c>
    </row>
    <row r="18" spans="2:21" x14ac:dyDescent="0.3">
      <c r="B18" s="8" t="s">
        <v>17</v>
      </c>
      <c r="C18" s="5">
        <f>averageCompletionTimePorter(Dates!C$12,Dates!C$13,'Day5'!$B18)</f>
        <v>0</v>
      </c>
      <c r="D18" s="5">
        <f>averageCompletionTimePorter(Dates!D$12,Dates!D$13,'Day5'!$B18)</f>
        <v>0</v>
      </c>
      <c r="E18" s="5">
        <f>averageCompletionTimePorter(Dates!E$12,Dates!E$13,'Day5'!$B18)</f>
        <v>0</v>
      </c>
      <c r="F18" s="5">
        <f>averageCompletionTimePorter(Dates!F$12,Dates!F$13,'Day5'!$B18)</f>
        <v>0</v>
      </c>
      <c r="G18" s="5">
        <f>averageCompletionTimePorter(Dates!G$12,Dates!G$13,'Day5'!$B18)</f>
        <v>0</v>
      </c>
      <c r="H18" s="5">
        <f>averageCompletionTimePorter(Dates!H$12,Dates!H$13,'Day5'!$B18)</f>
        <v>0</v>
      </c>
      <c r="I18" s="5">
        <f>averageCompletionTimePorter(Dates!I$12,Dates!I$13,'Day5'!$B18)</f>
        <v>0</v>
      </c>
      <c r="J18" s="5">
        <f>averageCompletionTimePorter(Dates!J$12,Dates!J$13,'Day5'!$B18)</f>
        <v>0</v>
      </c>
      <c r="K18" s="5">
        <f>averageCompletionTimePorter(Dates!K$12,Dates!K$13,'Day5'!$B18)</f>
        <v>0</v>
      </c>
      <c r="L18" s="5">
        <f>averageCompletionTimePorter(Dates!L$12,Dates!L$13,'Day5'!$B18)</f>
        <v>0</v>
      </c>
      <c r="M18" s="5">
        <f>averageCompletionTimePorter(Dates!M$12,Dates!M$13,'Day5'!$B18)</f>
        <v>0</v>
      </c>
      <c r="N18" s="5">
        <f>averageCompletionTimePorter(Dates!N$12,Dates!N$13,'Day5'!$B18)</f>
        <v>0</v>
      </c>
      <c r="O18" s="5">
        <f>averageCompletionTimePorter(Dates!O$12,Dates!O$13,'Day5'!$B18)</f>
        <v>0</v>
      </c>
      <c r="P18" s="5">
        <f>averageCompletionTimePorter(Dates!P$12,Dates!P$13,'Day5'!$B18)</f>
        <v>0</v>
      </c>
      <c r="Q18" s="5">
        <f>averageCompletionTimePorter(Dates!Q$12,Dates!Q$13,'Day5'!$B18)</f>
        <v>0</v>
      </c>
      <c r="R18" s="5">
        <f>averageCompletionTimePorter(Dates!R$12,Dates!R$13,'Day5'!$B18)</f>
        <v>0</v>
      </c>
      <c r="S18" s="5">
        <f>averageCompletionTimePorter(Dates!S$12,Dates!S$13,'Day5'!$B18)</f>
        <v>0</v>
      </c>
      <c r="T18" s="5">
        <f>averageCompletionTimePorter(Dates!T$12,Dates!T$13,'Day5'!$B18)</f>
        <v>0</v>
      </c>
      <c r="U18" s="5">
        <f>averageCompletionTimePorter(Dates!$C$12,Dates!$T$13,'Day5'!$B18)</f>
        <v>0</v>
      </c>
    </row>
    <row r="19" spans="2:21" x14ac:dyDescent="0.3">
      <c r="B19" s="8" t="s">
        <v>18</v>
      </c>
      <c r="C19" s="5">
        <f>averageCompletionTimePorter(Dates!C$12,Dates!C$13,'Day5'!$B19)</f>
        <v>0</v>
      </c>
      <c r="D19" s="5">
        <f>averageCompletionTimePorter(Dates!D$12,Dates!D$13,'Day5'!$B19)</f>
        <v>0</v>
      </c>
      <c r="E19" s="5">
        <f>averageCompletionTimePorter(Dates!E$12,Dates!E$13,'Day5'!$B19)</f>
        <v>0</v>
      </c>
      <c r="F19" s="5">
        <f>averageCompletionTimePorter(Dates!F$12,Dates!F$13,'Day5'!$B19)</f>
        <v>0</v>
      </c>
      <c r="G19" s="5">
        <f>averageCompletionTimePorter(Dates!G$12,Dates!G$13,'Day5'!$B19)</f>
        <v>0</v>
      </c>
      <c r="H19" s="5">
        <f>averageCompletionTimePorter(Dates!H$12,Dates!H$13,'Day5'!$B19)</f>
        <v>0</v>
      </c>
      <c r="I19" s="5">
        <f>averageCompletionTimePorter(Dates!I$12,Dates!I$13,'Day5'!$B19)</f>
        <v>0</v>
      </c>
      <c r="J19" s="5">
        <f>averageCompletionTimePorter(Dates!J$12,Dates!J$13,'Day5'!$B19)</f>
        <v>0</v>
      </c>
      <c r="K19" s="5">
        <f>averageCompletionTimePorter(Dates!K$12,Dates!K$13,'Day5'!$B19)</f>
        <v>0</v>
      </c>
      <c r="L19" s="5">
        <f>averageCompletionTimePorter(Dates!L$12,Dates!L$13,'Day5'!$B19)</f>
        <v>0</v>
      </c>
      <c r="M19" s="5">
        <f>averageCompletionTimePorter(Dates!M$12,Dates!M$13,'Day5'!$B19)</f>
        <v>0</v>
      </c>
      <c r="N19" s="5">
        <f>averageCompletionTimePorter(Dates!N$12,Dates!N$13,'Day5'!$B19)</f>
        <v>0</v>
      </c>
      <c r="O19" s="5">
        <f>averageCompletionTimePorter(Dates!O$12,Dates!O$13,'Day5'!$B19)</f>
        <v>0</v>
      </c>
      <c r="P19" s="5">
        <f>averageCompletionTimePorter(Dates!P$12,Dates!P$13,'Day5'!$B19)</f>
        <v>0</v>
      </c>
      <c r="Q19" s="5">
        <f>averageCompletionTimePorter(Dates!Q$12,Dates!Q$13,'Day5'!$B19)</f>
        <v>0</v>
      </c>
      <c r="R19" s="5">
        <f>averageCompletionTimePorter(Dates!R$12,Dates!R$13,'Day5'!$B19)</f>
        <v>0</v>
      </c>
      <c r="S19" s="5">
        <f>averageCompletionTimePorter(Dates!S$12,Dates!S$13,'Day5'!$B19)</f>
        <v>0</v>
      </c>
      <c r="T19" s="5">
        <f>averageCompletionTimePorter(Dates!T$12,Dates!T$13,'Day5'!$B19)</f>
        <v>0</v>
      </c>
      <c r="U19" s="5">
        <f>averageCompletionTimePorter(Dates!$C$12,Dates!$T$13,'Day5'!$B19)</f>
        <v>0</v>
      </c>
    </row>
    <row r="20" spans="2:21" x14ac:dyDescent="0.3">
      <c r="B20" s="8" t="s">
        <v>19</v>
      </c>
      <c r="C20" s="5">
        <f>averageCompletionTimePorter(Dates!C$12,Dates!C$13,'Day5'!$B20)</f>
        <v>0</v>
      </c>
      <c r="D20" s="5">
        <f>averageCompletionTimePorter(Dates!D$12,Dates!D$13,'Day5'!$B20)</f>
        <v>0</v>
      </c>
      <c r="E20" s="5">
        <f>averageCompletionTimePorter(Dates!E$12,Dates!E$13,'Day5'!$B20)</f>
        <v>0</v>
      </c>
      <c r="F20" s="5">
        <f>averageCompletionTimePorter(Dates!F$12,Dates!F$13,'Day5'!$B20)</f>
        <v>0</v>
      </c>
      <c r="G20" s="5">
        <f>averageCompletionTimePorter(Dates!G$12,Dates!G$13,'Day5'!$B20)</f>
        <v>0</v>
      </c>
      <c r="H20" s="5">
        <f>averageCompletionTimePorter(Dates!H$12,Dates!H$13,'Day5'!$B20)</f>
        <v>0</v>
      </c>
      <c r="I20" s="5">
        <f>averageCompletionTimePorter(Dates!I$12,Dates!I$13,'Day5'!$B20)</f>
        <v>0</v>
      </c>
      <c r="J20" s="5">
        <f>averageCompletionTimePorter(Dates!J$12,Dates!J$13,'Day5'!$B20)</f>
        <v>0</v>
      </c>
      <c r="K20" s="5">
        <f>averageCompletionTimePorter(Dates!K$12,Dates!K$13,'Day5'!$B20)</f>
        <v>0</v>
      </c>
      <c r="L20" s="5">
        <f>averageCompletionTimePorter(Dates!L$12,Dates!L$13,'Day5'!$B20)</f>
        <v>0</v>
      </c>
      <c r="M20" s="5">
        <f>averageCompletionTimePorter(Dates!M$12,Dates!M$13,'Day5'!$B20)</f>
        <v>0</v>
      </c>
      <c r="N20" s="5">
        <f>averageCompletionTimePorter(Dates!N$12,Dates!N$13,'Day5'!$B20)</f>
        <v>0</v>
      </c>
      <c r="O20" s="5">
        <f>averageCompletionTimePorter(Dates!O$12,Dates!O$13,'Day5'!$B20)</f>
        <v>0</v>
      </c>
      <c r="P20" s="5">
        <f>averageCompletionTimePorter(Dates!P$12,Dates!P$13,'Day5'!$B20)</f>
        <v>0</v>
      </c>
      <c r="Q20" s="5">
        <f>averageCompletionTimePorter(Dates!Q$12,Dates!Q$13,'Day5'!$B20)</f>
        <v>0</v>
      </c>
      <c r="R20" s="5">
        <f>averageCompletionTimePorter(Dates!R$12,Dates!R$13,'Day5'!$B20)</f>
        <v>0</v>
      </c>
      <c r="S20" s="5">
        <f>averageCompletionTimePorter(Dates!S$12,Dates!S$13,'Day5'!$B20)</f>
        <v>0</v>
      </c>
      <c r="T20" s="5">
        <f>averageCompletionTimePorter(Dates!T$12,Dates!T$13,'Day5'!$B20)</f>
        <v>0</v>
      </c>
      <c r="U20" s="5">
        <f>averageCompletionTimePorter(Dates!$C$12,Dates!$T$13,'Day5'!$B20)</f>
        <v>0</v>
      </c>
    </row>
    <row r="21" spans="2:21" x14ac:dyDescent="0.3">
      <c r="B21" s="8" t="s">
        <v>20</v>
      </c>
      <c r="C21" s="5">
        <f>averageCompletionTimePorter(Dates!C$12,Dates!C$13,'Day5'!$B21)</f>
        <v>0</v>
      </c>
      <c r="D21" s="5">
        <f>averageCompletionTimePorter(Dates!D$12,Dates!D$13,'Day5'!$B21)</f>
        <v>0</v>
      </c>
      <c r="E21" s="5">
        <f>averageCompletionTimePorter(Dates!E$12,Dates!E$13,'Day5'!$B21)</f>
        <v>0</v>
      </c>
      <c r="F21" s="5">
        <f>averageCompletionTimePorter(Dates!F$12,Dates!F$13,'Day5'!$B21)</f>
        <v>0</v>
      </c>
      <c r="G21" s="5">
        <f>averageCompletionTimePorter(Dates!G$12,Dates!G$13,'Day5'!$B21)</f>
        <v>0</v>
      </c>
      <c r="H21" s="5">
        <f>averageCompletionTimePorter(Dates!H$12,Dates!H$13,'Day5'!$B21)</f>
        <v>0</v>
      </c>
      <c r="I21" s="5">
        <f>averageCompletionTimePorter(Dates!I$12,Dates!I$13,'Day5'!$B21)</f>
        <v>0</v>
      </c>
      <c r="J21" s="5">
        <f>averageCompletionTimePorter(Dates!J$12,Dates!J$13,'Day5'!$B21)</f>
        <v>0</v>
      </c>
      <c r="K21" s="5">
        <f>averageCompletionTimePorter(Dates!K$12,Dates!K$13,'Day5'!$B21)</f>
        <v>0</v>
      </c>
      <c r="L21" s="5">
        <f>averageCompletionTimePorter(Dates!L$12,Dates!L$13,'Day5'!$B21)</f>
        <v>0</v>
      </c>
      <c r="M21" s="5">
        <f>averageCompletionTimePorter(Dates!M$12,Dates!M$13,'Day5'!$B21)</f>
        <v>0</v>
      </c>
      <c r="N21" s="5">
        <f>averageCompletionTimePorter(Dates!N$12,Dates!N$13,'Day5'!$B21)</f>
        <v>0</v>
      </c>
      <c r="O21" s="5">
        <f>averageCompletionTimePorter(Dates!O$12,Dates!O$13,'Day5'!$B21)</f>
        <v>0</v>
      </c>
      <c r="P21" s="5">
        <f>averageCompletionTimePorter(Dates!P$12,Dates!P$13,'Day5'!$B21)</f>
        <v>0</v>
      </c>
      <c r="Q21" s="5">
        <f>averageCompletionTimePorter(Dates!Q$12,Dates!Q$13,'Day5'!$B21)</f>
        <v>0</v>
      </c>
      <c r="R21" s="5">
        <f>averageCompletionTimePorter(Dates!R$12,Dates!R$13,'Day5'!$B21)</f>
        <v>0</v>
      </c>
      <c r="S21" s="5">
        <f>averageCompletionTimePorter(Dates!S$12,Dates!S$13,'Day5'!$B21)</f>
        <v>0</v>
      </c>
      <c r="T21" s="5">
        <f>averageCompletionTimePorter(Dates!T$12,Dates!T$13,'Day5'!$B21)</f>
        <v>0</v>
      </c>
      <c r="U21" s="5">
        <f>averageCompletionTimePorter(Dates!$C$12,Dates!$T$13,'Day5'!$B21)</f>
        <v>0</v>
      </c>
    </row>
    <row r="22" spans="2:21" x14ac:dyDescent="0.3">
      <c r="B22" s="8" t="s">
        <v>21</v>
      </c>
      <c r="C22" s="5">
        <f>averageCompletionTimePorter(Dates!C$12,Dates!C$13,'Day5'!$B22)</f>
        <v>0</v>
      </c>
      <c r="D22" s="5">
        <f>averageCompletionTimePorter(Dates!D$12,Dates!D$13,'Day5'!$B22)</f>
        <v>0</v>
      </c>
      <c r="E22" s="5">
        <f>averageCompletionTimePorter(Dates!E$12,Dates!E$13,'Day5'!$B22)</f>
        <v>0</v>
      </c>
      <c r="F22" s="5">
        <f>averageCompletionTimePorter(Dates!F$12,Dates!F$13,'Day5'!$B22)</f>
        <v>0</v>
      </c>
      <c r="G22" s="5">
        <f>averageCompletionTimePorter(Dates!G$12,Dates!G$13,'Day5'!$B22)</f>
        <v>0</v>
      </c>
      <c r="H22" s="5">
        <f>averageCompletionTimePorter(Dates!H$12,Dates!H$13,'Day5'!$B22)</f>
        <v>0</v>
      </c>
      <c r="I22" s="5">
        <f>averageCompletionTimePorter(Dates!I$12,Dates!I$13,'Day5'!$B22)</f>
        <v>0</v>
      </c>
      <c r="J22" s="5">
        <f>averageCompletionTimePorter(Dates!J$12,Dates!J$13,'Day5'!$B22)</f>
        <v>0</v>
      </c>
      <c r="K22" s="5">
        <f>averageCompletionTimePorter(Dates!K$12,Dates!K$13,'Day5'!$B22)</f>
        <v>0</v>
      </c>
      <c r="L22" s="5">
        <f>averageCompletionTimePorter(Dates!L$12,Dates!L$13,'Day5'!$B22)</f>
        <v>0</v>
      </c>
      <c r="M22" s="5">
        <f>averageCompletionTimePorter(Dates!M$12,Dates!M$13,'Day5'!$B22)</f>
        <v>0</v>
      </c>
      <c r="N22" s="5">
        <f>averageCompletionTimePorter(Dates!N$12,Dates!N$13,'Day5'!$B22)</f>
        <v>0</v>
      </c>
      <c r="O22" s="5">
        <f>averageCompletionTimePorter(Dates!O$12,Dates!O$13,'Day5'!$B22)</f>
        <v>0</v>
      </c>
      <c r="P22" s="5">
        <f>averageCompletionTimePorter(Dates!P$12,Dates!P$13,'Day5'!$B22)</f>
        <v>0</v>
      </c>
      <c r="Q22" s="5">
        <f>averageCompletionTimePorter(Dates!Q$12,Dates!Q$13,'Day5'!$B22)</f>
        <v>0</v>
      </c>
      <c r="R22" s="5">
        <f>averageCompletionTimePorter(Dates!R$12,Dates!R$13,'Day5'!$B22)</f>
        <v>0</v>
      </c>
      <c r="S22" s="5">
        <f>averageCompletionTimePorter(Dates!S$12,Dates!S$13,'Day5'!$B22)</f>
        <v>0</v>
      </c>
      <c r="T22" s="5">
        <f>averageCompletionTimePorter(Dates!T$12,Dates!T$13,'Day5'!$B22)</f>
        <v>0</v>
      </c>
      <c r="U22" s="5">
        <f>averageCompletionTimePorter(Dates!$C$12,Dates!$T$13,'Day5'!$B22)</f>
        <v>0</v>
      </c>
    </row>
    <row r="23" spans="2:21" x14ac:dyDescent="0.3">
      <c r="B23" s="8" t="s">
        <v>22</v>
      </c>
      <c r="C23" s="5">
        <f>averageCompletionTimePorter(Dates!C$12,Dates!C$13,'Day5'!$B23)</f>
        <v>0</v>
      </c>
      <c r="D23" s="5">
        <f>averageCompletionTimePorter(Dates!D$12,Dates!D$13,'Day5'!$B23)</f>
        <v>0</v>
      </c>
      <c r="E23" s="5">
        <f>averageCompletionTimePorter(Dates!E$12,Dates!E$13,'Day5'!$B23)</f>
        <v>0</v>
      </c>
      <c r="F23" s="5">
        <f>averageCompletionTimePorter(Dates!F$12,Dates!F$13,'Day5'!$B23)</f>
        <v>0</v>
      </c>
      <c r="G23" s="5">
        <f>averageCompletionTimePorter(Dates!G$12,Dates!G$13,'Day5'!$B23)</f>
        <v>0</v>
      </c>
      <c r="H23" s="5">
        <f>averageCompletionTimePorter(Dates!H$12,Dates!H$13,'Day5'!$B23)</f>
        <v>0</v>
      </c>
      <c r="I23" s="5">
        <f>averageCompletionTimePorter(Dates!I$12,Dates!I$13,'Day5'!$B23)</f>
        <v>0</v>
      </c>
      <c r="J23" s="5">
        <f>averageCompletionTimePorter(Dates!J$12,Dates!J$13,'Day5'!$B23)</f>
        <v>0</v>
      </c>
      <c r="K23" s="5">
        <f>averageCompletionTimePorter(Dates!K$12,Dates!K$13,'Day5'!$B23)</f>
        <v>0</v>
      </c>
      <c r="L23" s="5">
        <f>averageCompletionTimePorter(Dates!L$12,Dates!L$13,'Day5'!$B23)</f>
        <v>0</v>
      </c>
      <c r="M23" s="5">
        <f>averageCompletionTimePorter(Dates!M$12,Dates!M$13,'Day5'!$B23)</f>
        <v>0</v>
      </c>
      <c r="N23" s="5">
        <f>averageCompletionTimePorter(Dates!N$12,Dates!N$13,'Day5'!$B23)</f>
        <v>0</v>
      </c>
      <c r="O23" s="5">
        <f>averageCompletionTimePorter(Dates!O$12,Dates!O$13,'Day5'!$B23)</f>
        <v>0</v>
      </c>
      <c r="P23" s="5">
        <f>averageCompletionTimePorter(Dates!P$12,Dates!P$13,'Day5'!$B23)</f>
        <v>0</v>
      </c>
      <c r="Q23" s="5">
        <f>averageCompletionTimePorter(Dates!Q$12,Dates!Q$13,'Day5'!$B23)</f>
        <v>0</v>
      </c>
      <c r="R23" s="5">
        <f>averageCompletionTimePorter(Dates!R$12,Dates!R$13,'Day5'!$B23)</f>
        <v>0</v>
      </c>
      <c r="S23" s="5">
        <f>averageCompletionTimePorter(Dates!S$12,Dates!S$13,'Day5'!$B23)</f>
        <v>0</v>
      </c>
      <c r="T23" s="5">
        <f>averageCompletionTimePorter(Dates!T$12,Dates!T$13,'Day5'!$B23)</f>
        <v>0</v>
      </c>
      <c r="U23" s="5">
        <f>averageCompletionTimePorter(Dates!$C$12,Dates!$T$13,'Day5'!$B23)</f>
        <v>0</v>
      </c>
    </row>
    <row r="25" spans="2:21" x14ac:dyDescent="0.3">
      <c r="B25" s="7" t="s">
        <v>12</v>
      </c>
      <c r="C25" s="5">
        <f>averageResponseTime(Dates!C12,Dates!C13)</f>
        <v>0</v>
      </c>
      <c r="D25" s="5">
        <f>averageResponseTime(Dates!D12,Dates!D13)</f>
        <v>0</v>
      </c>
      <c r="E25" s="5">
        <f>averageResponseTime(Dates!E12,Dates!E13)</f>
        <v>0</v>
      </c>
      <c r="F25" s="5">
        <f>averageResponseTime(Dates!F12,Dates!F13)</f>
        <v>0</v>
      </c>
      <c r="G25" s="5">
        <f>averageResponseTime(Dates!G12,Dates!G13)</f>
        <v>0</v>
      </c>
      <c r="H25" s="5">
        <f>averageResponseTime(Dates!H12,Dates!H13)</f>
        <v>0</v>
      </c>
      <c r="I25" s="5">
        <f>averageResponseTime(Dates!I12,Dates!I13)</f>
        <v>0</v>
      </c>
      <c r="J25" s="5">
        <f>averageResponseTime(Dates!J12,Dates!J13)</f>
        <v>0</v>
      </c>
      <c r="K25" s="5">
        <f>averageResponseTime(Dates!K12,Dates!K13)</f>
        <v>0</v>
      </c>
      <c r="L25" s="5">
        <f>averageResponseTime(Dates!L12,Dates!L13)</f>
        <v>0</v>
      </c>
      <c r="M25" s="5">
        <f>averageResponseTime(Dates!M12,Dates!M13)</f>
        <v>0</v>
      </c>
      <c r="N25" s="5">
        <f>averageResponseTime(Dates!N12,Dates!N13)</f>
        <v>0</v>
      </c>
      <c r="O25" s="5">
        <f>averageResponseTime(Dates!O12,Dates!O13)</f>
        <v>0</v>
      </c>
      <c r="P25" s="5">
        <f>averageResponseTime(Dates!P12,Dates!P13)</f>
        <v>0</v>
      </c>
      <c r="Q25" s="5">
        <f>averageResponseTime(Dates!Q12,Dates!Q13)</f>
        <v>0</v>
      </c>
      <c r="R25" s="5">
        <f>averageResponseTime(Dates!R12,Dates!R13)</f>
        <v>0</v>
      </c>
      <c r="S25" s="5">
        <f>averageResponseTime(Dates!S12,Dates!S13)</f>
        <v>0</v>
      </c>
      <c r="T25" s="5">
        <f>averageResponseTime(Dates!T12,Dates!T13)</f>
        <v>0</v>
      </c>
      <c r="U25" s="5">
        <f>averageResponseTime(Dates!C12,Dates!T13)</f>
        <v>0</v>
      </c>
    </row>
    <row r="26" spans="2:21" x14ac:dyDescent="0.3">
      <c r="B26" s="7">
        <f>B3</f>
        <v>1</v>
      </c>
      <c r="C26" s="5">
        <f>averageResponseTimePorter(Dates!C$12,Dates!C$13,'Day5'!$B26)</f>
        <v>0</v>
      </c>
      <c r="D26" s="5">
        <f>averageResponseTimePorter(Dates!D$12,Dates!D$13,'Day5'!$B26)</f>
        <v>0</v>
      </c>
      <c r="E26" s="5">
        <f>averageResponseTimePorter(Dates!E$12,Dates!E$13,'Day5'!$B26)</f>
        <v>0</v>
      </c>
      <c r="F26" s="5">
        <f>averageResponseTimePorter(Dates!F$12,Dates!F$13,'Day5'!$B26)</f>
        <v>0</v>
      </c>
      <c r="G26" s="5">
        <f>averageResponseTimePorter(Dates!G$12,Dates!G$13,'Day5'!$B26)</f>
        <v>0</v>
      </c>
      <c r="H26" s="5">
        <f>averageResponseTimePorter(Dates!H$12,Dates!H$13,'Day5'!$B26)</f>
        <v>0</v>
      </c>
      <c r="I26" s="5">
        <f>averageResponseTimePorter(Dates!I$12,Dates!I$13,'Day5'!$B26)</f>
        <v>0</v>
      </c>
      <c r="J26" s="5">
        <f>averageResponseTimePorter(Dates!J$12,Dates!J$13,'Day5'!$B26)</f>
        <v>0</v>
      </c>
      <c r="K26" s="5">
        <f>averageResponseTimePorter(Dates!K$12,Dates!K$13,'Day5'!$B26)</f>
        <v>0</v>
      </c>
      <c r="L26" s="5">
        <f>averageResponseTimePorter(Dates!L$12,Dates!L$13,'Day5'!$B26)</f>
        <v>0</v>
      </c>
      <c r="M26" s="5">
        <f>averageResponseTimePorter(Dates!M$12,Dates!M$13,'Day5'!$B26)</f>
        <v>0</v>
      </c>
      <c r="N26" s="5">
        <f>averageResponseTimePorter(Dates!N$12,Dates!N$13,'Day5'!$B26)</f>
        <v>0</v>
      </c>
      <c r="O26" s="5">
        <f>averageResponseTimePorter(Dates!O$12,Dates!O$13,'Day5'!$B26)</f>
        <v>0</v>
      </c>
      <c r="P26" s="5">
        <f>averageResponseTimePorter(Dates!P$12,Dates!P$13,'Day5'!$B26)</f>
        <v>0</v>
      </c>
      <c r="Q26" s="5">
        <f>averageResponseTimePorter(Dates!Q$12,Dates!Q$13,'Day5'!$B26)</f>
        <v>0</v>
      </c>
      <c r="R26" s="5">
        <f>averageResponseTimePorter(Dates!R$12,Dates!R$13,'Day5'!$B26)</f>
        <v>0</v>
      </c>
      <c r="S26" s="5">
        <f>averageResponseTimePorter(Dates!S$12,Dates!S$13,'Day5'!$B26)</f>
        <v>0</v>
      </c>
      <c r="T26" s="5">
        <f>averageResponseTimePorter(Dates!T$12,Dates!T$13,'Day5'!$B26)</f>
        <v>0</v>
      </c>
      <c r="U26" s="5">
        <f>averageResponseTimePorter(Dates!$C$12,Dates!$T$13,'Day5'!$B3)</f>
        <v>0</v>
      </c>
    </row>
    <row r="27" spans="2:21" x14ac:dyDescent="0.3">
      <c r="B27" s="7">
        <f t="shared" ref="B27:B46" si="0">B4</f>
        <v>0</v>
      </c>
      <c r="C27" s="5">
        <f>averageResponseTimePorter(Dates!C$12,Dates!C$13,'Day5'!$B27)</f>
        <v>0</v>
      </c>
      <c r="D27" s="5">
        <f>averageResponseTimePorter(Dates!D$12,Dates!D$13,'Day5'!$B27)</f>
        <v>0</v>
      </c>
      <c r="E27" s="5">
        <f>averageResponseTimePorter(Dates!E$12,Dates!E$13,'Day5'!$B27)</f>
        <v>0</v>
      </c>
      <c r="F27" s="5">
        <f>averageResponseTimePorter(Dates!F$12,Dates!F$13,'Day5'!$B27)</f>
        <v>0</v>
      </c>
      <c r="G27" s="5">
        <f>averageResponseTimePorter(Dates!G$12,Dates!G$13,'Day5'!$B27)</f>
        <v>0</v>
      </c>
      <c r="H27" s="5">
        <f>averageResponseTimePorter(Dates!H$12,Dates!H$13,'Day5'!$B27)</f>
        <v>0</v>
      </c>
      <c r="I27" s="5">
        <f>averageResponseTimePorter(Dates!I$12,Dates!I$13,'Day5'!$B27)</f>
        <v>0</v>
      </c>
      <c r="J27" s="5">
        <f>averageResponseTimePorter(Dates!J$12,Dates!J$13,'Day5'!$B27)</f>
        <v>0</v>
      </c>
      <c r="K27" s="5">
        <f>averageResponseTimePorter(Dates!K$12,Dates!K$13,'Day5'!$B27)</f>
        <v>0</v>
      </c>
      <c r="L27" s="5">
        <f>averageResponseTimePorter(Dates!L$12,Dates!L$13,'Day5'!$B27)</f>
        <v>0</v>
      </c>
      <c r="M27" s="5">
        <f>averageResponseTimePorter(Dates!M$12,Dates!M$13,'Day5'!$B27)</f>
        <v>0</v>
      </c>
      <c r="N27" s="5">
        <f>averageResponseTimePorter(Dates!N$12,Dates!N$13,'Day5'!$B27)</f>
        <v>0</v>
      </c>
      <c r="O27" s="5">
        <f>averageResponseTimePorter(Dates!O$12,Dates!O$13,'Day5'!$B27)</f>
        <v>0</v>
      </c>
      <c r="P27" s="5">
        <f>averageResponseTimePorter(Dates!P$12,Dates!P$13,'Day5'!$B27)</f>
        <v>0</v>
      </c>
      <c r="Q27" s="5">
        <f>averageResponseTimePorter(Dates!Q$12,Dates!Q$13,'Day5'!$B27)</f>
        <v>0</v>
      </c>
      <c r="R27" s="5">
        <f>averageResponseTimePorter(Dates!R$12,Dates!R$13,'Day5'!$B27)</f>
        <v>0</v>
      </c>
      <c r="S27" s="5">
        <f>averageResponseTimePorter(Dates!S$12,Dates!S$13,'Day5'!$B27)</f>
        <v>0</v>
      </c>
      <c r="T27" s="5">
        <f>averageResponseTimePorter(Dates!T$12,Dates!T$13,'Day5'!$B27)</f>
        <v>0</v>
      </c>
      <c r="U27" s="5">
        <f>averageResponseTimePorter(Dates!$C$12,Dates!$T$13,'Day5'!$B4)</f>
        <v>0</v>
      </c>
    </row>
    <row r="28" spans="2:21" x14ac:dyDescent="0.3">
      <c r="B28" s="7">
        <f t="shared" si="0"/>
        <v>3</v>
      </c>
      <c r="C28" s="5">
        <f>averageResponseTimePorter(Dates!C$12,Dates!C$13,'Day5'!$B28)</f>
        <v>0</v>
      </c>
      <c r="D28" s="5">
        <f>averageResponseTimePorter(Dates!D$12,Dates!D$13,'Day5'!$B28)</f>
        <v>0</v>
      </c>
      <c r="E28" s="5">
        <f>averageResponseTimePorter(Dates!E$12,Dates!E$13,'Day5'!$B28)</f>
        <v>0</v>
      </c>
      <c r="F28" s="5">
        <f>averageResponseTimePorter(Dates!F$12,Dates!F$13,'Day5'!$B28)</f>
        <v>0</v>
      </c>
      <c r="G28" s="5">
        <f>averageResponseTimePorter(Dates!G$12,Dates!G$13,'Day5'!$B28)</f>
        <v>0</v>
      </c>
      <c r="H28" s="5">
        <f>averageResponseTimePorter(Dates!H$12,Dates!H$13,'Day5'!$B28)</f>
        <v>0</v>
      </c>
      <c r="I28" s="5">
        <f>averageResponseTimePorter(Dates!I$12,Dates!I$13,'Day5'!$B28)</f>
        <v>0</v>
      </c>
      <c r="J28" s="5">
        <f>averageResponseTimePorter(Dates!J$12,Dates!J$13,'Day5'!$B28)</f>
        <v>0</v>
      </c>
      <c r="K28" s="5">
        <f>averageResponseTimePorter(Dates!K$12,Dates!K$13,'Day5'!$B28)</f>
        <v>0</v>
      </c>
      <c r="L28" s="5">
        <f>averageResponseTimePorter(Dates!L$12,Dates!L$13,'Day5'!$B28)</f>
        <v>0</v>
      </c>
      <c r="M28" s="5">
        <f>averageResponseTimePorter(Dates!M$12,Dates!M$13,'Day5'!$B28)</f>
        <v>0</v>
      </c>
      <c r="N28" s="5">
        <f>averageResponseTimePorter(Dates!N$12,Dates!N$13,'Day5'!$B28)</f>
        <v>0</v>
      </c>
      <c r="O28" s="5">
        <f>averageResponseTimePorter(Dates!O$12,Dates!O$13,'Day5'!$B28)</f>
        <v>0</v>
      </c>
      <c r="P28" s="5">
        <f>averageResponseTimePorter(Dates!P$12,Dates!P$13,'Day5'!$B28)</f>
        <v>0</v>
      </c>
      <c r="Q28" s="5">
        <f>averageResponseTimePorter(Dates!Q$12,Dates!Q$13,'Day5'!$B28)</f>
        <v>0</v>
      </c>
      <c r="R28" s="5">
        <f>averageResponseTimePorter(Dates!R$12,Dates!R$13,'Day5'!$B28)</f>
        <v>0</v>
      </c>
      <c r="S28" s="5">
        <f>averageResponseTimePorter(Dates!S$12,Dates!S$13,'Day5'!$B28)</f>
        <v>0</v>
      </c>
      <c r="T28" s="5">
        <f>averageResponseTimePorter(Dates!T$12,Dates!T$13,'Day5'!$B28)</f>
        <v>0</v>
      </c>
      <c r="U28" s="5">
        <f>averageResponseTimePorter(Dates!$C$12,Dates!$T$13,'Day5'!$B5)</f>
        <v>0</v>
      </c>
    </row>
    <row r="29" spans="2:21" x14ac:dyDescent="0.3">
      <c r="B29" s="7">
        <f t="shared" si="0"/>
        <v>2</v>
      </c>
      <c r="C29" s="5">
        <f>averageResponseTimePorter(Dates!C$12,Dates!C$13,'Day5'!$B29)</f>
        <v>0</v>
      </c>
      <c r="D29" s="5">
        <f>averageResponseTimePorter(Dates!D$12,Dates!D$13,'Day5'!$B29)</f>
        <v>0</v>
      </c>
      <c r="E29" s="5">
        <f>averageResponseTimePorter(Dates!E$12,Dates!E$13,'Day5'!$B29)</f>
        <v>0</v>
      </c>
      <c r="F29" s="5">
        <f>averageResponseTimePorter(Dates!F$12,Dates!F$13,'Day5'!$B29)</f>
        <v>0</v>
      </c>
      <c r="G29" s="5">
        <f>averageResponseTimePorter(Dates!G$12,Dates!G$13,'Day5'!$B29)</f>
        <v>0</v>
      </c>
      <c r="H29" s="5">
        <f>averageResponseTimePorter(Dates!H$12,Dates!H$13,'Day5'!$B29)</f>
        <v>0</v>
      </c>
      <c r="I29" s="5">
        <f>averageResponseTimePorter(Dates!I$12,Dates!I$13,'Day5'!$B29)</f>
        <v>0</v>
      </c>
      <c r="J29" s="5">
        <f>averageResponseTimePorter(Dates!J$12,Dates!J$13,'Day5'!$B29)</f>
        <v>0</v>
      </c>
      <c r="K29" s="5">
        <f>averageResponseTimePorter(Dates!K$12,Dates!K$13,'Day5'!$B29)</f>
        <v>0</v>
      </c>
      <c r="L29" s="5">
        <f>averageResponseTimePorter(Dates!L$12,Dates!L$13,'Day5'!$B29)</f>
        <v>0</v>
      </c>
      <c r="M29" s="5">
        <f>averageResponseTimePorter(Dates!M$12,Dates!M$13,'Day5'!$B29)</f>
        <v>0</v>
      </c>
      <c r="N29" s="5">
        <f>averageResponseTimePorter(Dates!N$12,Dates!N$13,'Day5'!$B29)</f>
        <v>0</v>
      </c>
      <c r="O29" s="5">
        <f>averageResponseTimePorter(Dates!O$12,Dates!O$13,'Day5'!$B29)</f>
        <v>0</v>
      </c>
      <c r="P29" s="5">
        <f>averageResponseTimePorter(Dates!P$12,Dates!P$13,'Day5'!$B29)</f>
        <v>0</v>
      </c>
      <c r="Q29" s="5">
        <f>averageResponseTimePorter(Dates!Q$12,Dates!Q$13,'Day5'!$B29)</f>
        <v>0</v>
      </c>
      <c r="R29" s="5">
        <f>averageResponseTimePorter(Dates!R$12,Dates!R$13,'Day5'!$B29)</f>
        <v>0</v>
      </c>
      <c r="S29" s="5">
        <f>averageResponseTimePorter(Dates!S$12,Dates!S$13,'Day5'!$B29)</f>
        <v>0</v>
      </c>
      <c r="T29" s="5">
        <f>averageResponseTimePorter(Dates!T$12,Dates!T$13,'Day5'!$B29)</f>
        <v>0</v>
      </c>
      <c r="U29" s="5">
        <f>averageResponseTimePorter(Dates!$C$12,Dates!$T$13,'Day5'!$B6)</f>
        <v>0</v>
      </c>
    </row>
    <row r="30" spans="2:21" x14ac:dyDescent="0.3">
      <c r="B30" s="7">
        <f t="shared" si="0"/>
        <v>5</v>
      </c>
      <c r="C30" s="5">
        <f>averageResponseTimePorter(Dates!C$12,Dates!C$13,'Day5'!$B30)</f>
        <v>0</v>
      </c>
      <c r="D30" s="5">
        <f>averageResponseTimePorter(Dates!D$12,Dates!D$13,'Day5'!$B30)</f>
        <v>0</v>
      </c>
      <c r="E30" s="5">
        <f>averageResponseTimePorter(Dates!E$12,Dates!E$13,'Day5'!$B30)</f>
        <v>0</v>
      </c>
      <c r="F30" s="5">
        <f>averageResponseTimePorter(Dates!F$12,Dates!F$13,'Day5'!$B30)</f>
        <v>0</v>
      </c>
      <c r="G30" s="5">
        <f>averageResponseTimePorter(Dates!G$12,Dates!G$13,'Day5'!$B30)</f>
        <v>0</v>
      </c>
      <c r="H30" s="5">
        <f>averageResponseTimePorter(Dates!H$12,Dates!H$13,'Day5'!$B30)</f>
        <v>0</v>
      </c>
      <c r="I30" s="5">
        <f>averageResponseTimePorter(Dates!I$12,Dates!I$13,'Day5'!$B30)</f>
        <v>0</v>
      </c>
      <c r="J30" s="5">
        <f>averageResponseTimePorter(Dates!J$12,Dates!J$13,'Day5'!$B30)</f>
        <v>0</v>
      </c>
      <c r="K30" s="5">
        <f>averageResponseTimePorter(Dates!K$12,Dates!K$13,'Day5'!$B30)</f>
        <v>0</v>
      </c>
      <c r="L30" s="5">
        <f>averageResponseTimePorter(Dates!L$12,Dates!L$13,'Day5'!$B30)</f>
        <v>0</v>
      </c>
      <c r="M30" s="5">
        <f>averageResponseTimePorter(Dates!M$12,Dates!M$13,'Day5'!$B30)</f>
        <v>0</v>
      </c>
      <c r="N30" s="5">
        <f>averageResponseTimePorter(Dates!N$12,Dates!N$13,'Day5'!$B30)</f>
        <v>0</v>
      </c>
      <c r="O30" s="5">
        <f>averageResponseTimePorter(Dates!O$12,Dates!O$13,'Day5'!$B30)</f>
        <v>0</v>
      </c>
      <c r="P30" s="5">
        <f>averageResponseTimePorter(Dates!P$12,Dates!P$13,'Day5'!$B30)</f>
        <v>0</v>
      </c>
      <c r="Q30" s="5">
        <f>averageResponseTimePorter(Dates!Q$12,Dates!Q$13,'Day5'!$B30)</f>
        <v>0</v>
      </c>
      <c r="R30" s="5">
        <f>averageResponseTimePorter(Dates!R$12,Dates!R$13,'Day5'!$B30)</f>
        <v>0</v>
      </c>
      <c r="S30" s="5">
        <f>averageResponseTimePorter(Dates!S$12,Dates!S$13,'Day5'!$B30)</f>
        <v>0</v>
      </c>
      <c r="T30" s="5">
        <f>averageResponseTimePorter(Dates!T$12,Dates!T$13,'Day5'!$B30)</f>
        <v>0</v>
      </c>
      <c r="U30" s="5">
        <f>averageResponseTimePorter(Dates!$C$12,Dates!$T$13,'Day5'!$B7)</f>
        <v>0</v>
      </c>
    </row>
    <row r="31" spans="2:21" x14ac:dyDescent="0.3">
      <c r="B31" s="7">
        <f t="shared" si="0"/>
        <v>4</v>
      </c>
      <c r="C31" s="5">
        <f>averageResponseTimePorter(Dates!C$12,Dates!C$13,'Day5'!$B31)</f>
        <v>0</v>
      </c>
      <c r="D31" s="5">
        <f>averageResponseTimePorter(Dates!D$12,Dates!D$13,'Day5'!$B31)</f>
        <v>0</v>
      </c>
      <c r="E31" s="5">
        <f>averageResponseTimePorter(Dates!E$12,Dates!E$13,'Day5'!$B31)</f>
        <v>0</v>
      </c>
      <c r="F31" s="5">
        <f>averageResponseTimePorter(Dates!F$12,Dates!F$13,'Day5'!$B31)</f>
        <v>0</v>
      </c>
      <c r="G31" s="5">
        <f>averageResponseTimePorter(Dates!G$12,Dates!G$13,'Day5'!$B31)</f>
        <v>0</v>
      </c>
      <c r="H31" s="5">
        <f>averageResponseTimePorter(Dates!H$12,Dates!H$13,'Day5'!$B31)</f>
        <v>0</v>
      </c>
      <c r="I31" s="5">
        <f>averageResponseTimePorter(Dates!I$12,Dates!I$13,'Day5'!$B31)</f>
        <v>0</v>
      </c>
      <c r="J31" s="5">
        <f>averageResponseTimePorter(Dates!J$12,Dates!J$13,'Day5'!$B31)</f>
        <v>0</v>
      </c>
      <c r="K31" s="5">
        <f>averageResponseTimePorter(Dates!K$12,Dates!K$13,'Day5'!$B31)</f>
        <v>0</v>
      </c>
      <c r="L31" s="5">
        <f>averageResponseTimePorter(Dates!L$12,Dates!L$13,'Day5'!$B31)</f>
        <v>0</v>
      </c>
      <c r="M31" s="5">
        <f>averageResponseTimePorter(Dates!M$12,Dates!M$13,'Day5'!$B31)</f>
        <v>0</v>
      </c>
      <c r="N31" s="5">
        <f>averageResponseTimePorter(Dates!N$12,Dates!N$13,'Day5'!$B31)</f>
        <v>0</v>
      </c>
      <c r="O31" s="5">
        <f>averageResponseTimePorter(Dates!O$12,Dates!O$13,'Day5'!$B31)</f>
        <v>0</v>
      </c>
      <c r="P31" s="5">
        <f>averageResponseTimePorter(Dates!P$12,Dates!P$13,'Day5'!$B31)</f>
        <v>0</v>
      </c>
      <c r="Q31" s="5">
        <f>averageResponseTimePorter(Dates!Q$12,Dates!Q$13,'Day5'!$B31)</f>
        <v>0</v>
      </c>
      <c r="R31" s="5">
        <f>averageResponseTimePorter(Dates!R$12,Dates!R$13,'Day5'!$B31)</f>
        <v>0</v>
      </c>
      <c r="S31" s="5">
        <f>averageResponseTimePorter(Dates!S$12,Dates!S$13,'Day5'!$B31)</f>
        <v>0</v>
      </c>
      <c r="T31" s="5">
        <f>averageResponseTimePorter(Dates!T$12,Dates!T$13,'Day5'!$B31)</f>
        <v>0</v>
      </c>
      <c r="U31" s="5">
        <f>averageResponseTimePorter(Dates!$C$12,Dates!$T$13,'Day5'!$B8)</f>
        <v>0</v>
      </c>
    </row>
    <row r="32" spans="2:21" x14ac:dyDescent="0.3">
      <c r="B32" s="7">
        <f t="shared" si="0"/>
        <v>6</v>
      </c>
      <c r="C32" s="5">
        <f>averageResponseTimePorter(Dates!C$12,Dates!C$13,'Day5'!$B32)</f>
        <v>0</v>
      </c>
      <c r="D32" s="5">
        <f>averageResponseTimePorter(Dates!D$12,Dates!D$13,'Day5'!$B32)</f>
        <v>0</v>
      </c>
      <c r="E32" s="5">
        <f>averageResponseTimePorter(Dates!E$12,Dates!E$13,'Day5'!$B32)</f>
        <v>0</v>
      </c>
      <c r="F32" s="5">
        <f>averageResponseTimePorter(Dates!F$12,Dates!F$13,'Day5'!$B32)</f>
        <v>0</v>
      </c>
      <c r="G32" s="5">
        <f>averageResponseTimePorter(Dates!G$12,Dates!G$13,'Day5'!$B32)</f>
        <v>0</v>
      </c>
      <c r="H32" s="5">
        <f>averageResponseTimePorter(Dates!H$12,Dates!H$13,'Day5'!$B32)</f>
        <v>0</v>
      </c>
      <c r="I32" s="5">
        <f>averageResponseTimePorter(Dates!I$12,Dates!I$13,'Day5'!$B32)</f>
        <v>0</v>
      </c>
      <c r="J32" s="5">
        <f>averageResponseTimePorter(Dates!J$12,Dates!J$13,'Day5'!$B32)</f>
        <v>0</v>
      </c>
      <c r="K32" s="5">
        <f>averageResponseTimePorter(Dates!K$12,Dates!K$13,'Day5'!$B32)</f>
        <v>0</v>
      </c>
      <c r="L32" s="5">
        <f>averageResponseTimePorter(Dates!L$12,Dates!L$13,'Day5'!$B32)</f>
        <v>0</v>
      </c>
      <c r="M32" s="5">
        <f>averageResponseTimePorter(Dates!M$12,Dates!M$13,'Day5'!$B32)</f>
        <v>0</v>
      </c>
      <c r="N32" s="5">
        <f>averageResponseTimePorter(Dates!N$12,Dates!N$13,'Day5'!$B32)</f>
        <v>0</v>
      </c>
      <c r="O32" s="5">
        <f>averageResponseTimePorter(Dates!O$12,Dates!O$13,'Day5'!$B32)</f>
        <v>0</v>
      </c>
      <c r="P32" s="5">
        <f>averageResponseTimePorter(Dates!P$12,Dates!P$13,'Day5'!$B32)</f>
        <v>0</v>
      </c>
      <c r="Q32" s="5">
        <f>averageResponseTimePorter(Dates!Q$12,Dates!Q$13,'Day5'!$B32)</f>
        <v>0</v>
      </c>
      <c r="R32" s="5">
        <f>averageResponseTimePorter(Dates!R$12,Dates!R$13,'Day5'!$B32)</f>
        <v>0</v>
      </c>
      <c r="S32" s="5">
        <f>averageResponseTimePorter(Dates!S$12,Dates!S$13,'Day5'!$B32)</f>
        <v>0</v>
      </c>
      <c r="T32" s="5">
        <f>averageResponseTimePorter(Dates!T$12,Dates!T$13,'Day5'!$B32)</f>
        <v>0</v>
      </c>
      <c r="U32" s="5">
        <f>averageResponseTimePorter(Dates!$C$12,Dates!$T$13,'Day5'!$B9)</f>
        <v>0</v>
      </c>
    </row>
    <row r="33" spans="2:21" x14ac:dyDescent="0.3">
      <c r="B33" s="7" t="str">
        <f t="shared" si="0"/>
        <v>NA10</v>
      </c>
      <c r="C33" s="5">
        <f>averageResponseTimePorter(Dates!C$12,Dates!C$13,'Day5'!$B33)</f>
        <v>0</v>
      </c>
      <c r="D33" s="5">
        <f>averageResponseTimePorter(Dates!D$12,Dates!D$13,'Day5'!$B33)</f>
        <v>0</v>
      </c>
      <c r="E33" s="5">
        <f>averageResponseTimePorter(Dates!E$12,Dates!E$13,'Day5'!$B33)</f>
        <v>0</v>
      </c>
      <c r="F33" s="5">
        <f>averageResponseTimePorter(Dates!F$12,Dates!F$13,'Day5'!$B33)</f>
        <v>0</v>
      </c>
      <c r="G33" s="5">
        <f>averageResponseTimePorter(Dates!G$12,Dates!G$13,'Day5'!$B33)</f>
        <v>0</v>
      </c>
      <c r="H33" s="5">
        <f>averageResponseTimePorter(Dates!H$12,Dates!H$13,'Day5'!$B33)</f>
        <v>0</v>
      </c>
      <c r="I33" s="5">
        <f>averageResponseTimePorter(Dates!I$12,Dates!I$13,'Day5'!$B33)</f>
        <v>0</v>
      </c>
      <c r="J33" s="5">
        <f>averageResponseTimePorter(Dates!J$12,Dates!J$13,'Day5'!$B33)</f>
        <v>0</v>
      </c>
      <c r="K33" s="5">
        <f>averageResponseTimePorter(Dates!K$12,Dates!K$13,'Day5'!$B33)</f>
        <v>0</v>
      </c>
      <c r="L33" s="5">
        <f>averageResponseTimePorter(Dates!L$12,Dates!L$13,'Day5'!$B33)</f>
        <v>0</v>
      </c>
      <c r="M33" s="5">
        <f>averageResponseTimePorter(Dates!M$12,Dates!M$13,'Day5'!$B33)</f>
        <v>0</v>
      </c>
      <c r="N33" s="5">
        <f>averageResponseTimePorter(Dates!N$12,Dates!N$13,'Day5'!$B33)</f>
        <v>0</v>
      </c>
      <c r="O33" s="5">
        <f>averageResponseTimePorter(Dates!O$12,Dates!O$13,'Day5'!$B33)</f>
        <v>0</v>
      </c>
      <c r="P33" s="5">
        <f>averageResponseTimePorter(Dates!P$12,Dates!P$13,'Day5'!$B33)</f>
        <v>0</v>
      </c>
      <c r="Q33" s="5">
        <f>averageResponseTimePorter(Dates!Q$12,Dates!Q$13,'Day5'!$B33)</f>
        <v>0</v>
      </c>
      <c r="R33" s="5">
        <f>averageResponseTimePorter(Dates!R$12,Dates!R$13,'Day5'!$B33)</f>
        <v>0</v>
      </c>
      <c r="S33" s="5">
        <f>averageResponseTimePorter(Dates!S$12,Dates!S$13,'Day5'!$B33)</f>
        <v>0</v>
      </c>
      <c r="T33" s="5">
        <f>averageResponseTimePorter(Dates!T$12,Dates!T$13,'Day5'!$B33)</f>
        <v>0</v>
      </c>
      <c r="U33" s="5">
        <f>averageResponseTimePorter(Dates!$C$12,Dates!$T$13,'Day5'!$B10)</f>
        <v>0</v>
      </c>
    </row>
    <row r="34" spans="2:21" x14ac:dyDescent="0.3">
      <c r="B34" s="7" t="str">
        <f t="shared" si="0"/>
        <v>NA11</v>
      </c>
      <c r="C34" s="5">
        <f>averageResponseTimePorter(Dates!C$12,Dates!C$13,'Day5'!$B34)</f>
        <v>0</v>
      </c>
      <c r="D34" s="5">
        <f>averageResponseTimePorter(Dates!D$12,Dates!D$13,'Day5'!$B34)</f>
        <v>0</v>
      </c>
      <c r="E34" s="5">
        <f>averageResponseTimePorter(Dates!E$12,Dates!E$13,'Day5'!$B34)</f>
        <v>0</v>
      </c>
      <c r="F34" s="5">
        <f>averageResponseTimePorter(Dates!F$12,Dates!F$13,'Day5'!$B34)</f>
        <v>0</v>
      </c>
      <c r="G34" s="5">
        <f>averageResponseTimePorter(Dates!G$12,Dates!G$13,'Day5'!$B34)</f>
        <v>0</v>
      </c>
      <c r="H34" s="5">
        <f>averageResponseTimePorter(Dates!H$12,Dates!H$13,'Day5'!$B34)</f>
        <v>0</v>
      </c>
      <c r="I34" s="5">
        <f>averageResponseTimePorter(Dates!I$12,Dates!I$13,'Day5'!$B34)</f>
        <v>0</v>
      </c>
      <c r="J34" s="5">
        <f>averageResponseTimePorter(Dates!J$12,Dates!J$13,'Day5'!$B34)</f>
        <v>0</v>
      </c>
      <c r="K34" s="5">
        <f>averageResponseTimePorter(Dates!K$12,Dates!K$13,'Day5'!$B34)</f>
        <v>0</v>
      </c>
      <c r="L34" s="5">
        <f>averageResponseTimePorter(Dates!L$12,Dates!L$13,'Day5'!$B34)</f>
        <v>0</v>
      </c>
      <c r="M34" s="5">
        <f>averageResponseTimePorter(Dates!M$12,Dates!M$13,'Day5'!$B34)</f>
        <v>0</v>
      </c>
      <c r="N34" s="5">
        <f>averageResponseTimePorter(Dates!N$12,Dates!N$13,'Day5'!$B34)</f>
        <v>0</v>
      </c>
      <c r="O34" s="5">
        <f>averageResponseTimePorter(Dates!O$12,Dates!O$13,'Day5'!$B34)</f>
        <v>0</v>
      </c>
      <c r="P34" s="5">
        <f>averageResponseTimePorter(Dates!P$12,Dates!P$13,'Day5'!$B34)</f>
        <v>0</v>
      </c>
      <c r="Q34" s="5">
        <f>averageResponseTimePorter(Dates!Q$12,Dates!Q$13,'Day5'!$B34)</f>
        <v>0</v>
      </c>
      <c r="R34" s="5">
        <f>averageResponseTimePorter(Dates!R$12,Dates!R$13,'Day5'!$B34)</f>
        <v>0</v>
      </c>
      <c r="S34" s="5">
        <f>averageResponseTimePorter(Dates!S$12,Dates!S$13,'Day5'!$B34)</f>
        <v>0</v>
      </c>
      <c r="T34" s="5">
        <f>averageResponseTimePorter(Dates!T$12,Dates!T$13,'Day5'!$B34)</f>
        <v>0</v>
      </c>
      <c r="U34" s="5">
        <f>averageResponseTimePorter(Dates!$C$12,Dates!$T$13,'Day5'!$B11)</f>
        <v>0</v>
      </c>
    </row>
    <row r="35" spans="2:21" x14ac:dyDescent="0.3">
      <c r="B35" s="7" t="str">
        <f t="shared" si="0"/>
        <v>NA12</v>
      </c>
      <c r="C35" s="5">
        <f>averageResponseTimePorter(Dates!C$12,Dates!C$13,'Day5'!$B35)</f>
        <v>0</v>
      </c>
      <c r="D35" s="5">
        <f>averageResponseTimePorter(Dates!D$12,Dates!D$13,'Day5'!$B35)</f>
        <v>0</v>
      </c>
      <c r="E35" s="5">
        <f>averageResponseTimePorter(Dates!E$12,Dates!E$13,'Day5'!$B35)</f>
        <v>0</v>
      </c>
      <c r="F35" s="5">
        <f>averageResponseTimePorter(Dates!F$12,Dates!F$13,'Day5'!$B35)</f>
        <v>0</v>
      </c>
      <c r="G35" s="5">
        <f>averageResponseTimePorter(Dates!G$12,Dates!G$13,'Day5'!$B35)</f>
        <v>0</v>
      </c>
      <c r="H35" s="5">
        <f>averageResponseTimePorter(Dates!H$12,Dates!H$13,'Day5'!$B35)</f>
        <v>0</v>
      </c>
      <c r="I35" s="5">
        <f>averageResponseTimePorter(Dates!I$12,Dates!I$13,'Day5'!$B35)</f>
        <v>0</v>
      </c>
      <c r="J35" s="5">
        <f>averageResponseTimePorter(Dates!J$12,Dates!J$13,'Day5'!$B35)</f>
        <v>0</v>
      </c>
      <c r="K35" s="5">
        <f>averageResponseTimePorter(Dates!K$12,Dates!K$13,'Day5'!$B35)</f>
        <v>0</v>
      </c>
      <c r="L35" s="5">
        <f>averageResponseTimePorter(Dates!L$12,Dates!L$13,'Day5'!$B35)</f>
        <v>0</v>
      </c>
      <c r="M35" s="5">
        <f>averageResponseTimePorter(Dates!M$12,Dates!M$13,'Day5'!$B35)</f>
        <v>0</v>
      </c>
      <c r="N35" s="5">
        <f>averageResponseTimePorter(Dates!N$12,Dates!N$13,'Day5'!$B35)</f>
        <v>0</v>
      </c>
      <c r="O35" s="5">
        <f>averageResponseTimePorter(Dates!O$12,Dates!O$13,'Day5'!$B35)</f>
        <v>0</v>
      </c>
      <c r="P35" s="5">
        <f>averageResponseTimePorter(Dates!P$12,Dates!P$13,'Day5'!$B35)</f>
        <v>0</v>
      </c>
      <c r="Q35" s="5">
        <f>averageResponseTimePorter(Dates!Q$12,Dates!Q$13,'Day5'!$B35)</f>
        <v>0</v>
      </c>
      <c r="R35" s="5">
        <f>averageResponseTimePorter(Dates!R$12,Dates!R$13,'Day5'!$B35)</f>
        <v>0</v>
      </c>
      <c r="S35" s="5">
        <f>averageResponseTimePorter(Dates!S$12,Dates!S$13,'Day5'!$B35)</f>
        <v>0</v>
      </c>
      <c r="T35" s="5">
        <f>averageResponseTimePorter(Dates!T$12,Dates!T$13,'Day5'!$B35)</f>
        <v>0</v>
      </c>
      <c r="U35" s="5">
        <f>averageResponseTimePorter(Dates!$C$12,Dates!$T$13,'Day5'!$B12)</f>
        <v>0</v>
      </c>
    </row>
    <row r="36" spans="2:21" x14ac:dyDescent="0.3">
      <c r="B36" s="7" t="str">
        <f t="shared" si="0"/>
        <v>NA13</v>
      </c>
      <c r="C36" s="5">
        <f>averageResponseTimePorter(Dates!C$12,Dates!C$13,'Day5'!$B36)</f>
        <v>0</v>
      </c>
      <c r="D36" s="5">
        <f>averageResponseTimePorter(Dates!D$12,Dates!D$13,'Day5'!$B36)</f>
        <v>0</v>
      </c>
      <c r="E36" s="5">
        <f>averageResponseTimePorter(Dates!E$12,Dates!E$13,'Day5'!$B36)</f>
        <v>0</v>
      </c>
      <c r="F36" s="5">
        <f>averageResponseTimePorter(Dates!F$12,Dates!F$13,'Day5'!$B36)</f>
        <v>0</v>
      </c>
      <c r="G36" s="5">
        <f>averageResponseTimePorter(Dates!G$12,Dates!G$13,'Day5'!$B36)</f>
        <v>0</v>
      </c>
      <c r="H36" s="5">
        <f>averageResponseTimePorter(Dates!H$12,Dates!H$13,'Day5'!$B36)</f>
        <v>0</v>
      </c>
      <c r="I36" s="5">
        <f>averageResponseTimePorter(Dates!I$12,Dates!I$13,'Day5'!$B36)</f>
        <v>0</v>
      </c>
      <c r="J36" s="5">
        <f>averageResponseTimePorter(Dates!J$12,Dates!J$13,'Day5'!$B36)</f>
        <v>0</v>
      </c>
      <c r="K36" s="5">
        <f>averageResponseTimePorter(Dates!K$12,Dates!K$13,'Day5'!$B36)</f>
        <v>0</v>
      </c>
      <c r="L36" s="5">
        <f>averageResponseTimePorter(Dates!L$12,Dates!L$13,'Day5'!$B36)</f>
        <v>0</v>
      </c>
      <c r="M36" s="5">
        <f>averageResponseTimePorter(Dates!M$12,Dates!M$13,'Day5'!$B36)</f>
        <v>0</v>
      </c>
      <c r="N36" s="5">
        <f>averageResponseTimePorter(Dates!N$12,Dates!N$13,'Day5'!$B36)</f>
        <v>0</v>
      </c>
      <c r="O36" s="5">
        <f>averageResponseTimePorter(Dates!O$12,Dates!O$13,'Day5'!$B36)</f>
        <v>0</v>
      </c>
      <c r="P36" s="5">
        <f>averageResponseTimePorter(Dates!P$12,Dates!P$13,'Day5'!$B36)</f>
        <v>0</v>
      </c>
      <c r="Q36" s="5">
        <f>averageResponseTimePorter(Dates!Q$12,Dates!Q$13,'Day5'!$B36)</f>
        <v>0</v>
      </c>
      <c r="R36" s="5">
        <f>averageResponseTimePorter(Dates!R$12,Dates!R$13,'Day5'!$B36)</f>
        <v>0</v>
      </c>
      <c r="S36" s="5">
        <f>averageResponseTimePorter(Dates!S$12,Dates!S$13,'Day5'!$B36)</f>
        <v>0</v>
      </c>
      <c r="T36" s="5">
        <f>averageResponseTimePorter(Dates!T$12,Dates!T$13,'Day5'!$B36)</f>
        <v>0</v>
      </c>
      <c r="U36" s="5">
        <f>averageResponseTimePorter(Dates!$C$12,Dates!$T$13,'Day5'!$B13)</f>
        <v>0</v>
      </c>
    </row>
    <row r="37" spans="2:21" x14ac:dyDescent="0.3">
      <c r="B37" s="7" t="str">
        <f t="shared" si="0"/>
        <v>NA14</v>
      </c>
      <c r="C37" s="5">
        <f>averageResponseTimePorter(Dates!C$12,Dates!C$13,'Day5'!$B37)</f>
        <v>0</v>
      </c>
      <c r="D37" s="5">
        <f>averageResponseTimePorter(Dates!D$12,Dates!D$13,'Day5'!$B37)</f>
        <v>0</v>
      </c>
      <c r="E37" s="5">
        <f>averageResponseTimePorter(Dates!E$12,Dates!E$13,'Day5'!$B37)</f>
        <v>0</v>
      </c>
      <c r="F37" s="5">
        <f>averageResponseTimePorter(Dates!F$12,Dates!F$13,'Day5'!$B37)</f>
        <v>0</v>
      </c>
      <c r="G37" s="5">
        <f>averageResponseTimePorter(Dates!G$12,Dates!G$13,'Day5'!$B37)</f>
        <v>0</v>
      </c>
      <c r="H37" s="5">
        <f>averageResponseTimePorter(Dates!H$12,Dates!H$13,'Day5'!$B37)</f>
        <v>0</v>
      </c>
      <c r="I37" s="5">
        <f>averageResponseTimePorter(Dates!I$12,Dates!I$13,'Day5'!$B37)</f>
        <v>0</v>
      </c>
      <c r="J37" s="5">
        <f>averageResponseTimePorter(Dates!J$12,Dates!J$13,'Day5'!$B37)</f>
        <v>0</v>
      </c>
      <c r="K37" s="5">
        <f>averageResponseTimePorter(Dates!K$12,Dates!K$13,'Day5'!$B37)</f>
        <v>0</v>
      </c>
      <c r="L37" s="5">
        <f>averageResponseTimePorter(Dates!L$12,Dates!L$13,'Day5'!$B37)</f>
        <v>0</v>
      </c>
      <c r="M37" s="5">
        <f>averageResponseTimePorter(Dates!M$12,Dates!M$13,'Day5'!$B37)</f>
        <v>0</v>
      </c>
      <c r="N37" s="5">
        <f>averageResponseTimePorter(Dates!N$12,Dates!N$13,'Day5'!$B37)</f>
        <v>0</v>
      </c>
      <c r="O37" s="5">
        <f>averageResponseTimePorter(Dates!O$12,Dates!O$13,'Day5'!$B37)</f>
        <v>0</v>
      </c>
      <c r="P37" s="5">
        <f>averageResponseTimePorter(Dates!P$12,Dates!P$13,'Day5'!$B37)</f>
        <v>0</v>
      </c>
      <c r="Q37" s="5">
        <f>averageResponseTimePorter(Dates!Q$12,Dates!Q$13,'Day5'!$B37)</f>
        <v>0</v>
      </c>
      <c r="R37" s="5">
        <f>averageResponseTimePorter(Dates!R$12,Dates!R$13,'Day5'!$B37)</f>
        <v>0</v>
      </c>
      <c r="S37" s="5">
        <f>averageResponseTimePorter(Dates!S$12,Dates!S$13,'Day5'!$B37)</f>
        <v>0</v>
      </c>
      <c r="T37" s="5">
        <f>averageResponseTimePorter(Dates!T$12,Dates!T$13,'Day5'!$B37)</f>
        <v>0</v>
      </c>
      <c r="U37" s="5">
        <f>averageResponseTimePorter(Dates!$C$12,Dates!$T$13,'Day5'!$B14)</f>
        <v>0</v>
      </c>
    </row>
    <row r="38" spans="2:21" x14ac:dyDescent="0.3">
      <c r="B38" s="7" t="str">
        <f t="shared" si="0"/>
        <v>NA15</v>
      </c>
      <c r="C38" s="5">
        <f>averageResponseTimePorter(Dates!C$12,Dates!C$13,'Day5'!$B38)</f>
        <v>0</v>
      </c>
      <c r="D38" s="5">
        <f>averageResponseTimePorter(Dates!D$12,Dates!D$13,'Day5'!$B38)</f>
        <v>0</v>
      </c>
      <c r="E38" s="5">
        <f>averageResponseTimePorter(Dates!E$12,Dates!E$13,'Day5'!$B38)</f>
        <v>0</v>
      </c>
      <c r="F38" s="5">
        <f>averageResponseTimePorter(Dates!F$12,Dates!F$13,'Day5'!$B38)</f>
        <v>0</v>
      </c>
      <c r="G38" s="5">
        <f>averageResponseTimePorter(Dates!G$12,Dates!G$13,'Day5'!$B38)</f>
        <v>0</v>
      </c>
      <c r="H38" s="5">
        <f>averageResponseTimePorter(Dates!H$12,Dates!H$13,'Day5'!$B38)</f>
        <v>0</v>
      </c>
      <c r="I38" s="5">
        <f>averageResponseTimePorter(Dates!I$12,Dates!I$13,'Day5'!$B38)</f>
        <v>0</v>
      </c>
      <c r="J38" s="5">
        <f>averageResponseTimePorter(Dates!J$12,Dates!J$13,'Day5'!$B38)</f>
        <v>0</v>
      </c>
      <c r="K38" s="5">
        <f>averageResponseTimePorter(Dates!K$12,Dates!K$13,'Day5'!$B38)</f>
        <v>0</v>
      </c>
      <c r="L38" s="5">
        <f>averageResponseTimePorter(Dates!L$12,Dates!L$13,'Day5'!$B38)</f>
        <v>0</v>
      </c>
      <c r="M38" s="5">
        <f>averageResponseTimePorter(Dates!M$12,Dates!M$13,'Day5'!$B38)</f>
        <v>0</v>
      </c>
      <c r="N38" s="5">
        <f>averageResponseTimePorter(Dates!N$12,Dates!N$13,'Day5'!$B38)</f>
        <v>0</v>
      </c>
      <c r="O38" s="5">
        <f>averageResponseTimePorter(Dates!O$12,Dates!O$13,'Day5'!$B38)</f>
        <v>0</v>
      </c>
      <c r="P38" s="5">
        <f>averageResponseTimePorter(Dates!P$12,Dates!P$13,'Day5'!$B38)</f>
        <v>0</v>
      </c>
      <c r="Q38" s="5">
        <f>averageResponseTimePorter(Dates!Q$12,Dates!Q$13,'Day5'!$B38)</f>
        <v>0</v>
      </c>
      <c r="R38" s="5">
        <f>averageResponseTimePorter(Dates!R$12,Dates!R$13,'Day5'!$B38)</f>
        <v>0</v>
      </c>
      <c r="S38" s="5">
        <f>averageResponseTimePorter(Dates!S$12,Dates!S$13,'Day5'!$B38)</f>
        <v>0</v>
      </c>
      <c r="T38" s="5">
        <f>averageResponseTimePorter(Dates!T$12,Dates!T$13,'Day5'!$B38)</f>
        <v>0</v>
      </c>
      <c r="U38" s="5">
        <f>averageResponseTimePorter(Dates!$C$12,Dates!$T$13,'Day5'!$B15)</f>
        <v>0</v>
      </c>
    </row>
    <row r="39" spans="2:21" x14ac:dyDescent="0.3">
      <c r="B39" s="7" t="str">
        <f t="shared" si="0"/>
        <v>NA16</v>
      </c>
      <c r="C39" s="5">
        <f>averageResponseTimePorter(Dates!C$12,Dates!C$13,'Day5'!$B39)</f>
        <v>0</v>
      </c>
      <c r="D39" s="5">
        <f>averageResponseTimePorter(Dates!D$12,Dates!D$13,'Day5'!$B39)</f>
        <v>0</v>
      </c>
      <c r="E39" s="5">
        <f>averageResponseTimePorter(Dates!E$12,Dates!E$13,'Day5'!$B39)</f>
        <v>0</v>
      </c>
      <c r="F39" s="5">
        <f>averageResponseTimePorter(Dates!F$12,Dates!F$13,'Day5'!$B39)</f>
        <v>0</v>
      </c>
      <c r="G39" s="5">
        <f>averageResponseTimePorter(Dates!G$12,Dates!G$13,'Day5'!$B39)</f>
        <v>0</v>
      </c>
      <c r="H39" s="5">
        <f>averageResponseTimePorter(Dates!H$12,Dates!H$13,'Day5'!$B39)</f>
        <v>0</v>
      </c>
      <c r="I39" s="5">
        <f>averageResponseTimePorter(Dates!I$12,Dates!I$13,'Day5'!$B39)</f>
        <v>0</v>
      </c>
      <c r="J39" s="5">
        <f>averageResponseTimePorter(Dates!J$12,Dates!J$13,'Day5'!$B39)</f>
        <v>0</v>
      </c>
      <c r="K39" s="5">
        <f>averageResponseTimePorter(Dates!K$12,Dates!K$13,'Day5'!$B39)</f>
        <v>0</v>
      </c>
      <c r="L39" s="5">
        <f>averageResponseTimePorter(Dates!L$12,Dates!L$13,'Day5'!$B39)</f>
        <v>0</v>
      </c>
      <c r="M39" s="5">
        <f>averageResponseTimePorter(Dates!M$12,Dates!M$13,'Day5'!$B39)</f>
        <v>0</v>
      </c>
      <c r="N39" s="5">
        <f>averageResponseTimePorter(Dates!N$12,Dates!N$13,'Day5'!$B39)</f>
        <v>0</v>
      </c>
      <c r="O39" s="5">
        <f>averageResponseTimePorter(Dates!O$12,Dates!O$13,'Day5'!$B39)</f>
        <v>0</v>
      </c>
      <c r="P39" s="5">
        <f>averageResponseTimePorter(Dates!P$12,Dates!P$13,'Day5'!$B39)</f>
        <v>0</v>
      </c>
      <c r="Q39" s="5">
        <f>averageResponseTimePorter(Dates!Q$12,Dates!Q$13,'Day5'!$B39)</f>
        <v>0</v>
      </c>
      <c r="R39" s="5">
        <f>averageResponseTimePorter(Dates!R$12,Dates!R$13,'Day5'!$B39)</f>
        <v>0</v>
      </c>
      <c r="S39" s="5">
        <f>averageResponseTimePorter(Dates!S$12,Dates!S$13,'Day5'!$B39)</f>
        <v>0</v>
      </c>
      <c r="T39" s="5">
        <f>averageResponseTimePorter(Dates!T$12,Dates!T$13,'Day5'!$B39)</f>
        <v>0</v>
      </c>
      <c r="U39" s="5">
        <f>averageResponseTimePorter(Dates!$C$12,Dates!$T$13,'Day5'!$B16)</f>
        <v>0</v>
      </c>
    </row>
    <row r="40" spans="2:21" x14ac:dyDescent="0.3">
      <c r="B40" s="7" t="str">
        <f t="shared" si="0"/>
        <v>NA17</v>
      </c>
      <c r="C40" s="5">
        <f>averageResponseTimePorter(Dates!C$12,Dates!C$13,'Day5'!$B40)</f>
        <v>0</v>
      </c>
      <c r="D40" s="5">
        <f>averageResponseTimePorter(Dates!D$12,Dates!D$13,'Day5'!$B40)</f>
        <v>0</v>
      </c>
      <c r="E40" s="5">
        <f>averageResponseTimePorter(Dates!E$12,Dates!E$13,'Day5'!$B40)</f>
        <v>0</v>
      </c>
      <c r="F40" s="5">
        <f>averageResponseTimePorter(Dates!F$12,Dates!F$13,'Day5'!$B40)</f>
        <v>0</v>
      </c>
      <c r="G40" s="5">
        <f>averageResponseTimePorter(Dates!G$12,Dates!G$13,'Day5'!$B40)</f>
        <v>0</v>
      </c>
      <c r="H40" s="5">
        <f>averageResponseTimePorter(Dates!H$12,Dates!H$13,'Day5'!$B40)</f>
        <v>0</v>
      </c>
      <c r="I40" s="5">
        <f>averageResponseTimePorter(Dates!I$12,Dates!I$13,'Day5'!$B40)</f>
        <v>0</v>
      </c>
      <c r="J40" s="5">
        <f>averageResponseTimePorter(Dates!J$12,Dates!J$13,'Day5'!$B40)</f>
        <v>0</v>
      </c>
      <c r="K40" s="5">
        <f>averageResponseTimePorter(Dates!K$12,Dates!K$13,'Day5'!$B40)</f>
        <v>0</v>
      </c>
      <c r="L40" s="5">
        <f>averageResponseTimePorter(Dates!L$12,Dates!L$13,'Day5'!$B40)</f>
        <v>0</v>
      </c>
      <c r="M40" s="5">
        <f>averageResponseTimePorter(Dates!M$12,Dates!M$13,'Day5'!$B40)</f>
        <v>0</v>
      </c>
      <c r="N40" s="5">
        <f>averageResponseTimePorter(Dates!N$12,Dates!N$13,'Day5'!$B40)</f>
        <v>0</v>
      </c>
      <c r="O40" s="5">
        <f>averageResponseTimePorter(Dates!O$12,Dates!O$13,'Day5'!$B40)</f>
        <v>0</v>
      </c>
      <c r="P40" s="5">
        <f>averageResponseTimePorter(Dates!P$12,Dates!P$13,'Day5'!$B40)</f>
        <v>0</v>
      </c>
      <c r="Q40" s="5">
        <f>averageResponseTimePorter(Dates!Q$12,Dates!Q$13,'Day5'!$B40)</f>
        <v>0</v>
      </c>
      <c r="R40" s="5">
        <f>averageResponseTimePorter(Dates!R$12,Dates!R$13,'Day5'!$B40)</f>
        <v>0</v>
      </c>
      <c r="S40" s="5">
        <f>averageResponseTimePorter(Dates!S$12,Dates!S$13,'Day5'!$B40)</f>
        <v>0</v>
      </c>
      <c r="T40" s="5">
        <f>averageResponseTimePorter(Dates!T$12,Dates!T$13,'Day5'!$B40)</f>
        <v>0</v>
      </c>
      <c r="U40" s="5">
        <f>averageResponseTimePorter(Dates!$C$12,Dates!$T$13,'Day5'!$B17)</f>
        <v>0</v>
      </c>
    </row>
    <row r="41" spans="2:21" x14ac:dyDescent="0.3">
      <c r="B41" s="7" t="str">
        <f t="shared" si="0"/>
        <v>NA18</v>
      </c>
      <c r="C41" s="5">
        <f>averageResponseTimePorter(Dates!C$12,Dates!C$13,'Day5'!$B41)</f>
        <v>0</v>
      </c>
      <c r="D41" s="5">
        <f>averageResponseTimePorter(Dates!D$12,Dates!D$13,'Day5'!$B41)</f>
        <v>0</v>
      </c>
      <c r="E41" s="5">
        <f>averageResponseTimePorter(Dates!E$12,Dates!E$13,'Day5'!$B41)</f>
        <v>0</v>
      </c>
      <c r="F41" s="5">
        <f>averageResponseTimePorter(Dates!F$12,Dates!F$13,'Day5'!$B41)</f>
        <v>0</v>
      </c>
      <c r="G41" s="5">
        <f>averageResponseTimePorter(Dates!G$12,Dates!G$13,'Day5'!$B41)</f>
        <v>0</v>
      </c>
      <c r="H41" s="5">
        <f>averageResponseTimePorter(Dates!H$12,Dates!H$13,'Day5'!$B41)</f>
        <v>0</v>
      </c>
      <c r="I41" s="5">
        <f>averageResponseTimePorter(Dates!I$12,Dates!I$13,'Day5'!$B41)</f>
        <v>0</v>
      </c>
      <c r="J41" s="5">
        <f>averageResponseTimePorter(Dates!J$12,Dates!J$13,'Day5'!$B41)</f>
        <v>0</v>
      </c>
      <c r="K41" s="5">
        <f>averageResponseTimePorter(Dates!K$12,Dates!K$13,'Day5'!$B41)</f>
        <v>0</v>
      </c>
      <c r="L41" s="5">
        <f>averageResponseTimePorter(Dates!L$12,Dates!L$13,'Day5'!$B41)</f>
        <v>0</v>
      </c>
      <c r="M41" s="5">
        <f>averageResponseTimePorter(Dates!M$12,Dates!M$13,'Day5'!$B41)</f>
        <v>0</v>
      </c>
      <c r="N41" s="5">
        <f>averageResponseTimePorter(Dates!N$12,Dates!N$13,'Day5'!$B41)</f>
        <v>0</v>
      </c>
      <c r="O41" s="5">
        <f>averageResponseTimePorter(Dates!O$12,Dates!O$13,'Day5'!$B41)</f>
        <v>0</v>
      </c>
      <c r="P41" s="5">
        <f>averageResponseTimePorter(Dates!P$12,Dates!P$13,'Day5'!$B41)</f>
        <v>0</v>
      </c>
      <c r="Q41" s="5">
        <f>averageResponseTimePorter(Dates!Q$12,Dates!Q$13,'Day5'!$B41)</f>
        <v>0</v>
      </c>
      <c r="R41" s="5">
        <f>averageResponseTimePorter(Dates!R$12,Dates!R$13,'Day5'!$B41)</f>
        <v>0</v>
      </c>
      <c r="S41" s="5">
        <f>averageResponseTimePorter(Dates!S$12,Dates!S$13,'Day5'!$B41)</f>
        <v>0</v>
      </c>
      <c r="T41" s="5">
        <f>averageResponseTimePorter(Dates!T$12,Dates!T$13,'Day5'!$B41)</f>
        <v>0</v>
      </c>
      <c r="U41" s="5">
        <f>averageResponseTimePorter(Dates!$C$12,Dates!$T$13,'Day5'!$B18)</f>
        <v>0</v>
      </c>
    </row>
    <row r="42" spans="2:21" x14ac:dyDescent="0.3">
      <c r="B42" s="7" t="str">
        <f t="shared" si="0"/>
        <v>NA19</v>
      </c>
      <c r="C42" s="5">
        <f>averageResponseTimePorter(Dates!C$12,Dates!C$13,'Day5'!$B42)</f>
        <v>0</v>
      </c>
      <c r="D42" s="5">
        <f>averageResponseTimePorter(Dates!D$12,Dates!D$13,'Day5'!$B42)</f>
        <v>0</v>
      </c>
      <c r="E42" s="5">
        <f>averageResponseTimePorter(Dates!E$12,Dates!E$13,'Day5'!$B42)</f>
        <v>0</v>
      </c>
      <c r="F42" s="5">
        <f>averageResponseTimePorter(Dates!F$12,Dates!F$13,'Day5'!$B42)</f>
        <v>0</v>
      </c>
      <c r="G42" s="5">
        <f>averageResponseTimePorter(Dates!G$12,Dates!G$13,'Day5'!$B42)</f>
        <v>0</v>
      </c>
      <c r="H42" s="5">
        <f>averageResponseTimePorter(Dates!H$12,Dates!H$13,'Day5'!$B42)</f>
        <v>0</v>
      </c>
      <c r="I42" s="5">
        <f>averageResponseTimePorter(Dates!I$12,Dates!I$13,'Day5'!$B42)</f>
        <v>0</v>
      </c>
      <c r="J42" s="5">
        <f>averageResponseTimePorter(Dates!J$12,Dates!J$13,'Day5'!$B42)</f>
        <v>0</v>
      </c>
      <c r="K42" s="5">
        <f>averageResponseTimePorter(Dates!K$12,Dates!K$13,'Day5'!$B42)</f>
        <v>0</v>
      </c>
      <c r="L42" s="5">
        <f>averageResponseTimePorter(Dates!L$12,Dates!L$13,'Day5'!$B42)</f>
        <v>0</v>
      </c>
      <c r="M42" s="5">
        <f>averageResponseTimePorter(Dates!M$12,Dates!M$13,'Day5'!$B42)</f>
        <v>0</v>
      </c>
      <c r="N42" s="5">
        <f>averageResponseTimePorter(Dates!N$12,Dates!N$13,'Day5'!$B42)</f>
        <v>0</v>
      </c>
      <c r="O42" s="5">
        <f>averageResponseTimePorter(Dates!O$12,Dates!O$13,'Day5'!$B42)</f>
        <v>0</v>
      </c>
      <c r="P42" s="5">
        <f>averageResponseTimePorter(Dates!P$12,Dates!P$13,'Day5'!$B42)</f>
        <v>0</v>
      </c>
      <c r="Q42" s="5">
        <f>averageResponseTimePorter(Dates!Q$12,Dates!Q$13,'Day5'!$B42)</f>
        <v>0</v>
      </c>
      <c r="R42" s="5">
        <f>averageResponseTimePorter(Dates!R$12,Dates!R$13,'Day5'!$B42)</f>
        <v>0</v>
      </c>
      <c r="S42" s="5">
        <f>averageResponseTimePorter(Dates!S$12,Dates!S$13,'Day5'!$B42)</f>
        <v>0</v>
      </c>
      <c r="T42" s="5">
        <f>averageResponseTimePorter(Dates!T$12,Dates!T$13,'Day5'!$B42)</f>
        <v>0</v>
      </c>
      <c r="U42" s="5">
        <f>averageResponseTimePorter(Dates!$C$12,Dates!$T$13,'Day5'!$B19)</f>
        <v>0</v>
      </c>
    </row>
    <row r="43" spans="2:21" x14ac:dyDescent="0.3">
      <c r="B43" s="7" t="str">
        <f t="shared" si="0"/>
        <v>NA20</v>
      </c>
      <c r="C43" s="5">
        <f>averageResponseTimePorter(Dates!C$12,Dates!C$13,'Day5'!$B43)</f>
        <v>0</v>
      </c>
      <c r="D43" s="5">
        <f>averageResponseTimePorter(Dates!D$12,Dates!D$13,'Day5'!$B43)</f>
        <v>0</v>
      </c>
      <c r="E43" s="5">
        <f>averageResponseTimePorter(Dates!E$12,Dates!E$13,'Day5'!$B43)</f>
        <v>0</v>
      </c>
      <c r="F43" s="5">
        <f>averageResponseTimePorter(Dates!F$12,Dates!F$13,'Day5'!$B43)</f>
        <v>0</v>
      </c>
      <c r="G43" s="5">
        <f>averageResponseTimePorter(Dates!G$12,Dates!G$13,'Day5'!$B43)</f>
        <v>0</v>
      </c>
      <c r="H43" s="5">
        <f>averageResponseTimePorter(Dates!H$12,Dates!H$13,'Day5'!$B43)</f>
        <v>0</v>
      </c>
      <c r="I43" s="5">
        <f>averageResponseTimePorter(Dates!I$12,Dates!I$13,'Day5'!$B43)</f>
        <v>0</v>
      </c>
      <c r="J43" s="5">
        <f>averageResponseTimePorter(Dates!J$12,Dates!J$13,'Day5'!$B43)</f>
        <v>0</v>
      </c>
      <c r="K43" s="5">
        <f>averageResponseTimePorter(Dates!K$12,Dates!K$13,'Day5'!$B43)</f>
        <v>0</v>
      </c>
      <c r="L43" s="5">
        <f>averageResponseTimePorter(Dates!L$12,Dates!L$13,'Day5'!$B43)</f>
        <v>0</v>
      </c>
      <c r="M43" s="5">
        <f>averageResponseTimePorter(Dates!M$12,Dates!M$13,'Day5'!$B43)</f>
        <v>0</v>
      </c>
      <c r="N43" s="5">
        <f>averageResponseTimePorter(Dates!N$12,Dates!N$13,'Day5'!$B43)</f>
        <v>0</v>
      </c>
      <c r="O43" s="5">
        <f>averageResponseTimePorter(Dates!O$12,Dates!O$13,'Day5'!$B43)</f>
        <v>0</v>
      </c>
      <c r="P43" s="5">
        <f>averageResponseTimePorter(Dates!P$12,Dates!P$13,'Day5'!$B43)</f>
        <v>0</v>
      </c>
      <c r="Q43" s="5">
        <f>averageResponseTimePorter(Dates!Q$12,Dates!Q$13,'Day5'!$B43)</f>
        <v>0</v>
      </c>
      <c r="R43" s="5">
        <f>averageResponseTimePorter(Dates!R$12,Dates!R$13,'Day5'!$B43)</f>
        <v>0</v>
      </c>
      <c r="S43" s="5">
        <f>averageResponseTimePorter(Dates!S$12,Dates!S$13,'Day5'!$B43)</f>
        <v>0</v>
      </c>
      <c r="T43" s="5">
        <f>averageResponseTimePorter(Dates!T$12,Dates!T$13,'Day5'!$B43)</f>
        <v>0</v>
      </c>
      <c r="U43" s="5">
        <f>averageResponseTimePorter(Dates!$C$12,Dates!$T$13,'Day5'!$B20)</f>
        <v>0</v>
      </c>
    </row>
    <row r="44" spans="2:21" x14ac:dyDescent="0.3">
      <c r="B44" s="7" t="str">
        <f t="shared" si="0"/>
        <v>NA21</v>
      </c>
      <c r="C44" s="5">
        <f>averageResponseTimePorter(Dates!C$12,Dates!C$13,'Day5'!$B44)</f>
        <v>0</v>
      </c>
      <c r="D44" s="5">
        <f>averageResponseTimePorter(Dates!D$12,Dates!D$13,'Day5'!$B44)</f>
        <v>0</v>
      </c>
      <c r="E44" s="5">
        <f>averageResponseTimePorter(Dates!E$12,Dates!E$13,'Day5'!$B44)</f>
        <v>0</v>
      </c>
      <c r="F44" s="5">
        <f>averageResponseTimePorter(Dates!F$12,Dates!F$13,'Day5'!$B44)</f>
        <v>0</v>
      </c>
      <c r="G44" s="5">
        <f>averageResponseTimePorter(Dates!G$12,Dates!G$13,'Day5'!$B44)</f>
        <v>0</v>
      </c>
      <c r="H44" s="5">
        <f>averageResponseTimePorter(Dates!H$12,Dates!H$13,'Day5'!$B44)</f>
        <v>0</v>
      </c>
      <c r="I44" s="5">
        <f>averageResponseTimePorter(Dates!I$12,Dates!I$13,'Day5'!$B44)</f>
        <v>0</v>
      </c>
      <c r="J44" s="5">
        <f>averageResponseTimePorter(Dates!J$12,Dates!J$13,'Day5'!$B44)</f>
        <v>0</v>
      </c>
      <c r="K44" s="5">
        <f>averageResponseTimePorter(Dates!K$12,Dates!K$13,'Day5'!$B44)</f>
        <v>0</v>
      </c>
      <c r="L44" s="5">
        <f>averageResponseTimePorter(Dates!L$12,Dates!L$13,'Day5'!$B44)</f>
        <v>0</v>
      </c>
      <c r="M44" s="5">
        <f>averageResponseTimePorter(Dates!M$12,Dates!M$13,'Day5'!$B44)</f>
        <v>0</v>
      </c>
      <c r="N44" s="5">
        <f>averageResponseTimePorter(Dates!N$12,Dates!N$13,'Day5'!$B44)</f>
        <v>0</v>
      </c>
      <c r="O44" s="5">
        <f>averageResponseTimePorter(Dates!O$12,Dates!O$13,'Day5'!$B44)</f>
        <v>0</v>
      </c>
      <c r="P44" s="5">
        <f>averageResponseTimePorter(Dates!P$12,Dates!P$13,'Day5'!$B44)</f>
        <v>0</v>
      </c>
      <c r="Q44" s="5">
        <f>averageResponseTimePorter(Dates!Q$12,Dates!Q$13,'Day5'!$B44)</f>
        <v>0</v>
      </c>
      <c r="R44" s="5">
        <f>averageResponseTimePorter(Dates!R$12,Dates!R$13,'Day5'!$B44)</f>
        <v>0</v>
      </c>
      <c r="S44" s="5">
        <f>averageResponseTimePorter(Dates!S$12,Dates!S$13,'Day5'!$B44)</f>
        <v>0</v>
      </c>
      <c r="T44" s="5">
        <f>averageResponseTimePorter(Dates!T$12,Dates!T$13,'Day5'!$B44)</f>
        <v>0</v>
      </c>
      <c r="U44" s="5">
        <f>averageResponseTimePorter(Dates!$C$12,Dates!$T$13,'Day5'!$B21)</f>
        <v>0</v>
      </c>
    </row>
    <row r="45" spans="2:21" x14ac:dyDescent="0.3">
      <c r="B45" s="7" t="str">
        <f t="shared" si="0"/>
        <v>NA22</v>
      </c>
      <c r="C45" s="5">
        <f>averageResponseTimePorter(Dates!C$12,Dates!C$13,'Day5'!$B45)</f>
        <v>0</v>
      </c>
      <c r="D45" s="5">
        <f>averageResponseTimePorter(Dates!D$12,Dates!D$13,'Day5'!$B45)</f>
        <v>0</v>
      </c>
      <c r="E45" s="5">
        <f>averageResponseTimePorter(Dates!E$12,Dates!E$13,'Day5'!$B45)</f>
        <v>0</v>
      </c>
      <c r="F45" s="5">
        <f>averageResponseTimePorter(Dates!F$12,Dates!F$13,'Day5'!$B45)</f>
        <v>0</v>
      </c>
      <c r="G45" s="5">
        <f>averageResponseTimePorter(Dates!G$12,Dates!G$13,'Day5'!$B45)</f>
        <v>0</v>
      </c>
      <c r="H45" s="5">
        <f>averageResponseTimePorter(Dates!H$12,Dates!H$13,'Day5'!$B45)</f>
        <v>0</v>
      </c>
      <c r="I45" s="5">
        <f>averageResponseTimePorter(Dates!I$12,Dates!I$13,'Day5'!$B45)</f>
        <v>0</v>
      </c>
      <c r="J45" s="5">
        <f>averageResponseTimePorter(Dates!J$12,Dates!J$13,'Day5'!$B45)</f>
        <v>0</v>
      </c>
      <c r="K45" s="5">
        <f>averageResponseTimePorter(Dates!K$12,Dates!K$13,'Day5'!$B45)</f>
        <v>0</v>
      </c>
      <c r="L45" s="5">
        <f>averageResponseTimePorter(Dates!L$12,Dates!L$13,'Day5'!$B45)</f>
        <v>0</v>
      </c>
      <c r="M45" s="5">
        <f>averageResponseTimePorter(Dates!M$12,Dates!M$13,'Day5'!$B45)</f>
        <v>0</v>
      </c>
      <c r="N45" s="5">
        <f>averageResponseTimePorter(Dates!N$12,Dates!N$13,'Day5'!$B45)</f>
        <v>0</v>
      </c>
      <c r="O45" s="5">
        <f>averageResponseTimePorter(Dates!O$12,Dates!O$13,'Day5'!$B45)</f>
        <v>0</v>
      </c>
      <c r="P45" s="5">
        <f>averageResponseTimePorter(Dates!P$12,Dates!P$13,'Day5'!$B45)</f>
        <v>0</v>
      </c>
      <c r="Q45" s="5">
        <f>averageResponseTimePorter(Dates!Q$12,Dates!Q$13,'Day5'!$B45)</f>
        <v>0</v>
      </c>
      <c r="R45" s="5">
        <f>averageResponseTimePorter(Dates!R$12,Dates!R$13,'Day5'!$B45)</f>
        <v>0</v>
      </c>
      <c r="S45" s="5">
        <f>averageResponseTimePorter(Dates!S$12,Dates!S$13,'Day5'!$B45)</f>
        <v>0</v>
      </c>
      <c r="T45" s="5">
        <f>averageResponseTimePorter(Dates!T$12,Dates!T$13,'Day5'!$B45)</f>
        <v>0</v>
      </c>
      <c r="U45" s="5">
        <f>averageResponseTimePorter(Dates!$C$12,Dates!$T$13,'Day5'!$B22)</f>
        <v>0</v>
      </c>
    </row>
    <row r="46" spans="2:21" x14ac:dyDescent="0.3">
      <c r="B46" s="7" t="str">
        <f t="shared" si="0"/>
        <v>NA23</v>
      </c>
      <c r="C46" s="5">
        <f>averageResponseTimePorter(Dates!C$12,Dates!C$13,'Day5'!$B46)</f>
        <v>0</v>
      </c>
      <c r="D46" s="5">
        <f>averageResponseTimePorter(Dates!D$12,Dates!D$13,'Day5'!$B46)</f>
        <v>0</v>
      </c>
      <c r="E46" s="5">
        <f>averageResponseTimePorter(Dates!E$12,Dates!E$13,'Day5'!$B46)</f>
        <v>0</v>
      </c>
      <c r="F46" s="5">
        <f>averageResponseTimePorter(Dates!F$12,Dates!F$13,'Day5'!$B46)</f>
        <v>0</v>
      </c>
      <c r="G46" s="5">
        <f>averageResponseTimePorter(Dates!G$12,Dates!G$13,'Day5'!$B46)</f>
        <v>0</v>
      </c>
      <c r="H46" s="5">
        <f>averageResponseTimePorter(Dates!H$12,Dates!H$13,'Day5'!$B46)</f>
        <v>0</v>
      </c>
      <c r="I46" s="5">
        <f>averageResponseTimePorter(Dates!I$12,Dates!I$13,'Day5'!$B46)</f>
        <v>0</v>
      </c>
      <c r="J46" s="5">
        <f>averageResponseTimePorter(Dates!J$12,Dates!J$13,'Day5'!$B46)</f>
        <v>0</v>
      </c>
      <c r="K46" s="5">
        <f>averageResponseTimePorter(Dates!K$12,Dates!K$13,'Day5'!$B46)</f>
        <v>0</v>
      </c>
      <c r="L46" s="5">
        <f>averageResponseTimePorter(Dates!L$12,Dates!L$13,'Day5'!$B46)</f>
        <v>0</v>
      </c>
      <c r="M46" s="5">
        <f>averageResponseTimePorter(Dates!M$12,Dates!M$13,'Day5'!$B46)</f>
        <v>0</v>
      </c>
      <c r="N46" s="5">
        <f>averageResponseTimePorter(Dates!N$12,Dates!N$13,'Day5'!$B46)</f>
        <v>0</v>
      </c>
      <c r="O46" s="5">
        <f>averageResponseTimePorter(Dates!O$12,Dates!O$13,'Day5'!$B46)</f>
        <v>0</v>
      </c>
      <c r="P46" s="5">
        <f>averageResponseTimePorter(Dates!P$12,Dates!P$13,'Day5'!$B46)</f>
        <v>0</v>
      </c>
      <c r="Q46" s="5">
        <f>averageResponseTimePorter(Dates!Q$12,Dates!Q$13,'Day5'!$B46)</f>
        <v>0</v>
      </c>
      <c r="R46" s="5">
        <f>averageResponseTimePorter(Dates!R$12,Dates!R$13,'Day5'!$B46)</f>
        <v>0</v>
      </c>
      <c r="S46" s="5">
        <f>averageResponseTimePorter(Dates!S$12,Dates!S$13,'Day5'!$B46)</f>
        <v>0</v>
      </c>
      <c r="T46" s="5">
        <f>averageResponseTimePorter(Dates!T$12,Dates!T$13,'Day5'!$B46)</f>
        <v>0</v>
      </c>
      <c r="U46" s="5">
        <f>averageResponseTimePorter(Dates!$C$12,Dates!$T$13,'Day5'!$B23)</f>
        <v>0</v>
      </c>
    </row>
  </sheetData>
  <pageMargins left="0.7" right="0.7" top="0.75" bottom="0.75" header="0.3" footer="0.3"/>
  <pageSetup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S6"/>
  <sheetViews>
    <sheetView tabSelected="1" topLeftCell="A19" zoomScale="60" zoomScaleNormal="30" workbookViewId="0">
      <selection activeCell="W18" sqref="W18"/>
    </sheetView>
  </sheetViews>
  <sheetFormatPr defaultRowHeight="14.4" x14ac:dyDescent="0.3"/>
  <cols>
    <col min="2" max="2" width="9.5546875" customWidth="1"/>
    <col min="7" max="7" width="29.44140625" bestFit="1" customWidth="1"/>
  </cols>
  <sheetData>
    <row r="1" spans="2:19" ht="18" x14ac:dyDescent="0.35">
      <c r="G1" s="17" t="s">
        <v>27</v>
      </c>
      <c r="H1" s="17"/>
      <c r="I1" s="17"/>
      <c r="J1" s="17"/>
      <c r="K1" s="17"/>
      <c r="L1" s="17"/>
    </row>
    <row r="2" spans="2:19" ht="18" x14ac:dyDescent="0.35">
      <c r="G2" s="9" t="s">
        <v>24</v>
      </c>
      <c r="H2" s="9">
        <v>1</v>
      </c>
      <c r="I2" s="9">
        <v>2</v>
      </c>
      <c r="J2" s="9">
        <v>3</v>
      </c>
      <c r="K2" s="9">
        <v>4</v>
      </c>
      <c r="L2" s="9">
        <v>5</v>
      </c>
    </row>
    <row r="3" spans="2:19" ht="18" x14ac:dyDescent="0.35">
      <c r="G3" s="9" t="s">
        <v>25</v>
      </c>
      <c r="H3" s="10">
        <f>'Day1'!$U$2</f>
        <v>28.257731958762886</v>
      </c>
      <c r="I3" s="10">
        <f>'Day2'!$U$2</f>
        <v>0</v>
      </c>
      <c r="J3" s="10">
        <f>'Day3'!$U$2</f>
        <v>0</v>
      </c>
      <c r="K3" s="10">
        <f>'Day4'!$U$2</f>
        <v>0</v>
      </c>
      <c r="L3" s="10">
        <f>'Day5'!$U$2</f>
        <v>0</v>
      </c>
    </row>
    <row r="4" spans="2:19" ht="18" x14ac:dyDescent="0.35">
      <c r="G4" s="9" t="s">
        <v>26</v>
      </c>
      <c r="H4" s="10">
        <f>'Day1'!$U$25</f>
        <v>9.2783505154639179E-2</v>
      </c>
      <c r="I4" s="10">
        <f>'Day2'!$U$25</f>
        <v>0</v>
      </c>
      <c r="J4" s="10">
        <f>'Day3'!$U$25</f>
        <v>0</v>
      </c>
      <c r="K4" s="10">
        <f>'Day4'!$U$25</f>
        <v>0</v>
      </c>
      <c r="L4" s="10">
        <f>'Day5'!$U$25</f>
        <v>0</v>
      </c>
    </row>
    <row r="6" spans="2:19" ht="23.4" x14ac:dyDescent="0.45">
      <c r="B6" s="14" t="s">
        <v>23</v>
      </c>
      <c r="C6" s="15"/>
      <c r="D6" s="15"/>
      <c r="E6" s="15"/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6"/>
    </row>
  </sheetData>
  <mergeCells count="2">
    <mergeCell ref="B6:S6"/>
    <mergeCell ref="G1:L1"/>
  </mergeCells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Dates</vt:lpstr>
      <vt:lpstr>Day1</vt:lpstr>
      <vt:lpstr>Day2</vt:lpstr>
      <vt:lpstr>Day3</vt:lpstr>
      <vt:lpstr>Day4</vt:lpstr>
      <vt:lpstr>Day5</vt:lpstr>
      <vt:lpstr>Dashboard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Vitaliy Kondratiev</dc:creator>
  <cp:lastModifiedBy>Vitaliy Kondratiev</cp:lastModifiedBy>
  <dcterms:created xsi:type="dcterms:W3CDTF">2014-02-27T05:08:09Z</dcterms:created>
  <dcterms:modified xsi:type="dcterms:W3CDTF">2014-03-05T03:49:45Z</dcterms:modified>
</cp:coreProperties>
</file>