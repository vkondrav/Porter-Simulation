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activeTab="2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B1" i="2" l="1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E22" i="3"/>
  <c r="S5" i="10"/>
  <c r="S8" i="10"/>
  <c r="P21" i="10"/>
  <c r="T25" i="3"/>
  <c r="G15" i="11"/>
  <c r="Q30" i="10"/>
  <c r="S38" i="10"/>
  <c r="T25" i="11"/>
  <c r="T42" i="10"/>
  <c r="E2" i="3"/>
  <c r="M38" i="10"/>
  <c r="O7" i="10"/>
  <c r="P23" i="11"/>
  <c r="K37" i="10"/>
  <c r="L25" i="3"/>
  <c r="E29" i="11"/>
  <c r="C13" i="10"/>
  <c r="P13" i="11"/>
  <c r="N42" i="11"/>
  <c r="Q8" i="10"/>
  <c r="M36" i="10"/>
  <c r="P2" i="11"/>
  <c r="Q35" i="11"/>
  <c r="G17" i="11"/>
  <c r="T25" i="8"/>
  <c r="S44" i="11"/>
  <c r="J19" i="9"/>
  <c r="S37" i="10"/>
  <c r="H21" i="8"/>
  <c r="D2" i="11"/>
  <c r="C35" i="11"/>
  <c r="P23" i="10"/>
  <c r="U19" i="10"/>
  <c r="F35" i="10"/>
  <c r="R38" i="10"/>
  <c r="K10" i="11"/>
  <c r="Q38" i="10"/>
  <c r="H33" i="10"/>
  <c r="F27" i="11"/>
  <c r="S13" i="11"/>
  <c r="J25" i="9"/>
  <c r="I22" i="9"/>
  <c r="I25" i="3"/>
  <c r="C3" i="10"/>
  <c r="M9" i="9"/>
  <c r="N40" i="10"/>
  <c r="O39" i="11"/>
  <c r="T40" i="11"/>
  <c r="P20" i="11"/>
  <c r="G38" i="10"/>
  <c r="C34" i="11"/>
  <c r="O45" i="10"/>
  <c r="L29" i="10"/>
  <c r="P26" i="11"/>
  <c r="P3" i="11"/>
  <c r="L2" i="8"/>
  <c r="T37" i="10"/>
  <c r="N39" i="10"/>
  <c r="K40" i="11"/>
  <c r="K32" i="11"/>
  <c r="R33" i="11"/>
  <c r="S11" i="11"/>
  <c r="F3" i="10"/>
  <c r="J35" i="11"/>
  <c r="T22" i="10"/>
  <c r="F18" i="10"/>
  <c r="T25" i="10"/>
  <c r="O21" i="10"/>
  <c r="C8" i="10"/>
  <c r="H9" i="11"/>
  <c r="E43" i="10"/>
  <c r="Q31" i="9"/>
  <c r="F21" i="10"/>
  <c r="J11" i="10"/>
  <c r="G8" i="10"/>
  <c r="L23" i="10"/>
  <c r="T29" i="9"/>
  <c r="F25" i="8"/>
  <c r="Q29" i="11"/>
  <c r="F2" i="8"/>
  <c r="C3" i="11"/>
  <c r="N23" i="10"/>
  <c r="M31" i="10"/>
  <c r="G21" i="10"/>
  <c r="O36" i="10"/>
  <c r="P45" i="11"/>
  <c r="T45" i="11"/>
  <c r="C39" i="10"/>
  <c r="J21" i="10"/>
  <c r="R20" i="8"/>
  <c r="F3" i="11"/>
  <c r="O31" i="8"/>
  <c r="G29" i="11"/>
  <c r="U29" i="11"/>
  <c r="R17" i="10"/>
  <c r="I5" i="11"/>
  <c r="L12" i="11"/>
  <c r="I19" i="11"/>
  <c r="G5" i="10"/>
  <c r="L4" i="10"/>
  <c r="S41" i="11"/>
  <c r="Q29" i="10"/>
  <c r="O20" i="10"/>
  <c r="C12" i="11"/>
  <c r="C45" i="11"/>
  <c r="T9" i="10"/>
  <c r="M14" i="10"/>
  <c r="R21" i="11"/>
  <c r="K4" i="11"/>
  <c r="T6" i="10"/>
  <c r="Q2" i="8"/>
  <c r="J16" i="11"/>
  <c r="C33" i="11"/>
  <c r="P32" i="11"/>
  <c r="I9" i="11"/>
  <c r="T18" i="11"/>
  <c r="Q2" i="11"/>
  <c r="R41" i="10"/>
  <c r="U41" i="10"/>
  <c r="R19" i="11"/>
  <c r="S6" i="10"/>
  <c r="C9" i="11"/>
  <c r="K26" i="11"/>
  <c r="K9" i="11"/>
  <c r="U21" i="11"/>
  <c r="E38" i="11"/>
  <c r="D17" i="10"/>
  <c r="P27" i="11"/>
  <c r="M17" i="10"/>
  <c r="R19" i="10"/>
  <c r="F2" i="10"/>
  <c r="R25" i="3"/>
  <c r="E45" i="11"/>
  <c r="P2" i="10"/>
  <c r="Q2" i="10"/>
  <c r="T29" i="10"/>
  <c r="C41" i="11"/>
  <c r="P31" i="11"/>
  <c r="U25" i="11"/>
  <c r="C18" i="10"/>
  <c r="N6" i="10"/>
  <c r="M34" i="10"/>
  <c r="G41" i="11"/>
  <c r="M14" i="11"/>
  <c r="T40" i="10"/>
  <c r="K11" i="11"/>
  <c r="O6" i="9"/>
  <c r="R28" i="11"/>
  <c r="T31" i="11"/>
  <c r="T39" i="11"/>
  <c r="R7" i="10"/>
  <c r="P22" i="9"/>
  <c r="G25" i="3"/>
  <c r="H37" i="11"/>
  <c r="D35" i="11"/>
  <c r="E17" i="10"/>
  <c r="Q23" i="11"/>
  <c r="C2" i="8"/>
  <c r="L14" i="10"/>
  <c r="R18" i="10"/>
  <c r="E6" i="11"/>
  <c r="Q43" i="10"/>
  <c r="N36" i="10"/>
  <c r="M37" i="11"/>
  <c r="J26" i="11"/>
  <c r="R29" i="10"/>
  <c r="R36" i="11"/>
  <c r="S26" i="11"/>
  <c r="O35" i="10"/>
  <c r="F18" i="11"/>
  <c r="S19" i="11"/>
  <c r="U16" i="11"/>
  <c r="S22" i="11"/>
  <c r="Q38" i="11"/>
  <c r="O38" i="11"/>
  <c r="Q41" i="9"/>
  <c r="E28" i="11"/>
  <c r="U2" i="3"/>
  <c r="J7" i="11"/>
  <c r="C46" i="11"/>
  <c r="G46" i="11"/>
  <c r="P25" i="11"/>
  <c r="N13" i="10"/>
  <c r="N4" i="10"/>
  <c r="F44" i="11"/>
  <c r="O43" i="10"/>
  <c r="S20" i="10"/>
  <c r="N37" i="10"/>
  <c r="G9" i="10"/>
  <c r="G25" i="8"/>
  <c r="T6" i="11"/>
  <c r="T3" i="10"/>
  <c r="O23" i="10"/>
  <c r="M17" i="11"/>
  <c r="R11" i="11"/>
  <c r="R44" i="11"/>
  <c r="Q34" i="10"/>
  <c r="P30" i="11"/>
  <c r="C21" i="11"/>
  <c r="Q21" i="10"/>
  <c r="S36" i="11"/>
  <c r="U38" i="11"/>
  <c r="J19" i="11"/>
  <c r="N17" i="10"/>
  <c r="L38" i="10"/>
  <c r="C11" i="9"/>
  <c r="S25" i="3"/>
  <c r="U15" i="11"/>
  <c r="Q16" i="11"/>
  <c r="G21" i="11"/>
  <c r="U23" i="10"/>
  <c r="T43" i="11"/>
  <c r="D16" i="9"/>
  <c r="O9" i="10"/>
  <c r="T14" i="11"/>
  <c r="R16" i="11"/>
  <c r="G34" i="9"/>
  <c r="T45" i="9"/>
  <c r="U38" i="8"/>
  <c r="M35" i="10"/>
  <c r="H11" i="11"/>
  <c r="D10" i="9"/>
  <c r="C32" i="10"/>
  <c r="H12" i="10"/>
  <c r="J27" i="9"/>
  <c r="L27" i="10"/>
  <c r="C23" i="9"/>
  <c r="U18" i="11"/>
  <c r="L20" i="9"/>
  <c r="L10" i="11"/>
  <c r="G33" i="10"/>
  <c r="D13" i="11"/>
  <c r="O6" i="10"/>
  <c r="E34" i="11"/>
  <c r="P20" i="10"/>
  <c r="P25" i="10"/>
  <c r="U2" i="11"/>
  <c r="Q41" i="11"/>
  <c r="D42" i="11"/>
  <c r="S12" i="10"/>
  <c r="F33" i="10"/>
  <c r="R43" i="11"/>
  <c r="T41" i="11"/>
  <c r="O16" i="9"/>
  <c r="K45" i="11"/>
  <c r="P13" i="10"/>
  <c r="S19" i="10"/>
  <c r="E20" i="11"/>
  <c r="J34" i="11"/>
  <c r="C41" i="10"/>
  <c r="D35" i="10"/>
  <c r="N9" i="10"/>
  <c r="H27" i="11"/>
  <c r="U16" i="10"/>
  <c r="M15" i="9"/>
  <c r="K25" i="9"/>
  <c r="G28" i="10"/>
  <c r="P7" i="11"/>
  <c r="S31" i="10"/>
  <c r="E21" i="10"/>
  <c r="K38" i="9"/>
  <c r="O38" i="10"/>
  <c r="H2" i="3"/>
  <c r="C14" i="11"/>
  <c r="S39" i="10"/>
  <c r="M23" i="10"/>
  <c r="L36" i="11"/>
  <c r="S4" i="11"/>
  <c r="D33" i="11"/>
  <c r="E22" i="10"/>
  <c r="E39" i="11"/>
  <c r="E3" i="11"/>
  <c r="L13" i="11"/>
  <c r="L15" i="10"/>
  <c r="R39" i="11"/>
  <c r="H30" i="11"/>
  <c r="F9" i="3"/>
  <c r="N30" i="10"/>
  <c r="G8" i="3"/>
  <c r="N41" i="11"/>
  <c r="U33" i="11"/>
  <c r="L43" i="10"/>
  <c r="K2" i="11"/>
  <c r="I9" i="10"/>
  <c r="C4" i="11"/>
  <c r="F38" i="10"/>
  <c r="E19" i="11"/>
  <c r="I33" i="11"/>
  <c r="D37" i="11"/>
  <c r="N16" i="10"/>
  <c r="R35" i="9"/>
  <c r="U39" i="11"/>
  <c r="F9" i="10"/>
  <c r="U41" i="11"/>
  <c r="D22" i="11"/>
  <c r="L25" i="10"/>
  <c r="S10" i="10"/>
  <c r="C32" i="11"/>
  <c r="T37" i="11"/>
  <c r="O31" i="10"/>
  <c r="U2" i="8"/>
  <c r="P22" i="11"/>
  <c r="J33" i="9"/>
  <c r="R21" i="10"/>
  <c r="S27" i="11"/>
  <c r="K36" i="11"/>
  <c r="P46" i="11"/>
  <c r="K17" i="11"/>
  <c r="M39" i="10"/>
  <c r="F25" i="3"/>
  <c r="K13" i="11"/>
  <c r="U21" i="10"/>
  <c r="Q32" i="11"/>
  <c r="T16" i="11"/>
  <c r="P32" i="10"/>
  <c r="M16" i="10"/>
  <c r="C27" i="11"/>
  <c r="D11" i="11"/>
  <c r="E44" i="8"/>
  <c r="N3" i="10"/>
  <c r="K20" i="11"/>
  <c r="R5" i="11"/>
  <c r="F32" i="11"/>
  <c r="N35" i="11"/>
  <c r="R6" i="11"/>
  <c r="M2" i="3"/>
  <c r="U7" i="11"/>
  <c r="D36" i="9"/>
  <c r="P11" i="10"/>
  <c r="N32" i="10"/>
  <c r="K19" i="10"/>
  <c r="O30" i="10"/>
  <c r="G41" i="10"/>
  <c r="M4" i="10"/>
  <c r="C9" i="10"/>
  <c r="H34" i="11"/>
  <c r="U22" i="11"/>
  <c r="J3" i="11"/>
  <c r="T33" i="10"/>
  <c r="C2" i="10"/>
  <c r="L8" i="11"/>
  <c r="H28" i="11"/>
  <c r="F40" i="10"/>
  <c r="P6" i="10"/>
  <c r="E31" i="11"/>
  <c r="R25" i="10"/>
  <c r="P9" i="11"/>
  <c r="R25" i="8"/>
  <c r="C3" i="8"/>
  <c r="E6" i="10"/>
  <c r="I23" i="10"/>
  <c r="G46" i="10"/>
  <c r="E18" i="11"/>
  <c r="S31" i="11"/>
  <c r="O3" i="10"/>
  <c r="G30" i="9"/>
  <c r="R10" i="10"/>
  <c r="M11" i="11"/>
  <c r="J42" i="9"/>
  <c r="L13" i="10"/>
  <c r="J5" i="11"/>
  <c r="T12" i="11"/>
  <c r="T36" i="11"/>
  <c r="D17" i="11"/>
  <c r="R35" i="11"/>
  <c r="U4" i="11"/>
  <c r="G5" i="11"/>
  <c r="F23" i="11"/>
  <c r="N2" i="10"/>
  <c r="L11" i="11"/>
  <c r="S35" i="11"/>
  <c r="M40" i="10"/>
  <c r="E41" i="11"/>
  <c r="R46" i="10"/>
  <c r="U40" i="10"/>
  <c r="K17" i="10"/>
  <c r="K25" i="8"/>
  <c r="R37" i="9"/>
  <c r="I46" i="10"/>
  <c r="C17" i="11"/>
  <c r="E30" i="10"/>
  <c r="F6" i="11"/>
  <c r="Q20" i="11"/>
  <c r="G21" i="9"/>
  <c r="S2" i="3"/>
  <c r="L41" i="10"/>
  <c r="U31" i="11"/>
  <c r="Q2" i="3"/>
  <c r="C18" i="11"/>
  <c r="L25" i="9"/>
  <c r="J40" i="10"/>
  <c r="G22" i="11"/>
  <c r="M18" i="10"/>
  <c r="F23" i="10"/>
  <c r="M11" i="10"/>
  <c r="G42" i="10"/>
  <c r="K25" i="11"/>
  <c r="U8" i="11"/>
  <c r="U28" i="11"/>
  <c r="L7" i="11"/>
  <c r="G2" i="11"/>
  <c r="J22" i="11"/>
  <c r="P33" i="11"/>
  <c r="Q13" i="10"/>
  <c r="C12" i="10"/>
  <c r="N38" i="10"/>
  <c r="O4" i="10"/>
  <c r="E10" i="10"/>
  <c r="C25" i="11"/>
  <c r="Q3" i="11"/>
  <c r="S20" i="11"/>
  <c r="R35" i="10"/>
  <c r="F45" i="10"/>
  <c r="G44" i="11"/>
  <c r="I2" i="3"/>
  <c r="Q9" i="11"/>
  <c r="D18" i="11"/>
  <c r="I32" i="11"/>
  <c r="C44" i="11"/>
  <c r="H7" i="11"/>
  <c r="M27" i="10"/>
  <c r="O27" i="10"/>
  <c r="O44" i="10"/>
  <c r="M21" i="10"/>
  <c r="R23" i="10"/>
  <c r="D2" i="3"/>
  <c r="R44" i="10"/>
  <c r="F46" i="11"/>
  <c r="E17" i="11"/>
  <c r="G26" i="10"/>
  <c r="J40" i="11"/>
  <c r="R12" i="11"/>
  <c r="J27" i="10"/>
  <c r="P33" i="10"/>
  <c r="L37" i="10"/>
  <c r="E25" i="3"/>
  <c r="J12" i="11"/>
  <c r="L21" i="10"/>
  <c r="R8" i="10"/>
  <c r="H43" i="11"/>
  <c r="I12" i="10"/>
  <c r="S44" i="10"/>
  <c r="T26" i="11"/>
  <c r="U13" i="11"/>
  <c r="G19" i="11"/>
  <c r="O12" i="10"/>
  <c r="E32" i="11"/>
  <c r="U28" i="10"/>
  <c r="Q36" i="11"/>
  <c r="N5" i="10"/>
  <c r="N8" i="11"/>
  <c r="P5" i="11"/>
  <c r="R37" i="11"/>
  <c r="K2" i="3"/>
  <c r="I2" i="11"/>
  <c r="R40" i="11"/>
  <c r="H17" i="11"/>
  <c r="L9" i="10"/>
  <c r="F30" i="10"/>
  <c r="P44" i="11"/>
  <c r="D39" i="11"/>
  <c r="P45" i="10"/>
  <c r="M42" i="10"/>
  <c r="H19" i="11"/>
  <c r="E32" i="10"/>
  <c r="U29" i="10"/>
  <c r="T20" i="11"/>
  <c r="K41" i="11"/>
  <c r="L4" i="11"/>
  <c r="E46" i="10"/>
  <c r="E2" i="10"/>
  <c r="P25" i="3"/>
  <c r="L8" i="10"/>
  <c r="P18" i="10"/>
  <c r="P8" i="10"/>
  <c r="P15" i="9"/>
  <c r="P11" i="11"/>
  <c r="O45" i="11"/>
  <c r="H38" i="10"/>
  <c r="T42" i="11"/>
  <c r="D34" i="11"/>
  <c r="O19" i="10"/>
  <c r="G2" i="3"/>
  <c r="G32" i="10"/>
  <c r="H30" i="9"/>
  <c r="D10" i="11"/>
  <c r="M6" i="10"/>
  <c r="P36" i="11"/>
  <c r="N12" i="9"/>
  <c r="S15" i="11"/>
  <c r="R13" i="11"/>
  <c r="O32" i="10"/>
  <c r="K9" i="9"/>
  <c r="R39" i="10"/>
  <c r="N19" i="11"/>
  <c r="F28" i="10"/>
  <c r="O19" i="9"/>
  <c r="P4" i="11"/>
  <c r="F7" i="11"/>
  <c r="J2" i="11"/>
  <c r="P37" i="10"/>
  <c r="F10" i="10"/>
  <c r="T3" i="11"/>
  <c r="H42" i="11"/>
  <c r="E15" i="9"/>
  <c r="C7" i="10"/>
  <c r="T32" i="11"/>
  <c r="F15" i="8"/>
  <c r="G31" i="10"/>
  <c r="R18" i="11"/>
  <c r="L29" i="9"/>
  <c r="D22" i="10"/>
  <c r="N46" i="10"/>
  <c r="F2" i="3"/>
  <c r="Q15" i="11"/>
  <c r="S25" i="8"/>
  <c r="N29" i="10"/>
  <c r="I8" i="10"/>
  <c r="S42" i="11"/>
  <c r="O25" i="3"/>
  <c r="P16" i="11"/>
  <c r="R3" i="11"/>
  <c r="S33" i="10"/>
  <c r="G10" i="11"/>
  <c r="S33" i="11"/>
  <c r="C25" i="8"/>
  <c r="G30" i="11"/>
  <c r="O4" i="11"/>
  <c r="G11" i="11"/>
  <c r="F9" i="11"/>
  <c r="S40" i="11"/>
  <c r="E33" i="11"/>
  <c r="E42" i="10"/>
  <c r="J29" i="11"/>
  <c r="E27" i="9"/>
  <c r="Q21" i="11"/>
  <c r="Q40" i="10"/>
  <c r="M2" i="8"/>
  <c r="N25" i="10"/>
  <c r="N7" i="11"/>
  <c r="J2" i="3"/>
  <c r="L12" i="10"/>
  <c r="J32" i="10"/>
  <c r="T2" i="10"/>
  <c r="F16" i="10"/>
  <c r="H32" i="10"/>
  <c r="M7" i="11"/>
  <c r="O5" i="10"/>
  <c r="D23" i="11"/>
  <c r="E29" i="10"/>
  <c r="R36" i="10"/>
  <c r="F31" i="10"/>
  <c r="T9" i="11"/>
  <c r="J17" i="11"/>
  <c r="P36" i="10"/>
  <c r="M7" i="10"/>
  <c r="S30" i="10"/>
  <c r="Q38" i="9"/>
  <c r="H25" i="9"/>
  <c r="T19" i="10"/>
  <c r="P8" i="11"/>
  <c r="I21" i="10"/>
  <c r="M46" i="9"/>
  <c r="F41" i="11"/>
  <c r="O19" i="8"/>
  <c r="N18" i="10"/>
  <c r="L2" i="3"/>
  <c r="U35" i="9"/>
  <c r="E42" i="11"/>
  <c r="P39" i="10"/>
  <c r="C20" i="9"/>
  <c r="T38" i="10"/>
  <c r="F31" i="11"/>
  <c r="R45" i="11"/>
  <c r="I31" i="8"/>
  <c r="F38" i="11"/>
  <c r="S43" i="10"/>
  <c r="F12" i="11"/>
  <c r="N35" i="10"/>
  <c r="U22" i="3"/>
  <c r="L34" i="8"/>
  <c r="U22" i="8"/>
  <c r="C10" i="9"/>
  <c r="S5" i="8"/>
  <c r="I10" i="9"/>
  <c r="S17" i="10"/>
  <c r="R14" i="8"/>
  <c r="M13" i="11"/>
  <c r="N46" i="9"/>
  <c r="F2" i="11"/>
  <c r="O25" i="9"/>
  <c r="H38" i="11"/>
  <c r="S25" i="10"/>
  <c r="O42" i="10"/>
  <c r="U12" i="11"/>
  <c r="L33" i="10"/>
  <c r="U13" i="10"/>
  <c r="H25" i="8"/>
  <c r="S12" i="11"/>
  <c r="U21" i="9"/>
  <c r="O9" i="11"/>
  <c r="R14" i="11"/>
  <c r="N29" i="11"/>
  <c r="E11" i="10"/>
  <c r="E36" i="11"/>
  <c r="M35" i="9"/>
  <c r="O11" i="11"/>
  <c r="C39" i="9"/>
  <c r="S2" i="8"/>
  <c r="T35" i="11"/>
  <c r="K43" i="10"/>
  <c r="Q36" i="9"/>
  <c r="O32" i="8"/>
  <c r="I17" i="10"/>
  <c r="G2" i="9"/>
  <c r="P10" i="11"/>
  <c r="D44" i="11"/>
  <c r="L39" i="10"/>
  <c r="U25" i="3"/>
  <c r="M9" i="11"/>
  <c r="Q32" i="10"/>
  <c r="O2" i="9"/>
  <c r="O25" i="10"/>
  <c r="U45" i="10"/>
  <c r="Q11" i="11"/>
  <c r="E4" i="10"/>
  <c r="L18" i="11"/>
  <c r="N13" i="11"/>
  <c r="S16" i="11"/>
  <c r="S30" i="11"/>
  <c r="D15" i="10"/>
  <c r="O12" i="11"/>
  <c r="C31" i="11"/>
  <c r="P12" i="11"/>
  <c r="H27" i="9"/>
  <c r="I16" i="11"/>
  <c r="O39" i="10"/>
  <c r="O30" i="11"/>
  <c r="E26" i="11"/>
  <c r="Q7" i="11"/>
  <c r="I12" i="9"/>
  <c r="F8" i="10"/>
  <c r="Q23" i="10"/>
  <c r="I45" i="10"/>
  <c r="J11" i="11"/>
  <c r="S23" i="10"/>
  <c r="S45" i="11"/>
  <c r="Q20" i="10"/>
  <c r="P14" i="10"/>
  <c r="T2" i="3"/>
  <c r="S14" i="11"/>
  <c r="U43" i="11"/>
  <c r="H2" i="8"/>
  <c r="F19" i="10"/>
  <c r="D7" i="10"/>
  <c r="E2" i="9"/>
  <c r="O16" i="10"/>
  <c r="P34" i="10"/>
  <c r="D43" i="10"/>
  <c r="O37" i="10"/>
  <c r="K10" i="10"/>
  <c r="N2" i="3"/>
  <c r="L28" i="10"/>
  <c r="G6" i="11"/>
  <c r="U25" i="9"/>
  <c r="K29" i="10"/>
  <c r="L45" i="10"/>
  <c r="O9" i="9"/>
  <c r="S37" i="9"/>
  <c r="H22" i="11"/>
  <c r="H29" i="8"/>
  <c r="I13" i="11"/>
  <c r="S21" i="11"/>
  <c r="Q13" i="11"/>
  <c r="M25" i="3"/>
  <c r="D39" i="10"/>
  <c r="J25" i="3"/>
  <c r="L25" i="8"/>
  <c r="U43" i="10"/>
  <c r="G10" i="10"/>
  <c r="T28" i="11"/>
  <c r="H2" i="11"/>
  <c r="Q22" i="11"/>
  <c r="L10" i="10"/>
  <c r="M32" i="10"/>
  <c r="I2" i="9"/>
  <c r="N46" i="11"/>
  <c r="Q5" i="10"/>
  <c r="I43" i="8"/>
  <c r="R13" i="8"/>
  <c r="D25" i="10"/>
  <c r="K5" i="9"/>
  <c r="H17" i="3"/>
  <c r="R16" i="10"/>
  <c r="S31" i="8"/>
  <c r="E33" i="3"/>
  <c r="R32" i="10"/>
  <c r="S43" i="11"/>
  <c r="G37" i="9"/>
  <c r="I28" i="11"/>
  <c r="J31" i="10"/>
  <c r="L5" i="10"/>
  <c r="L18" i="10"/>
  <c r="G14" i="10"/>
  <c r="L5" i="11"/>
  <c r="F20" i="9"/>
  <c r="P5" i="10"/>
  <c r="K44" i="10"/>
  <c r="O36" i="9"/>
  <c r="G2" i="8"/>
  <c r="F4" i="11"/>
  <c r="Q39" i="11"/>
  <c r="M20" i="11"/>
  <c r="U8" i="10"/>
  <c r="P43" i="11"/>
  <c r="F42" i="11"/>
  <c r="G32" i="11"/>
  <c r="J30" i="10"/>
  <c r="I40" i="10"/>
  <c r="E16" i="3"/>
  <c r="I38" i="11"/>
  <c r="C19" i="9"/>
  <c r="K42" i="9"/>
  <c r="H9" i="8"/>
  <c r="D30" i="10"/>
  <c r="D37" i="10"/>
  <c r="R9" i="11"/>
  <c r="C40" i="10"/>
  <c r="G43" i="11"/>
  <c r="D40" i="11"/>
  <c r="F26" i="11"/>
  <c r="E30" i="11"/>
  <c r="R4" i="11"/>
  <c r="R30" i="10"/>
  <c r="O3" i="11"/>
  <c r="J4" i="11"/>
  <c r="D41" i="10"/>
  <c r="C39" i="11"/>
  <c r="E10" i="3"/>
  <c r="Q46" i="10"/>
  <c r="F36" i="11"/>
  <c r="R45" i="10"/>
  <c r="R14" i="10"/>
  <c r="G27" i="11"/>
  <c r="I29" i="11"/>
  <c r="R34" i="11"/>
  <c r="O8" i="10"/>
  <c r="M42" i="11"/>
  <c r="U45" i="11"/>
  <c r="E6" i="3"/>
  <c r="P29" i="11"/>
  <c r="J25" i="10"/>
  <c r="Q37" i="8"/>
  <c r="L31" i="8"/>
  <c r="C36" i="10"/>
  <c r="M5" i="10"/>
  <c r="R2" i="11"/>
  <c r="R22" i="10"/>
  <c r="R38" i="11"/>
  <c r="G12" i="11"/>
  <c r="R2" i="10"/>
  <c r="P46" i="10"/>
  <c r="I8" i="11"/>
  <c r="H44" i="11"/>
  <c r="Q17" i="10"/>
  <c r="S3" i="11"/>
  <c r="S45" i="10"/>
  <c r="L40" i="10"/>
  <c r="R37" i="10"/>
  <c r="R31" i="10"/>
  <c r="F25" i="11"/>
  <c r="E38" i="9"/>
  <c r="T5" i="11"/>
  <c r="N7" i="10"/>
  <c r="S25" i="11"/>
  <c r="Q44" i="11"/>
  <c r="N37" i="9"/>
  <c r="M20" i="10"/>
  <c r="U20" i="11"/>
  <c r="S23" i="11"/>
  <c r="K3" i="8"/>
  <c r="M2" i="9"/>
  <c r="N25" i="9"/>
  <c r="G16" i="11"/>
  <c r="I25" i="9"/>
  <c r="Q37" i="11"/>
  <c r="F25" i="9"/>
  <c r="G38" i="9"/>
  <c r="S46" i="10"/>
  <c r="P31" i="10"/>
  <c r="D7" i="11"/>
  <c r="L26" i="10"/>
  <c r="I26" i="11"/>
  <c r="K18" i="11"/>
  <c r="T42" i="9"/>
  <c r="I20" i="11"/>
  <c r="J41" i="9"/>
  <c r="P14" i="11"/>
  <c r="Q9" i="10"/>
  <c r="P16" i="10"/>
  <c r="H21" i="10"/>
  <c r="J33" i="11"/>
  <c r="S18" i="10"/>
  <c r="N25" i="8"/>
  <c r="D12" i="11"/>
  <c r="S38" i="11"/>
  <c r="N2" i="9"/>
  <c r="L39" i="11"/>
  <c r="U37" i="10"/>
  <c r="G13" i="11"/>
  <c r="S28" i="11"/>
  <c r="N21" i="11"/>
  <c r="H21" i="9"/>
  <c r="R23" i="11"/>
  <c r="T20" i="10"/>
  <c r="R2" i="3"/>
  <c r="O14" i="10"/>
  <c r="C28" i="10"/>
  <c r="T17" i="11"/>
  <c r="G16" i="9"/>
  <c r="G14" i="11"/>
  <c r="D5" i="11"/>
  <c r="N14" i="10"/>
  <c r="L43" i="11"/>
  <c r="R29" i="11"/>
  <c r="S37" i="11"/>
  <c r="L42" i="10"/>
  <c r="Q22" i="9"/>
  <c r="H16" i="3"/>
  <c r="R42" i="3"/>
  <c r="F20" i="8"/>
  <c r="I19" i="9"/>
  <c r="P12" i="10"/>
  <c r="I36" i="9"/>
  <c r="Q14" i="9"/>
  <c r="E46" i="11"/>
  <c r="R42" i="11"/>
  <c r="L41" i="9"/>
  <c r="L2" i="10"/>
  <c r="E13" i="11"/>
  <c r="Q18" i="10"/>
  <c r="T11" i="10"/>
  <c r="O37" i="11"/>
  <c r="G39" i="10"/>
  <c r="H14" i="10"/>
  <c r="U11" i="11"/>
  <c r="T30" i="11"/>
  <c r="J13" i="11"/>
  <c r="F14" i="10"/>
  <c r="C15" i="11"/>
  <c r="G35" i="11"/>
  <c r="N33" i="10"/>
  <c r="K41" i="9"/>
  <c r="F12" i="10"/>
  <c r="T15" i="11"/>
  <c r="J2" i="8"/>
  <c r="O11" i="10"/>
  <c r="O25" i="11"/>
  <c r="R30" i="11"/>
  <c r="H26" i="10"/>
  <c r="K2" i="9"/>
  <c r="N31" i="10"/>
  <c r="P28" i="10"/>
  <c r="R15" i="10"/>
  <c r="T10" i="11"/>
  <c r="R41" i="9"/>
  <c r="N22" i="10"/>
  <c r="I44" i="11"/>
  <c r="Q33" i="10"/>
  <c r="M45" i="11"/>
  <c r="R32" i="9"/>
  <c r="I2" i="10"/>
  <c r="T16" i="10"/>
  <c r="J26" i="10"/>
  <c r="D3" i="11"/>
  <c r="Q19" i="11"/>
  <c r="E43" i="9"/>
  <c r="K3" i="11"/>
  <c r="P39" i="11"/>
  <c r="M29" i="10"/>
  <c r="F2" i="9"/>
  <c r="L35" i="10"/>
  <c r="R7" i="11"/>
  <c r="H40" i="11"/>
  <c r="T13" i="11"/>
  <c r="I29" i="10"/>
  <c r="L26" i="11"/>
  <c r="N26" i="10"/>
  <c r="H23" i="10"/>
  <c r="H15" i="10"/>
  <c r="E27" i="10"/>
  <c r="O27" i="9"/>
  <c r="H28" i="10"/>
  <c r="H46" i="9"/>
  <c r="O31" i="11"/>
  <c r="F29" i="9"/>
  <c r="F10" i="9"/>
  <c r="N19" i="9"/>
  <c r="J16" i="10"/>
  <c r="D9" i="11"/>
  <c r="U38" i="9"/>
  <c r="C22" i="11"/>
  <c r="Q14" i="10"/>
  <c r="S34" i="10"/>
  <c r="S27" i="9"/>
  <c r="Q25" i="10"/>
  <c r="J15" i="10"/>
  <c r="L31" i="10"/>
  <c r="I19" i="10"/>
  <c r="T5" i="10"/>
  <c r="K35" i="9"/>
  <c r="D46" i="11"/>
  <c r="P2" i="3"/>
  <c r="D40" i="10"/>
  <c r="E16" i="10"/>
  <c r="E7" i="11"/>
  <c r="G38" i="11"/>
  <c r="H23" i="11"/>
  <c r="E9" i="11"/>
  <c r="D19" i="11"/>
  <c r="R26" i="11"/>
  <c r="C25" i="9"/>
  <c r="G38" i="8"/>
  <c r="G35" i="10"/>
  <c r="L44" i="10"/>
  <c r="K35" i="10"/>
  <c r="S30" i="9"/>
  <c r="I3" i="11"/>
  <c r="K43" i="8"/>
  <c r="J23" i="9"/>
  <c r="L3" i="10"/>
  <c r="K26" i="9"/>
  <c r="F36" i="10"/>
  <c r="H43" i="9"/>
  <c r="S20" i="3"/>
  <c r="E23" i="3"/>
  <c r="T6" i="8"/>
  <c r="S3" i="8"/>
  <c r="Q12" i="10"/>
  <c r="L20" i="10"/>
  <c r="P4" i="10"/>
  <c r="H16" i="11"/>
  <c r="N7" i="9"/>
  <c r="N16" i="11"/>
  <c r="G23" i="10"/>
  <c r="U35" i="10"/>
  <c r="D14" i="9"/>
  <c r="G27" i="9"/>
  <c r="I37" i="10"/>
  <c r="E36" i="9"/>
  <c r="S34" i="11"/>
  <c r="C7" i="11"/>
  <c r="T41" i="10"/>
  <c r="G26" i="11"/>
  <c r="P30" i="10"/>
  <c r="L6" i="10"/>
  <c r="G39" i="11"/>
  <c r="O19" i="11"/>
  <c r="U26" i="8"/>
  <c r="I34" i="8"/>
  <c r="I29" i="8"/>
  <c r="P15" i="8"/>
  <c r="U35" i="11"/>
  <c r="F40" i="11"/>
  <c r="C44" i="10"/>
  <c r="C37" i="10"/>
  <c r="L31" i="9"/>
  <c r="D20" i="11"/>
  <c r="M34" i="11"/>
  <c r="J7" i="10"/>
  <c r="O30" i="9"/>
  <c r="F17" i="9"/>
  <c r="T12" i="9"/>
  <c r="K23" i="3"/>
  <c r="D33" i="8"/>
  <c r="U17" i="11"/>
  <c r="L7" i="9"/>
  <c r="L43" i="3"/>
  <c r="D4" i="9"/>
  <c r="D18" i="10"/>
  <c r="Q18" i="9"/>
  <c r="T27" i="10"/>
  <c r="J28" i="9"/>
  <c r="M27" i="9"/>
  <c r="C16" i="10"/>
  <c r="J33" i="8"/>
  <c r="E14" i="8"/>
  <c r="T44" i="8"/>
  <c r="M29" i="8"/>
  <c r="J9" i="11"/>
  <c r="D45" i="11"/>
  <c r="F5" i="10"/>
  <c r="H21" i="11"/>
  <c r="T41" i="9"/>
  <c r="K28" i="11"/>
  <c r="H29" i="11"/>
  <c r="L45" i="11"/>
  <c r="L3" i="11"/>
  <c r="N19" i="10"/>
  <c r="L19" i="10"/>
  <c r="O28" i="10"/>
  <c r="L46" i="10"/>
  <c r="G45" i="10"/>
  <c r="N3" i="11"/>
  <c r="Q6" i="10"/>
  <c r="J30" i="8"/>
  <c r="O7" i="11"/>
  <c r="H17" i="9"/>
  <c r="U33" i="9"/>
  <c r="K13" i="8"/>
  <c r="D45" i="9"/>
  <c r="H39" i="9"/>
  <c r="T41" i="8"/>
  <c r="N2" i="8"/>
  <c r="S30" i="8"/>
  <c r="C5" i="10"/>
  <c r="R5" i="10"/>
  <c r="M10" i="10"/>
  <c r="S26" i="10"/>
  <c r="U46" i="11"/>
  <c r="O35" i="11"/>
  <c r="F7" i="10"/>
  <c r="G22" i="3"/>
  <c r="K44" i="9"/>
  <c r="K11" i="3"/>
  <c r="L40" i="9"/>
  <c r="G43" i="8"/>
  <c r="O15" i="11"/>
  <c r="G44" i="9"/>
  <c r="F23" i="8"/>
  <c r="D41" i="3"/>
  <c r="O42" i="3"/>
  <c r="M40" i="8"/>
  <c r="L8" i="9"/>
  <c r="O5" i="3"/>
  <c r="K14" i="10"/>
  <c r="R38" i="8"/>
  <c r="C12" i="3"/>
  <c r="J15" i="9"/>
  <c r="O13" i="11"/>
  <c r="N21" i="10"/>
  <c r="L32" i="9"/>
  <c r="J42" i="10"/>
  <c r="P42" i="10"/>
  <c r="G13" i="8"/>
  <c r="P9" i="3"/>
  <c r="K28" i="10"/>
  <c r="F34" i="8"/>
  <c r="L41" i="8"/>
  <c r="U9" i="3"/>
  <c r="F35" i="8"/>
  <c r="C41" i="9"/>
  <c r="D21" i="11"/>
  <c r="Q34" i="9"/>
  <c r="M44" i="11"/>
  <c r="C37" i="11"/>
  <c r="T23" i="11"/>
  <c r="S13" i="9"/>
  <c r="Q26" i="3"/>
  <c r="L44" i="8"/>
  <c r="M7" i="8"/>
  <c r="C19" i="10"/>
  <c r="S7" i="8"/>
  <c r="S27" i="10"/>
  <c r="J25" i="11"/>
  <c r="E31" i="10"/>
  <c r="U5" i="10"/>
  <c r="N18" i="8"/>
  <c r="I4" i="11"/>
  <c r="U35" i="8"/>
  <c r="N40" i="11"/>
  <c r="G15" i="10"/>
  <c r="F42" i="10"/>
  <c r="C7" i="9"/>
  <c r="G39" i="9"/>
  <c r="D38" i="11"/>
  <c r="N8" i="10"/>
  <c r="P6" i="11"/>
  <c r="R32" i="11"/>
  <c r="H22" i="10"/>
  <c r="U34" i="11"/>
  <c r="R13" i="10"/>
  <c r="Q5" i="8"/>
  <c r="F33" i="11"/>
  <c r="C25" i="10"/>
  <c r="H31" i="3"/>
  <c r="O22" i="10"/>
  <c r="G3" i="9"/>
  <c r="R28" i="9"/>
  <c r="U15" i="10"/>
  <c r="T27" i="11"/>
  <c r="U40" i="11"/>
  <c r="F3" i="8"/>
  <c r="N23" i="3"/>
  <c r="U6" i="9"/>
  <c r="D8" i="3"/>
  <c r="D46" i="10"/>
  <c r="L40" i="11"/>
  <c r="N45" i="9"/>
  <c r="F46" i="9"/>
  <c r="H6" i="11"/>
  <c r="T34" i="10"/>
  <c r="P17" i="9"/>
  <c r="P40" i="10"/>
  <c r="U16" i="9"/>
  <c r="H16" i="9"/>
  <c r="O7" i="8"/>
  <c r="P15" i="10"/>
  <c r="F37" i="11"/>
  <c r="Q5" i="11"/>
  <c r="S22" i="10"/>
  <c r="S29" i="10"/>
  <c r="Q43" i="11"/>
  <c r="H20" i="11"/>
  <c r="T35" i="10"/>
  <c r="I10" i="10"/>
  <c r="O33" i="11"/>
  <c r="P40" i="11"/>
  <c r="R9" i="10"/>
  <c r="C23" i="10"/>
  <c r="T8" i="10"/>
  <c r="N14" i="11"/>
  <c r="H40" i="10"/>
  <c r="S39" i="11"/>
  <c r="U4" i="10"/>
  <c r="H11" i="9"/>
  <c r="C11" i="10"/>
  <c r="I7" i="9"/>
  <c r="S29" i="11"/>
  <c r="U26" i="10"/>
  <c r="D21" i="10"/>
  <c r="R10" i="11"/>
  <c r="P21" i="11"/>
  <c r="K6" i="11"/>
  <c r="I38" i="10"/>
  <c r="G3" i="11"/>
  <c r="R3" i="10"/>
  <c r="H2" i="9"/>
  <c r="O15" i="9"/>
  <c r="S16" i="10"/>
  <c r="L20" i="11"/>
  <c r="H3" i="10"/>
  <c r="C29" i="11"/>
  <c r="J20" i="9"/>
  <c r="U3" i="11"/>
  <c r="L41" i="11"/>
  <c r="H39" i="10"/>
  <c r="M2" i="11"/>
  <c r="U7" i="10"/>
  <c r="H20" i="9"/>
  <c r="J19" i="10"/>
  <c r="K8" i="11"/>
  <c r="C8" i="11"/>
  <c r="C14" i="9"/>
  <c r="L46" i="11"/>
  <c r="J45" i="10"/>
  <c r="E25" i="8"/>
  <c r="I15" i="11"/>
  <c r="J32" i="11"/>
  <c r="U5" i="9"/>
  <c r="J17" i="8"/>
  <c r="T2" i="9"/>
  <c r="S6" i="11"/>
  <c r="P18" i="11"/>
  <c r="R15" i="9"/>
  <c r="G22" i="9"/>
  <c r="G25" i="10"/>
  <c r="G31" i="11"/>
  <c r="N12" i="10"/>
  <c r="D26" i="11"/>
  <c r="E26" i="9"/>
  <c r="P38" i="9"/>
  <c r="R11" i="10"/>
  <c r="N28" i="10"/>
  <c r="E16" i="11"/>
  <c r="S11" i="10"/>
  <c r="J17" i="9"/>
  <c r="K6" i="9"/>
  <c r="P43" i="10"/>
  <c r="G33" i="11"/>
  <c r="G37" i="11"/>
  <c r="C8" i="8"/>
  <c r="S42" i="9"/>
  <c r="U37" i="9"/>
  <c r="M25" i="10"/>
  <c r="I39" i="10"/>
  <c r="T23" i="10"/>
  <c r="S9" i="10"/>
  <c r="D27" i="10"/>
  <c r="Q5" i="9"/>
  <c r="H11" i="10"/>
  <c r="J46" i="11"/>
  <c r="U32" i="11"/>
  <c r="D11" i="10"/>
  <c r="T26" i="10"/>
  <c r="I6" i="10"/>
  <c r="R31" i="9"/>
  <c r="H13" i="11"/>
  <c r="O16" i="11"/>
  <c r="I8" i="9"/>
  <c r="U18" i="10"/>
  <c r="F39" i="11"/>
  <c r="G10" i="8"/>
  <c r="F45" i="9"/>
  <c r="G7" i="11"/>
  <c r="G13" i="9"/>
  <c r="U12" i="8"/>
  <c r="P37" i="11"/>
  <c r="O18" i="10"/>
  <c r="L11" i="10"/>
  <c r="M18" i="9"/>
  <c r="G34" i="10"/>
  <c r="T36" i="10"/>
  <c r="Q30" i="3"/>
  <c r="Q39" i="8"/>
  <c r="C28" i="8"/>
  <c r="Q39" i="10"/>
  <c r="C28" i="11"/>
  <c r="T7" i="11"/>
  <c r="K14" i="11"/>
  <c r="Q30" i="9"/>
  <c r="H12" i="11"/>
  <c r="L36" i="10"/>
  <c r="K21" i="3"/>
  <c r="O3" i="8"/>
  <c r="T35" i="9"/>
  <c r="M45" i="3"/>
  <c r="Q9" i="8"/>
  <c r="T45" i="3"/>
  <c r="D36" i="3"/>
  <c r="C39" i="3"/>
  <c r="R6" i="8"/>
  <c r="P19" i="10"/>
  <c r="S31" i="9"/>
  <c r="P7" i="9"/>
  <c r="C34" i="9"/>
  <c r="J3" i="8"/>
  <c r="U41" i="9"/>
  <c r="S36" i="3"/>
  <c r="I30" i="9"/>
  <c r="Q18" i="8"/>
  <c r="G44" i="8"/>
  <c r="I12" i="11"/>
  <c r="O36" i="11"/>
  <c r="G46" i="9"/>
  <c r="K41" i="10"/>
  <c r="T17" i="10"/>
  <c r="F13" i="10"/>
  <c r="E44" i="11"/>
  <c r="T8" i="11"/>
  <c r="Q23" i="9"/>
  <c r="E37" i="10"/>
  <c r="J44" i="10"/>
  <c r="F43" i="10"/>
  <c r="C30" i="11"/>
  <c r="J14" i="10"/>
  <c r="K2" i="8"/>
  <c r="F15" i="10"/>
  <c r="O40" i="11"/>
  <c r="F13" i="11"/>
  <c r="C27" i="10"/>
  <c r="T44" i="11"/>
  <c r="G9" i="9"/>
  <c r="O44" i="3"/>
  <c r="R45" i="3"/>
  <c r="M38" i="11"/>
  <c r="Q15" i="10"/>
  <c r="U3" i="3"/>
  <c r="K4" i="10"/>
  <c r="D5" i="9"/>
  <c r="J22" i="10"/>
  <c r="N15" i="10"/>
  <c r="N18" i="9"/>
  <c r="F36" i="9"/>
  <c r="N32" i="8"/>
  <c r="J36" i="11"/>
  <c r="I45" i="8"/>
  <c r="M7" i="9"/>
  <c r="K10" i="9"/>
  <c r="O10" i="10"/>
  <c r="R32" i="8"/>
  <c r="J44" i="9"/>
  <c r="G23" i="9"/>
  <c r="H20" i="8"/>
  <c r="R21" i="8"/>
  <c r="S45" i="8"/>
  <c r="M38" i="3"/>
  <c r="P39" i="9"/>
  <c r="U15" i="3"/>
  <c r="C18" i="8"/>
  <c r="T28" i="3"/>
  <c r="M19" i="3"/>
  <c r="G10" i="3"/>
  <c r="T35" i="8"/>
  <c r="Q19" i="9"/>
  <c r="L31" i="11"/>
  <c r="O46" i="8"/>
  <c r="R19" i="8"/>
  <c r="N44" i="10"/>
  <c r="T11" i="9"/>
  <c r="J26" i="3"/>
  <c r="J37" i="11"/>
  <c r="F4" i="8"/>
  <c r="N36" i="3"/>
  <c r="R36" i="3"/>
  <c r="Q14" i="3"/>
  <c r="P4" i="3"/>
  <c r="K17" i="9"/>
  <c r="Q30" i="11"/>
  <c r="U42" i="11"/>
  <c r="C42" i="10"/>
  <c r="J16" i="9"/>
  <c r="J35" i="3"/>
  <c r="D43" i="3"/>
  <c r="L13" i="8"/>
  <c r="N44" i="9"/>
  <c r="K34" i="10"/>
  <c r="I19" i="3"/>
  <c r="E7" i="10"/>
  <c r="L15" i="9"/>
  <c r="C26" i="10"/>
  <c r="P38" i="10"/>
  <c r="M37" i="10"/>
  <c r="H9" i="9"/>
  <c r="E14" i="10"/>
  <c r="L21" i="9"/>
  <c r="I7" i="11"/>
  <c r="E12" i="11"/>
  <c r="G4" i="9"/>
  <c r="E38" i="8"/>
  <c r="O10" i="8"/>
  <c r="U19" i="9"/>
  <c r="Q31" i="10"/>
  <c r="L34" i="10"/>
  <c r="I6" i="11"/>
  <c r="E15" i="10"/>
  <c r="C30" i="9"/>
  <c r="G3" i="10"/>
  <c r="G3" i="3"/>
  <c r="H13" i="3"/>
  <c r="H4" i="11"/>
  <c r="U4" i="3"/>
  <c r="U37" i="11"/>
  <c r="I23" i="11"/>
  <c r="M37" i="9"/>
  <c r="I28" i="10"/>
  <c r="F30" i="11"/>
  <c r="Q32" i="3"/>
  <c r="T5" i="8"/>
  <c r="K22" i="8"/>
  <c r="T27" i="8"/>
  <c r="O39" i="3"/>
  <c r="G14" i="9"/>
  <c r="C26" i="9"/>
  <c r="G42" i="3"/>
  <c r="D11" i="9"/>
  <c r="I15" i="10"/>
  <c r="F13" i="8"/>
  <c r="D3" i="10"/>
  <c r="S46" i="11"/>
  <c r="D29" i="10"/>
  <c r="K35" i="11"/>
  <c r="J39" i="11"/>
  <c r="Q14" i="11"/>
  <c r="T13" i="8"/>
  <c r="T19" i="11"/>
  <c r="Q37" i="10"/>
  <c r="T21" i="11"/>
  <c r="E25" i="11"/>
  <c r="N43" i="10"/>
  <c r="E36" i="10"/>
  <c r="N36" i="11"/>
  <c r="L30" i="10"/>
  <c r="M14" i="9"/>
  <c r="K12" i="10"/>
  <c r="M9" i="10"/>
  <c r="S9" i="11"/>
  <c r="K32" i="9"/>
  <c r="H46" i="10"/>
  <c r="N6" i="11"/>
  <c r="F25" i="10"/>
  <c r="O28" i="11"/>
  <c r="E5" i="9"/>
  <c r="E46" i="9"/>
  <c r="P35" i="8"/>
  <c r="K3" i="10"/>
  <c r="O22" i="11"/>
  <c r="M33" i="10"/>
  <c r="J26" i="9"/>
  <c r="G17" i="10"/>
  <c r="N41" i="10"/>
  <c r="E35" i="11"/>
  <c r="T38" i="11"/>
  <c r="Q10" i="10"/>
  <c r="E39" i="10"/>
  <c r="M44" i="10"/>
  <c r="H34" i="10"/>
  <c r="G9" i="11"/>
  <c r="S45" i="9"/>
  <c r="D8" i="10"/>
  <c r="L33" i="8"/>
  <c r="O20" i="11"/>
  <c r="I31" i="3"/>
  <c r="G27" i="10"/>
  <c r="H5" i="8"/>
  <c r="N32" i="11"/>
  <c r="D36" i="8"/>
  <c r="S3" i="9"/>
  <c r="E26" i="10"/>
  <c r="H27" i="10"/>
  <c r="D6" i="10"/>
  <c r="S32" i="11"/>
  <c r="G40" i="9"/>
  <c r="F5" i="11"/>
  <c r="C11" i="11"/>
  <c r="M33" i="11"/>
  <c r="U10" i="11"/>
  <c r="C4" i="10"/>
  <c r="R26" i="10"/>
  <c r="U2" i="10"/>
  <c r="N45" i="10"/>
  <c r="D22" i="8"/>
  <c r="G32" i="9"/>
  <c r="P18" i="8"/>
  <c r="J41" i="11"/>
  <c r="H25" i="3"/>
  <c r="J21" i="11"/>
  <c r="J12" i="10"/>
  <c r="C44" i="8"/>
  <c r="U34" i="10"/>
  <c r="H25" i="10"/>
  <c r="U25" i="8"/>
  <c r="O20" i="3"/>
  <c r="Q41" i="10"/>
  <c r="C41" i="3"/>
  <c r="K29" i="11"/>
  <c r="E15" i="8"/>
  <c r="O40" i="10"/>
  <c r="K37" i="9"/>
  <c r="F22" i="11"/>
  <c r="K25" i="10"/>
  <c r="E5" i="10"/>
  <c r="Q35" i="10"/>
  <c r="C20" i="10"/>
  <c r="L25" i="11"/>
  <c r="Q20" i="9"/>
  <c r="E8" i="8"/>
  <c r="H14" i="9"/>
  <c r="N10" i="11"/>
  <c r="F13" i="9"/>
  <c r="H36" i="8"/>
  <c r="C37" i="3"/>
  <c r="L46" i="3"/>
  <c r="T44" i="10"/>
  <c r="G29" i="3"/>
  <c r="H45" i="11"/>
  <c r="J19" i="3"/>
  <c r="T33" i="8"/>
  <c r="Q18" i="11"/>
  <c r="E40" i="9"/>
  <c r="L38" i="11"/>
  <c r="L37" i="11"/>
  <c r="G12" i="10"/>
  <c r="E14" i="9"/>
  <c r="U28" i="9"/>
  <c r="Q34" i="11"/>
  <c r="M3" i="10"/>
  <c r="F4" i="9"/>
  <c r="S42" i="8"/>
  <c r="O2" i="3"/>
  <c r="D35" i="8"/>
  <c r="T46" i="9"/>
  <c r="N40" i="3"/>
  <c r="O41" i="9"/>
  <c r="S16" i="8"/>
  <c r="K26" i="8"/>
  <c r="S34" i="8"/>
  <c r="N36" i="9"/>
  <c r="K32" i="8"/>
  <c r="O37" i="9"/>
  <c r="I39" i="11"/>
  <c r="E36" i="8"/>
  <c r="Q46" i="11"/>
  <c r="H35" i="9"/>
  <c r="J45" i="3"/>
  <c r="G17" i="9"/>
  <c r="C46" i="3"/>
  <c r="M42" i="8"/>
  <c r="R33" i="8"/>
  <c r="L26" i="8"/>
  <c r="L14" i="9"/>
  <c r="U29" i="8"/>
  <c r="R27" i="10"/>
  <c r="R16" i="9"/>
  <c r="E28" i="10"/>
  <c r="J43" i="10"/>
  <c r="T34" i="11"/>
  <c r="U39" i="8"/>
  <c r="T45" i="10"/>
  <c r="K33" i="11"/>
  <c r="P29" i="10"/>
  <c r="R39" i="9"/>
  <c r="K41" i="8"/>
  <c r="I12" i="8"/>
  <c r="P45" i="8"/>
  <c r="P19" i="11"/>
  <c r="E33" i="9"/>
  <c r="N22" i="11"/>
  <c r="J25" i="8"/>
  <c r="I39" i="9"/>
  <c r="D41" i="11"/>
  <c r="K44" i="8"/>
  <c r="R17" i="11"/>
  <c r="I41" i="9"/>
  <c r="D33" i="10"/>
  <c r="U9" i="11"/>
  <c r="Q33" i="11"/>
  <c r="E34" i="10"/>
  <c r="F4" i="10"/>
  <c r="I14" i="9"/>
  <c r="J16" i="3"/>
  <c r="U23" i="11"/>
  <c r="M43" i="10"/>
  <c r="I2" i="8"/>
  <c r="G6" i="9"/>
  <c r="E37" i="11"/>
  <c r="F28" i="11"/>
  <c r="K22" i="10"/>
  <c r="U38" i="10"/>
  <c r="D13" i="8"/>
  <c r="J18" i="11"/>
  <c r="J33" i="10"/>
  <c r="Q33" i="9"/>
  <c r="F16" i="11"/>
  <c r="F35" i="11"/>
  <c r="D25" i="11"/>
  <c r="E19" i="8"/>
  <c r="R34" i="3"/>
  <c r="U44" i="8"/>
  <c r="S20" i="9"/>
  <c r="F35" i="9"/>
  <c r="F19" i="11"/>
  <c r="E26" i="3"/>
  <c r="L8" i="8"/>
  <c r="I18" i="9"/>
  <c r="G7" i="10"/>
  <c r="K27" i="11"/>
  <c r="O15" i="10"/>
  <c r="L2" i="9"/>
  <c r="K37" i="11"/>
  <c r="T18" i="9"/>
  <c r="S4" i="9"/>
  <c r="J45" i="9"/>
  <c r="T22" i="3"/>
  <c r="C34" i="8"/>
  <c r="C15" i="8"/>
  <c r="D6" i="11"/>
  <c r="D2" i="8"/>
  <c r="R33" i="9"/>
  <c r="D46" i="8"/>
  <c r="S41" i="10"/>
  <c r="I37" i="9"/>
  <c r="K30" i="11"/>
  <c r="P10" i="10"/>
  <c r="S18" i="11"/>
  <c r="M45" i="10"/>
  <c r="T17" i="9"/>
  <c r="R2" i="9"/>
  <c r="L33" i="11"/>
  <c r="M13" i="10"/>
  <c r="C9" i="9"/>
  <c r="G28" i="11"/>
  <c r="D45" i="10"/>
  <c r="D15" i="11"/>
  <c r="C38" i="11"/>
  <c r="R10" i="9"/>
  <c r="I34" i="9"/>
  <c r="C27" i="9"/>
  <c r="J17" i="10"/>
  <c r="J39" i="8"/>
  <c r="Q19" i="10"/>
  <c r="L28" i="11"/>
  <c r="G5" i="9"/>
  <c r="Q3" i="10"/>
  <c r="Q28" i="8"/>
  <c r="O2" i="10"/>
  <c r="N6" i="9"/>
  <c r="J29" i="8"/>
  <c r="T4" i="10"/>
  <c r="N28" i="9"/>
  <c r="C38" i="9"/>
  <c r="T5" i="9"/>
  <c r="Q45" i="10"/>
  <c r="I18" i="11"/>
  <c r="E9" i="9"/>
  <c r="N5" i="9"/>
  <c r="D44" i="9"/>
  <c r="N42" i="10"/>
  <c r="P2" i="9"/>
  <c r="S46" i="9"/>
  <c r="T17" i="8"/>
  <c r="N26" i="9"/>
  <c r="E30" i="9"/>
  <c r="D23" i="3"/>
  <c r="F44" i="8"/>
  <c r="R26" i="3"/>
  <c r="L19" i="9"/>
  <c r="K12" i="9"/>
  <c r="S9" i="8"/>
  <c r="F26" i="9"/>
  <c r="C16" i="9"/>
  <c r="Q28" i="10"/>
  <c r="R21" i="9"/>
  <c r="U22" i="10"/>
  <c r="S36" i="10"/>
  <c r="H10" i="11"/>
  <c r="P25" i="9"/>
  <c r="Q28" i="11"/>
  <c r="S2" i="11"/>
  <c r="G5" i="3"/>
  <c r="P35" i="10"/>
  <c r="I25" i="10"/>
  <c r="P9" i="10"/>
  <c r="R41" i="11"/>
  <c r="Q2" i="9"/>
  <c r="T22" i="11"/>
  <c r="C15" i="9"/>
  <c r="I32" i="10"/>
  <c r="I35" i="10"/>
  <c r="H23" i="9"/>
  <c r="J3" i="10"/>
  <c r="E44" i="10"/>
  <c r="P41" i="10"/>
  <c r="Q10" i="11"/>
  <c r="R27" i="11"/>
  <c r="I27" i="9"/>
  <c r="R42" i="10"/>
  <c r="K14" i="8"/>
  <c r="H18" i="10"/>
  <c r="E25" i="9"/>
  <c r="C43" i="11"/>
  <c r="N43" i="9"/>
  <c r="C42" i="11"/>
  <c r="U39" i="10"/>
  <c r="R4" i="3"/>
  <c r="Q10" i="8"/>
  <c r="R43" i="10"/>
  <c r="D2" i="10"/>
  <c r="L16" i="10"/>
  <c r="Q42" i="10"/>
  <c r="K25" i="3"/>
  <c r="Q16" i="10"/>
  <c r="F41" i="9"/>
  <c r="G2" i="10"/>
  <c r="U23" i="9"/>
  <c r="I22" i="11"/>
  <c r="J2" i="9"/>
  <c r="N25" i="11"/>
  <c r="R4" i="10"/>
  <c r="G36" i="10"/>
  <c r="O39" i="9"/>
  <c r="K42" i="11"/>
  <c r="Q6" i="11"/>
  <c r="L35" i="9"/>
  <c r="S19" i="8"/>
  <c r="K7" i="9"/>
  <c r="R38" i="9"/>
  <c r="H5" i="11"/>
  <c r="D38" i="10"/>
  <c r="L16" i="3"/>
  <c r="R35" i="3"/>
  <c r="R36" i="9"/>
  <c r="K22" i="11"/>
  <c r="C35" i="10"/>
  <c r="H45" i="10"/>
  <c r="Q25" i="9"/>
  <c r="H45" i="9"/>
  <c r="T7" i="9"/>
  <c r="J6" i="8"/>
  <c r="P46" i="8"/>
  <c r="S11" i="3"/>
  <c r="H16" i="10"/>
  <c r="P26" i="3"/>
  <c r="R22" i="11"/>
  <c r="F17" i="10"/>
  <c r="S14" i="10"/>
  <c r="Q25" i="3"/>
  <c r="S28" i="9"/>
  <c r="K21" i="10"/>
  <c r="H37" i="9"/>
  <c r="P26" i="10"/>
  <c r="H39" i="11"/>
  <c r="N4" i="11"/>
  <c r="E17" i="8"/>
  <c r="J34" i="8"/>
  <c r="L30" i="11"/>
  <c r="C17" i="9"/>
  <c r="E33" i="10"/>
  <c r="O5" i="9"/>
  <c r="U14" i="11"/>
  <c r="M19" i="11"/>
  <c r="S13" i="10"/>
  <c r="F10" i="8"/>
  <c r="F33" i="9"/>
  <c r="I41" i="8"/>
  <c r="S44" i="8"/>
  <c r="U46" i="10"/>
  <c r="M22" i="11"/>
  <c r="S4" i="10"/>
  <c r="M30" i="9"/>
  <c r="I42" i="10"/>
  <c r="M35" i="11"/>
  <c r="H31" i="10"/>
  <c r="G42" i="11"/>
  <c r="D41" i="8"/>
  <c r="M31" i="3"/>
  <c r="Q22" i="3"/>
  <c r="F41" i="10"/>
  <c r="U45" i="3"/>
  <c r="E3" i="10"/>
  <c r="E22" i="8"/>
  <c r="P14" i="9"/>
  <c r="P15" i="11"/>
  <c r="R13" i="9"/>
  <c r="G30" i="10"/>
  <c r="E8" i="11"/>
  <c r="P36" i="9"/>
  <c r="K20" i="10"/>
  <c r="Q46" i="9"/>
  <c r="L15" i="11"/>
  <c r="H30" i="10"/>
  <c r="M6" i="9"/>
  <c r="Q38" i="8"/>
  <c r="R25" i="11"/>
  <c r="D30" i="9"/>
  <c r="O18" i="3"/>
  <c r="H29" i="10"/>
  <c r="H18" i="11"/>
  <c r="N26" i="3"/>
  <c r="I40" i="9"/>
  <c r="N5" i="11"/>
  <c r="H5" i="10"/>
  <c r="D44" i="10"/>
  <c r="N33" i="9"/>
  <c r="F43" i="11"/>
  <c r="M41" i="9"/>
  <c r="E25" i="10"/>
  <c r="H10" i="9"/>
  <c r="H30" i="8"/>
  <c r="E4" i="3"/>
  <c r="M30" i="11"/>
  <c r="M10" i="3"/>
  <c r="K33" i="8"/>
  <c r="D19" i="10"/>
  <c r="I20" i="3"/>
  <c r="U30" i="8"/>
  <c r="T4" i="9"/>
  <c r="F10" i="3"/>
  <c r="S36" i="8"/>
  <c r="K37" i="8"/>
  <c r="R46" i="3"/>
  <c r="M44" i="8"/>
  <c r="R20" i="3"/>
  <c r="L35" i="3"/>
  <c r="F38" i="9"/>
  <c r="H44" i="10"/>
  <c r="P19" i="8"/>
  <c r="K11" i="10"/>
  <c r="N8" i="9"/>
  <c r="G11" i="8"/>
  <c r="H44" i="8"/>
  <c r="T42" i="8"/>
  <c r="T37" i="9"/>
  <c r="E16" i="9"/>
  <c r="I23" i="9"/>
  <c r="H36" i="3"/>
  <c r="Q17" i="8"/>
  <c r="C43" i="10"/>
  <c r="C4" i="3"/>
  <c r="I14" i="8"/>
  <c r="S5" i="11"/>
  <c r="J37" i="8"/>
  <c r="G18" i="11"/>
  <c r="T46" i="10"/>
  <c r="R29" i="9"/>
  <c r="R46" i="8"/>
  <c r="S23" i="9"/>
  <c r="C12" i="9"/>
  <c r="G15" i="9"/>
  <c r="N23" i="9"/>
  <c r="K46" i="10"/>
  <c r="K18" i="10"/>
  <c r="T14" i="10"/>
  <c r="C6" i="11"/>
  <c r="N17" i="11"/>
  <c r="G21" i="8"/>
  <c r="D23" i="10"/>
  <c r="P16" i="9"/>
  <c r="R34" i="8"/>
  <c r="I43" i="11"/>
  <c r="P11" i="8"/>
  <c r="F32" i="10"/>
  <c r="O34" i="3"/>
  <c r="D16" i="3"/>
  <c r="G19" i="10"/>
  <c r="N18" i="11"/>
  <c r="U27" i="8"/>
  <c r="H26" i="9"/>
  <c r="I10" i="11"/>
  <c r="J4" i="3"/>
  <c r="G34" i="11"/>
  <c r="I16" i="10"/>
  <c r="M43" i="9"/>
  <c r="G41" i="9"/>
  <c r="L22" i="10"/>
  <c r="S39" i="3"/>
  <c r="K46" i="11"/>
  <c r="D12" i="10"/>
  <c r="K7" i="11"/>
  <c r="S16" i="3"/>
  <c r="P28" i="11"/>
  <c r="P27" i="9"/>
  <c r="J3" i="9"/>
  <c r="F17" i="11"/>
  <c r="G44" i="10"/>
  <c r="G8" i="9"/>
  <c r="E40" i="11"/>
  <c r="I40" i="8"/>
  <c r="S15" i="10"/>
  <c r="L34" i="11"/>
  <c r="S28" i="10"/>
  <c r="R12" i="10"/>
  <c r="D20" i="10"/>
  <c r="C33" i="10"/>
  <c r="I30" i="10"/>
  <c r="E15" i="11"/>
  <c r="N34" i="10"/>
  <c r="K5" i="11"/>
  <c r="D4" i="10"/>
  <c r="O29" i="3"/>
  <c r="S10" i="11"/>
  <c r="D32" i="11"/>
  <c r="K38" i="11"/>
  <c r="S8" i="11"/>
  <c r="I46" i="3"/>
  <c r="E34" i="3"/>
  <c r="E43" i="11"/>
  <c r="P28" i="9"/>
  <c r="F16" i="9"/>
  <c r="Q23" i="8"/>
  <c r="F11" i="11"/>
  <c r="Q7" i="10"/>
  <c r="J22" i="3"/>
  <c r="F31" i="8"/>
  <c r="F29" i="11"/>
  <c r="S25" i="9"/>
  <c r="L7" i="10"/>
  <c r="D16" i="8"/>
  <c r="M15" i="10"/>
  <c r="P37" i="9"/>
  <c r="K40" i="9"/>
  <c r="O8" i="9"/>
  <c r="O10" i="11"/>
  <c r="J41" i="8"/>
  <c r="C34" i="3"/>
  <c r="I11" i="8"/>
  <c r="P46" i="9"/>
  <c r="L46" i="9"/>
  <c r="T46" i="11"/>
  <c r="L23" i="9"/>
  <c r="J5" i="8"/>
  <c r="P34" i="11"/>
  <c r="D34" i="10"/>
  <c r="R27" i="8"/>
  <c r="G43" i="10"/>
  <c r="H41" i="3"/>
  <c r="E5" i="11"/>
  <c r="J8" i="11"/>
  <c r="T29" i="8"/>
  <c r="E43" i="3"/>
  <c r="H37" i="3"/>
  <c r="J40" i="8"/>
  <c r="P13" i="8"/>
  <c r="S3" i="3"/>
  <c r="C34" i="10"/>
  <c r="F39" i="3"/>
  <c r="J8" i="10"/>
  <c r="D31" i="11"/>
  <c r="N39" i="11"/>
  <c r="H8" i="11"/>
  <c r="J22" i="9"/>
  <c r="P14" i="8"/>
  <c r="Q44" i="8"/>
  <c r="H36" i="11"/>
  <c r="L37" i="3"/>
  <c r="K23" i="11"/>
  <c r="Q27" i="10"/>
  <c r="M25" i="9"/>
  <c r="C19" i="11"/>
  <c r="O18" i="11"/>
  <c r="Q12" i="11"/>
  <c r="M32" i="11"/>
  <c r="F37" i="9"/>
  <c r="I6" i="9"/>
  <c r="R23" i="9"/>
  <c r="D3" i="9"/>
  <c r="M4" i="11"/>
  <c r="N34" i="9"/>
  <c r="K43" i="9"/>
  <c r="Q17" i="11"/>
  <c r="E22" i="11"/>
  <c r="P12" i="9"/>
  <c r="M12" i="8"/>
  <c r="G4" i="11"/>
  <c r="F22" i="10"/>
  <c r="T40" i="8"/>
  <c r="F6" i="8"/>
  <c r="K39" i="10"/>
  <c r="T15" i="9"/>
  <c r="S43" i="9"/>
  <c r="U7" i="8"/>
  <c r="U15" i="9"/>
  <c r="I33" i="9"/>
  <c r="J29" i="3"/>
  <c r="L2" i="11"/>
  <c r="C28" i="9"/>
  <c r="Q9" i="9"/>
  <c r="P28" i="8"/>
  <c r="M11" i="9"/>
  <c r="U31" i="3"/>
  <c r="J6" i="9"/>
  <c r="K23" i="10"/>
  <c r="D8" i="11"/>
  <c r="H28" i="9"/>
  <c r="M43" i="8"/>
  <c r="G26" i="9"/>
  <c r="Q12" i="8"/>
  <c r="S9" i="9"/>
  <c r="R4" i="8"/>
  <c r="M11" i="3"/>
  <c r="H46" i="11"/>
  <c r="P27" i="10"/>
  <c r="K33" i="10"/>
  <c r="Q43" i="9"/>
  <c r="L22" i="3"/>
  <c r="K46" i="9"/>
  <c r="Q4" i="11"/>
  <c r="M45" i="8"/>
  <c r="Q8" i="9"/>
  <c r="I41" i="10"/>
  <c r="D12" i="8"/>
  <c r="K34" i="3"/>
  <c r="U18" i="3"/>
  <c r="N39" i="9"/>
  <c r="C27" i="8"/>
  <c r="G18" i="10"/>
  <c r="P32" i="9"/>
  <c r="H15" i="11"/>
  <c r="M41" i="10"/>
  <c r="G45" i="11"/>
  <c r="M34" i="8"/>
  <c r="I11" i="10"/>
  <c r="K14" i="3"/>
  <c r="P4" i="9"/>
  <c r="D36" i="11"/>
  <c r="U6" i="11"/>
  <c r="J5" i="10"/>
  <c r="U46" i="8"/>
  <c r="R20" i="11"/>
  <c r="P8" i="8"/>
  <c r="M40" i="9"/>
  <c r="E18" i="10"/>
  <c r="M20" i="9"/>
  <c r="L17" i="9"/>
  <c r="P45" i="9"/>
  <c r="S32" i="10"/>
  <c r="J37" i="10"/>
  <c r="P42" i="11"/>
  <c r="K39" i="11"/>
  <c r="U25" i="10"/>
  <c r="O44" i="9"/>
  <c r="U26" i="9"/>
  <c r="T2" i="11"/>
  <c r="O43" i="11"/>
  <c r="M41" i="11"/>
  <c r="I11" i="11"/>
  <c r="K36" i="10"/>
  <c r="M31" i="9"/>
  <c r="D29" i="11"/>
  <c r="H41" i="8"/>
  <c r="K7" i="10"/>
  <c r="D28" i="10"/>
  <c r="C7" i="3"/>
  <c r="O23" i="8"/>
  <c r="Q27" i="11"/>
  <c r="F15" i="9"/>
  <c r="U44" i="11"/>
  <c r="K21" i="11"/>
  <c r="E7" i="8"/>
  <c r="O18" i="9"/>
  <c r="K31" i="11"/>
  <c r="G6" i="3"/>
  <c r="M44" i="3"/>
  <c r="G33" i="8"/>
  <c r="E37" i="3"/>
  <c r="D32" i="8"/>
  <c r="S40" i="3"/>
  <c r="F23" i="9"/>
  <c r="U38" i="3"/>
  <c r="J34" i="9"/>
  <c r="G11" i="3"/>
  <c r="S10" i="9"/>
  <c r="K29" i="9"/>
  <c r="O42" i="9"/>
  <c r="M46" i="10"/>
  <c r="D43" i="11"/>
  <c r="I36" i="10"/>
  <c r="I22" i="10"/>
  <c r="I9" i="9"/>
  <c r="H4" i="10"/>
  <c r="L19" i="11"/>
  <c r="C19" i="8"/>
  <c r="C9" i="8"/>
  <c r="U36" i="9"/>
  <c r="P36" i="8"/>
  <c r="P16" i="3"/>
  <c r="G23" i="8"/>
  <c r="H30" i="3"/>
  <c r="G40" i="8"/>
  <c r="H10" i="10"/>
  <c r="D39" i="9"/>
  <c r="F42" i="3"/>
  <c r="N13" i="9"/>
  <c r="H17" i="8"/>
  <c r="R41" i="3"/>
  <c r="S11" i="8"/>
  <c r="O7" i="9"/>
  <c r="S17" i="8"/>
  <c r="O14" i="3"/>
  <c r="F45" i="11"/>
  <c r="T39" i="8"/>
  <c r="M16" i="11"/>
  <c r="E20" i="10"/>
  <c r="H46" i="8"/>
  <c r="P33" i="3"/>
  <c r="G36" i="8"/>
  <c r="O26" i="11"/>
  <c r="Q42" i="11"/>
  <c r="Q8" i="11"/>
  <c r="O35" i="3"/>
  <c r="Q6" i="9"/>
  <c r="H6" i="3"/>
  <c r="F44" i="10"/>
  <c r="L18" i="9"/>
  <c r="M13" i="8"/>
  <c r="L6" i="11"/>
  <c r="M21" i="9"/>
  <c r="Q33" i="8"/>
  <c r="O13" i="9"/>
  <c r="H10" i="8"/>
  <c r="G37" i="10"/>
  <c r="U5" i="11"/>
  <c r="K19" i="3"/>
  <c r="K39" i="8"/>
  <c r="P6" i="9"/>
  <c r="O26" i="10"/>
  <c r="G42" i="9"/>
  <c r="U13" i="9"/>
  <c r="K16" i="10"/>
  <c r="I20" i="9"/>
  <c r="O42" i="11"/>
  <c r="S2" i="10"/>
  <c r="L16" i="9"/>
  <c r="N30" i="11"/>
  <c r="I25" i="11"/>
  <c r="P17" i="8"/>
  <c r="K20" i="8"/>
  <c r="T12" i="10"/>
  <c r="R41" i="8"/>
  <c r="P44" i="10"/>
  <c r="R4" i="9"/>
  <c r="O13" i="10"/>
  <c r="T33" i="9"/>
  <c r="J10" i="10"/>
  <c r="G12" i="9"/>
  <c r="S39" i="8"/>
  <c r="I31" i="9"/>
  <c r="F8" i="11"/>
  <c r="M28" i="10"/>
  <c r="D25" i="8"/>
  <c r="J38" i="10"/>
  <c r="C36" i="9"/>
  <c r="D23" i="8"/>
  <c r="R17" i="9"/>
  <c r="C29" i="10"/>
  <c r="I4" i="3"/>
  <c r="C36" i="11"/>
  <c r="Q44" i="10"/>
  <c r="D43" i="9"/>
  <c r="O31" i="9"/>
  <c r="F6" i="10"/>
  <c r="O46" i="9"/>
  <c r="O2" i="11"/>
  <c r="J29" i="10"/>
  <c r="C38" i="10"/>
  <c r="K30" i="10"/>
  <c r="U19" i="8"/>
  <c r="S5" i="9"/>
  <c r="F11" i="8"/>
  <c r="E30" i="3"/>
  <c r="J28" i="11"/>
  <c r="E41" i="8"/>
  <c r="M6" i="11"/>
  <c r="H12" i="8"/>
  <c r="G19" i="3"/>
  <c r="N32" i="9"/>
  <c r="J33" i="3"/>
  <c r="C37" i="8"/>
  <c r="S19" i="3"/>
  <c r="U45" i="9"/>
  <c r="P27" i="3"/>
  <c r="J41" i="3"/>
  <c r="P43" i="9"/>
  <c r="I3" i="9"/>
  <c r="T46" i="3"/>
  <c r="K6" i="10"/>
  <c r="C6" i="3"/>
  <c r="U27" i="10"/>
  <c r="E34" i="9"/>
  <c r="D28" i="3"/>
  <c r="D31" i="10"/>
  <c r="I17" i="9"/>
  <c r="J8" i="3"/>
  <c r="T7" i="8"/>
  <c r="U31" i="9"/>
  <c r="E34" i="8"/>
  <c r="I30" i="3"/>
  <c r="L32" i="11"/>
  <c r="U14" i="8"/>
  <c r="L39" i="3"/>
  <c r="C10" i="8"/>
  <c r="T10" i="8"/>
  <c r="D30" i="11"/>
  <c r="H8" i="8"/>
  <c r="Q26" i="10"/>
  <c r="U27" i="11"/>
  <c r="C31" i="3"/>
  <c r="E20" i="3"/>
  <c r="L13" i="3"/>
  <c r="I21" i="3"/>
  <c r="I6" i="3"/>
  <c r="N19" i="3"/>
  <c r="T30" i="10"/>
  <c r="U20" i="3"/>
  <c r="K12" i="8"/>
  <c r="O30" i="3"/>
  <c r="N28" i="8"/>
  <c r="N18" i="3"/>
  <c r="U34" i="9"/>
  <c r="J45" i="11"/>
  <c r="C6" i="9"/>
  <c r="N20" i="8"/>
  <c r="C7" i="8"/>
  <c r="L9" i="8"/>
  <c r="D15" i="3"/>
  <c r="G39" i="8"/>
  <c r="D25" i="9"/>
  <c r="O28" i="9"/>
  <c r="F7" i="9"/>
  <c r="J21" i="3"/>
  <c r="O46" i="10"/>
  <c r="J38" i="8"/>
  <c r="H41" i="9"/>
  <c r="N41" i="9"/>
  <c r="P46" i="3"/>
  <c r="C45" i="3"/>
  <c r="K44" i="3"/>
  <c r="R28" i="3"/>
  <c r="G37" i="8"/>
  <c r="C5" i="3"/>
  <c r="F17" i="3"/>
  <c r="M36" i="11"/>
  <c r="L6" i="8"/>
  <c r="L34" i="9"/>
  <c r="I23" i="8"/>
  <c r="I19" i="8"/>
  <c r="F3" i="3"/>
  <c r="U11" i="10"/>
  <c r="C3" i="3"/>
  <c r="M3" i="9"/>
  <c r="F22" i="9"/>
  <c r="T43" i="8"/>
  <c r="J27" i="8"/>
  <c r="L44" i="11"/>
  <c r="J36" i="3"/>
  <c r="I14" i="3"/>
  <c r="G16" i="10"/>
  <c r="I17" i="8"/>
  <c r="D38" i="9"/>
  <c r="Q46" i="8"/>
  <c r="N39" i="8"/>
  <c r="U30" i="9"/>
  <c r="I40" i="11"/>
  <c r="C22" i="3"/>
  <c r="N30" i="9"/>
  <c r="O36" i="8"/>
  <c r="T31" i="3"/>
  <c r="E7" i="3"/>
  <c r="C29" i="9"/>
  <c r="O21" i="3"/>
  <c r="H14" i="8"/>
  <c r="F20" i="11"/>
  <c r="D23" i="9"/>
  <c r="H13" i="9"/>
  <c r="K8" i="10"/>
  <c r="M2" i="10"/>
  <c r="H8" i="10"/>
  <c r="O34" i="10"/>
  <c r="D25" i="3"/>
  <c r="I13" i="10"/>
  <c r="Q25" i="11"/>
  <c r="I45" i="11"/>
  <c r="D5" i="8"/>
  <c r="L42" i="8"/>
  <c r="O32" i="11"/>
  <c r="I13" i="3"/>
  <c r="F11" i="9"/>
  <c r="J44" i="11"/>
  <c r="G8" i="11"/>
  <c r="C15" i="10"/>
  <c r="O27" i="11"/>
  <c r="K16" i="9"/>
  <c r="C23" i="11"/>
  <c r="P38" i="11"/>
  <c r="S42" i="10"/>
  <c r="C5" i="11"/>
  <c r="J43" i="9"/>
  <c r="G39" i="3"/>
  <c r="E6" i="9"/>
  <c r="F29" i="8"/>
  <c r="E18" i="8"/>
  <c r="N44" i="11"/>
  <c r="C17" i="10"/>
  <c r="C13" i="3"/>
  <c r="D20" i="8"/>
  <c r="P35" i="9"/>
  <c r="T17" i="3"/>
  <c r="M32" i="3"/>
  <c r="D14" i="11"/>
  <c r="O23" i="11"/>
  <c r="T7" i="10"/>
  <c r="S22" i="3"/>
  <c r="M5" i="3"/>
  <c r="T43" i="3"/>
  <c r="T8" i="8"/>
  <c r="S35" i="8"/>
  <c r="T36" i="8"/>
  <c r="I29" i="3"/>
  <c r="H19" i="9"/>
  <c r="R10" i="8"/>
  <c r="R40" i="8"/>
  <c r="F27" i="9"/>
  <c r="J4" i="9"/>
  <c r="E45" i="10"/>
  <c r="R35" i="8"/>
  <c r="C30" i="10"/>
  <c r="G11" i="10"/>
  <c r="I26" i="9"/>
  <c r="R37" i="3"/>
  <c r="U40" i="8"/>
  <c r="S40" i="10"/>
  <c r="K11" i="9"/>
  <c r="T31" i="10"/>
  <c r="K16" i="8"/>
  <c r="N29" i="3"/>
  <c r="N38" i="11"/>
  <c r="I5" i="10"/>
  <c r="F34" i="11"/>
  <c r="N40" i="9"/>
  <c r="I14" i="10"/>
  <c r="E23" i="11"/>
  <c r="K44" i="11"/>
  <c r="D20" i="9"/>
  <c r="G23" i="11"/>
  <c r="M5" i="11"/>
  <c r="U11" i="3"/>
  <c r="L36" i="3"/>
  <c r="F43" i="8"/>
  <c r="O21" i="11"/>
  <c r="H11" i="8"/>
  <c r="J3" i="3"/>
  <c r="D6" i="9"/>
  <c r="T21" i="10"/>
  <c r="P22" i="3"/>
  <c r="U42" i="3"/>
  <c r="T29" i="11"/>
  <c r="T10" i="9"/>
  <c r="M18" i="3"/>
  <c r="S27" i="8"/>
  <c r="O17" i="3"/>
  <c r="D12" i="3"/>
  <c r="U2" i="9"/>
  <c r="M31" i="11"/>
  <c r="M19" i="10"/>
  <c r="E10" i="9"/>
  <c r="R27" i="9"/>
  <c r="T12" i="3"/>
  <c r="T10" i="10"/>
  <c r="I27" i="11"/>
  <c r="J13" i="9"/>
  <c r="M23" i="8"/>
  <c r="E18" i="3"/>
  <c r="O17" i="10"/>
  <c r="S4" i="8"/>
  <c r="D14" i="10"/>
  <c r="G22" i="8"/>
  <c r="J9" i="10"/>
  <c r="H37" i="10"/>
  <c r="J43" i="11"/>
  <c r="R15" i="11"/>
  <c r="D9" i="9"/>
  <c r="I4" i="10"/>
  <c r="L15" i="3"/>
  <c r="N2" i="11"/>
  <c r="G4" i="8"/>
  <c r="S17" i="9"/>
  <c r="N6" i="8"/>
  <c r="J23" i="10"/>
  <c r="S11" i="9"/>
  <c r="U4" i="8"/>
  <c r="I39" i="3"/>
  <c r="D9" i="8"/>
  <c r="L17" i="3"/>
  <c r="L38" i="9"/>
  <c r="L6" i="9"/>
  <c r="U13" i="8"/>
  <c r="D30" i="3"/>
  <c r="T15" i="10"/>
  <c r="M18" i="11"/>
  <c r="C30" i="3"/>
  <c r="T41" i="3"/>
  <c r="H27" i="8"/>
  <c r="N15" i="11"/>
  <c r="D15" i="8"/>
  <c r="R38" i="3"/>
  <c r="F39" i="9"/>
  <c r="E39" i="3"/>
  <c r="L10" i="9"/>
  <c r="K42" i="8"/>
  <c r="N34" i="11"/>
  <c r="J9" i="9"/>
  <c r="F8" i="8"/>
  <c r="N43" i="8"/>
  <c r="F46" i="10"/>
  <c r="Q13" i="9"/>
  <c r="T2" i="8"/>
  <c r="M23" i="9"/>
  <c r="L30" i="9"/>
  <c r="S18" i="9"/>
  <c r="O28" i="8"/>
  <c r="C13" i="8"/>
  <c r="R12" i="8"/>
  <c r="J20" i="11"/>
  <c r="O14" i="8"/>
  <c r="J23" i="3"/>
  <c r="D45" i="8"/>
  <c r="O8" i="3"/>
  <c r="M33" i="8"/>
  <c r="R32" i="3"/>
  <c r="D28" i="11"/>
  <c r="N22" i="9"/>
  <c r="N30" i="3"/>
  <c r="P21" i="3"/>
  <c r="K4" i="3"/>
  <c r="D42" i="8"/>
  <c r="I36" i="3"/>
  <c r="E3" i="8"/>
  <c r="S37" i="3"/>
  <c r="C42" i="3"/>
  <c r="L20" i="8"/>
  <c r="Q4" i="8"/>
  <c r="E10" i="11"/>
  <c r="H25" i="11"/>
  <c r="L38" i="8"/>
  <c r="K15" i="9"/>
  <c r="H43" i="10"/>
  <c r="U14" i="10"/>
  <c r="H3" i="3"/>
  <c r="R39" i="3"/>
  <c r="M39" i="9"/>
  <c r="T14" i="8"/>
  <c r="C28" i="3"/>
  <c r="D6" i="3"/>
  <c r="Q14" i="8"/>
  <c r="T30" i="3"/>
  <c r="K8" i="8"/>
  <c r="Q32" i="9"/>
  <c r="N26" i="11"/>
  <c r="M13" i="9"/>
  <c r="P3" i="9"/>
  <c r="Q29" i="9"/>
  <c r="U27" i="9"/>
  <c r="T38" i="3"/>
  <c r="K10" i="8"/>
  <c r="D16" i="11"/>
  <c r="E11" i="3"/>
  <c r="U28" i="3"/>
  <c r="E38" i="10"/>
  <c r="U23" i="3"/>
  <c r="D3" i="3"/>
  <c r="D9" i="10"/>
  <c r="J26" i="8"/>
  <c r="G28" i="3"/>
  <c r="Q16" i="8"/>
  <c r="N45" i="11"/>
  <c r="P32" i="8"/>
  <c r="H27" i="3"/>
  <c r="H44" i="9"/>
  <c r="C43" i="8"/>
  <c r="M40" i="3"/>
  <c r="U40" i="3"/>
  <c r="K23" i="9"/>
  <c r="O37" i="8"/>
  <c r="O40" i="3"/>
  <c r="R7" i="3"/>
  <c r="U36" i="10"/>
  <c r="H36" i="10"/>
  <c r="R12" i="3"/>
  <c r="J45" i="8"/>
  <c r="O41" i="3"/>
  <c r="S5" i="3"/>
  <c r="I43" i="3"/>
  <c r="H17" i="10"/>
  <c r="F11" i="10"/>
  <c r="R34" i="10"/>
  <c r="P9" i="9"/>
  <c r="E41" i="10"/>
  <c r="T39" i="9"/>
  <c r="M39" i="3"/>
  <c r="Q4" i="9"/>
  <c r="T13" i="10"/>
  <c r="P33" i="9"/>
  <c r="H4" i="8"/>
  <c r="O41" i="10"/>
  <c r="I27" i="8"/>
  <c r="L42" i="9"/>
  <c r="R8" i="11"/>
  <c r="I38" i="3"/>
  <c r="D17" i="9"/>
  <c r="H8" i="3"/>
  <c r="I34" i="10"/>
  <c r="D22" i="3"/>
  <c r="L29" i="11"/>
  <c r="L32" i="10"/>
  <c r="C42" i="9"/>
  <c r="Q36" i="10"/>
  <c r="J31" i="9"/>
  <c r="U32" i="10"/>
  <c r="G10" i="9"/>
  <c r="C2" i="11"/>
  <c r="T39" i="10"/>
  <c r="M22" i="10"/>
  <c r="D21" i="9"/>
  <c r="M8" i="10"/>
  <c r="I26" i="10"/>
  <c r="Q45" i="8"/>
  <c r="J6" i="3"/>
  <c r="L21" i="3"/>
  <c r="M26" i="8"/>
  <c r="G36" i="11"/>
  <c r="H22" i="9"/>
  <c r="T4" i="8"/>
  <c r="R2" i="8"/>
  <c r="M36" i="9"/>
  <c r="H32" i="3"/>
  <c r="N46" i="8"/>
  <c r="J6" i="11"/>
  <c r="H33" i="9"/>
  <c r="S6" i="3"/>
  <c r="K20" i="9"/>
  <c r="D26" i="3"/>
  <c r="C33" i="3"/>
  <c r="T16" i="9"/>
  <c r="P34" i="9"/>
  <c r="E18" i="9"/>
  <c r="I6" i="8"/>
  <c r="M30" i="10"/>
  <c r="J34" i="10"/>
  <c r="H23" i="3"/>
  <c r="P43" i="3"/>
  <c r="R22" i="8"/>
  <c r="G20" i="3"/>
  <c r="H41" i="11"/>
  <c r="M21" i="11"/>
  <c r="K39" i="3"/>
  <c r="G29" i="8"/>
  <c r="N43" i="11"/>
  <c r="U26" i="3"/>
  <c r="E11" i="9"/>
  <c r="P41" i="11"/>
  <c r="L9" i="11"/>
  <c r="U43" i="9"/>
  <c r="S21" i="8"/>
  <c r="N21" i="8"/>
  <c r="J23" i="8"/>
  <c r="U5" i="3"/>
  <c r="D46" i="3"/>
  <c r="J34" i="3"/>
  <c r="P5" i="9"/>
  <c r="O29" i="11"/>
  <c r="M31" i="8"/>
  <c r="O11" i="9"/>
  <c r="M26" i="11"/>
  <c r="E35" i="10"/>
  <c r="D7" i="8"/>
  <c r="J44" i="3"/>
  <c r="N31" i="11"/>
  <c r="J15" i="3"/>
  <c r="E13" i="10"/>
  <c r="O38" i="9"/>
  <c r="O19" i="3"/>
  <c r="O22" i="3"/>
  <c r="I9" i="8"/>
  <c r="J38" i="11"/>
  <c r="J10" i="9"/>
  <c r="U30" i="10"/>
  <c r="I35" i="8"/>
  <c r="M39" i="11"/>
  <c r="T23" i="8"/>
  <c r="Q25" i="8"/>
  <c r="D31" i="9"/>
  <c r="H5" i="9"/>
  <c r="K27" i="10"/>
  <c r="Q18" i="3"/>
  <c r="C40" i="9"/>
  <c r="G19" i="9"/>
  <c r="U31" i="10"/>
  <c r="P17" i="10"/>
  <c r="C45" i="9"/>
  <c r="U9" i="10"/>
  <c r="D41" i="9"/>
  <c r="C45" i="10"/>
  <c r="P38" i="3"/>
  <c r="K34" i="8"/>
  <c r="P13" i="9"/>
  <c r="R43" i="3"/>
  <c r="N26" i="8"/>
  <c r="M8" i="9"/>
  <c r="Q28" i="9"/>
  <c r="P18" i="3"/>
  <c r="T25" i="9"/>
  <c r="E13" i="9"/>
  <c r="G20" i="10"/>
  <c r="O14" i="9"/>
  <c r="U6" i="8"/>
  <c r="N27" i="3"/>
  <c r="S40" i="8"/>
  <c r="E14" i="11"/>
  <c r="M12" i="10"/>
  <c r="R46" i="9"/>
  <c r="I12" i="3"/>
  <c r="F40" i="9"/>
  <c r="E9" i="3"/>
  <c r="I20" i="10"/>
  <c r="E20" i="8"/>
  <c r="K12" i="11"/>
  <c r="L17" i="8"/>
  <c r="K45" i="10"/>
  <c r="T11" i="3"/>
  <c r="G16" i="8"/>
  <c r="U36" i="11"/>
  <c r="F27" i="10"/>
  <c r="G40" i="11"/>
  <c r="T38" i="9"/>
  <c r="H4" i="9"/>
  <c r="Q16" i="3"/>
  <c r="H8" i="9"/>
  <c r="I38" i="8"/>
  <c r="R15" i="3"/>
  <c r="E21" i="11"/>
  <c r="K26" i="10"/>
  <c r="C5" i="9"/>
  <c r="H26" i="11"/>
  <c r="P30" i="8"/>
  <c r="M44" i="9"/>
  <c r="F19" i="3"/>
  <c r="S20" i="8"/>
  <c r="R9" i="9"/>
  <c r="K15" i="3"/>
  <c r="E4" i="11"/>
  <c r="G28" i="9"/>
  <c r="J46" i="3"/>
  <c r="S35" i="9"/>
  <c r="G17" i="8"/>
  <c r="G6" i="8"/>
  <c r="C12" i="8"/>
  <c r="E12" i="3"/>
  <c r="J41" i="10"/>
  <c r="R23" i="8"/>
  <c r="O45" i="9"/>
  <c r="E21" i="9"/>
  <c r="H42" i="9"/>
  <c r="R5" i="8"/>
  <c r="D11" i="3"/>
  <c r="Q34" i="8"/>
  <c r="O8" i="11"/>
  <c r="Q40" i="11"/>
  <c r="I37" i="8"/>
  <c r="H37" i="8"/>
  <c r="T31" i="8"/>
  <c r="D18" i="8"/>
  <c r="P44" i="9"/>
  <c r="Q41" i="8"/>
  <c r="G27" i="8"/>
  <c r="O8" i="8"/>
  <c r="P30" i="3"/>
  <c r="H20" i="10"/>
  <c r="C16" i="8"/>
  <c r="N23" i="8"/>
  <c r="N37" i="11"/>
  <c r="O9" i="3"/>
  <c r="N6" i="3"/>
  <c r="T28" i="8"/>
  <c r="N9" i="3"/>
  <c r="C17" i="8"/>
  <c r="F36" i="8"/>
  <c r="T15" i="3"/>
  <c r="T36" i="3"/>
  <c r="S40" i="9"/>
  <c r="I46" i="9"/>
  <c r="K40" i="10"/>
  <c r="G31" i="9"/>
  <c r="J12" i="3"/>
  <c r="P34" i="8"/>
  <c r="U20" i="10"/>
  <c r="F37" i="10"/>
  <c r="M33" i="3"/>
  <c r="O33" i="9"/>
  <c r="G29" i="9"/>
  <c r="C5" i="8"/>
  <c r="I33" i="3"/>
  <c r="D32" i="3"/>
  <c r="K42" i="10"/>
  <c r="S29" i="9"/>
  <c r="F31" i="3"/>
  <c r="D34" i="8"/>
  <c r="C10" i="3"/>
  <c r="J42" i="8"/>
  <c r="S12" i="8"/>
  <c r="T40" i="9"/>
  <c r="S14" i="8"/>
  <c r="Q45" i="3"/>
  <c r="H35" i="8"/>
  <c r="U41" i="8"/>
  <c r="N20" i="10"/>
  <c r="R39" i="8"/>
  <c r="H35" i="10"/>
  <c r="M34" i="3"/>
  <c r="J29" i="9"/>
  <c r="H19" i="8"/>
  <c r="F16" i="3"/>
  <c r="E40" i="3"/>
  <c r="H43" i="3"/>
  <c r="E27" i="8"/>
  <c r="F14" i="11"/>
  <c r="M16" i="9"/>
  <c r="M37" i="8"/>
  <c r="S39" i="9"/>
  <c r="M21" i="8"/>
  <c r="K35" i="8"/>
  <c r="R28" i="10"/>
  <c r="R44" i="9"/>
  <c r="K31" i="9"/>
  <c r="T8" i="9"/>
  <c r="F21" i="3"/>
  <c r="G26" i="3"/>
  <c r="O40" i="8"/>
  <c r="H32" i="11"/>
  <c r="H33" i="3"/>
  <c r="F37" i="3"/>
  <c r="G33" i="9"/>
  <c r="Q16" i="9"/>
  <c r="C30" i="8"/>
  <c r="H11" i="3"/>
  <c r="H26" i="8"/>
  <c r="S26" i="8"/>
  <c r="G7" i="9"/>
  <c r="M10" i="11"/>
  <c r="R20" i="10"/>
  <c r="S3" i="10"/>
  <c r="N11" i="10"/>
  <c r="U10" i="10"/>
  <c r="I31" i="10"/>
  <c r="P17" i="11"/>
  <c r="E42" i="3"/>
  <c r="I28" i="9"/>
  <c r="R42" i="8"/>
  <c r="Q4" i="10"/>
  <c r="E27" i="3"/>
  <c r="H33" i="11"/>
  <c r="C13" i="11"/>
  <c r="H31" i="11"/>
  <c r="J6" i="10"/>
  <c r="C35" i="9"/>
  <c r="H34" i="8"/>
  <c r="Q21" i="9"/>
  <c r="G28" i="8"/>
  <c r="C25" i="3"/>
  <c r="T33" i="3"/>
  <c r="O2" i="8"/>
  <c r="T14" i="9"/>
  <c r="C16" i="11"/>
  <c r="D40" i="9"/>
  <c r="O16" i="8"/>
  <c r="O17" i="8"/>
  <c r="P30" i="9"/>
  <c r="O4" i="8"/>
  <c r="J28" i="8"/>
  <c r="N14" i="9"/>
  <c r="S41" i="8"/>
  <c r="T27" i="3"/>
  <c r="J30" i="3"/>
  <c r="J35" i="10"/>
  <c r="G4" i="3"/>
  <c r="P22" i="10"/>
  <c r="L22" i="8"/>
  <c r="D40" i="8"/>
  <c r="P39" i="3"/>
  <c r="L23" i="11"/>
  <c r="T33" i="11"/>
  <c r="I39" i="8"/>
  <c r="O36" i="3"/>
  <c r="M34" i="9"/>
  <c r="J14" i="11"/>
  <c r="Q15" i="8"/>
  <c r="N38" i="3"/>
  <c r="I28" i="3"/>
  <c r="H10" i="3"/>
  <c r="C20" i="8"/>
  <c r="O11" i="3"/>
  <c r="F4" i="3"/>
  <c r="F14" i="3"/>
  <c r="I27" i="3"/>
  <c r="L39" i="9"/>
  <c r="G36" i="3"/>
  <c r="N25" i="3"/>
  <c r="T34" i="9"/>
  <c r="F5" i="3"/>
  <c r="U43" i="3"/>
  <c r="K33" i="9"/>
  <c r="O32" i="9"/>
  <c r="R26" i="9"/>
  <c r="H9" i="3"/>
  <c r="I10" i="8"/>
  <c r="L10" i="8"/>
  <c r="H14" i="11"/>
  <c r="C20" i="3"/>
  <c r="I10" i="3"/>
  <c r="T32" i="10"/>
  <c r="Q36" i="8"/>
  <c r="C29" i="8"/>
  <c r="L4" i="3"/>
  <c r="T5" i="3"/>
  <c r="I5" i="3"/>
  <c r="N35" i="9"/>
  <c r="N37" i="3"/>
  <c r="Q19" i="8"/>
  <c r="H15" i="9"/>
  <c r="I32" i="8"/>
  <c r="F3" i="9"/>
  <c r="J38" i="3"/>
  <c r="D13" i="10"/>
  <c r="F30" i="8"/>
  <c r="H18" i="8"/>
  <c r="M25" i="11"/>
  <c r="C4" i="9"/>
  <c r="M6" i="3"/>
  <c r="I3" i="8"/>
  <c r="U5" i="8"/>
  <c r="I13" i="8"/>
  <c r="S33" i="3"/>
  <c r="D44" i="8"/>
  <c r="C21" i="3"/>
  <c r="L9" i="9"/>
  <c r="G31" i="3"/>
  <c r="R43" i="8"/>
  <c r="U20" i="9"/>
  <c r="I16" i="8"/>
  <c r="I34" i="11"/>
  <c r="K4" i="8"/>
  <c r="N32" i="3"/>
  <c r="I40" i="3"/>
  <c r="F38" i="8"/>
  <c r="G25" i="11"/>
  <c r="E37" i="8"/>
  <c r="T16" i="8"/>
  <c r="Q38" i="3"/>
  <c r="S29" i="8"/>
  <c r="S28" i="3"/>
  <c r="P4" i="8"/>
  <c r="L43" i="8"/>
  <c r="C9" i="3"/>
  <c r="J13" i="10"/>
  <c r="S18" i="8"/>
  <c r="S29" i="3"/>
  <c r="C10" i="11"/>
  <c r="G43" i="9"/>
  <c r="U12" i="10"/>
  <c r="L22" i="9"/>
  <c r="F20" i="3"/>
  <c r="Q11" i="3"/>
  <c r="U7" i="9"/>
  <c r="S17" i="11"/>
  <c r="U32" i="8"/>
  <c r="C22" i="8"/>
  <c r="U36" i="3"/>
  <c r="I26" i="8"/>
  <c r="K26" i="3"/>
  <c r="U29" i="9"/>
  <c r="S34" i="3"/>
  <c r="N31" i="3"/>
  <c r="F32" i="3"/>
  <c r="T46" i="8"/>
  <c r="S22" i="9"/>
  <c r="J39" i="3"/>
  <c r="K6" i="8"/>
  <c r="O6" i="11"/>
  <c r="G13" i="3"/>
  <c r="O38" i="3"/>
  <c r="O26" i="9"/>
  <c r="S2" i="9"/>
  <c r="K27" i="9"/>
  <c r="D19" i="3"/>
  <c r="S43" i="8"/>
  <c r="E40" i="10"/>
  <c r="M30" i="3"/>
  <c r="T31" i="9"/>
  <c r="M21" i="3"/>
  <c r="R34" i="9"/>
  <c r="K38" i="3"/>
  <c r="L12" i="9"/>
  <c r="O29" i="8"/>
  <c r="M37" i="3"/>
  <c r="Q43" i="8"/>
  <c r="D17" i="3"/>
  <c r="L43" i="9"/>
  <c r="S41" i="9"/>
  <c r="H35" i="11"/>
  <c r="U10" i="8"/>
  <c r="D10" i="3"/>
  <c r="G26" i="8"/>
  <c r="D14" i="8"/>
  <c r="F26" i="8"/>
  <c r="I41" i="11"/>
  <c r="H22" i="8"/>
  <c r="E40" i="8"/>
  <c r="G7" i="8"/>
  <c r="H14" i="3"/>
  <c r="S15" i="3"/>
  <c r="I30" i="8"/>
  <c r="I44" i="8"/>
  <c r="U41" i="3"/>
  <c r="G41" i="8"/>
  <c r="L35" i="8"/>
  <c r="F42" i="9"/>
  <c r="Q42" i="8"/>
  <c r="J46" i="9"/>
  <c r="J16" i="8"/>
  <c r="E12" i="10"/>
  <c r="I41" i="3"/>
  <c r="S13" i="3"/>
  <c r="G41" i="3"/>
  <c r="F11" i="3"/>
  <c r="P29" i="8"/>
  <c r="N12" i="3"/>
  <c r="L42" i="3"/>
  <c r="H34" i="9"/>
  <c r="K45" i="8"/>
  <c r="K7" i="8"/>
  <c r="T42" i="3"/>
  <c r="Q19" i="3"/>
  <c r="F23" i="3"/>
  <c r="F27" i="3"/>
  <c r="D31" i="3"/>
  <c r="J15" i="11"/>
  <c r="T26" i="8"/>
  <c r="I5" i="9"/>
  <c r="P6" i="3"/>
  <c r="H3" i="8"/>
  <c r="T22" i="8"/>
  <c r="P32" i="3"/>
  <c r="F46" i="3"/>
  <c r="U29" i="3"/>
  <c r="G32" i="8"/>
  <c r="K16" i="3"/>
  <c r="U6" i="10"/>
  <c r="O20" i="8"/>
  <c r="J36" i="10"/>
  <c r="T3" i="9"/>
  <c r="O42" i="8"/>
  <c r="F12" i="8"/>
  <c r="E17" i="9"/>
  <c r="T40" i="3"/>
  <c r="G8" i="8"/>
  <c r="R6" i="3"/>
  <c r="N8" i="8"/>
  <c r="N10" i="3"/>
  <c r="J10" i="8"/>
  <c r="U17" i="3"/>
  <c r="H35" i="3"/>
  <c r="J38" i="9"/>
  <c r="E29" i="3"/>
  <c r="U19" i="3"/>
  <c r="S21" i="9"/>
  <c r="U46" i="3"/>
  <c r="R9" i="3"/>
  <c r="K42" i="3"/>
  <c r="O43" i="9"/>
  <c r="D31" i="8"/>
  <c r="L28" i="9"/>
  <c r="R14" i="3"/>
  <c r="O44" i="11"/>
  <c r="I20" i="8"/>
  <c r="C3" i="9"/>
  <c r="K35" i="3"/>
  <c r="N11" i="8"/>
  <c r="C18" i="9"/>
  <c r="F28" i="9"/>
  <c r="P40" i="3"/>
  <c r="G7" i="3"/>
  <c r="L18" i="8"/>
  <c r="E31" i="8"/>
  <c r="S17" i="3"/>
  <c r="O28" i="3"/>
  <c r="N40" i="8"/>
  <c r="O33" i="10"/>
  <c r="Q33" i="3"/>
  <c r="N17" i="3"/>
  <c r="D13" i="3"/>
  <c r="F45" i="8"/>
  <c r="G15" i="3"/>
  <c r="T8" i="3"/>
  <c r="I28" i="8"/>
  <c r="O22" i="9"/>
  <c r="M26" i="3"/>
  <c r="J20" i="10"/>
  <c r="M8" i="8"/>
  <c r="U35" i="3"/>
  <c r="M9" i="3"/>
  <c r="D26" i="8"/>
  <c r="G42" i="8"/>
  <c r="J14" i="9"/>
  <c r="S8" i="9"/>
  <c r="C32" i="8"/>
  <c r="O43" i="8"/>
  <c r="E15" i="3"/>
  <c r="R8" i="9"/>
  <c r="M28" i="3"/>
  <c r="G34" i="8"/>
  <c r="C20" i="11"/>
  <c r="T9" i="8"/>
  <c r="S32" i="8"/>
  <c r="O14" i="11"/>
  <c r="N27" i="10"/>
  <c r="O41" i="8"/>
  <c r="L16" i="11"/>
  <c r="I4" i="9"/>
  <c r="L7" i="3"/>
  <c r="O38" i="8"/>
  <c r="E45" i="9"/>
  <c r="J42" i="3"/>
  <c r="P6" i="8"/>
  <c r="U40" i="9"/>
  <c r="J5" i="9"/>
  <c r="O29" i="10"/>
  <c r="M46" i="11"/>
  <c r="U13" i="3"/>
  <c r="T21" i="3"/>
  <c r="D15" i="9"/>
  <c r="H43" i="8"/>
  <c r="S32" i="9"/>
  <c r="F40" i="3"/>
  <c r="L33" i="9"/>
  <c r="J30" i="11"/>
  <c r="G20" i="11"/>
  <c r="D4" i="11"/>
  <c r="K15" i="10"/>
  <c r="N3" i="9"/>
  <c r="O7" i="3"/>
  <c r="O4" i="3"/>
  <c r="U19" i="11"/>
  <c r="E32" i="8"/>
  <c r="D38" i="3"/>
  <c r="K2" i="10"/>
  <c r="F41" i="3"/>
  <c r="T11" i="11"/>
  <c r="H7" i="10"/>
  <c r="S44" i="9"/>
  <c r="M22" i="3"/>
  <c r="F33" i="3"/>
  <c r="N39" i="3"/>
  <c r="E13" i="3"/>
  <c r="C38" i="8"/>
  <c r="I29" i="9"/>
  <c r="K33" i="3"/>
  <c r="P35" i="3"/>
  <c r="M6" i="8"/>
  <c r="J21" i="8"/>
  <c r="I37" i="3"/>
  <c r="S38" i="8"/>
  <c r="G35" i="8"/>
  <c r="L29" i="8"/>
  <c r="I33" i="8"/>
  <c r="E11" i="8"/>
  <c r="E23" i="9"/>
  <c r="F42" i="8"/>
  <c r="U37" i="3"/>
  <c r="M41" i="8"/>
  <c r="J17" i="3"/>
  <c r="Q6" i="3"/>
  <c r="J32" i="9"/>
  <c r="I42" i="9"/>
  <c r="T13" i="9"/>
  <c r="H12" i="9"/>
  <c r="T9" i="9"/>
  <c r="N28" i="3"/>
  <c r="G15" i="8"/>
  <c r="Q42" i="3"/>
  <c r="Q39" i="3"/>
  <c r="P7" i="3"/>
  <c r="I45" i="9"/>
  <c r="U32" i="9"/>
  <c r="H38" i="9"/>
  <c r="P26" i="9"/>
  <c r="N42" i="9"/>
  <c r="O9" i="8"/>
  <c r="M19" i="8"/>
  <c r="N34" i="8"/>
  <c r="T30" i="8"/>
  <c r="G22" i="10"/>
  <c r="J36" i="8"/>
  <c r="T45" i="8"/>
  <c r="C46" i="9"/>
  <c r="H7" i="3"/>
  <c r="D27" i="8"/>
  <c r="J31" i="3"/>
  <c r="T32" i="9"/>
  <c r="R7" i="9"/>
  <c r="U34" i="3"/>
  <c r="R8" i="8"/>
  <c r="E21" i="3"/>
  <c r="C45" i="8"/>
  <c r="E4" i="8"/>
  <c r="Q17" i="3"/>
  <c r="R18" i="3"/>
  <c r="H36" i="9"/>
  <c r="T14" i="3"/>
  <c r="T16" i="3"/>
  <c r="D19" i="8"/>
  <c r="C4" i="8"/>
  <c r="M7" i="3"/>
  <c r="D27" i="11"/>
  <c r="O26" i="8"/>
  <c r="Q37" i="3"/>
  <c r="M35" i="8"/>
  <c r="L45" i="9"/>
  <c r="E6" i="8"/>
  <c r="E20" i="9"/>
  <c r="C33" i="9"/>
  <c r="H15" i="8"/>
  <c r="R29" i="8"/>
  <c r="Q40" i="8"/>
  <c r="O17" i="11"/>
  <c r="P3" i="3"/>
  <c r="Q4" i="3"/>
  <c r="P8" i="3"/>
  <c r="R9" i="8"/>
  <c r="T28" i="10"/>
  <c r="G19" i="8"/>
  <c r="G36" i="9"/>
  <c r="C33" i="8"/>
  <c r="I17" i="3"/>
  <c r="U15" i="8"/>
  <c r="J40" i="3"/>
  <c r="U42" i="8"/>
  <c r="E4" i="9"/>
  <c r="L6" i="3"/>
  <c r="E32" i="3"/>
  <c r="Q27" i="8"/>
  <c r="I18" i="8"/>
  <c r="D39" i="3"/>
  <c r="K18" i="9"/>
  <c r="I11" i="3"/>
  <c r="S46" i="8"/>
  <c r="D34" i="9"/>
  <c r="D8" i="9"/>
  <c r="J18" i="3"/>
  <c r="L44" i="3"/>
  <c r="O30" i="8"/>
  <c r="T30" i="9"/>
  <c r="T4" i="11"/>
  <c r="R22" i="3"/>
  <c r="F40" i="8"/>
  <c r="Q3" i="3"/>
  <c r="P44" i="3"/>
  <c r="M4" i="9"/>
  <c r="G4" i="10"/>
  <c r="U7" i="3"/>
  <c r="L13" i="9"/>
  <c r="I11" i="9"/>
  <c r="U9" i="9"/>
  <c r="T11" i="8"/>
  <c r="K36" i="3"/>
  <c r="D34" i="3"/>
  <c r="C44" i="3"/>
  <c r="S14" i="3"/>
  <c r="O33" i="8"/>
  <c r="Q34" i="3"/>
  <c r="U21" i="3"/>
  <c r="O13" i="3"/>
  <c r="C36" i="3"/>
  <c r="H45" i="8"/>
  <c r="R10" i="3"/>
  <c r="S4" i="3"/>
  <c r="N10" i="8"/>
  <c r="E27" i="11"/>
  <c r="O18" i="8"/>
  <c r="T20" i="8"/>
  <c r="U10" i="3"/>
  <c r="J36" i="9"/>
  <c r="M26" i="9"/>
  <c r="G35" i="9"/>
  <c r="D18" i="9"/>
  <c r="C38" i="3"/>
  <c r="C42" i="8"/>
  <c r="G32" i="3"/>
  <c r="L39" i="8"/>
  <c r="I33" i="10"/>
  <c r="F18" i="9"/>
  <c r="O41" i="11"/>
  <c r="J42" i="11"/>
  <c r="D4" i="3"/>
  <c r="J7" i="9"/>
  <c r="T9" i="3"/>
  <c r="L32" i="3"/>
  <c r="U42" i="10"/>
  <c r="S33" i="9"/>
  <c r="F35" i="3"/>
  <c r="E26" i="8"/>
  <c r="O20" i="9"/>
  <c r="R8" i="3"/>
  <c r="R25" i="9"/>
  <c r="I35" i="11"/>
  <c r="D16" i="10"/>
  <c r="G11" i="9"/>
  <c r="F14" i="8"/>
  <c r="P20" i="3"/>
  <c r="U37" i="8"/>
  <c r="R5" i="3"/>
  <c r="J11" i="8"/>
  <c r="O10" i="9"/>
  <c r="S22" i="8"/>
  <c r="H20" i="3"/>
  <c r="C8" i="3"/>
  <c r="E5" i="3"/>
  <c r="K45" i="9"/>
  <c r="Q23" i="3"/>
  <c r="M5" i="8"/>
  <c r="E33" i="8"/>
  <c r="T44" i="3"/>
  <c r="G25" i="9"/>
  <c r="J9" i="3"/>
  <c r="P9" i="8"/>
  <c r="U33" i="10"/>
  <c r="H4" i="3"/>
  <c r="L10" i="3"/>
  <c r="H15" i="3"/>
  <c r="F34" i="3"/>
  <c r="M16" i="3"/>
  <c r="Q26" i="9"/>
  <c r="R19" i="9"/>
  <c r="G30" i="3"/>
  <c r="K36" i="9"/>
  <c r="S38" i="3"/>
  <c r="H13" i="8"/>
  <c r="N14" i="3"/>
  <c r="H40" i="3"/>
  <c r="R23" i="3"/>
  <c r="E19" i="9"/>
  <c r="Q7" i="8"/>
  <c r="J32" i="8"/>
  <c r="N22" i="3"/>
  <c r="H39" i="3"/>
  <c r="M40" i="11"/>
  <c r="R3" i="8"/>
  <c r="Q11" i="8"/>
  <c r="T37" i="3"/>
  <c r="Q15" i="9"/>
  <c r="F37" i="8"/>
  <c r="G29" i="10"/>
  <c r="F8" i="9"/>
  <c r="F22" i="8"/>
  <c r="H28" i="8"/>
  <c r="I45" i="3"/>
  <c r="R17" i="8"/>
  <c r="C26" i="11"/>
  <c r="P10" i="8"/>
  <c r="R40" i="9"/>
  <c r="Q21" i="3"/>
  <c r="T44" i="9"/>
  <c r="O15" i="8"/>
  <c r="S35" i="3"/>
  <c r="O29" i="9"/>
  <c r="O15" i="3"/>
  <c r="P35" i="11"/>
  <c r="J39" i="10"/>
  <c r="U23" i="8"/>
  <c r="T32" i="3"/>
  <c r="F29" i="10"/>
  <c r="K34" i="11"/>
  <c r="G40" i="10"/>
  <c r="R33" i="10"/>
  <c r="F32" i="8"/>
  <c r="M42" i="9"/>
  <c r="U12" i="3"/>
  <c r="P31" i="3"/>
  <c r="R43" i="9"/>
  <c r="R40" i="10"/>
  <c r="E29" i="9"/>
  <c r="H6" i="10"/>
  <c r="I21" i="11"/>
  <c r="F26" i="10"/>
  <c r="H16" i="8"/>
  <c r="L41" i="3"/>
  <c r="K9" i="3"/>
  <c r="L27" i="11"/>
  <c r="C21" i="10"/>
  <c r="U33" i="8"/>
  <c r="C46" i="10"/>
  <c r="P19" i="9"/>
  <c r="I18" i="10"/>
  <c r="L17" i="10"/>
  <c r="F12" i="9"/>
  <c r="S34" i="9"/>
  <c r="H40" i="9"/>
  <c r="E11" i="11"/>
  <c r="K27" i="8"/>
  <c r="J21" i="9"/>
  <c r="C41" i="8"/>
  <c r="P12" i="8"/>
  <c r="S13" i="8"/>
  <c r="I37" i="11"/>
  <c r="J46" i="10"/>
  <c r="D46" i="9"/>
  <c r="R11" i="9"/>
  <c r="T23" i="9"/>
  <c r="L11" i="3"/>
  <c r="N11" i="11"/>
  <c r="C32" i="9"/>
  <c r="J10" i="11"/>
  <c r="N16" i="9"/>
  <c r="H31" i="8"/>
  <c r="T18" i="8"/>
  <c r="C23" i="8"/>
  <c r="K38" i="8"/>
  <c r="E28" i="9"/>
  <c r="G40" i="3"/>
  <c r="M20" i="8"/>
  <c r="R6" i="9"/>
  <c r="L5" i="9"/>
  <c r="N3" i="3"/>
  <c r="E19" i="3"/>
  <c r="T22" i="9"/>
  <c r="E46" i="3"/>
  <c r="S10" i="8"/>
  <c r="O43" i="3"/>
  <c r="J15" i="8"/>
  <c r="I35" i="9"/>
  <c r="C19" i="3"/>
  <c r="F9" i="9"/>
  <c r="F5" i="9"/>
  <c r="T10" i="3"/>
  <c r="H18" i="9"/>
  <c r="J10" i="3"/>
  <c r="Q3" i="9"/>
  <c r="G16" i="3"/>
  <c r="S7" i="9"/>
  <c r="S42" i="3"/>
  <c r="U11" i="9"/>
  <c r="I35" i="3"/>
  <c r="T35" i="3"/>
  <c r="D5" i="3"/>
  <c r="F17" i="8"/>
  <c r="K31" i="8"/>
  <c r="M30" i="8"/>
  <c r="G18" i="9"/>
  <c r="H45" i="3"/>
  <c r="L28" i="8"/>
  <c r="T43" i="9"/>
  <c r="U28" i="8"/>
  <c r="U8" i="8"/>
  <c r="L18" i="3"/>
  <c r="H32" i="8"/>
  <c r="H19" i="10"/>
  <c r="D3" i="8"/>
  <c r="N34" i="3"/>
  <c r="L36" i="8"/>
  <c r="N10" i="10"/>
  <c r="Q27" i="3"/>
  <c r="E17" i="3"/>
  <c r="K40" i="8"/>
  <c r="F14" i="9"/>
  <c r="K34" i="9"/>
  <c r="G31" i="8"/>
  <c r="S7" i="3"/>
  <c r="D5" i="10"/>
  <c r="K16" i="11"/>
  <c r="N38" i="9"/>
  <c r="J27" i="3"/>
  <c r="C40" i="3"/>
  <c r="N35" i="8"/>
  <c r="E8" i="9"/>
  <c r="M45" i="9"/>
  <c r="D2" i="9"/>
  <c r="M38" i="9"/>
  <c r="J43" i="3"/>
  <c r="J14" i="3"/>
  <c r="L9" i="3"/>
  <c r="O21" i="9"/>
  <c r="I27" i="10"/>
  <c r="Q31" i="3"/>
  <c r="Q37" i="9"/>
  <c r="U36" i="8"/>
  <c r="P26" i="8"/>
  <c r="R31" i="3"/>
  <c r="M14" i="8"/>
  <c r="Q42" i="9"/>
  <c r="Q46" i="3"/>
  <c r="Q26" i="8"/>
  <c r="E12" i="8"/>
  <c r="P31" i="9"/>
  <c r="D37" i="9"/>
  <c r="F15" i="11"/>
  <c r="K14" i="9"/>
  <c r="C11" i="8"/>
  <c r="R11" i="3"/>
  <c r="D42" i="10"/>
  <c r="J32" i="3"/>
  <c r="J12" i="9"/>
  <c r="E23" i="8"/>
  <c r="S21" i="10"/>
  <c r="Q45" i="11"/>
  <c r="E8" i="10"/>
  <c r="S12" i="9"/>
  <c r="T15" i="8"/>
  <c r="I38" i="9"/>
  <c r="L14" i="8"/>
  <c r="T37" i="8"/>
  <c r="J35" i="8"/>
  <c r="H44" i="3"/>
  <c r="C40" i="8"/>
  <c r="M13" i="3"/>
  <c r="J22" i="8"/>
  <c r="I15" i="8"/>
  <c r="G14" i="8"/>
  <c r="U18" i="9"/>
  <c r="L36" i="9"/>
  <c r="M28" i="9"/>
  <c r="M17" i="8"/>
  <c r="D32" i="10"/>
  <c r="S6" i="8"/>
  <c r="D10" i="8"/>
  <c r="K9" i="8"/>
  <c r="H13" i="10"/>
  <c r="J39" i="9"/>
  <c r="R42" i="9"/>
  <c r="N9" i="11"/>
  <c r="F9" i="8"/>
  <c r="C26" i="8"/>
  <c r="J18" i="10"/>
  <c r="F31" i="9"/>
  <c r="L11" i="9"/>
  <c r="J20" i="8"/>
  <c r="Q41" i="3"/>
  <c r="J31" i="11"/>
  <c r="L45" i="3"/>
  <c r="I46" i="8"/>
  <c r="L35" i="11"/>
  <c r="N16" i="8"/>
  <c r="U44" i="9"/>
  <c r="U14" i="9"/>
  <c r="L32" i="8"/>
  <c r="M23" i="3"/>
  <c r="F7" i="8"/>
  <c r="P42" i="8"/>
  <c r="N13" i="3"/>
  <c r="U9" i="8"/>
  <c r="N36" i="8"/>
  <c r="U44" i="10"/>
  <c r="M28" i="11"/>
  <c r="S7" i="10"/>
  <c r="P8" i="9"/>
  <c r="F19" i="9"/>
  <c r="Q29" i="3"/>
  <c r="D29" i="3"/>
  <c r="P27" i="8"/>
  <c r="R30" i="9"/>
  <c r="M42" i="3"/>
  <c r="F10" i="11"/>
  <c r="R44" i="3"/>
  <c r="D21" i="8"/>
  <c r="L19" i="3"/>
  <c r="H12" i="3"/>
  <c r="I43" i="10"/>
  <c r="R36" i="8"/>
  <c r="S37" i="8"/>
  <c r="K28" i="3"/>
  <c r="H33" i="8"/>
  <c r="M3" i="8"/>
  <c r="R46" i="11"/>
  <c r="G30" i="8"/>
  <c r="E3" i="3"/>
  <c r="I23" i="3"/>
  <c r="Q5" i="3"/>
  <c r="N30" i="8"/>
  <c r="P38" i="8"/>
  <c r="G46" i="8"/>
  <c r="K15" i="11"/>
  <c r="Q40" i="9"/>
  <c r="O13" i="8"/>
  <c r="F45" i="3"/>
  <c r="P3" i="10"/>
  <c r="Q31" i="11"/>
  <c r="D9" i="3"/>
  <c r="E31" i="3"/>
  <c r="P17" i="3"/>
  <c r="N27" i="11"/>
  <c r="N5" i="8"/>
  <c r="O5" i="11"/>
  <c r="U32" i="3"/>
  <c r="H42" i="8"/>
  <c r="F18" i="3"/>
  <c r="O12" i="3"/>
  <c r="E42" i="8"/>
  <c r="H6" i="9"/>
  <c r="L21" i="11"/>
  <c r="R27" i="3"/>
  <c r="D10" i="10"/>
  <c r="J35" i="9"/>
  <c r="Q21" i="8"/>
  <c r="S35" i="10"/>
  <c r="G18" i="8"/>
  <c r="E31" i="9"/>
  <c r="O26" i="3"/>
  <c r="D7" i="9"/>
  <c r="C39" i="8"/>
  <c r="N14" i="8"/>
  <c r="L4" i="8"/>
  <c r="E3" i="9"/>
  <c r="N37" i="8"/>
  <c r="J18" i="8"/>
  <c r="T34" i="3"/>
  <c r="Q11" i="10"/>
  <c r="D4" i="8"/>
  <c r="I13" i="9"/>
  <c r="E32" i="9"/>
  <c r="L21" i="8"/>
  <c r="M22" i="8"/>
  <c r="Q26" i="11"/>
  <c r="L3" i="3"/>
  <c r="K20" i="3"/>
  <c r="R13" i="3"/>
  <c r="I4" i="8"/>
  <c r="E12" i="9"/>
  <c r="E44" i="3"/>
  <c r="N21" i="3"/>
  <c r="D39" i="8"/>
  <c r="L27" i="9"/>
  <c r="N41" i="8"/>
  <c r="Q11" i="9"/>
  <c r="H19" i="3"/>
  <c r="R16" i="8"/>
  <c r="I34" i="3"/>
  <c r="Q8" i="8"/>
  <c r="J44" i="8"/>
  <c r="M29" i="11"/>
  <c r="R31" i="11"/>
  <c r="F34" i="10"/>
  <c r="U30" i="11"/>
  <c r="C8" i="9"/>
  <c r="K31" i="10"/>
  <c r="F44" i="3"/>
  <c r="J28" i="10"/>
  <c r="S31" i="3"/>
  <c r="H40" i="8"/>
  <c r="K5" i="10"/>
  <c r="S16" i="9"/>
  <c r="U4" i="9"/>
  <c r="D19" i="9"/>
  <c r="E35" i="8"/>
  <c r="U20" i="8"/>
  <c r="H38" i="3"/>
  <c r="S8" i="8"/>
  <c r="G45" i="3"/>
  <c r="S21" i="3"/>
  <c r="Q43" i="3"/>
  <c r="O11" i="8"/>
  <c r="D28" i="8"/>
  <c r="D38" i="8"/>
  <c r="M4" i="8"/>
  <c r="L40" i="8"/>
  <c r="P41" i="9"/>
  <c r="Q3" i="8"/>
  <c r="N31" i="9"/>
  <c r="T19" i="3"/>
  <c r="E23" i="10"/>
  <c r="J8" i="8"/>
  <c r="H9" i="10"/>
  <c r="Q40" i="3"/>
  <c r="K7" i="3"/>
  <c r="E16" i="8"/>
  <c r="N41" i="3"/>
  <c r="N20" i="3"/>
  <c r="C44" i="9"/>
  <c r="F27" i="8"/>
  <c r="L3" i="9"/>
  <c r="P40" i="9"/>
  <c r="E7" i="9"/>
  <c r="U6" i="3"/>
  <c r="G37" i="3"/>
  <c r="M33" i="9"/>
  <c r="N42" i="8"/>
  <c r="O40" i="9"/>
  <c r="M12" i="9"/>
  <c r="I43" i="9"/>
  <c r="J11" i="9"/>
  <c r="K29" i="3"/>
  <c r="M29" i="3"/>
  <c r="Q28" i="3"/>
  <c r="I36" i="8"/>
  <c r="M27" i="11"/>
  <c r="S19" i="9"/>
  <c r="H26" i="3"/>
  <c r="H39" i="8"/>
  <c r="T20" i="3"/>
  <c r="K40" i="3"/>
  <c r="G13" i="10"/>
  <c r="J20" i="3"/>
  <c r="Q10" i="9"/>
  <c r="S41" i="3"/>
  <c r="T19" i="8"/>
  <c r="H3" i="11"/>
  <c r="L33" i="3"/>
  <c r="U14" i="3"/>
  <c r="P25" i="8"/>
  <c r="O45" i="8"/>
  <c r="D45" i="3"/>
  <c r="P45" i="3"/>
  <c r="N5" i="3"/>
  <c r="G6" i="10"/>
  <c r="P29" i="9"/>
  <c r="G33" i="3"/>
  <c r="H29" i="3"/>
  <c r="K22" i="3"/>
  <c r="M35" i="3"/>
  <c r="U17" i="8"/>
  <c r="P21" i="9"/>
  <c r="C32" i="3"/>
  <c r="Q9" i="3"/>
  <c r="T28" i="9"/>
  <c r="Q20" i="8"/>
  <c r="G45" i="8"/>
  <c r="U8" i="9"/>
  <c r="H34" i="3"/>
  <c r="F18" i="8"/>
  <c r="F43" i="9"/>
  <c r="E2" i="8"/>
  <c r="N15" i="9"/>
  <c r="H31" i="9"/>
  <c r="N3" i="8"/>
  <c r="O46" i="11"/>
  <c r="R37" i="8"/>
  <c r="D27" i="9"/>
  <c r="G18" i="3"/>
  <c r="N11" i="9"/>
  <c r="K28" i="9"/>
  <c r="G35" i="3"/>
  <c r="F26" i="3"/>
  <c r="L37" i="8"/>
  <c r="Q39" i="9"/>
  <c r="L45" i="8"/>
  <c r="M15" i="3"/>
  <c r="G9" i="8"/>
  <c r="R18" i="8"/>
  <c r="O31" i="3"/>
  <c r="J23" i="11"/>
  <c r="L11" i="8"/>
  <c r="J37" i="9"/>
  <c r="L14" i="11"/>
  <c r="R40" i="3"/>
  <c r="P23" i="8"/>
  <c r="K32" i="10"/>
  <c r="G27" i="3"/>
  <c r="R17" i="3"/>
  <c r="J8" i="9"/>
  <c r="E44" i="9"/>
  <c r="Q12" i="9"/>
  <c r="I26" i="3"/>
  <c r="F30" i="3"/>
  <c r="S15" i="8"/>
  <c r="L29" i="3"/>
  <c r="T34" i="8"/>
  <c r="H21" i="3"/>
  <c r="I36" i="11"/>
  <c r="K8" i="3"/>
  <c r="N15" i="3"/>
  <c r="C21" i="8"/>
  <c r="J11" i="3"/>
  <c r="K22" i="9"/>
  <c r="N27" i="9"/>
  <c r="Q44" i="9"/>
  <c r="F29" i="3"/>
  <c r="F30" i="9"/>
  <c r="P7" i="10"/>
  <c r="F21" i="9"/>
  <c r="T18" i="10"/>
  <c r="P20" i="9"/>
  <c r="G43" i="3"/>
  <c r="O35" i="8"/>
  <c r="U18" i="8"/>
  <c r="U22" i="9"/>
  <c r="C17" i="3"/>
  <c r="S15" i="9"/>
  <c r="C21" i="9"/>
  <c r="F38" i="3"/>
  <c r="C26" i="3"/>
  <c r="M5" i="9"/>
  <c r="P37" i="3"/>
  <c r="P14" i="3"/>
  <c r="T3" i="8"/>
  <c r="O33" i="3"/>
  <c r="Q13" i="3"/>
  <c r="U45" i="8"/>
  <c r="M18" i="8"/>
  <c r="S12" i="3"/>
  <c r="T3" i="3"/>
  <c r="T6" i="9"/>
  <c r="U42" i="9"/>
  <c r="S36" i="9"/>
  <c r="I44" i="9"/>
  <c r="T7" i="3"/>
  <c r="I21" i="9"/>
  <c r="H2" i="10"/>
  <c r="F43" i="3"/>
  <c r="K18" i="8"/>
  <c r="C35" i="3"/>
  <c r="P20" i="8"/>
  <c r="L5" i="8"/>
  <c r="N21" i="9"/>
  <c r="N23" i="11"/>
  <c r="N22" i="8"/>
  <c r="R22" i="9"/>
  <c r="U17" i="10"/>
  <c r="D14" i="3"/>
  <c r="O39" i="8"/>
  <c r="Q20" i="3"/>
  <c r="F22" i="3"/>
  <c r="G12" i="3"/>
  <c r="U12" i="9"/>
  <c r="M43" i="11"/>
  <c r="K21" i="9"/>
  <c r="P18" i="9"/>
  <c r="E35" i="3"/>
  <c r="I44" i="10"/>
  <c r="O12" i="9"/>
  <c r="O45" i="3"/>
  <c r="T20" i="9"/>
  <c r="F7" i="3"/>
  <c r="L40" i="3"/>
  <c r="S9" i="3"/>
  <c r="R19" i="3"/>
  <c r="D37" i="8"/>
  <c r="N8" i="3"/>
  <c r="R18" i="9"/>
  <c r="M9" i="8"/>
  <c r="M38" i="8"/>
  <c r="Q12" i="3"/>
  <c r="K30" i="3"/>
  <c r="K5" i="8"/>
  <c r="K46" i="3"/>
  <c r="M36" i="3"/>
  <c r="K41" i="3"/>
  <c r="M41" i="3"/>
  <c r="N13" i="8"/>
  <c r="I7" i="10"/>
  <c r="S45" i="3"/>
  <c r="P7" i="8"/>
  <c r="D37" i="3"/>
  <c r="C31" i="8"/>
  <c r="L31" i="3"/>
  <c r="P29" i="3"/>
  <c r="M3" i="3"/>
  <c r="R20" i="9"/>
  <c r="K31" i="3"/>
  <c r="K32" i="3"/>
  <c r="M8" i="3"/>
  <c r="P33" i="8"/>
  <c r="N33" i="11"/>
  <c r="H42" i="10"/>
  <c r="M15" i="11"/>
  <c r="R30" i="3"/>
  <c r="F6" i="9"/>
  <c r="F39" i="8"/>
  <c r="S46" i="3"/>
  <c r="S33" i="8"/>
  <c r="P2" i="8"/>
  <c r="N7" i="8"/>
  <c r="I9" i="3"/>
  <c r="O46" i="3"/>
  <c r="F13" i="3"/>
  <c r="M11" i="8"/>
  <c r="G3" i="8"/>
  <c r="O37" i="3"/>
  <c r="N44" i="3"/>
  <c r="E35" i="9"/>
  <c r="O21" i="8"/>
  <c r="T29" i="3"/>
  <c r="D43" i="8"/>
  <c r="M16" i="8"/>
  <c r="R6" i="10"/>
  <c r="L30" i="3"/>
  <c r="R45" i="9"/>
  <c r="U16" i="8"/>
  <c r="I32" i="3"/>
  <c r="K9" i="10"/>
  <c r="C22" i="10"/>
  <c r="L42" i="11"/>
  <c r="D27" i="3"/>
  <c r="M17" i="9"/>
  <c r="Q30" i="8"/>
  <c r="I3" i="10"/>
  <c r="T43" i="10"/>
  <c r="C37" i="9"/>
  <c r="L14" i="3"/>
  <c r="N12" i="11"/>
  <c r="Q17" i="9"/>
  <c r="K46" i="8"/>
  <c r="E38" i="3"/>
  <c r="F41" i="8"/>
  <c r="P11" i="9"/>
  <c r="J27" i="11"/>
  <c r="M32" i="8"/>
  <c r="T39" i="3"/>
  <c r="U3" i="8"/>
  <c r="H7" i="8"/>
  <c r="Q13" i="8"/>
  <c r="L7" i="8"/>
  <c r="M23" i="11"/>
  <c r="G44" i="3"/>
  <c r="O3" i="9"/>
  <c r="K17" i="3"/>
  <c r="I7" i="8"/>
  <c r="S10" i="3"/>
  <c r="E14" i="3"/>
  <c r="E5" i="8"/>
  <c r="E46" i="8"/>
  <c r="O22" i="8"/>
  <c r="I8" i="8"/>
  <c r="L23" i="8"/>
  <c r="K10" i="3"/>
  <c r="D21" i="3"/>
  <c r="P19" i="3"/>
  <c r="F15" i="3"/>
  <c r="N29" i="9"/>
  <c r="F32" i="9"/>
  <c r="Q32" i="8"/>
  <c r="I22" i="8"/>
  <c r="Q31" i="8"/>
  <c r="R3" i="9"/>
  <c r="M10" i="8"/>
  <c r="D13" i="9"/>
  <c r="G21" i="3"/>
  <c r="F34" i="9"/>
  <c r="K43" i="3"/>
  <c r="H28" i="3"/>
  <c r="S23" i="8"/>
  <c r="O5" i="8"/>
  <c r="L5" i="3"/>
  <c r="U39" i="3"/>
  <c r="K23" i="8"/>
  <c r="S14" i="9"/>
  <c r="L34" i="3"/>
  <c r="S26" i="9"/>
  <c r="O3" i="3"/>
  <c r="K3" i="3"/>
  <c r="R28" i="8"/>
  <c r="F8" i="3"/>
  <c r="C29" i="3"/>
  <c r="E36" i="3"/>
  <c r="C14" i="10"/>
  <c r="H5" i="3"/>
  <c r="J7" i="8"/>
  <c r="Q15" i="3"/>
  <c r="D26" i="10"/>
  <c r="N45" i="3"/>
  <c r="L17" i="11"/>
  <c r="I30" i="11"/>
  <c r="C23" i="3"/>
  <c r="Q22" i="10"/>
  <c r="I16" i="9"/>
  <c r="D30" i="8"/>
  <c r="C46" i="8"/>
  <c r="M12" i="11"/>
  <c r="D22" i="9"/>
  <c r="O6" i="8"/>
  <c r="C2" i="9"/>
  <c r="R44" i="8"/>
  <c r="P39" i="8"/>
  <c r="P12" i="3"/>
  <c r="U17" i="9"/>
  <c r="E9" i="10"/>
  <c r="U44" i="3"/>
  <c r="N19" i="8"/>
  <c r="R29" i="3"/>
  <c r="E39" i="9"/>
  <c r="E45" i="3"/>
  <c r="M27" i="3"/>
  <c r="O16" i="3"/>
  <c r="M36" i="8"/>
  <c r="S38" i="9"/>
  <c r="M17" i="3"/>
  <c r="T6" i="3"/>
  <c r="D28" i="9"/>
  <c r="P16" i="8"/>
  <c r="L46" i="8"/>
  <c r="I14" i="11"/>
  <c r="M46" i="3"/>
  <c r="D29" i="8"/>
  <c r="F28" i="8"/>
  <c r="F36" i="3"/>
  <c r="K11" i="8"/>
  <c r="J31" i="8"/>
  <c r="N44" i="8"/>
  <c r="E8" i="3"/>
  <c r="K13" i="10"/>
  <c r="J12" i="8"/>
  <c r="D35" i="9"/>
  <c r="P41" i="3"/>
  <c r="O12" i="8"/>
  <c r="K38" i="10"/>
  <c r="M22" i="9"/>
  <c r="S44" i="3"/>
  <c r="G9" i="3"/>
  <c r="G20" i="9"/>
  <c r="I42" i="11"/>
  <c r="M4" i="3"/>
  <c r="D6" i="8"/>
  <c r="M25" i="8"/>
  <c r="E30" i="8"/>
  <c r="I5" i="8"/>
  <c r="R33" i="3"/>
  <c r="H22" i="3"/>
  <c r="U39" i="9"/>
  <c r="L30" i="8"/>
  <c r="J30" i="9"/>
  <c r="L20" i="3"/>
  <c r="N20" i="9"/>
  <c r="Q35" i="9"/>
  <c r="D11" i="8"/>
  <c r="D35" i="3"/>
  <c r="E9" i="8"/>
  <c r="M29" i="9"/>
  <c r="D33" i="9"/>
  <c r="Q45" i="9"/>
  <c r="O4" i="9"/>
  <c r="D42" i="3"/>
  <c r="C22" i="9"/>
  <c r="C2" i="3"/>
  <c r="F21" i="8"/>
  <c r="F16" i="8"/>
  <c r="O23" i="3"/>
  <c r="Q35" i="8"/>
  <c r="K4" i="9"/>
  <c r="E45" i="8"/>
  <c r="L4" i="9"/>
  <c r="I21" i="8"/>
  <c r="S28" i="8"/>
  <c r="K19" i="11"/>
  <c r="H3" i="9"/>
  <c r="J4" i="8"/>
  <c r="P10" i="3"/>
  <c r="O25" i="8"/>
  <c r="S30" i="3"/>
  <c r="K30" i="9"/>
  <c r="C16" i="3"/>
  <c r="D44" i="3"/>
  <c r="P10" i="9"/>
  <c r="G34" i="3"/>
  <c r="R5" i="9"/>
  <c r="I46" i="11"/>
  <c r="D33" i="3"/>
  <c r="S23" i="3"/>
  <c r="P11" i="3"/>
  <c r="T12" i="8"/>
  <c r="M12" i="3"/>
  <c r="U3" i="9"/>
  <c r="H29" i="9"/>
  <c r="R11" i="8"/>
  <c r="E41" i="9"/>
  <c r="F19" i="8"/>
  <c r="C10" i="10"/>
  <c r="S7" i="11"/>
  <c r="N28" i="11"/>
  <c r="E37" i="9"/>
  <c r="K29" i="8"/>
  <c r="P31" i="8"/>
  <c r="P40" i="8"/>
  <c r="S43" i="3"/>
  <c r="J19" i="8"/>
  <c r="N38" i="8"/>
  <c r="Q10" i="3"/>
  <c r="D18" i="3"/>
  <c r="M32" i="9"/>
  <c r="S26" i="3"/>
  <c r="M43" i="3"/>
  <c r="N33" i="8"/>
  <c r="U8" i="3"/>
  <c r="C35" i="8"/>
  <c r="H32" i="9"/>
  <c r="U46" i="9"/>
  <c r="J18" i="9"/>
  <c r="I44" i="3"/>
  <c r="I15" i="3"/>
  <c r="P41" i="8"/>
  <c r="O32" i="3"/>
  <c r="K27" i="3"/>
  <c r="Q27" i="9"/>
  <c r="L26" i="9"/>
  <c r="N4" i="8"/>
  <c r="I42" i="3"/>
  <c r="N35" i="3"/>
  <c r="G46" i="3"/>
  <c r="K13" i="3"/>
  <c r="O34" i="11"/>
  <c r="I3" i="3"/>
  <c r="R45" i="8"/>
  <c r="L22" i="11"/>
  <c r="F44" i="9"/>
  <c r="N17" i="8"/>
  <c r="J2" i="10"/>
  <c r="J43" i="8"/>
  <c r="T18" i="3"/>
  <c r="P15" i="3"/>
  <c r="I42" i="8"/>
  <c r="U34" i="8"/>
  <c r="M14" i="3"/>
  <c r="E10" i="8"/>
  <c r="D42" i="9"/>
  <c r="O34" i="9"/>
  <c r="L19" i="8"/>
  <c r="O27" i="8"/>
  <c r="G5" i="8"/>
  <c r="O35" i="9"/>
  <c r="U33" i="3"/>
  <c r="R3" i="3"/>
  <c r="L23" i="3"/>
  <c r="P44" i="8"/>
  <c r="N20" i="11"/>
  <c r="F21" i="11"/>
  <c r="I31" i="11"/>
  <c r="P28" i="3"/>
  <c r="H41" i="10"/>
  <c r="C36" i="8"/>
  <c r="M28" i="8"/>
  <c r="F5" i="8"/>
  <c r="N9" i="9"/>
  <c r="N46" i="3"/>
  <c r="K30" i="8"/>
  <c r="S32" i="3"/>
  <c r="F28" i="3"/>
  <c r="F33" i="8"/>
  <c r="S8" i="3"/>
  <c r="S18" i="3"/>
  <c r="C14" i="3"/>
  <c r="M10" i="9"/>
  <c r="R14" i="9"/>
  <c r="U3" i="10"/>
  <c r="H7" i="9"/>
  <c r="C6" i="10"/>
  <c r="C6" i="8"/>
  <c r="R15" i="8"/>
  <c r="O34" i="8"/>
  <c r="U26" i="11"/>
  <c r="T4" i="3"/>
  <c r="T38" i="8"/>
  <c r="P23" i="3"/>
  <c r="L15" i="8"/>
  <c r="C11" i="3"/>
  <c r="J5" i="3"/>
  <c r="J28" i="3"/>
  <c r="E2" i="11"/>
  <c r="P21" i="8"/>
  <c r="K19" i="8"/>
  <c r="K3" i="9"/>
  <c r="N33" i="3"/>
  <c r="F12" i="3"/>
  <c r="O10" i="3"/>
  <c r="D40" i="3"/>
  <c r="I18" i="3"/>
  <c r="J14" i="8"/>
  <c r="U27" i="3"/>
  <c r="M3" i="11"/>
  <c r="L16" i="8"/>
  <c r="M27" i="8"/>
  <c r="K5" i="3"/>
  <c r="M26" i="10"/>
  <c r="K21" i="8"/>
  <c r="N4" i="3"/>
  <c r="E28" i="8"/>
  <c r="M20" i="3"/>
  <c r="N7" i="3"/>
  <c r="T27" i="9"/>
  <c r="E43" i="8"/>
  <c r="T13" i="3"/>
  <c r="G38" i="3"/>
  <c r="L38" i="3"/>
  <c r="K37" i="3"/>
  <c r="T36" i="9"/>
  <c r="L28" i="3"/>
  <c r="K6" i="3"/>
  <c r="P23" i="9"/>
  <c r="G12" i="8"/>
  <c r="G45" i="9"/>
  <c r="J4" i="10"/>
  <c r="K39" i="9"/>
  <c r="I25" i="8"/>
  <c r="G14" i="3"/>
  <c r="U11" i="8"/>
  <c r="O23" i="9"/>
  <c r="D36" i="10"/>
  <c r="E22" i="9"/>
  <c r="K19" i="9"/>
  <c r="C31" i="10"/>
  <c r="N27" i="8"/>
  <c r="T26" i="3"/>
  <c r="J37" i="3"/>
  <c r="N9" i="8"/>
  <c r="K8" i="9"/>
  <c r="H18" i="3"/>
  <c r="K28" i="8"/>
  <c r="N4" i="9"/>
  <c r="I7" i="3"/>
  <c r="Q36" i="3"/>
  <c r="P13" i="3"/>
  <c r="I8" i="3"/>
  <c r="T32" i="8"/>
  <c r="N10" i="9"/>
  <c r="N29" i="8"/>
  <c r="D20" i="3"/>
  <c r="E13" i="8"/>
  <c r="L3" i="8"/>
  <c r="U21" i="8"/>
  <c r="D12" i="9"/>
  <c r="L12" i="3"/>
  <c r="J46" i="8"/>
  <c r="N16" i="3"/>
  <c r="Q44" i="3"/>
  <c r="H6" i="8"/>
  <c r="E29" i="8"/>
  <c r="P3" i="8"/>
  <c r="C18" i="3"/>
  <c r="I15" i="9"/>
  <c r="C43" i="3"/>
  <c r="K13" i="9"/>
  <c r="D17" i="8"/>
  <c r="K12" i="3"/>
  <c r="I16" i="3"/>
  <c r="L8" i="3"/>
  <c r="C13" i="9"/>
  <c r="D32" i="9"/>
  <c r="M46" i="8"/>
  <c r="E19" i="10"/>
  <c r="E28" i="3"/>
  <c r="N43" i="3"/>
  <c r="T26" i="9"/>
  <c r="Q35" i="3"/>
  <c r="E21" i="8"/>
  <c r="P37" i="8"/>
  <c r="R21" i="3"/>
  <c r="R26" i="8"/>
  <c r="T21" i="9"/>
  <c r="P42" i="9"/>
  <c r="D8" i="8"/>
  <c r="L27" i="3"/>
  <c r="I22" i="3"/>
  <c r="C27" i="3"/>
  <c r="O27" i="3"/>
  <c r="H46" i="3"/>
  <c r="P36" i="3"/>
  <c r="K45" i="3"/>
  <c r="N31" i="8"/>
  <c r="D7" i="3"/>
  <c r="M15" i="8"/>
  <c r="O6" i="3"/>
  <c r="Q29" i="8"/>
  <c r="K17" i="8"/>
  <c r="T21" i="8"/>
  <c r="C43" i="9"/>
  <c r="J13" i="3"/>
  <c r="N15" i="8"/>
  <c r="C14" i="8"/>
  <c r="J9" i="8"/>
  <c r="G20" i="8"/>
  <c r="R31" i="8"/>
  <c r="P43" i="8"/>
  <c r="M39" i="8"/>
  <c r="U43" i="8"/>
  <c r="S27" i="3"/>
  <c r="P42" i="3"/>
  <c r="T23" i="3"/>
  <c r="N11" i="3"/>
  <c r="I17" i="11"/>
  <c r="F39" i="10"/>
  <c r="R12" i="9"/>
  <c r="K15" i="8"/>
  <c r="E42" i="9"/>
  <c r="N12" i="8"/>
  <c r="P22" i="8"/>
  <c r="Q6" i="8"/>
  <c r="P34" i="3"/>
  <c r="L27" i="8"/>
  <c r="N17" i="9"/>
  <c r="J13" i="8"/>
  <c r="J7" i="3"/>
  <c r="R16" i="3"/>
  <c r="R7" i="8"/>
  <c r="S6" i="9"/>
  <c r="U16" i="3"/>
  <c r="D26" i="9"/>
  <c r="F20" i="10"/>
  <c r="L37" i="9"/>
  <c r="M19" i="9"/>
  <c r="O44" i="8"/>
  <c r="P5" i="8"/>
  <c r="O17" i="9"/>
  <c r="E39" i="8"/>
  <c r="T19" i="9"/>
  <c r="N45" i="8"/>
  <c r="G17" i="3"/>
  <c r="H42" i="3"/>
  <c r="L26" i="3"/>
  <c r="K36" i="8"/>
  <c r="Q7" i="3"/>
  <c r="L12" i="8"/>
  <c r="C40" i="11"/>
  <c r="U30" i="3"/>
  <c r="C31" i="9"/>
  <c r="G23" i="3"/>
  <c r="E41" i="3"/>
  <c r="H23" i="8"/>
  <c r="K43" i="11"/>
  <c r="D29" i="9"/>
  <c r="L44" i="9"/>
  <c r="J40" i="9"/>
  <c r="F6" i="3"/>
  <c r="N42" i="3"/>
  <c r="K18" i="3"/>
  <c r="Q22" i="8"/>
  <c r="R30" i="8"/>
  <c r="H38" i="8"/>
  <c r="M8" i="11"/>
  <c r="Q7" i="9"/>
  <c r="C15" i="3"/>
  <c r="P5" i="3"/>
  <c r="U31" i="8"/>
  <c r="U10" i="9"/>
  <c r="F46" i="8"/>
  <c r="I32" i="9"/>
  <c r="Q8" i="3"/>
  <c r="J3" i="12" l="1"/>
  <c r="K4" i="12"/>
  <c r="I4" i="12"/>
  <c r="K3" i="12"/>
  <c r="J4" i="12"/>
  <c r="H4" i="12"/>
  <c r="I3" i="12"/>
  <c r="L3" i="12"/>
  <c r="H3" i="12"/>
  <c r="L4" i="12"/>
</calcChain>
</file>

<file path=xl/sharedStrings.xml><?xml version="1.0" encoding="utf-8"?>
<sst xmlns="http://schemas.openxmlformats.org/spreadsheetml/2006/main" count="3948" uniqueCount="382">
  <si>
    <t>Start Time</t>
  </si>
  <si>
    <t>Emergency Department Bed 08</t>
  </si>
  <si>
    <t>F4 Surg Oncology (3501)</t>
  </si>
  <si>
    <t>Emergency Department Bed 07</t>
  </si>
  <si>
    <t>ICU Room 43 Bed 01</t>
  </si>
  <si>
    <t>Morgue (2032)</t>
  </si>
  <si>
    <t>Emergency Department Bed 11</t>
  </si>
  <si>
    <t>E2 Orthopedics (3502)</t>
  </si>
  <si>
    <t>Nuclear Medicine (2230)</t>
  </si>
  <si>
    <t>E3 Medicine Room 16 Bed 01</t>
  </si>
  <si>
    <t>Echo Lab [MDU] (2586)</t>
  </si>
  <si>
    <t>C3 Oncology Room 23 Bed 01</t>
  </si>
  <si>
    <t>C4 Haematology DWA Bed 01</t>
  </si>
  <si>
    <t>X-Ray Core - B1 (2245)</t>
  </si>
  <si>
    <t>Endoscopy (2334)</t>
  </si>
  <si>
    <t>DI Intervention #1 (2274)</t>
  </si>
  <si>
    <t>Emergency Department Bed 10</t>
  </si>
  <si>
    <t>C3 Oncology/GI Medicine Nurse (3395)</t>
  </si>
  <si>
    <t>F4 Surg Oncology Room 03 Bed 01</t>
  </si>
  <si>
    <t>C4 Haematology Room 33 Bed 03</t>
  </si>
  <si>
    <t>E3 Medicine DWA Bed 04</t>
  </si>
  <si>
    <t>E4 Room 15 Bed 04</t>
  </si>
  <si>
    <t>Ultrasound (2276)</t>
  </si>
  <si>
    <t>CDU Express Bed 01</t>
  </si>
  <si>
    <t>E4 Room 15 Bed 02</t>
  </si>
  <si>
    <t>F3 Medicine Room 11 Bed 02</t>
  </si>
  <si>
    <t>F4 Surg Oncology Room 01 Bed 03</t>
  </si>
  <si>
    <t>E4 Room 15 Bed 01</t>
  </si>
  <si>
    <t>E3 Medicine Room 06 Bed 03</t>
  </si>
  <si>
    <t>CDU Express Bed 04</t>
  </si>
  <si>
    <t>CT - B1 (3023)</t>
  </si>
  <si>
    <t>E4 Room 17 Bed 01</t>
  </si>
  <si>
    <t>DI Intervention #2 (2282)</t>
  </si>
  <si>
    <t>Same Day Surgery [SDS] (3592)</t>
  </si>
  <si>
    <t>F3 Medicine Room 05 Bed 03</t>
  </si>
  <si>
    <t>C4 Haematology Room 17 Bed 02</t>
  </si>
  <si>
    <t>F4 Surg Oncology Room 09 Bed 01</t>
  </si>
  <si>
    <t>Diagnostic Imaging (3009)</t>
  </si>
  <si>
    <t>Emergency Department Bed 02</t>
  </si>
  <si>
    <t>E4 GI Surgery Ward (3901)</t>
  </si>
  <si>
    <t>JC Ambulatory Holding (3606)</t>
  </si>
  <si>
    <t>Emergency Department (2285)</t>
  </si>
  <si>
    <t>F4 Surg Oncology Room 12 Bed 03</t>
  </si>
  <si>
    <t>MRI (2778)</t>
  </si>
  <si>
    <t>C3 Oncology Room 32 Bed 01</t>
  </si>
  <si>
    <t>F4 Surg Oncology Room 12 Bed 01</t>
  </si>
  <si>
    <t>F3 Medicine (3907)</t>
  </si>
  <si>
    <t>C3 Oncology Room 16 Bed 01</t>
  </si>
  <si>
    <t>E2 Orthopedics Room 14 Bed 01</t>
  </si>
  <si>
    <t>C3 Oncology Room 05 Bed 01</t>
  </si>
  <si>
    <t>JC 21I (3752)</t>
  </si>
  <si>
    <t>F4 Surg Oncology Room 11 Bed 01</t>
  </si>
  <si>
    <t>B3 Orthopaedics Room 211 Bed 01</t>
  </si>
  <si>
    <t>E2 Orthopedics Room 09 Bed 01</t>
  </si>
  <si>
    <t>C4 Haematology Room 46 Bed 01</t>
  </si>
  <si>
    <t>E3 Medicine Room 12 Bed 02</t>
  </si>
  <si>
    <t>F4 Surg Oncology Room 07 Bed 01</t>
  </si>
  <si>
    <t>F3 Medicine Room 12 Bed 02</t>
  </si>
  <si>
    <t>E3 Medicine Room 18 Bed 02</t>
  </si>
  <si>
    <t>Pulmonary Function [MDU] (2220)</t>
  </si>
  <si>
    <t>JC Chemotherapy (3625)</t>
  </si>
  <si>
    <t>JC 21H (3747)</t>
  </si>
  <si>
    <t>C4 Haematology Room 28 Bed 01</t>
  </si>
  <si>
    <t>E2 Orthopedics Room 16 Bed 01</t>
  </si>
  <si>
    <t>C3 Oncology Room 06 Bed 01</t>
  </si>
  <si>
    <t>C3 Oncology Room 09 Bed 02</t>
  </si>
  <si>
    <t>C3 Oncology Room 10 Bed 01</t>
  </si>
  <si>
    <t>C4 Haematology Room 08 Bed 01</t>
  </si>
  <si>
    <t>Emergency Department Bed 09</t>
  </si>
  <si>
    <t>E3 Medicine CTU (9300)</t>
  </si>
  <si>
    <t>CDU Express Bed 05</t>
  </si>
  <si>
    <t>C3 Oncology Room 17 Bed 03</t>
  </si>
  <si>
    <t>CDU Express Bed 03</t>
  </si>
  <si>
    <t>F4 Surg Oncology Room 01 Bed 01</t>
  </si>
  <si>
    <t>C4 Haematology Room 44 Bed 01</t>
  </si>
  <si>
    <t>F3 Medicine Room 05 Bed 01</t>
  </si>
  <si>
    <t>ICU Room 40 Bed 01</t>
  </si>
  <si>
    <t>C4 Haematology Nurse (3396)</t>
  </si>
  <si>
    <t>F3 Medicine Room 04 Bed 04</t>
  </si>
  <si>
    <t>JC 21G (3743)</t>
  </si>
  <si>
    <t>F3 Medicine Room 04 Bed 01</t>
  </si>
  <si>
    <t>F5 ALC Nurse Station (3511)</t>
  </si>
  <si>
    <t>F4 Surg Oncology Room 02 Bed 01</t>
  </si>
  <si>
    <t>E4 Room 06 Bed 02</t>
  </si>
  <si>
    <t>C3 Oncology Room 26 Bed 01</t>
  </si>
  <si>
    <t>C3 Oncology Room 17 Bed 01</t>
  </si>
  <si>
    <t>E3 Medicine DWA Bed 02</t>
  </si>
  <si>
    <t>JC 10A (3721)</t>
  </si>
  <si>
    <t>JC Clinic A (3610)</t>
  </si>
  <si>
    <t>C4 Haematology Room 31 Bed 01</t>
  </si>
  <si>
    <t>F4 Surg Oncology Room 12 Bed 02</t>
  </si>
  <si>
    <t>E2 Orthopedics Room 04 Bed 01</t>
  </si>
  <si>
    <t>F3 Medicine Room 01 Bed 03</t>
  </si>
  <si>
    <t>F4 Surg Oncology Room 15 Bed 01</t>
  </si>
  <si>
    <t>C4 Haematology Room 52 Bed 01</t>
  </si>
  <si>
    <t>Emergency Department - GRIDLOCK (2286)</t>
  </si>
  <si>
    <t>Emergency Department Bed 04</t>
  </si>
  <si>
    <t>C4 Haematology Room 45 Bed 01</t>
  </si>
  <si>
    <t>PACU (3415)</t>
  </si>
  <si>
    <t>B3 Orthopaedics Room 218 Bed 01</t>
  </si>
  <si>
    <t>Emergency Department Bed 03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</si>
  <si>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</si>
  <si>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</si>
  <si>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</si>
  <si>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</si>
  <si>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</si>
  <si>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</si>
  <si>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</si>
  <si>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</si>
  <si>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</si>
  <si>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</si>
  <si>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</si>
  <si>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</si>
  <si>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</si>
  <si>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</si>
  <si>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</si>
  <si>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</si>
  <si>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</si>
  <si>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</si>
  <si>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</si>
  <si>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</si>
  <si>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</si>
  <si>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</si>
  <si>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</si>
  <si>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</si>
  <si>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</si>
  <si>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</si>
  <si>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</si>
  <si>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E2 Orthopedics Room 07 Bed 03</t>
  </si>
  <si>
    <t>E3 Medicine Room 02 Bed 04</t>
  </si>
  <si>
    <t>C3 Oncology Room 31 Bed 01</t>
  </si>
  <si>
    <t>C3 Oncology Room 07 Bed 01</t>
  </si>
  <si>
    <t>F4 Surg Oncology Room 05 Bed 02</t>
  </si>
  <si>
    <t>E3 Medicine Room 01 Bed 01</t>
  </si>
  <si>
    <t>E3 Medicine Room 02 Bed 01</t>
  </si>
  <si>
    <t>E2 Orthopedics Room 18 Bed 01</t>
  </si>
  <si>
    <t>E4 Room 01 Bed 01</t>
  </si>
  <si>
    <t>Emergency Department Bed 01</t>
  </si>
  <si>
    <t>N/A</t>
  </si>
  <si>
    <t>F3 Medicine Room 05 Bed 04</t>
  </si>
  <si>
    <t>F4 Surg Oncology Room 10 Bed 01</t>
  </si>
  <si>
    <t>E3 Medicine Room 18 Bed 01</t>
  </si>
  <si>
    <t>Cardiac &amp; Critical Care Rm 139 Bed 01</t>
  </si>
  <si>
    <t>B3 Nurse Station (3900)</t>
  </si>
  <si>
    <t>E3 Medicine DWA Bed 01</t>
  </si>
  <si>
    <t>E2 Orthopedics Room 18 Bed 02</t>
  </si>
  <si>
    <t>F3 Medicine Room 12 Bed 04</t>
  </si>
  <si>
    <t>CDU Express Bed 07</t>
  </si>
  <si>
    <t>MSR Ward 3 Rehab Room 08 Bed 03</t>
  </si>
  <si>
    <t>C3 Oncology Room 28 Bed 01</t>
  </si>
  <si>
    <t>C4 Haematology Room 33 Bed 02</t>
  </si>
  <si>
    <t>JC 10D (3724)</t>
  </si>
  <si>
    <t>F3 Medicine Room 02 Bed 02</t>
  </si>
  <si>
    <t>E4 Room 18 Bed 02</t>
  </si>
  <si>
    <t>E3 Medicine Room 02 Bed 02</t>
  </si>
  <si>
    <t>F3 Medicine Room 04 Bed 02</t>
  </si>
  <si>
    <t>C3 Oncology Room 32 Bed 02</t>
  </si>
  <si>
    <t>EMG Lab [MDU] (2216)</t>
  </si>
  <si>
    <t>CDU Express Bed 06</t>
  </si>
  <si>
    <t>ICU Room 44 Bed 01</t>
  </si>
  <si>
    <t>C4 Haematology Room 17 Bed 04</t>
  </si>
  <si>
    <t>JC SIMA (3730)</t>
  </si>
  <si>
    <t>C4 Haematology Room 17 Bed 01</t>
  </si>
  <si>
    <t>JC 10B (3722)</t>
  </si>
  <si>
    <t>E3 Medicine Room 17 Bed 02</t>
  </si>
  <si>
    <t>C4 Haematology Room 43 Bed 01</t>
  </si>
  <si>
    <t>F4 Surg Oncology Room 11 Bed 04</t>
  </si>
  <si>
    <t>F5 ALC Room 12 Bed 03</t>
  </si>
  <si>
    <t>C3 Oncology Room 14 Bed 02</t>
  </si>
  <si>
    <t>E3 Medicine Room 14 Bed 03</t>
  </si>
  <si>
    <t>C3 Oncology Room 25 Bed 02</t>
  </si>
  <si>
    <t>E4 Room 17 Bed 02</t>
  </si>
  <si>
    <t>C3 Oncology Room 13 Bed 01</t>
  </si>
  <si>
    <t>C4 Haematology Room 32 Bed 01</t>
  </si>
  <si>
    <t>F4 Surg Oncology Room 08 Bed 01</t>
  </si>
  <si>
    <t>F4 Surg Oncology DWA Bed 02</t>
  </si>
  <si>
    <t>C4 Haematology Room 27 Bed 01</t>
  </si>
  <si>
    <t>C3 Oncology Room 29 Bed 01</t>
  </si>
  <si>
    <t>JC Lakeview Lodge (5700)</t>
  </si>
  <si>
    <t>JC 10C (3723)</t>
  </si>
  <si>
    <t>Cardiac &amp; Critical Care Rm 138 Bed 02</t>
  </si>
  <si>
    <t>B3 Orthopaedics (3950)</t>
  </si>
  <si>
    <t>C4 Haematology Room 53 Bed 01</t>
  </si>
  <si>
    <t>JC Inpatient Bed 10</t>
  </si>
  <si>
    <t>F4 Surg Oncology Room 05 Bed 01</t>
  </si>
  <si>
    <t>JC 21F (3741)</t>
  </si>
  <si>
    <t>F5 ALC Room 12 Bed 01</t>
  </si>
  <si>
    <t>CMR Ward 2 Rehab (3302)</t>
  </si>
  <si>
    <t>E2 Orthopedics Room 02 Bed 02</t>
  </si>
  <si>
    <t>F3 Medicine Room 10 Bed 01</t>
  </si>
  <si>
    <t>F5 ALC Room 01 Bed 01</t>
  </si>
  <si>
    <t>E4 Room 06 Bed 01</t>
  </si>
  <si>
    <t>Intensive Care Unit [ICU] (3486)</t>
  </si>
  <si>
    <t>E4 Room 06 Bed 03</t>
  </si>
  <si>
    <t>E3 Nurse Station (3497)</t>
  </si>
  <si>
    <t>E2 Orthopedics Room 15 Bed 02</t>
  </si>
  <si>
    <t>B3 Orthopaedics Room 216 Bed 01</t>
  </si>
  <si>
    <t>E2 Orthopedics Room 02 Bed 04</t>
  </si>
  <si>
    <t>PICC Resource Centre [B1-125] (3010)</t>
  </si>
  <si>
    <t>E2 Orthopedics Room 06 Bed 01</t>
  </si>
  <si>
    <t>E2 Orthopedics Room 14 Bed 03</t>
  </si>
  <si>
    <t>E4 Room 16 Bed 02</t>
  </si>
  <si>
    <t>E3 Medicine Room 07 Bed 01</t>
  </si>
  <si>
    <t>B3 Orthopaedics Room 213 Bed 01</t>
  </si>
  <si>
    <t>C3 Oncology Room 28 Bed 02</t>
  </si>
  <si>
    <t>F3 Medicine Room 11 Bed 04</t>
  </si>
  <si>
    <t>E2 Orthopedics Room 11 Bed 01</t>
  </si>
  <si>
    <t>E3 Medicine Room 04 Bed 01</t>
  </si>
  <si>
    <t>CDU Express Bed 09</t>
  </si>
  <si>
    <t>B3 Orthopaedics Room 210 Bed 01</t>
  </si>
  <si>
    <t>C4 Haematology Room 14 Bed 01</t>
  </si>
  <si>
    <t>CDU Express Bed 08</t>
  </si>
  <si>
    <t>Emergency Department Bed 05</t>
  </si>
  <si>
    <t>CMR Ward 2 Rehab Rm 14 Bed 02</t>
  </si>
  <si>
    <t>JC 21D (3736)</t>
  </si>
  <si>
    <t>Oncology Day Nurse Station (3707)</t>
  </si>
  <si>
    <t>MSR Ward 3 Rehab (3171)</t>
  </si>
  <si>
    <t>CDU Express Bed 02</t>
  </si>
  <si>
    <t>C4 Haematology Room 07 Bed 01</t>
  </si>
  <si>
    <t>EEG Lab [MDU] (2221)</t>
  </si>
  <si>
    <t>F4 Surg Oncology Room 01 Bed 02</t>
  </si>
  <si>
    <t>F5 ALC Room 02 Bed 01</t>
  </si>
  <si>
    <t>E3 Medicine Room 06 Bed 01</t>
  </si>
  <si>
    <t>CMR Ward 2 Rehab Rm 05 Bed 01</t>
  </si>
  <si>
    <t>JC 21E (3738)</t>
  </si>
  <si>
    <t>Critical Care ICU Room 145 Bed 01</t>
  </si>
  <si>
    <t>Cardiac &amp; Critical Care Rm 138 Bed 01</t>
  </si>
  <si>
    <t>B3 Orthopaedics Room 221 Bed 02</t>
  </si>
  <si>
    <t>C4 Haematology Room 26 Bed 01</t>
  </si>
  <si>
    <t>CMR Ward 2 Rehab Rm 01 Bed 01</t>
  </si>
  <si>
    <t>F5 ALC Room 05 Bed 01</t>
  </si>
  <si>
    <t>E3 Medicine Room 06 Bed 04</t>
  </si>
  <si>
    <t>E4 Room 18 Bed 03</t>
  </si>
  <si>
    <t>F4 Surg Oncology Room 06 Bed 01</t>
  </si>
  <si>
    <t>B3 Orthopaedics Room 217 Bed 01</t>
  </si>
  <si>
    <t>F3 Medicine Room 12 Bed 03</t>
  </si>
  <si>
    <t>C3 Oncology Room 17 Bed 02</t>
  </si>
  <si>
    <t>E4 Room 01 Bed 02</t>
  </si>
  <si>
    <t>Cardiac &amp; Critical Care Rm 139 Bed 02</t>
  </si>
  <si>
    <t>F3 Medicine Room 01 Bed 02</t>
  </si>
  <si>
    <t>Anywhere (2222)</t>
  </si>
  <si>
    <t>E3 Medicine Room 03 Bed 01</t>
  </si>
  <si>
    <t>MSR Ward 3 Rehab Room 12 Bed 01</t>
  </si>
  <si>
    <t>C4 Haematology Room 23 Bed 01</t>
  </si>
  <si>
    <t>C3 Oncology Room 11 Bed 01</t>
  </si>
  <si>
    <t>Cardiac &amp; Critical Care [CCU] (3488)</t>
  </si>
  <si>
    <t>E3 Medicine Room 02 Bed 03</t>
  </si>
  <si>
    <t>C4 Haematology Room 16 Bed 01</t>
  </si>
  <si>
    <t>E3 Medicine Room 07 Bed 02</t>
  </si>
  <si>
    <t>C4 Haematology Room 12 Bed 01</t>
  </si>
  <si>
    <t>Emergency Department Bed 13</t>
  </si>
  <si>
    <t>E2 Orthopedics Room 18 Bed 03</t>
  </si>
  <si>
    <t>C4 Haematology Room 13 Bed 01</t>
  </si>
  <si>
    <t>E4 Room 02 Bed 01</t>
  </si>
  <si>
    <t>ICU Room 35 Bed 01</t>
  </si>
  <si>
    <t>E2 Orthopedics DWA Bed 01</t>
  </si>
  <si>
    <t>OR (3413)</t>
  </si>
  <si>
    <t>E2 Orthopedics Room 15 Bed 04</t>
  </si>
  <si>
    <t>C4 Haematology Room 29 Bed 02</t>
  </si>
  <si>
    <t>C4 Haematology Room 11 Bed 01</t>
  </si>
  <si>
    <t>F4 Surg Oncology Room 05 Bed 03</t>
  </si>
  <si>
    <t>C3 Oncology Room 30 Bed 01</t>
  </si>
  <si>
    <t>CDU Express Nurse Station (3018)</t>
  </si>
  <si>
    <t>F3 Medicine Room 01 Bed 01</t>
  </si>
  <si>
    <t>Emergency Department Bed 15</t>
  </si>
  <si>
    <t>E3 Medicine Room 18 Bed 03</t>
  </si>
  <si>
    <t>Emergency Department Bed 14</t>
  </si>
  <si>
    <t>C3 Oncology Room 26 Bed 02</t>
  </si>
  <si>
    <t>E3 Medicine Room 06 Bed 02</t>
  </si>
  <si>
    <t>MSR Ward 3 Rehab Room 11 Bed 01</t>
  </si>
  <si>
    <t>E3 Medicine Room 14 Bed 01</t>
  </si>
  <si>
    <t>F4 Surg Oncology Room 04 Bed 02</t>
  </si>
  <si>
    <t>E3 Medicine Room 07 Bed 04</t>
  </si>
  <si>
    <t>Emergency Department Bed 18</t>
  </si>
  <si>
    <t>C4 Haematology Room 17 Bed 03</t>
  </si>
  <si>
    <t>ICU Room 46 Bed 01</t>
  </si>
  <si>
    <t>F5 ALC Room 08 Bed 01</t>
  </si>
  <si>
    <t>C4 Haematology Room 30 Bed 01</t>
  </si>
  <si>
    <t>Cardiac &amp; Critical Care Rm 141 Bed 01</t>
  </si>
  <si>
    <t>E2 Orthopedics Room 06 Bed 02</t>
  </si>
  <si>
    <t>E2 Orthopedics Room 06 Bed 03</t>
  </si>
  <si>
    <t>Critical Care ICU Room 144 Bed 01</t>
  </si>
  <si>
    <t>ICU Room 37 Bed 01</t>
  </si>
  <si>
    <t>E4 Room 11 Bed 01</t>
  </si>
  <si>
    <t>E3 Medicine Room 10 Bed 01</t>
  </si>
  <si>
    <t>CMR Ward 2 Rehab Rm 02 Bed 02</t>
  </si>
  <si>
    <t>E2 Orthopedics Room 15 Bed 03</t>
  </si>
  <si>
    <t>C3 Oncology Room 08 Bed 01</t>
  </si>
  <si>
    <t>CMR Ward 2 Rehab Rm 04 Bed 01</t>
  </si>
  <si>
    <t>F4 Surg Oncology Room 06 Bed 02</t>
  </si>
  <si>
    <t>CMR Ward 2 Rehab Rm 03 Bed 03</t>
  </si>
  <si>
    <t>F3 Medicine Room 05 Bed 02</t>
  </si>
  <si>
    <t>Cardiac &amp; Critical Care Rm 142 Bed 01</t>
  </si>
  <si>
    <t>ICU Room 39 Bed 01</t>
  </si>
  <si>
    <t>JC Lobby Lvl1 (5149)</t>
  </si>
  <si>
    <t>F5 ALC Room 02 Bed 02</t>
  </si>
  <si>
    <t>JC Clinic B (3620)</t>
  </si>
  <si>
    <t>C3 Oncology Room 15 Bed 01</t>
  </si>
  <si>
    <t>E2 Orthopedics Room 07 Bed 04</t>
  </si>
  <si>
    <t>F4 Surg Oncology Room 02 Bed 02</t>
  </si>
  <si>
    <t>Emergency Department Bed 17</t>
  </si>
  <si>
    <t>MSR Ward 3 Rehab Room 07 Bed 03</t>
  </si>
  <si>
    <t>E2 Orthopedics Room 08 Bed 01</t>
  </si>
  <si>
    <t>JC Inpatient Bed 02</t>
  </si>
  <si>
    <t>E2 Orthopedics Room 14 Bed 02</t>
  </si>
  <si>
    <t>E4 Room 02 Bed 03</t>
  </si>
  <si>
    <t>E4 Room 06 Bed 04</t>
  </si>
  <si>
    <t>Critical Care ICU [CICU] (3488)</t>
  </si>
  <si>
    <t>F5 ALC Room 14 Bed 03</t>
  </si>
  <si>
    <t>F3 Medicine Room 01 Bed 04</t>
  </si>
  <si>
    <t>E3 Medicine Room 17 Bed 01</t>
  </si>
  <si>
    <t>B3 Orthopaedics Room 221 Bed 01</t>
  </si>
  <si>
    <t>E2 Orthopedics Room 02 Bed 01</t>
  </si>
  <si>
    <t>F3 Medicine Room 12 Bed 01</t>
  </si>
  <si>
    <t>E3 Medicine Room 18 Bed 04</t>
  </si>
  <si>
    <t>B3 Orthopaedics Room 219 Bed 01</t>
  </si>
  <si>
    <t>F3 Medicine Room 08 Bed 01</t>
  </si>
  <si>
    <t>JC Clinic C (3630)</t>
  </si>
  <si>
    <t>E4 Room 07 Bed 04</t>
  </si>
  <si>
    <t>Critical Care ICU Room 137 Bed 01</t>
  </si>
  <si>
    <t>E3 Medicine Room 01 Bed 02</t>
  </si>
  <si>
    <t>F4 Surg Oncology Room 11 Bed 02</t>
  </si>
  <si>
    <t>ICU Room 41 Bed 01</t>
  </si>
  <si>
    <t>E3 Medicine Room 14 Bed 02</t>
  </si>
  <si>
    <t>C3 Oncology Room 14 Bed 01</t>
  </si>
  <si>
    <t>C3 Oncology DWA Bed 01</t>
  </si>
  <si>
    <t>C4 Haematology Room 15 Bed 01</t>
  </si>
  <si>
    <t>E4 Room 14 Bed 02</t>
  </si>
  <si>
    <t>CMR Ward 2 Rehab Rm 14 Bed 01</t>
  </si>
  <si>
    <t>B3 Orthopaedics Room 212 Bed 01</t>
  </si>
  <si>
    <t>C4 Haematology Room 24 Bed 01</t>
  </si>
  <si>
    <t>E4 Room 18 Bed 01</t>
  </si>
  <si>
    <t>E4 Room 14 Bed 04</t>
  </si>
  <si>
    <t>ICU Room 47 Bed 01</t>
  </si>
  <si>
    <t>C4 Haematology Room 09 Bed 01</t>
  </si>
  <si>
    <t>C3 Oncology Room 29 Bed 02</t>
  </si>
  <si>
    <t>B3 Orthopaedics Room 209 Bed 01</t>
  </si>
  <si>
    <t>F5 ALC Room 16 Bed 01</t>
  </si>
  <si>
    <t>ICU Room 42 Bed 01</t>
  </si>
  <si>
    <t>C4 Haematology Room 30 Bed 02</t>
  </si>
  <si>
    <t>Critical Care ICU Room 137 Bed 02</t>
  </si>
  <si>
    <t>MSR Ward 3 Rehab Room 20 Bed 02</t>
  </si>
  <si>
    <t>Emergency Department Bed 06</t>
  </si>
  <si>
    <t>E4 Room 09 Bed 01</t>
  </si>
  <si>
    <t>Emergency Department Bed 12</t>
  </si>
  <si>
    <t>C4 Haematology Room 33 Bed 04</t>
  </si>
  <si>
    <t>C4 Haematology Room 28 Bed 02</t>
  </si>
  <si>
    <t>JC CT Sim 2 (3735)</t>
  </si>
  <si>
    <t>E2 Orthopedics Room 10 Bed 01</t>
  </si>
  <si>
    <t>JC Clinic D (3640)</t>
  </si>
  <si>
    <t>B3 Orthopaedics Room 208 Bed 01</t>
  </si>
  <si>
    <t>E2 Orthopedics Room 02 Bed 03</t>
  </si>
  <si>
    <t>F4 Surg Oncology Room 04 Bed 01</t>
  </si>
  <si>
    <t>F5 ALC Room 11 Bed 01</t>
  </si>
  <si>
    <t>F4 Surg Oncology Room 05 Bed 04</t>
  </si>
  <si>
    <t>Patient Registration (2240)</t>
  </si>
  <si>
    <t>C3 Oncology Room 25 Bed 01</t>
  </si>
  <si>
    <t>F3 Medicine Room 03 Bed 01</t>
  </si>
  <si>
    <t>F3 Medicine Room 14 Bed 04</t>
  </si>
  <si>
    <t>F3 Medicine Room 03 Bed 02</t>
  </si>
  <si>
    <t>F3 Medicine Room 14 Bed 03</t>
  </si>
  <si>
    <t>JC Inpatient Bed 01</t>
  </si>
  <si>
    <t>F3 Medicine Room 11 Bed 01</t>
  </si>
  <si>
    <t>MSR Ward 3 Rehab Room 12 Bed 02</t>
  </si>
  <si>
    <t>E3 Medicine Room 09 Bed 01</t>
  </si>
  <si>
    <t>F4 Surg Oncology Room 12 Bed 04</t>
  </si>
  <si>
    <t>MSR Ward 3 Rehab Room 14 Bed 01</t>
  </si>
  <si>
    <t>JC Anywhere (6222)</t>
  </si>
  <si>
    <t>C3 Oncology Room 27 Bed 02</t>
  </si>
  <si>
    <t>E2 Orthopedics Room 17 Bed 01</t>
  </si>
  <si>
    <t>C3 Oncology Room 17 Bed 04</t>
  </si>
  <si>
    <t>B3 Orthopaedics Nurse Station (2315)</t>
  </si>
  <si>
    <t>NA4</t>
  </si>
  <si>
    <t>NA5</t>
  </si>
  <si>
    <t>NA6</t>
  </si>
  <si>
    <t>NA7</t>
  </si>
  <si>
    <t>NA8</t>
  </si>
  <si>
    <t>NA9</t>
  </si>
  <si>
    <t>NA10</t>
  </si>
  <si>
    <t>NA11</t>
  </si>
  <si>
    <t>NA12</t>
  </si>
  <si>
    <t>NA13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</si>
</sst>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charset val="1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Fill="1" applyBorder="1" applyAlignment="1" applyProtection="1"/>
    <xf numFmtId="22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/>
    <xf numFmtId="2" fontId="1" fillId="0" borderId="0" xfId="0" applyNumberFormat="1" applyFont="1" applyFill="1" applyBorder="1" applyAlignment="1" applyProtection="1"/>
    <xf numFmtId="2" fontId="0" fillId="0" borderId="0" xfId="0" applyNumberFormat="1"/>
    <xf numFmtId="0" fontId="3" fillId="0" borderId="0" xfId="0" applyNumberFormat="1" applyFont="1" applyFill="1" applyBorder="1" applyAlignment="1" applyProtection="1"/>
    <xf numFmtId="0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5" fillId="0" borderId="4" xfId="0" applyFont="1" applyBorder="1"/>
    <xf numFmtId="2" fontId="5" fillId="0" borderId="4" xfId="0" applyNumberFormat="1" applyFont="1" applyBorder="1"/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'Day1'!$B$3</c:f>
              <c:strCache>
                <c:ptCount val="1"/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NA4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NA5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NA6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NA7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NA8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NA9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34646560"/>
        <c:axId val="-1134643296"/>
      </c:lineChart>
      <c:catAx>
        <c:axId val="-113464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4643296"/>
        <c:crosses val="autoZero"/>
        <c:auto val="1"/>
        <c:lblAlgn val="ctr"/>
        <c:lblOffset val="100"/>
        <c:noMultiLvlLbl val="0"/>
      </c:catAx>
      <c:valAx>
        <c:axId val="-11346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464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34657984"/>
        <c:axId val="-1134657440"/>
      </c:lineChart>
      <c:catAx>
        <c:axId val="-11346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4657440"/>
        <c:crosses val="autoZero"/>
        <c:auto val="1"/>
        <c:lblAlgn val="ctr"/>
        <c:lblOffset val="100"/>
        <c:noMultiLvlLbl val="0"/>
      </c:catAx>
      <c:valAx>
        <c:axId val="-11346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465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34655264"/>
        <c:axId val="-1134756160"/>
      </c:lineChart>
      <c:catAx>
        <c:axId val="-113465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4756160"/>
        <c:crosses val="autoZero"/>
        <c:auto val="1"/>
        <c:lblAlgn val="ctr"/>
        <c:lblOffset val="100"/>
        <c:noMultiLvlLbl val="0"/>
      </c:catAx>
      <c:valAx>
        <c:axId val="-11347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3465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NA4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NA5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NA6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NA7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NA8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NA9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NA10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NA11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NA12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NA13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67059408"/>
        <c:axId val="-967062672"/>
      </c:lineChart>
      <c:catAx>
        <c:axId val="-96705940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7062672"/>
        <c:crosses val="autoZero"/>
        <c:auto val="1"/>
        <c:lblAlgn val="ctr"/>
        <c:lblOffset val="100"/>
        <c:noMultiLvlLbl val="0"/>
      </c:catAx>
      <c:valAx>
        <c:axId val="-9670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705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0"/>
  <sheetViews>
    <sheetView workbookViewId="0"/>
  </sheetViews>
  <sheetFormatPr defaultRowHeight="14.4" x14ac:dyDescent="0.3"/>
  <cols>
    <col min="1" max="1" width="18.6640625" customWidth="1"/>
    <col min="2" max="2" width="20.44140625" customWidth="1"/>
    <col min="3" max="3" width="16.33203125" style="7" customWidth="1"/>
    <col min="7" max="7" width="18.109375" style="9" bestFit="1" customWidth="1"/>
  </cols>
  <sheetData>
    <row r="1" spans="1:13" x14ac:dyDescent="0.3">
      <c r="A1" s="1"/>
      <c r="B1" s="1"/>
      <c r="C1" s="6"/>
      <c r="D1" s="1"/>
      <c r="E1" s="1"/>
      <c r="F1" s="1"/>
      <c r="G1" s="8"/>
    </row>
    <row r="2" spans="1:13" x14ac:dyDescent="0.3">
      <c r="A2">
        <v>41640.033333333333</v>
      </c>
      <c r="B2">
        <v>1440</v>
      </c>
      <c r="C2" s="7">
        <v>41640.01666666667</v>
      </c>
      <c r="D2" t="s">
        <v>38</v>
      </c>
      <c r="E2" t="s">
        <v>7</v>
      </c>
      <c r="F2">
        <v>41640.042361111111</v>
      </c>
      <c r="G2" s="9">
        <v>41640.059027777781</v>
      </c>
      <c r="J2">
        <v>0</v>
      </c>
      <c r="K2">
        <v>0</v>
      </c>
      <c r="M2">
        <v>0</v>
      </c>
    </row>
    <row r="3" spans="1:13" x14ac:dyDescent="0.3">
      <c r="A3">
        <v>41640.210416666669</v>
      </c>
      <c r="B3">
        <v>2700</v>
      </c>
      <c r="C3" s="7">
        <v>41640.03125</v>
      </c>
      <c r="D3" t="s">
        <v>6</v>
      </c>
      <c r="E3" t="s">
        <v>2</v>
      </c>
      <c r="F3">
        <v>41640.217361111114</v>
      </c>
      <c r="G3" s="9">
        <v>41640.248611111114</v>
      </c>
      <c r="J3">
        <v>0</v>
      </c>
      <c r="K3">
        <v>0</v>
      </c>
      <c r="M3">
        <v>1</v>
      </c>
    </row>
    <row r="4" spans="1:13" x14ac:dyDescent="0.3">
      <c r="A4">
        <v>41640.28125</v>
      </c>
      <c r="B4">
        <v>2160</v>
      </c>
      <c r="C4" s="7">
        <v>41640.027083333334</v>
      </c>
      <c r="D4" t="s">
        <v>128</v>
      </c>
      <c r="E4" t="s">
        <v>98</v>
      </c>
      <c r="F4">
        <v>41640.28402777778</v>
      </c>
      <c r="G4" s="9">
        <v>41640.309027777781</v>
      </c>
      <c r="J4">
        <v>0</v>
      </c>
      <c r="K4">
        <v>0</v>
      </c>
      <c r="M4">
        <v>2</v>
      </c>
    </row>
    <row r="5" spans="1:13" x14ac:dyDescent="0.3">
      <c r="A5">
        <v>41640.296527777777</v>
      </c>
      <c r="B5">
        <v>1020</v>
      </c>
      <c r="C5" s="7">
        <v>41640.011805555558</v>
      </c>
      <c r="D5" t="s">
        <v>84</v>
      </c>
      <c r="E5" t="s">
        <v>13</v>
      </c>
      <c r="F5">
        <v>41640.302777777775</v>
      </c>
      <c r="G5" s="9">
        <v>41640.314583333333</v>
      </c>
      <c r="J5">
        <v>0</v>
      </c>
      <c r="K5">
        <v>0</v>
      </c>
      <c r="M5">
        <v>7</v>
      </c>
    </row>
    <row r="6" spans="1:13" x14ac:dyDescent="0.3">
      <c r="A6">
        <v>41640.303472222222</v>
      </c>
      <c r="B6">
        <v>1680</v>
      </c>
      <c r="C6" s="7">
        <v>41640.022916666669</v>
      </c>
      <c r="D6" t="s">
        <v>90</v>
      </c>
      <c r="E6" t="s">
        <v>22</v>
      </c>
      <c r="F6">
        <v>41640.319444444445</v>
      </c>
      <c r="G6" s="9">
        <v>41640.338888888888</v>
      </c>
      <c r="J6">
        <v>0</v>
      </c>
      <c r="K6">
        <v>0</v>
      </c>
      <c r="M6">
        <v>4</v>
      </c>
    </row>
    <row r="7" spans="1:13" x14ac:dyDescent="0.3">
      <c r="A7">
        <v>41640.324305555558</v>
      </c>
      <c r="B7">
        <v>840</v>
      </c>
      <c r="C7" s="7">
        <v>41640.022916666669</v>
      </c>
      <c r="D7" t="s">
        <v>13</v>
      </c>
      <c r="E7" t="s">
        <v>84</v>
      </c>
      <c r="F7">
        <v>41640.324999999997</v>
      </c>
      <c r="G7" s="9">
        <v>41640.334722222222</v>
      </c>
      <c r="J7">
        <v>0</v>
      </c>
      <c r="K7">
        <v>0</v>
      </c>
      <c r="M7">
        <v>3</v>
      </c>
    </row>
    <row r="8" spans="1:13" x14ac:dyDescent="0.3">
      <c r="A8">
        <v>41640.326388888891</v>
      </c>
      <c r="B8">
        <v>540</v>
      </c>
      <c r="C8" s="7">
        <v>41640.006249999999</v>
      </c>
      <c r="D8" t="s">
        <v>74</v>
      </c>
      <c r="E8" t="s">
        <v>13</v>
      </c>
      <c r="F8">
        <v>41640.340277777781</v>
      </c>
      <c r="G8" s="9">
        <v>41640.34652777778</v>
      </c>
      <c r="J8">
        <v>0</v>
      </c>
      <c r="K8">
        <v>0</v>
      </c>
      <c r="M8">
        <v>5</v>
      </c>
    </row>
    <row r="9" spans="1:13" x14ac:dyDescent="0.3">
      <c r="A9">
        <v>41640.327777777777</v>
      </c>
      <c r="B9">
        <v>960</v>
      </c>
      <c r="C9" s="7">
        <v>41640.011111111111</v>
      </c>
      <c r="D9" t="s">
        <v>70</v>
      </c>
      <c r="E9" t="s">
        <v>13</v>
      </c>
      <c r="F9">
        <v>41640.328472222223</v>
      </c>
      <c r="G9" s="9">
        <v>41640.339583333334</v>
      </c>
      <c r="J9">
        <v>0</v>
      </c>
      <c r="K9">
        <v>0</v>
      </c>
      <c r="M9">
        <v>6</v>
      </c>
    </row>
    <row r="10" spans="1:13" x14ac:dyDescent="0.3">
      <c r="A10">
        <v>41640.345138888886</v>
      </c>
      <c r="B10">
        <v>4200</v>
      </c>
      <c r="C10" s="7">
        <v>41640.054861111108</v>
      </c>
      <c r="D10" t="s">
        <v>22</v>
      </c>
      <c r="E10" t="s">
        <v>57</v>
      </c>
      <c r="F10">
        <v>41640.350694444445</v>
      </c>
      <c r="G10" s="9">
        <v>41640.399305555555</v>
      </c>
      <c r="J10">
        <v>0</v>
      </c>
      <c r="K10">
        <v>0</v>
      </c>
      <c r="M10">
        <v>10</v>
      </c>
    </row>
    <row r="11" spans="1:13" x14ac:dyDescent="0.3">
      <c r="A11">
        <v>41640.347222222219</v>
      </c>
      <c r="B11">
        <v>3240</v>
      </c>
      <c r="C11" s="7">
        <v>41640.037499999999</v>
      </c>
      <c r="D11" t="s">
        <v>129</v>
      </c>
      <c r="E11" t="s">
        <v>43</v>
      </c>
      <c r="F11">
        <v>41640.35</v>
      </c>
      <c r="G11" s="9">
        <v>41640.387499999997</v>
      </c>
      <c r="J11">
        <v>0</v>
      </c>
      <c r="K11">
        <v>0</v>
      </c>
      <c r="M11">
        <v>38</v>
      </c>
    </row>
    <row r="12" spans="1:13" x14ac:dyDescent="0.3">
      <c r="A12">
        <v>41640.347916666666</v>
      </c>
      <c r="B12">
        <v>3840</v>
      </c>
      <c r="C12" s="7">
        <v>41640.046527777777</v>
      </c>
      <c r="D12" t="s">
        <v>22</v>
      </c>
      <c r="E12" t="s">
        <v>130</v>
      </c>
      <c r="F12">
        <v>41640.350694444445</v>
      </c>
      <c r="G12" s="9">
        <v>41640.395138888889</v>
      </c>
      <c r="J12">
        <v>0</v>
      </c>
      <c r="K12">
        <v>0</v>
      </c>
      <c r="M12">
        <v>37</v>
      </c>
    </row>
    <row r="13" spans="1:13" x14ac:dyDescent="0.3">
      <c r="A13">
        <v>41640.349305555559</v>
      </c>
      <c r="B13">
        <v>4800</v>
      </c>
      <c r="C13" s="7">
        <v>41640.055555555555</v>
      </c>
      <c r="D13" t="s">
        <v>131</v>
      </c>
      <c r="E13" t="s">
        <v>13</v>
      </c>
      <c r="F13">
        <v>41640.356944444444</v>
      </c>
      <c r="G13" s="9">
        <v>41640.412499999999</v>
      </c>
      <c r="J13">
        <v>0</v>
      </c>
      <c r="K13">
        <v>0</v>
      </c>
      <c r="M13">
        <v>33</v>
      </c>
    </row>
    <row r="14" spans="1:13" x14ac:dyDescent="0.3">
      <c r="A14">
        <v>41640.354861111111</v>
      </c>
      <c r="B14">
        <v>1860</v>
      </c>
      <c r="C14" s="7">
        <v>41640.023611111108</v>
      </c>
      <c r="D14" t="s">
        <v>132</v>
      </c>
      <c r="E14" t="s">
        <v>98</v>
      </c>
      <c r="F14">
        <v>41640.37222222222</v>
      </c>
      <c r="G14" s="9">
        <v>41640.393750000003</v>
      </c>
      <c r="J14">
        <v>0</v>
      </c>
      <c r="K14">
        <v>0</v>
      </c>
      <c r="M14">
        <v>39</v>
      </c>
    </row>
    <row r="15" spans="1:13" x14ac:dyDescent="0.3">
      <c r="A15">
        <v>41640.354861111111</v>
      </c>
      <c r="B15">
        <v>3780</v>
      </c>
      <c r="C15" s="7">
        <v>41640.048611111109</v>
      </c>
      <c r="D15" t="s">
        <v>133</v>
      </c>
      <c r="E15" t="s">
        <v>30</v>
      </c>
      <c r="F15">
        <v>41640.355555555558</v>
      </c>
      <c r="G15" s="9">
        <v>41640.399305555555</v>
      </c>
      <c r="J15">
        <v>0</v>
      </c>
      <c r="K15">
        <v>0</v>
      </c>
      <c r="M15">
        <v>11</v>
      </c>
    </row>
    <row r="16" spans="1:13" x14ac:dyDescent="0.3">
      <c r="A16">
        <v>41640.395833333336</v>
      </c>
      <c r="B16">
        <v>1740</v>
      </c>
      <c r="C16" s="7">
        <v>41640.020138888889</v>
      </c>
      <c r="D16" t="s">
        <v>134</v>
      </c>
      <c r="E16" t="s">
        <v>22</v>
      </c>
      <c r="F16">
        <v>41640.399305555555</v>
      </c>
      <c r="G16" s="9">
        <v>41640.419444444444</v>
      </c>
      <c r="J16">
        <v>0</v>
      </c>
      <c r="K16">
        <v>0</v>
      </c>
      <c r="M16">
        <v>12</v>
      </c>
    </row>
    <row r="17" spans="1:13" x14ac:dyDescent="0.3">
      <c r="A17">
        <v>41640.396527777775</v>
      </c>
      <c r="B17">
        <v>1860</v>
      </c>
      <c r="C17" s="7">
        <v>41640.02847222222</v>
      </c>
      <c r="D17" t="s">
        <v>135</v>
      </c>
      <c r="E17" t="s">
        <v>22</v>
      </c>
      <c r="F17">
        <v>41640.412499999999</v>
      </c>
      <c r="G17" s="9">
        <v>41640.434027777781</v>
      </c>
      <c r="J17">
        <v>0</v>
      </c>
      <c r="K17">
        <v>0</v>
      </c>
      <c r="M17">
        <v>19</v>
      </c>
    </row>
    <row r="18" spans="1:13" x14ac:dyDescent="0.3">
      <c r="A18">
        <v>41640.40347222222</v>
      </c>
      <c r="B18">
        <v>2040</v>
      </c>
      <c r="C18" s="7">
        <v>41640.027777777781</v>
      </c>
      <c r="D18" t="s">
        <v>136</v>
      </c>
      <c r="E18" t="s">
        <v>13</v>
      </c>
      <c r="F18">
        <v>41640.409722222219</v>
      </c>
      <c r="G18" s="9">
        <v>41640.433333333334</v>
      </c>
      <c r="J18">
        <v>0</v>
      </c>
      <c r="K18">
        <v>0</v>
      </c>
      <c r="M18">
        <v>21</v>
      </c>
    </row>
    <row r="19" spans="1:13" x14ac:dyDescent="0.3">
      <c r="A19">
        <v>41640.404861111114</v>
      </c>
      <c r="B19">
        <v>720</v>
      </c>
      <c r="C19" s="7">
        <v>41640.018055555556</v>
      </c>
      <c r="D19" t="s">
        <v>137</v>
      </c>
      <c r="E19" t="s">
        <v>2</v>
      </c>
      <c r="F19">
        <v>41640.410416666666</v>
      </c>
      <c r="G19" s="9">
        <v>41640.418749999997</v>
      </c>
      <c r="J19">
        <v>0</v>
      </c>
      <c r="K19">
        <v>0</v>
      </c>
      <c r="M19">
        <v>40</v>
      </c>
    </row>
    <row r="20" spans="1:13" x14ac:dyDescent="0.3">
      <c r="A20">
        <v>41640.405555555553</v>
      </c>
      <c r="B20">
        <v>3360</v>
      </c>
      <c r="C20" s="7">
        <v>41640.045138888891</v>
      </c>
      <c r="D20" t="s">
        <v>30</v>
      </c>
      <c r="E20" t="s">
        <v>133</v>
      </c>
      <c r="F20" t="s">
        <v>138</v>
      </c>
      <c r="G20" s="9" t="s">
        <v>138</v>
      </c>
      <c r="J20">
        <v>0</v>
      </c>
      <c r="K20">
        <v>0</v>
      </c>
      <c r="M20">
        <v>18</v>
      </c>
    </row>
    <row r="21" spans="1:13" x14ac:dyDescent="0.3">
      <c r="A21">
        <v>41640.406944444447</v>
      </c>
      <c r="B21">
        <v>3300</v>
      </c>
      <c r="C21" s="7">
        <v>41640.042361111111</v>
      </c>
      <c r="D21" t="s">
        <v>139</v>
      </c>
      <c r="E21" t="s">
        <v>30</v>
      </c>
      <c r="F21" t="s">
        <v>138</v>
      </c>
      <c r="G21" s="9" t="s">
        <v>138</v>
      </c>
      <c r="J21">
        <v>0</v>
      </c>
      <c r="K21">
        <v>0</v>
      </c>
      <c r="M21">
        <v>23</v>
      </c>
    </row>
    <row r="22" spans="1:13" x14ac:dyDescent="0.3">
      <c r="A22">
        <v>41640.409722222219</v>
      </c>
      <c r="B22">
        <v>1380</v>
      </c>
      <c r="C22" s="7">
        <v>41640.018750000003</v>
      </c>
      <c r="D22" t="s">
        <v>70</v>
      </c>
      <c r="E22" t="s">
        <v>22</v>
      </c>
      <c r="F22" t="s">
        <v>138</v>
      </c>
      <c r="G22" s="9" t="s">
        <v>138</v>
      </c>
      <c r="J22">
        <v>0</v>
      </c>
      <c r="K22">
        <v>0</v>
      </c>
      <c r="M22">
        <v>13</v>
      </c>
    </row>
    <row r="23" spans="1:13" x14ac:dyDescent="0.3">
      <c r="A23">
        <v>41640.413194444445</v>
      </c>
      <c r="B23">
        <v>1980</v>
      </c>
      <c r="C23" s="7">
        <v>41640.032638888886</v>
      </c>
      <c r="D23" t="s">
        <v>13</v>
      </c>
      <c r="E23" t="s">
        <v>131</v>
      </c>
      <c r="F23">
        <v>41640.420138888891</v>
      </c>
      <c r="G23" s="9">
        <v>41640.443055555559</v>
      </c>
      <c r="J23">
        <v>0</v>
      </c>
      <c r="K23">
        <v>0</v>
      </c>
      <c r="M23">
        <v>34</v>
      </c>
    </row>
    <row r="24" spans="1:13" x14ac:dyDescent="0.3">
      <c r="A24">
        <v>41640.42291666667</v>
      </c>
      <c r="B24">
        <v>2460</v>
      </c>
      <c r="C24" s="7">
        <v>41640.034722222219</v>
      </c>
      <c r="D24" t="s">
        <v>22</v>
      </c>
      <c r="E24" t="s">
        <v>134</v>
      </c>
      <c r="F24">
        <v>41640.431944444441</v>
      </c>
      <c r="G24" s="9">
        <v>41640.460416666669</v>
      </c>
      <c r="J24">
        <v>0</v>
      </c>
      <c r="K24">
        <v>0</v>
      </c>
      <c r="M24">
        <v>26</v>
      </c>
    </row>
    <row r="25" spans="1:13" x14ac:dyDescent="0.3">
      <c r="A25">
        <v>41640.426388888889</v>
      </c>
      <c r="B25">
        <v>3720</v>
      </c>
      <c r="C25" s="7">
        <v>41640.050000000003</v>
      </c>
      <c r="D25" t="s">
        <v>43</v>
      </c>
      <c r="E25" t="s">
        <v>129</v>
      </c>
      <c r="F25" t="s">
        <v>138</v>
      </c>
      <c r="G25" s="9" t="s">
        <v>138</v>
      </c>
      <c r="J25">
        <v>0</v>
      </c>
      <c r="K25">
        <v>0</v>
      </c>
      <c r="M25">
        <v>9</v>
      </c>
    </row>
    <row r="26" spans="1:13" x14ac:dyDescent="0.3">
      <c r="A26">
        <v>41640.427777777775</v>
      </c>
      <c r="B26">
        <v>3120</v>
      </c>
      <c r="C26" s="7">
        <v>41640.051388888889</v>
      </c>
      <c r="D26" t="s">
        <v>22</v>
      </c>
      <c r="E26" t="s">
        <v>135</v>
      </c>
      <c r="F26">
        <v>41640.479166666664</v>
      </c>
      <c r="G26" s="9">
        <v>41640.515277777777</v>
      </c>
      <c r="J26">
        <v>0</v>
      </c>
      <c r="K26">
        <v>0</v>
      </c>
      <c r="M26">
        <v>29</v>
      </c>
    </row>
    <row r="27" spans="1:13" x14ac:dyDescent="0.3">
      <c r="A27">
        <v>41640.429861111108</v>
      </c>
      <c r="B27">
        <v>2400</v>
      </c>
      <c r="C27" s="7">
        <v>41640.030555555553</v>
      </c>
      <c r="D27" t="s">
        <v>22</v>
      </c>
      <c r="E27" t="s">
        <v>70</v>
      </c>
      <c r="F27">
        <v>41640.443749999999</v>
      </c>
      <c r="G27" s="9">
        <v>41640.47152777778</v>
      </c>
      <c r="J27">
        <v>0</v>
      </c>
      <c r="K27">
        <v>0</v>
      </c>
      <c r="M27">
        <v>24</v>
      </c>
    </row>
    <row r="28" spans="1:13" x14ac:dyDescent="0.3">
      <c r="A28">
        <v>41640.429861111108</v>
      </c>
      <c r="B28">
        <v>3120</v>
      </c>
      <c r="C28" s="7">
        <v>41640.043749999997</v>
      </c>
      <c r="D28" t="s">
        <v>140</v>
      </c>
      <c r="E28" t="s">
        <v>13</v>
      </c>
      <c r="F28">
        <v>41640.463194444441</v>
      </c>
      <c r="G28" s="9">
        <v>41640.499305555553</v>
      </c>
      <c r="J28">
        <v>0</v>
      </c>
      <c r="K28">
        <v>0</v>
      </c>
      <c r="M28">
        <v>20</v>
      </c>
    </row>
    <row r="29" spans="1:13" x14ac:dyDescent="0.3">
      <c r="A29">
        <v>41640.434027777781</v>
      </c>
      <c r="B29">
        <v>2400</v>
      </c>
      <c r="C29" s="7">
        <v>41640.045138888891</v>
      </c>
      <c r="D29" t="s">
        <v>13</v>
      </c>
      <c r="E29" t="s">
        <v>136</v>
      </c>
      <c r="F29">
        <v>41640.444444444445</v>
      </c>
      <c r="G29" s="9">
        <v>41640.472222222219</v>
      </c>
      <c r="J29">
        <v>0</v>
      </c>
      <c r="K29">
        <v>0</v>
      </c>
      <c r="M29">
        <v>22</v>
      </c>
    </row>
    <row r="30" spans="1:13" x14ac:dyDescent="0.3">
      <c r="A30">
        <v>41640.447916666664</v>
      </c>
      <c r="B30">
        <v>1980</v>
      </c>
      <c r="C30" s="7">
        <v>41640.025000000001</v>
      </c>
      <c r="D30" t="s">
        <v>141</v>
      </c>
      <c r="E30" t="s">
        <v>13</v>
      </c>
      <c r="F30">
        <v>41640.448611111111</v>
      </c>
      <c r="G30" s="9">
        <v>41640.47152777778</v>
      </c>
      <c r="J30">
        <v>0</v>
      </c>
      <c r="K30">
        <v>0</v>
      </c>
      <c r="M30">
        <v>27</v>
      </c>
    </row>
    <row r="31" spans="1:13" x14ac:dyDescent="0.3">
      <c r="A31">
        <v>41640.45416666667</v>
      </c>
      <c r="B31">
        <v>2640</v>
      </c>
      <c r="C31" s="7">
        <v>41640.031944444447</v>
      </c>
      <c r="D31" t="s">
        <v>30</v>
      </c>
      <c r="E31" t="s">
        <v>139</v>
      </c>
      <c r="F31">
        <v>41640.454861111109</v>
      </c>
      <c r="G31" s="9">
        <v>41640.48541666667</v>
      </c>
      <c r="J31">
        <v>0</v>
      </c>
      <c r="K31">
        <v>0</v>
      </c>
      <c r="M31">
        <v>36</v>
      </c>
    </row>
    <row r="32" spans="1:13" x14ac:dyDescent="0.3">
      <c r="A32">
        <v>41640.454861111109</v>
      </c>
      <c r="B32">
        <v>2460</v>
      </c>
      <c r="C32" s="7">
        <v>41640.038194444445</v>
      </c>
      <c r="D32" t="s">
        <v>82</v>
      </c>
      <c r="E32" t="s">
        <v>15</v>
      </c>
      <c r="F32">
        <v>41640.481944444444</v>
      </c>
      <c r="G32" s="9">
        <v>41640.510416666664</v>
      </c>
      <c r="J32">
        <v>0</v>
      </c>
      <c r="K32">
        <v>0</v>
      </c>
      <c r="M32">
        <v>30</v>
      </c>
    </row>
    <row r="33" spans="1:13" x14ac:dyDescent="0.3">
      <c r="A33">
        <v>41640.458333333336</v>
      </c>
      <c r="B33">
        <v>1860</v>
      </c>
      <c r="C33" s="7">
        <v>41640.027083333334</v>
      </c>
      <c r="D33" t="s">
        <v>29</v>
      </c>
      <c r="E33" t="s">
        <v>13</v>
      </c>
      <c r="F33">
        <v>41640.463194444441</v>
      </c>
      <c r="G33" s="9">
        <v>41640.484722222223</v>
      </c>
      <c r="J33">
        <v>0</v>
      </c>
      <c r="K33">
        <v>0</v>
      </c>
      <c r="M33">
        <v>28</v>
      </c>
    </row>
    <row r="34" spans="1:13" x14ac:dyDescent="0.3">
      <c r="A34">
        <v>41640.461805555555</v>
      </c>
      <c r="B34">
        <v>3600</v>
      </c>
      <c r="C34" s="7">
        <v>41640.047222222223</v>
      </c>
      <c r="D34" t="s">
        <v>62</v>
      </c>
      <c r="E34" t="s">
        <v>13</v>
      </c>
      <c r="F34">
        <v>41640.479166666664</v>
      </c>
      <c r="G34" s="9">
        <v>41640.520833333336</v>
      </c>
      <c r="J34">
        <v>0</v>
      </c>
      <c r="K34">
        <v>0</v>
      </c>
      <c r="M34">
        <v>15</v>
      </c>
    </row>
    <row r="35" spans="1:13" x14ac:dyDescent="0.3">
      <c r="A35">
        <v>41640.478472222225</v>
      </c>
      <c r="B35">
        <v>1800</v>
      </c>
      <c r="C35" s="7">
        <v>41640.027777777781</v>
      </c>
      <c r="D35" t="s">
        <v>142</v>
      </c>
      <c r="E35" t="s">
        <v>143</v>
      </c>
      <c r="F35" t="s">
        <v>138</v>
      </c>
      <c r="G35" s="9" t="s">
        <v>138</v>
      </c>
      <c r="J35">
        <v>0</v>
      </c>
      <c r="K35">
        <v>0</v>
      </c>
      <c r="M35">
        <v>35</v>
      </c>
    </row>
    <row r="36" spans="1:13" x14ac:dyDescent="0.3">
      <c r="A36">
        <v>41640.479861111111</v>
      </c>
      <c r="B36">
        <v>1980</v>
      </c>
      <c r="C36" s="7">
        <v>41640.027777777781</v>
      </c>
      <c r="D36" t="s">
        <v>13</v>
      </c>
      <c r="E36" t="s">
        <v>21</v>
      </c>
      <c r="F36" t="s">
        <v>138</v>
      </c>
      <c r="G36" s="9" t="s">
        <v>138</v>
      </c>
      <c r="J36">
        <v>0</v>
      </c>
      <c r="K36">
        <v>0</v>
      </c>
      <c r="M36">
        <v>25</v>
      </c>
    </row>
    <row r="37" spans="1:13" x14ac:dyDescent="0.3">
      <c r="A37">
        <v>41640.488194444442</v>
      </c>
      <c r="B37">
        <v>3060</v>
      </c>
      <c r="C37" s="7">
        <v>41640.035416666666</v>
      </c>
      <c r="D37" t="s">
        <v>13</v>
      </c>
      <c r="E37" t="s">
        <v>141</v>
      </c>
      <c r="F37" t="s">
        <v>138</v>
      </c>
      <c r="G37" s="9" t="s">
        <v>138</v>
      </c>
      <c r="J37">
        <v>0</v>
      </c>
      <c r="K37">
        <v>0</v>
      </c>
      <c r="M37">
        <v>14</v>
      </c>
    </row>
    <row r="38" spans="1:13" x14ac:dyDescent="0.3">
      <c r="A38">
        <v>41640.493055555555</v>
      </c>
      <c r="B38">
        <v>1800</v>
      </c>
      <c r="C38" s="7">
        <v>41640.023611111108</v>
      </c>
      <c r="D38" t="s">
        <v>23</v>
      </c>
      <c r="E38" t="s">
        <v>30</v>
      </c>
      <c r="F38" t="s">
        <v>138</v>
      </c>
      <c r="G38" s="9" t="s">
        <v>138</v>
      </c>
      <c r="J38">
        <v>0</v>
      </c>
      <c r="K38">
        <v>0</v>
      </c>
      <c r="M38">
        <v>32</v>
      </c>
    </row>
    <row r="39" spans="1:13" x14ac:dyDescent="0.3">
      <c r="A39">
        <v>41640.494444444441</v>
      </c>
      <c r="B39">
        <v>1980</v>
      </c>
      <c r="C39" s="7">
        <v>41640.030555555553</v>
      </c>
      <c r="D39" t="s">
        <v>13</v>
      </c>
      <c r="E39" t="s">
        <v>29</v>
      </c>
      <c r="F39" t="s">
        <v>138</v>
      </c>
      <c r="G39" s="9" t="s">
        <v>138</v>
      </c>
      <c r="J39">
        <v>0</v>
      </c>
      <c r="K39">
        <v>0</v>
      </c>
      <c r="M39">
        <v>31</v>
      </c>
    </row>
    <row r="40" spans="1:13" x14ac:dyDescent="0.3">
      <c r="A40">
        <v>41640.494444444441</v>
      </c>
      <c r="B40">
        <v>2820</v>
      </c>
      <c r="C40" s="7">
        <v>41640.038194444445</v>
      </c>
      <c r="D40" t="s">
        <v>84</v>
      </c>
      <c r="E40" t="s">
        <v>13</v>
      </c>
      <c r="F40">
        <v>41640.520138888889</v>
      </c>
      <c r="G40" s="9">
        <v>41640.552777777775</v>
      </c>
      <c r="J40">
        <v>0</v>
      </c>
      <c r="K40">
        <v>0</v>
      </c>
      <c r="M40">
        <v>16</v>
      </c>
    </row>
    <row r="41" spans="1:13" x14ac:dyDescent="0.3">
      <c r="A41">
        <v>41640.495833333334</v>
      </c>
      <c r="B41">
        <v>1140</v>
      </c>
      <c r="C41" s="7">
        <v>41640.023611111108</v>
      </c>
      <c r="D41" t="s">
        <v>98</v>
      </c>
      <c r="E41" t="s">
        <v>132</v>
      </c>
      <c r="F41">
        <v>41640.497916666667</v>
      </c>
      <c r="G41" s="9">
        <v>41640.511111111111</v>
      </c>
      <c r="J41">
        <v>0</v>
      </c>
      <c r="K41">
        <v>0</v>
      </c>
      <c r="M41">
        <v>8</v>
      </c>
    </row>
    <row r="42" spans="1:13" x14ac:dyDescent="0.3">
      <c r="A42">
        <v>41640.497916666667</v>
      </c>
      <c r="B42">
        <v>3300</v>
      </c>
      <c r="C42" s="7">
        <v>41640.048611111109</v>
      </c>
      <c r="D42" t="s">
        <v>137</v>
      </c>
      <c r="E42" t="s">
        <v>46</v>
      </c>
      <c r="F42" t="s">
        <v>138</v>
      </c>
      <c r="G42" s="9" t="s">
        <v>138</v>
      </c>
      <c r="J42">
        <v>0</v>
      </c>
      <c r="K42">
        <v>0</v>
      </c>
      <c r="M42">
        <v>17</v>
      </c>
    </row>
    <row r="43" spans="1:13" x14ac:dyDescent="0.3">
      <c r="A43">
        <v>41640.501388888886</v>
      </c>
      <c r="B43">
        <v>1320</v>
      </c>
      <c r="C43" s="7">
        <v>41640.027777777781</v>
      </c>
      <c r="D43" t="s">
        <v>51</v>
      </c>
      <c r="E43" t="s">
        <v>13</v>
      </c>
      <c r="F43">
        <v>41640.504166666666</v>
      </c>
      <c r="G43" s="9">
        <v>41640.519444444442</v>
      </c>
      <c r="J43">
        <v>0</v>
      </c>
      <c r="K43">
        <v>0</v>
      </c>
      <c r="M43">
        <v>105</v>
      </c>
    </row>
    <row r="44" spans="1:13" x14ac:dyDescent="0.3">
      <c r="A44">
        <v>41640.503472222219</v>
      </c>
      <c r="B44">
        <v>1740</v>
      </c>
      <c r="C44" s="7">
        <v>41640.020833333336</v>
      </c>
      <c r="D44" t="s">
        <v>99</v>
      </c>
      <c r="E44" t="s">
        <v>8</v>
      </c>
      <c r="F44" t="s">
        <v>138</v>
      </c>
      <c r="G44" s="9" t="s">
        <v>138</v>
      </c>
      <c r="J44">
        <v>0</v>
      </c>
      <c r="K44">
        <v>0</v>
      </c>
      <c r="M44">
        <v>116</v>
      </c>
    </row>
    <row r="45" spans="1:13" x14ac:dyDescent="0.3">
      <c r="A45">
        <v>41640.509722222225</v>
      </c>
      <c r="B45">
        <v>420</v>
      </c>
      <c r="C45" s="7">
        <v>41640.010416666664</v>
      </c>
      <c r="D45" t="s">
        <v>8</v>
      </c>
      <c r="E45" t="s">
        <v>144</v>
      </c>
      <c r="F45">
        <v>41640.513888888891</v>
      </c>
      <c r="G45" s="9">
        <v>41640.518750000003</v>
      </c>
      <c r="J45">
        <v>0</v>
      </c>
      <c r="K45">
        <v>0</v>
      </c>
      <c r="M45">
        <v>110</v>
      </c>
    </row>
    <row r="46" spans="1:13" x14ac:dyDescent="0.3">
      <c r="A46">
        <v>41640.513194444444</v>
      </c>
      <c r="B46">
        <v>960</v>
      </c>
      <c r="C46" s="7">
        <v>41640.017361111109</v>
      </c>
      <c r="D46" t="s">
        <v>8</v>
      </c>
      <c r="E46" t="s">
        <v>141</v>
      </c>
      <c r="F46" t="s">
        <v>138</v>
      </c>
      <c r="G46" s="9" t="s">
        <v>138</v>
      </c>
      <c r="J46">
        <v>0</v>
      </c>
      <c r="K46">
        <v>0</v>
      </c>
      <c r="M46">
        <v>111</v>
      </c>
    </row>
    <row r="47" spans="1:13" x14ac:dyDescent="0.3">
      <c r="A47">
        <v>41640.513888888891</v>
      </c>
      <c r="B47">
        <v>1020</v>
      </c>
      <c r="C47" s="7">
        <v>41640.020138888889</v>
      </c>
      <c r="D47" t="s">
        <v>145</v>
      </c>
      <c r="E47" t="s">
        <v>10</v>
      </c>
      <c r="F47" t="s">
        <v>138</v>
      </c>
      <c r="G47" s="9" t="s">
        <v>138</v>
      </c>
      <c r="J47">
        <v>0</v>
      </c>
      <c r="K47">
        <v>0</v>
      </c>
      <c r="M47">
        <v>86</v>
      </c>
    </row>
    <row r="48" spans="1:13" x14ac:dyDescent="0.3">
      <c r="A48">
        <v>41640.513888888891</v>
      </c>
      <c r="B48">
        <v>1740</v>
      </c>
      <c r="C48" s="7">
        <v>41640.026388888888</v>
      </c>
      <c r="D48" t="s">
        <v>72</v>
      </c>
      <c r="E48" t="s">
        <v>10</v>
      </c>
      <c r="F48" t="s">
        <v>138</v>
      </c>
      <c r="G48" s="9" t="s">
        <v>138</v>
      </c>
      <c r="J48">
        <v>0</v>
      </c>
      <c r="K48">
        <v>0</v>
      </c>
      <c r="M48">
        <v>52</v>
      </c>
    </row>
    <row r="49" spans="1:13" x14ac:dyDescent="0.3">
      <c r="A49">
        <v>41640.51458333333</v>
      </c>
      <c r="B49">
        <v>720</v>
      </c>
      <c r="C49" s="7">
        <v>41640.013194444444</v>
      </c>
      <c r="D49" t="s">
        <v>22</v>
      </c>
      <c r="E49" t="s">
        <v>137</v>
      </c>
      <c r="F49">
        <v>41640.53402777778</v>
      </c>
      <c r="G49" s="9">
        <v>41640.542361111111</v>
      </c>
      <c r="J49">
        <v>0</v>
      </c>
      <c r="K49">
        <v>0</v>
      </c>
      <c r="M49">
        <v>82</v>
      </c>
    </row>
    <row r="50" spans="1:13" x14ac:dyDescent="0.3">
      <c r="A50">
        <v>41640.517361111109</v>
      </c>
      <c r="B50">
        <v>2280</v>
      </c>
      <c r="C50" s="7">
        <v>41640.026388888888</v>
      </c>
      <c r="D50" t="s">
        <v>10</v>
      </c>
      <c r="E50" t="s">
        <v>146</v>
      </c>
      <c r="F50">
        <v>41640.520833333336</v>
      </c>
      <c r="G50" s="9">
        <v>41640.547222222223</v>
      </c>
      <c r="J50">
        <v>0</v>
      </c>
      <c r="K50">
        <v>0</v>
      </c>
      <c r="M50">
        <v>68</v>
      </c>
    </row>
    <row r="51" spans="1:13" x14ac:dyDescent="0.3">
      <c r="A51">
        <v>41640.518750000003</v>
      </c>
      <c r="B51">
        <v>1680</v>
      </c>
      <c r="C51" s="7">
        <v>41640.019444444442</v>
      </c>
      <c r="D51" t="s">
        <v>15</v>
      </c>
      <c r="E51" t="s">
        <v>33</v>
      </c>
      <c r="F51" t="s">
        <v>138</v>
      </c>
      <c r="G51" s="9" t="s">
        <v>138</v>
      </c>
      <c r="J51">
        <v>0</v>
      </c>
      <c r="K51">
        <v>0</v>
      </c>
      <c r="M51">
        <v>100</v>
      </c>
    </row>
    <row r="52" spans="1:13" x14ac:dyDescent="0.3">
      <c r="A52">
        <v>41640.524305555555</v>
      </c>
      <c r="B52">
        <v>2400</v>
      </c>
      <c r="C52" s="7">
        <v>41640.027777777781</v>
      </c>
      <c r="D52" t="s">
        <v>147</v>
      </c>
      <c r="E52" t="s">
        <v>43</v>
      </c>
      <c r="F52" t="s">
        <v>138</v>
      </c>
      <c r="G52" s="9" t="s">
        <v>138</v>
      </c>
      <c r="J52">
        <v>0</v>
      </c>
      <c r="K52">
        <v>0</v>
      </c>
      <c r="M52">
        <v>50</v>
      </c>
    </row>
    <row r="53" spans="1:13" x14ac:dyDescent="0.3">
      <c r="A53">
        <v>41640.526388888888</v>
      </c>
      <c r="B53">
        <v>600</v>
      </c>
      <c r="C53" s="7">
        <v>41640.026388888888</v>
      </c>
      <c r="D53" t="s">
        <v>43</v>
      </c>
      <c r="E53" t="s">
        <v>148</v>
      </c>
      <c r="F53">
        <v>41640.538194444445</v>
      </c>
      <c r="G53" s="9">
        <v>41640.545138888891</v>
      </c>
      <c r="J53">
        <v>0</v>
      </c>
      <c r="K53">
        <v>0</v>
      </c>
      <c r="M53">
        <v>57</v>
      </c>
    </row>
    <row r="54" spans="1:13" x14ac:dyDescent="0.3">
      <c r="A54">
        <v>41640.529861111114</v>
      </c>
      <c r="B54">
        <v>420</v>
      </c>
      <c r="C54" s="7">
        <v>41640.010416666664</v>
      </c>
      <c r="D54" t="s">
        <v>13</v>
      </c>
      <c r="E54" t="s">
        <v>51</v>
      </c>
      <c r="F54" t="s">
        <v>138</v>
      </c>
      <c r="G54" s="9" t="s">
        <v>138</v>
      </c>
      <c r="J54">
        <v>0</v>
      </c>
      <c r="K54">
        <v>0</v>
      </c>
      <c r="M54">
        <v>107</v>
      </c>
    </row>
    <row r="55" spans="1:13" x14ac:dyDescent="0.3">
      <c r="A55">
        <v>41640.53125</v>
      </c>
      <c r="B55">
        <v>1680</v>
      </c>
      <c r="C55" s="7">
        <v>41640.020833333336</v>
      </c>
      <c r="D55" t="s">
        <v>84</v>
      </c>
      <c r="E55" t="s">
        <v>14</v>
      </c>
      <c r="F55" t="s">
        <v>138</v>
      </c>
      <c r="G55" s="9" t="s">
        <v>138</v>
      </c>
      <c r="J55">
        <v>0</v>
      </c>
      <c r="K55">
        <v>0</v>
      </c>
      <c r="M55">
        <v>70</v>
      </c>
    </row>
    <row r="56" spans="1:13" x14ac:dyDescent="0.3">
      <c r="A56">
        <v>41640.531944444447</v>
      </c>
      <c r="B56">
        <v>2340</v>
      </c>
      <c r="C56" s="7">
        <v>41640.027083333334</v>
      </c>
      <c r="D56" t="s">
        <v>64</v>
      </c>
      <c r="E56" t="s">
        <v>15</v>
      </c>
      <c r="F56" t="s">
        <v>138</v>
      </c>
      <c r="G56" s="9" t="s">
        <v>138</v>
      </c>
      <c r="J56">
        <v>0</v>
      </c>
      <c r="K56">
        <v>0</v>
      </c>
      <c r="M56">
        <v>89</v>
      </c>
    </row>
    <row r="57" spans="1:13" x14ac:dyDescent="0.3">
      <c r="A57">
        <v>41640.533333333333</v>
      </c>
      <c r="B57">
        <v>1320</v>
      </c>
      <c r="C57" s="7">
        <v>41640.026388888888</v>
      </c>
      <c r="D57" t="s">
        <v>22</v>
      </c>
      <c r="E57" t="s">
        <v>149</v>
      </c>
      <c r="F57" t="s">
        <v>138</v>
      </c>
      <c r="G57" s="9" t="s">
        <v>138</v>
      </c>
      <c r="J57">
        <v>0</v>
      </c>
      <c r="K57">
        <v>0</v>
      </c>
      <c r="M57">
        <v>63</v>
      </c>
    </row>
    <row r="58" spans="1:13" x14ac:dyDescent="0.3">
      <c r="A58">
        <v>41640.534722222219</v>
      </c>
      <c r="B58">
        <v>1380</v>
      </c>
      <c r="C58" s="7">
        <v>41640.022916666669</v>
      </c>
      <c r="D58" t="s">
        <v>150</v>
      </c>
      <c r="E58" t="s">
        <v>30</v>
      </c>
      <c r="F58">
        <v>41640.538888888892</v>
      </c>
      <c r="G58" s="9">
        <v>41640.554861111108</v>
      </c>
      <c r="J58">
        <v>0</v>
      </c>
      <c r="K58">
        <v>0</v>
      </c>
      <c r="M58">
        <v>43</v>
      </c>
    </row>
    <row r="59" spans="1:13" x14ac:dyDescent="0.3">
      <c r="A59">
        <v>41640.535416666666</v>
      </c>
      <c r="B59">
        <v>1260</v>
      </c>
      <c r="C59" s="7">
        <v>41640.035416666666</v>
      </c>
      <c r="D59" t="s">
        <v>30</v>
      </c>
      <c r="E59" t="s">
        <v>66</v>
      </c>
      <c r="F59" t="s">
        <v>138</v>
      </c>
      <c r="G59" s="9" t="s">
        <v>138</v>
      </c>
      <c r="J59">
        <v>0</v>
      </c>
      <c r="K59">
        <v>0</v>
      </c>
      <c r="M59">
        <v>48</v>
      </c>
    </row>
    <row r="60" spans="1:13" x14ac:dyDescent="0.3">
      <c r="A60">
        <v>41640.536805555559</v>
      </c>
      <c r="B60">
        <v>1620</v>
      </c>
      <c r="C60" s="7">
        <v>41640.020138888889</v>
      </c>
      <c r="D60" t="s">
        <v>14</v>
      </c>
      <c r="E60" t="s">
        <v>39</v>
      </c>
      <c r="F60" t="s">
        <v>138</v>
      </c>
      <c r="G60" s="9" t="s">
        <v>138</v>
      </c>
      <c r="J60">
        <v>0</v>
      </c>
      <c r="K60">
        <v>0</v>
      </c>
      <c r="M60">
        <v>97</v>
      </c>
    </row>
    <row r="61" spans="1:13" x14ac:dyDescent="0.3">
      <c r="A61">
        <v>41640.538194444445</v>
      </c>
      <c r="B61">
        <v>1020</v>
      </c>
      <c r="C61" s="7">
        <v>41640.022916666669</v>
      </c>
      <c r="D61" t="s">
        <v>17</v>
      </c>
      <c r="E61" t="s">
        <v>151</v>
      </c>
      <c r="F61" t="s">
        <v>138</v>
      </c>
      <c r="G61" s="9" t="s">
        <v>138</v>
      </c>
      <c r="J61">
        <v>0</v>
      </c>
      <c r="K61">
        <v>0</v>
      </c>
      <c r="M61">
        <v>84</v>
      </c>
    </row>
    <row r="62" spans="1:13" x14ac:dyDescent="0.3">
      <c r="A62">
        <v>41640.543055555558</v>
      </c>
      <c r="B62">
        <v>2040</v>
      </c>
      <c r="C62" s="7">
        <v>41640.03402777778</v>
      </c>
      <c r="D62" t="s">
        <v>30</v>
      </c>
      <c r="E62" t="s">
        <v>152</v>
      </c>
      <c r="F62">
        <v>41640.545138888891</v>
      </c>
      <c r="G62" s="9">
        <v>41640.568749999999</v>
      </c>
      <c r="J62">
        <v>0</v>
      </c>
      <c r="K62">
        <v>0</v>
      </c>
      <c r="M62">
        <v>65</v>
      </c>
    </row>
    <row r="63" spans="1:13" x14ac:dyDescent="0.3">
      <c r="A63">
        <v>41640.544444444444</v>
      </c>
      <c r="B63">
        <v>2160</v>
      </c>
      <c r="C63" s="7">
        <v>41640.025000000001</v>
      </c>
      <c r="D63" t="s">
        <v>10</v>
      </c>
      <c r="E63" t="s">
        <v>145</v>
      </c>
      <c r="F63" t="s">
        <v>138</v>
      </c>
      <c r="G63" s="9" t="s">
        <v>138</v>
      </c>
      <c r="J63">
        <v>0</v>
      </c>
      <c r="K63">
        <v>0</v>
      </c>
      <c r="M63">
        <v>87</v>
      </c>
    </row>
    <row r="64" spans="1:13" x14ac:dyDescent="0.3">
      <c r="A64">
        <v>41640.546527777777</v>
      </c>
      <c r="B64">
        <v>1320</v>
      </c>
      <c r="C64" s="7">
        <v>41640.020833333336</v>
      </c>
      <c r="D64" t="s">
        <v>153</v>
      </c>
      <c r="E64" t="s">
        <v>30</v>
      </c>
      <c r="F64">
        <v>41640.554861111108</v>
      </c>
      <c r="G64" s="9">
        <v>41640.570138888892</v>
      </c>
      <c r="J64">
        <v>0</v>
      </c>
      <c r="K64">
        <v>0</v>
      </c>
      <c r="M64">
        <v>115</v>
      </c>
    </row>
    <row r="65" spans="1:13" x14ac:dyDescent="0.3">
      <c r="A65">
        <v>41640.548611111109</v>
      </c>
      <c r="B65">
        <v>2340</v>
      </c>
      <c r="C65" s="7">
        <v>41640.027777777781</v>
      </c>
      <c r="D65" t="s">
        <v>10</v>
      </c>
      <c r="E65" t="s">
        <v>72</v>
      </c>
      <c r="F65">
        <v>41640.557638888888</v>
      </c>
      <c r="G65" s="9">
        <v>41640.584722222222</v>
      </c>
      <c r="J65">
        <v>0</v>
      </c>
      <c r="K65">
        <v>0</v>
      </c>
      <c r="M65">
        <v>96</v>
      </c>
    </row>
    <row r="66" spans="1:13" x14ac:dyDescent="0.3">
      <c r="A66">
        <v>41640.552083333336</v>
      </c>
      <c r="B66">
        <v>600</v>
      </c>
      <c r="C66" s="7">
        <v>41640.012499999997</v>
      </c>
      <c r="D66" t="s">
        <v>14</v>
      </c>
      <c r="E66" t="s">
        <v>94</v>
      </c>
      <c r="F66" t="s">
        <v>138</v>
      </c>
      <c r="G66" s="9" t="s">
        <v>138</v>
      </c>
      <c r="J66">
        <v>0</v>
      </c>
      <c r="K66">
        <v>0</v>
      </c>
      <c r="M66">
        <v>69</v>
      </c>
    </row>
    <row r="67" spans="1:13" x14ac:dyDescent="0.3">
      <c r="A67">
        <v>41640.552083333336</v>
      </c>
      <c r="B67">
        <v>1020</v>
      </c>
      <c r="C67" s="7">
        <v>41640.020138888889</v>
      </c>
      <c r="D67" t="s">
        <v>16</v>
      </c>
      <c r="E67" t="s">
        <v>14</v>
      </c>
      <c r="F67" t="s">
        <v>138</v>
      </c>
      <c r="G67" s="9" t="s">
        <v>138</v>
      </c>
      <c r="J67">
        <v>0</v>
      </c>
      <c r="K67">
        <v>0</v>
      </c>
      <c r="M67">
        <v>64</v>
      </c>
    </row>
    <row r="68" spans="1:13" x14ac:dyDescent="0.3">
      <c r="A68">
        <v>41640.552777777775</v>
      </c>
      <c r="B68">
        <v>840</v>
      </c>
      <c r="C68" s="7">
        <v>41640.011111111111</v>
      </c>
      <c r="D68" t="s">
        <v>49</v>
      </c>
      <c r="E68" t="s">
        <v>22</v>
      </c>
      <c r="F68" t="s">
        <v>138</v>
      </c>
      <c r="G68" s="9" t="s">
        <v>138</v>
      </c>
      <c r="J68">
        <v>0</v>
      </c>
      <c r="K68">
        <v>0</v>
      </c>
      <c r="M68">
        <v>108</v>
      </c>
    </row>
    <row r="69" spans="1:13" x14ac:dyDescent="0.3">
      <c r="A69">
        <v>41640.554861111108</v>
      </c>
      <c r="B69">
        <v>720</v>
      </c>
      <c r="C69" s="7">
        <v>41640.021527777775</v>
      </c>
      <c r="D69" t="s">
        <v>8</v>
      </c>
      <c r="E69" t="s">
        <v>154</v>
      </c>
      <c r="F69" t="s">
        <v>138</v>
      </c>
      <c r="G69" s="9" t="s">
        <v>138</v>
      </c>
      <c r="J69">
        <v>0</v>
      </c>
      <c r="K69">
        <v>0</v>
      </c>
      <c r="M69">
        <v>103</v>
      </c>
    </row>
    <row r="70" spans="1:13" x14ac:dyDescent="0.3">
      <c r="A70">
        <v>41640.555555555555</v>
      </c>
      <c r="B70">
        <v>1440</v>
      </c>
      <c r="C70" s="7">
        <v>41640.021527777775</v>
      </c>
      <c r="D70" t="s">
        <v>89</v>
      </c>
      <c r="E70" t="s">
        <v>30</v>
      </c>
      <c r="F70">
        <v>41640.55972222222</v>
      </c>
      <c r="G70" s="9">
        <v>41640.576388888891</v>
      </c>
      <c r="J70">
        <v>0</v>
      </c>
      <c r="K70">
        <v>0</v>
      </c>
      <c r="M70">
        <v>98</v>
      </c>
    </row>
    <row r="71" spans="1:13" x14ac:dyDescent="0.3">
      <c r="A71">
        <v>41640.560416666667</v>
      </c>
      <c r="B71">
        <v>1140</v>
      </c>
      <c r="C71" s="7">
        <v>41640.017361111109</v>
      </c>
      <c r="D71" t="s">
        <v>155</v>
      </c>
      <c r="E71" t="s">
        <v>13</v>
      </c>
      <c r="F71" t="s">
        <v>138</v>
      </c>
      <c r="G71" s="9" t="s">
        <v>138</v>
      </c>
      <c r="J71">
        <v>0</v>
      </c>
      <c r="K71">
        <v>0</v>
      </c>
      <c r="M71">
        <v>101</v>
      </c>
    </row>
    <row r="72" spans="1:13" x14ac:dyDescent="0.3">
      <c r="A72">
        <v>41640.563194444447</v>
      </c>
      <c r="B72">
        <v>1020</v>
      </c>
      <c r="C72" s="7">
        <v>41640.011805555558</v>
      </c>
      <c r="D72" t="s">
        <v>151</v>
      </c>
      <c r="E72" t="s">
        <v>156</v>
      </c>
      <c r="F72">
        <v>41641.04583333333</v>
      </c>
      <c r="G72" s="9">
        <v>41641.057638888888</v>
      </c>
      <c r="J72">
        <v>0</v>
      </c>
      <c r="K72">
        <v>0</v>
      </c>
      <c r="M72">
        <v>109</v>
      </c>
    </row>
    <row r="73" spans="1:13" x14ac:dyDescent="0.3">
      <c r="A73">
        <v>41640.563194444447</v>
      </c>
      <c r="B73">
        <v>600</v>
      </c>
      <c r="C73" s="7">
        <v>41640.01458333333</v>
      </c>
      <c r="D73" t="s">
        <v>43</v>
      </c>
      <c r="E73" t="s">
        <v>35</v>
      </c>
      <c r="F73">
        <v>41641.066666666666</v>
      </c>
      <c r="G73" s="9">
        <v>41641.073611111111</v>
      </c>
      <c r="J73">
        <v>0</v>
      </c>
      <c r="K73">
        <v>0</v>
      </c>
      <c r="M73">
        <v>51</v>
      </c>
    </row>
    <row r="74" spans="1:13" x14ac:dyDescent="0.3">
      <c r="A74">
        <v>41640.565972222219</v>
      </c>
      <c r="B74">
        <v>2040</v>
      </c>
      <c r="C74" s="7">
        <v>41640.033333333333</v>
      </c>
      <c r="D74" t="s">
        <v>148</v>
      </c>
      <c r="E74" t="s">
        <v>157</v>
      </c>
      <c r="F74">
        <v>41640.578472222223</v>
      </c>
      <c r="G74" s="9">
        <v>41640.602083333331</v>
      </c>
      <c r="J74">
        <v>0</v>
      </c>
      <c r="K74">
        <v>0</v>
      </c>
      <c r="M74">
        <v>83</v>
      </c>
    </row>
    <row r="75" spans="1:13" x14ac:dyDescent="0.3">
      <c r="A75">
        <v>41640.567361111112</v>
      </c>
      <c r="B75">
        <v>1440</v>
      </c>
      <c r="C75" s="7">
        <v>41640.01666666667</v>
      </c>
      <c r="D75" t="s">
        <v>22</v>
      </c>
      <c r="E75" t="s">
        <v>158</v>
      </c>
      <c r="F75">
        <v>41640.574305555558</v>
      </c>
      <c r="G75" s="9">
        <v>41640.59097222222</v>
      </c>
      <c r="J75">
        <v>0</v>
      </c>
      <c r="K75">
        <v>0</v>
      </c>
      <c r="M75">
        <v>114</v>
      </c>
    </row>
    <row r="76" spans="1:13" x14ac:dyDescent="0.3">
      <c r="A76">
        <v>41640.568749999999</v>
      </c>
      <c r="B76">
        <v>1560</v>
      </c>
      <c r="C76" s="7">
        <v>41640.023611111108</v>
      </c>
      <c r="D76" t="s">
        <v>98</v>
      </c>
      <c r="E76" t="s">
        <v>31</v>
      </c>
      <c r="F76">
        <v>41640.574999999997</v>
      </c>
      <c r="G76" s="9">
        <v>41640.593055555553</v>
      </c>
      <c r="J76">
        <v>0</v>
      </c>
      <c r="K76">
        <v>0</v>
      </c>
      <c r="M76">
        <v>41</v>
      </c>
    </row>
    <row r="77" spans="1:13" x14ac:dyDescent="0.3">
      <c r="A77">
        <v>41640.570138888892</v>
      </c>
      <c r="B77">
        <v>2460</v>
      </c>
      <c r="C77" s="7">
        <v>41640.050694444442</v>
      </c>
      <c r="D77" t="s">
        <v>159</v>
      </c>
      <c r="E77" t="s">
        <v>77</v>
      </c>
      <c r="F77">
        <v>41640.597222222219</v>
      </c>
      <c r="G77" s="9">
        <v>41640.625694444447</v>
      </c>
      <c r="J77">
        <v>0</v>
      </c>
      <c r="K77">
        <v>0</v>
      </c>
      <c r="M77">
        <v>102</v>
      </c>
    </row>
    <row r="78" spans="1:13" x14ac:dyDescent="0.3">
      <c r="A78">
        <v>41640.576388888891</v>
      </c>
      <c r="B78">
        <v>600</v>
      </c>
      <c r="C78" s="7">
        <v>41640.022916666669</v>
      </c>
      <c r="D78" t="s">
        <v>30</v>
      </c>
      <c r="E78" t="s">
        <v>89</v>
      </c>
      <c r="F78">
        <v>41641.037499999999</v>
      </c>
      <c r="G78" s="9">
        <v>41641.044444444444</v>
      </c>
      <c r="J78">
        <v>0</v>
      </c>
      <c r="K78">
        <v>0</v>
      </c>
      <c r="M78">
        <v>67</v>
      </c>
    </row>
    <row r="79" spans="1:13" x14ac:dyDescent="0.3">
      <c r="A79">
        <v>41640.576388888891</v>
      </c>
      <c r="B79">
        <v>2160</v>
      </c>
      <c r="C79" s="7">
        <v>41640.034722222219</v>
      </c>
      <c r="D79" t="s">
        <v>160</v>
      </c>
      <c r="E79" t="s">
        <v>161</v>
      </c>
      <c r="F79">
        <v>41641.04583333333</v>
      </c>
      <c r="G79" s="9">
        <v>41641.070833333331</v>
      </c>
      <c r="J79">
        <v>0</v>
      </c>
      <c r="K79">
        <v>0</v>
      </c>
      <c r="M79">
        <v>60</v>
      </c>
    </row>
    <row r="80" spans="1:13" x14ac:dyDescent="0.3">
      <c r="A80">
        <v>41640.576388888891</v>
      </c>
      <c r="B80">
        <v>1020</v>
      </c>
      <c r="C80" s="7">
        <v>41640.020833333336</v>
      </c>
      <c r="D80" t="s">
        <v>15</v>
      </c>
      <c r="E80" t="s">
        <v>33</v>
      </c>
      <c r="F80">
        <v>41641.040972222225</v>
      </c>
      <c r="G80" s="9">
        <v>41641.052777777775</v>
      </c>
      <c r="J80">
        <v>0</v>
      </c>
      <c r="K80">
        <v>0</v>
      </c>
      <c r="M80">
        <v>58</v>
      </c>
    </row>
    <row r="81" spans="1:13" x14ac:dyDescent="0.3">
      <c r="A81">
        <v>41640.576388888891</v>
      </c>
      <c r="B81">
        <v>840</v>
      </c>
      <c r="C81" s="7">
        <v>41640.018055555556</v>
      </c>
      <c r="D81" t="s">
        <v>162</v>
      </c>
      <c r="E81" t="s">
        <v>163</v>
      </c>
      <c r="F81">
        <v>41641.022916666669</v>
      </c>
      <c r="G81" s="9">
        <v>41641.032638888886</v>
      </c>
      <c r="J81">
        <v>0</v>
      </c>
      <c r="K81">
        <v>0</v>
      </c>
      <c r="M81">
        <v>54</v>
      </c>
    </row>
    <row r="82" spans="1:13" x14ac:dyDescent="0.3">
      <c r="A82">
        <v>41640.577777777777</v>
      </c>
      <c r="B82">
        <v>780</v>
      </c>
      <c r="C82" s="7">
        <v>41640.012499999997</v>
      </c>
      <c r="D82" t="s">
        <v>30</v>
      </c>
      <c r="E82" t="s">
        <v>150</v>
      </c>
      <c r="F82">
        <v>41640.584027777775</v>
      </c>
      <c r="G82" s="9">
        <v>41640.593055555553</v>
      </c>
      <c r="J82">
        <v>0</v>
      </c>
      <c r="K82">
        <v>0</v>
      </c>
      <c r="M82">
        <v>106</v>
      </c>
    </row>
    <row r="83" spans="1:13" x14ac:dyDescent="0.3">
      <c r="A83">
        <v>41640.57916666667</v>
      </c>
      <c r="B83">
        <v>1260</v>
      </c>
      <c r="C83" s="7">
        <v>41640.01458333333</v>
      </c>
      <c r="D83" t="s">
        <v>13</v>
      </c>
      <c r="E83" t="s">
        <v>155</v>
      </c>
      <c r="F83">
        <v>41641.025694444441</v>
      </c>
      <c r="G83" s="9">
        <v>41641.040277777778</v>
      </c>
      <c r="J83">
        <v>0</v>
      </c>
      <c r="K83">
        <v>0</v>
      </c>
      <c r="M83">
        <v>77</v>
      </c>
    </row>
    <row r="84" spans="1:13" x14ac:dyDescent="0.3">
      <c r="A84">
        <v>41640.581250000003</v>
      </c>
      <c r="B84">
        <v>2220</v>
      </c>
      <c r="C84" s="7">
        <v>41640.025694444441</v>
      </c>
      <c r="D84" t="s">
        <v>8</v>
      </c>
      <c r="E84" t="s">
        <v>99</v>
      </c>
      <c r="F84">
        <v>41641.004861111112</v>
      </c>
      <c r="G84" s="9">
        <v>41641.030555555553</v>
      </c>
      <c r="J84">
        <v>0</v>
      </c>
      <c r="K84">
        <v>0</v>
      </c>
      <c r="M84">
        <v>76</v>
      </c>
    </row>
    <row r="85" spans="1:13" x14ac:dyDescent="0.3">
      <c r="A85">
        <v>41640.583333333336</v>
      </c>
      <c r="B85">
        <v>1500</v>
      </c>
      <c r="C85" s="7">
        <v>41640.017361111109</v>
      </c>
      <c r="D85" t="s">
        <v>22</v>
      </c>
      <c r="E85" t="s">
        <v>49</v>
      </c>
      <c r="F85">
        <v>41641.015277777777</v>
      </c>
      <c r="G85" s="9">
        <v>41641.032638888886</v>
      </c>
      <c r="J85">
        <v>0</v>
      </c>
      <c r="K85">
        <v>0</v>
      </c>
      <c r="M85">
        <v>44</v>
      </c>
    </row>
    <row r="86" spans="1:13" x14ac:dyDescent="0.3">
      <c r="A86">
        <v>41640.583333333336</v>
      </c>
      <c r="B86">
        <v>1740</v>
      </c>
      <c r="C86" s="7">
        <v>41640.024305555555</v>
      </c>
      <c r="D86" t="s">
        <v>164</v>
      </c>
      <c r="E86" t="s">
        <v>13</v>
      </c>
      <c r="F86">
        <v>41641.002083333333</v>
      </c>
      <c r="G86" s="9">
        <v>41641.022222222222</v>
      </c>
      <c r="J86">
        <v>0</v>
      </c>
      <c r="K86">
        <v>0</v>
      </c>
      <c r="M86">
        <v>42</v>
      </c>
    </row>
    <row r="87" spans="1:13" x14ac:dyDescent="0.3">
      <c r="A87">
        <v>41640.584027777775</v>
      </c>
      <c r="B87">
        <v>1800</v>
      </c>
      <c r="C87" s="7">
        <v>41640.022222222222</v>
      </c>
      <c r="D87" t="s">
        <v>14</v>
      </c>
      <c r="E87" t="s">
        <v>84</v>
      </c>
      <c r="F87">
        <v>41640.990972222222</v>
      </c>
      <c r="G87" s="9">
        <v>41641.011805555558</v>
      </c>
      <c r="J87">
        <v>0</v>
      </c>
      <c r="K87">
        <v>0</v>
      </c>
      <c r="M87">
        <v>53</v>
      </c>
    </row>
    <row r="88" spans="1:13" x14ac:dyDescent="0.3">
      <c r="A88">
        <v>41640.584027777775</v>
      </c>
      <c r="B88">
        <v>2280</v>
      </c>
      <c r="C88" s="7">
        <v>41640.026388888888</v>
      </c>
      <c r="D88" t="s">
        <v>17</v>
      </c>
      <c r="E88" t="s">
        <v>15</v>
      </c>
      <c r="F88">
        <v>41640.989583333336</v>
      </c>
      <c r="G88" s="9">
        <v>41641.015972222223</v>
      </c>
      <c r="J88">
        <v>0</v>
      </c>
      <c r="K88">
        <v>0</v>
      </c>
      <c r="M88">
        <v>47</v>
      </c>
    </row>
    <row r="89" spans="1:13" x14ac:dyDescent="0.3">
      <c r="A89">
        <v>41640.586111111108</v>
      </c>
      <c r="B89">
        <v>1560</v>
      </c>
      <c r="C89" s="7">
        <v>41640.025000000001</v>
      </c>
      <c r="D89" t="s">
        <v>165</v>
      </c>
      <c r="E89" t="s">
        <v>79</v>
      </c>
      <c r="F89">
        <v>41640.988194444442</v>
      </c>
      <c r="G89" s="9">
        <v>41641.006249999999</v>
      </c>
      <c r="J89">
        <v>0</v>
      </c>
      <c r="K89">
        <v>0</v>
      </c>
      <c r="M89">
        <v>71</v>
      </c>
    </row>
    <row r="90" spans="1:13" x14ac:dyDescent="0.3">
      <c r="A90">
        <v>41640.587500000001</v>
      </c>
      <c r="B90">
        <v>1560</v>
      </c>
      <c r="C90" s="7">
        <v>41640.018055555556</v>
      </c>
      <c r="D90" t="s">
        <v>98</v>
      </c>
      <c r="E90" t="s">
        <v>166</v>
      </c>
      <c r="F90">
        <v>41640.990277777775</v>
      </c>
      <c r="G90" s="9">
        <v>41641.008333333331</v>
      </c>
      <c r="J90">
        <v>0</v>
      </c>
      <c r="K90">
        <v>0</v>
      </c>
      <c r="M90">
        <v>113</v>
      </c>
    </row>
    <row r="91" spans="1:13" x14ac:dyDescent="0.3">
      <c r="A91">
        <v>41640.588194444441</v>
      </c>
      <c r="B91">
        <v>900</v>
      </c>
      <c r="C91" s="7">
        <v>41640.029861111114</v>
      </c>
      <c r="D91" t="s">
        <v>30</v>
      </c>
      <c r="E91" t="s">
        <v>153</v>
      </c>
      <c r="F91">
        <v>41640.609722222223</v>
      </c>
      <c r="G91" s="9">
        <v>41640.620138888888</v>
      </c>
      <c r="J91">
        <v>0</v>
      </c>
      <c r="K91">
        <v>0</v>
      </c>
      <c r="M91">
        <v>49</v>
      </c>
    </row>
    <row r="92" spans="1:13" x14ac:dyDescent="0.3">
      <c r="A92">
        <v>41640.590277777781</v>
      </c>
      <c r="B92">
        <v>1620</v>
      </c>
      <c r="C92" s="7">
        <v>41640.019444444442</v>
      </c>
      <c r="D92" t="s">
        <v>167</v>
      </c>
      <c r="E92" t="s">
        <v>163</v>
      </c>
      <c r="F92">
        <v>41640.598611111112</v>
      </c>
      <c r="G92" s="9">
        <v>41640.617361111108</v>
      </c>
      <c r="J92">
        <v>0</v>
      </c>
      <c r="K92">
        <v>0</v>
      </c>
      <c r="M92">
        <v>88</v>
      </c>
    </row>
    <row r="93" spans="1:13" x14ac:dyDescent="0.3">
      <c r="A93">
        <v>41640.591666666667</v>
      </c>
      <c r="B93">
        <v>1260</v>
      </c>
      <c r="C93" s="7">
        <v>41640.01458333333</v>
      </c>
      <c r="D93" t="s">
        <v>168</v>
      </c>
      <c r="E93" t="s">
        <v>22</v>
      </c>
      <c r="F93">
        <v>41640.59375</v>
      </c>
      <c r="G93" s="9">
        <v>41640.60833333333</v>
      </c>
      <c r="J93">
        <v>0</v>
      </c>
      <c r="K93">
        <v>0</v>
      </c>
      <c r="M93">
        <v>45</v>
      </c>
    </row>
    <row r="94" spans="1:13" x14ac:dyDescent="0.3">
      <c r="A94">
        <v>41640.594444444447</v>
      </c>
      <c r="B94">
        <v>1920</v>
      </c>
      <c r="C94" s="7">
        <v>41640.026388888888</v>
      </c>
      <c r="D94" t="s">
        <v>169</v>
      </c>
      <c r="E94" t="s">
        <v>13</v>
      </c>
      <c r="F94">
        <v>41640.613888888889</v>
      </c>
      <c r="G94" s="9">
        <v>41640.636111111111</v>
      </c>
      <c r="J94">
        <v>0</v>
      </c>
      <c r="K94">
        <v>0</v>
      </c>
      <c r="M94">
        <v>85</v>
      </c>
    </row>
    <row r="95" spans="1:13" x14ac:dyDescent="0.3">
      <c r="A95">
        <v>41640.597916666666</v>
      </c>
      <c r="B95">
        <v>1020</v>
      </c>
      <c r="C95" s="7">
        <v>41640.018750000003</v>
      </c>
      <c r="D95" t="s">
        <v>163</v>
      </c>
      <c r="E95" t="s">
        <v>162</v>
      </c>
      <c r="F95">
        <v>41640.598611111112</v>
      </c>
      <c r="G95" s="9">
        <v>41640.61041666667</v>
      </c>
      <c r="J95">
        <v>0</v>
      </c>
      <c r="K95">
        <v>0</v>
      </c>
      <c r="M95">
        <v>112</v>
      </c>
    </row>
    <row r="96" spans="1:13" x14ac:dyDescent="0.3">
      <c r="A96">
        <v>41640.607638888891</v>
      </c>
      <c r="B96">
        <v>1740</v>
      </c>
      <c r="C96" s="7">
        <v>41640.026388888888</v>
      </c>
      <c r="D96" t="s">
        <v>170</v>
      </c>
      <c r="E96" t="s">
        <v>61</v>
      </c>
      <c r="F96">
        <v>41640.615972222222</v>
      </c>
      <c r="G96" s="9">
        <v>41640.636111111111</v>
      </c>
      <c r="J96">
        <v>0</v>
      </c>
      <c r="K96">
        <v>0</v>
      </c>
      <c r="M96">
        <v>55</v>
      </c>
    </row>
    <row r="97" spans="1:13" x14ac:dyDescent="0.3">
      <c r="A97">
        <v>41640.60833333333</v>
      </c>
      <c r="B97">
        <v>2520</v>
      </c>
      <c r="C97" s="7">
        <v>41640.030555555553</v>
      </c>
      <c r="D97" t="s">
        <v>13</v>
      </c>
      <c r="E97" t="s">
        <v>164</v>
      </c>
      <c r="F97">
        <v>41640.979166666664</v>
      </c>
      <c r="G97" s="9">
        <v>41641.008333333331</v>
      </c>
      <c r="J97">
        <v>0</v>
      </c>
      <c r="K97">
        <v>0</v>
      </c>
      <c r="M97">
        <v>59</v>
      </c>
    </row>
    <row r="98" spans="1:13" x14ac:dyDescent="0.3">
      <c r="A98">
        <v>41640.612500000003</v>
      </c>
      <c r="B98">
        <v>1200</v>
      </c>
      <c r="C98" s="7">
        <v>41640.022916666669</v>
      </c>
      <c r="D98" t="s">
        <v>30</v>
      </c>
      <c r="E98" t="s">
        <v>171</v>
      </c>
      <c r="F98">
        <v>41640.614583333336</v>
      </c>
      <c r="G98" s="9">
        <v>41640.628472222219</v>
      </c>
      <c r="J98">
        <v>0</v>
      </c>
      <c r="K98">
        <v>0</v>
      </c>
      <c r="M98">
        <v>104</v>
      </c>
    </row>
    <row r="99" spans="1:13" x14ac:dyDescent="0.3">
      <c r="A99">
        <v>41640.613194444442</v>
      </c>
      <c r="B99">
        <v>1140</v>
      </c>
      <c r="C99" s="7">
        <v>41640.029166666667</v>
      </c>
      <c r="D99" t="s">
        <v>15</v>
      </c>
      <c r="E99" t="s">
        <v>132</v>
      </c>
      <c r="F99">
        <v>41640.97152777778</v>
      </c>
      <c r="G99" s="9">
        <v>41640.984722222223</v>
      </c>
      <c r="J99">
        <v>0</v>
      </c>
      <c r="K99">
        <v>0</v>
      </c>
      <c r="M99">
        <v>81</v>
      </c>
    </row>
    <row r="100" spans="1:13" x14ac:dyDescent="0.3">
      <c r="A100">
        <v>41640.613888888889</v>
      </c>
      <c r="B100">
        <v>1080</v>
      </c>
      <c r="C100" s="7">
        <v>41640.012499999997</v>
      </c>
      <c r="D100" t="s">
        <v>43</v>
      </c>
      <c r="E100" t="s">
        <v>147</v>
      </c>
      <c r="F100">
        <v>41640.970833333333</v>
      </c>
      <c r="G100" s="9">
        <v>41640.98333333333</v>
      </c>
      <c r="J100">
        <v>0</v>
      </c>
      <c r="K100">
        <v>0</v>
      </c>
      <c r="M100">
        <v>75</v>
      </c>
    </row>
    <row r="101" spans="1:13" x14ac:dyDescent="0.3">
      <c r="A101">
        <v>41640.615277777775</v>
      </c>
      <c r="B101">
        <v>1560</v>
      </c>
      <c r="C101" s="7">
        <v>41640.021527777775</v>
      </c>
      <c r="D101" t="s">
        <v>79</v>
      </c>
      <c r="E101" t="s">
        <v>165</v>
      </c>
      <c r="F101">
        <v>41640.974999999999</v>
      </c>
      <c r="G101" s="9">
        <v>41640.993055555555</v>
      </c>
      <c r="J101">
        <v>0</v>
      </c>
      <c r="K101">
        <v>0</v>
      </c>
      <c r="M101">
        <v>72</v>
      </c>
    </row>
    <row r="102" spans="1:13" x14ac:dyDescent="0.3">
      <c r="A102">
        <v>41640.615277777775</v>
      </c>
      <c r="B102">
        <v>1920</v>
      </c>
      <c r="C102" s="7">
        <v>41640.035416666666</v>
      </c>
      <c r="D102" t="s">
        <v>163</v>
      </c>
      <c r="E102" t="s">
        <v>167</v>
      </c>
      <c r="F102">
        <v>41640.621527777781</v>
      </c>
      <c r="G102" s="9">
        <v>41640.643750000003</v>
      </c>
      <c r="J102">
        <v>0</v>
      </c>
      <c r="K102">
        <v>0</v>
      </c>
      <c r="M102">
        <v>61</v>
      </c>
    </row>
    <row r="103" spans="1:13" x14ac:dyDescent="0.3">
      <c r="A103">
        <v>41640.618055555555</v>
      </c>
      <c r="B103">
        <v>1740</v>
      </c>
      <c r="C103" s="7">
        <v>41640.022916666669</v>
      </c>
      <c r="D103" t="s">
        <v>42</v>
      </c>
      <c r="E103" t="s">
        <v>22</v>
      </c>
      <c r="F103">
        <v>41640.956250000003</v>
      </c>
      <c r="G103" s="9">
        <v>41640.976388888892</v>
      </c>
      <c r="J103">
        <v>0</v>
      </c>
      <c r="K103">
        <v>0</v>
      </c>
      <c r="M103">
        <v>95</v>
      </c>
    </row>
    <row r="104" spans="1:13" x14ac:dyDescent="0.3">
      <c r="A104">
        <v>41640.618750000001</v>
      </c>
      <c r="B104">
        <v>1980</v>
      </c>
      <c r="C104" s="7">
        <v>41640.036111111112</v>
      </c>
      <c r="D104" t="s">
        <v>172</v>
      </c>
      <c r="E104" t="s">
        <v>15</v>
      </c>
      <c r="F104">
        <v>41640.624305555553</v>
      </c>
      <c r="G104" s="9">
        <v>41640.647222222222</v>
      </c>
      <c r="J104">
        <v>0</v>
      </c>
      <c r="K104">
        <v>0</v>
      </c>
      <c r="M104">
        <v>66</v>
      </c>
    </row>
    <row r="105" spans="1:13" x14ac:dyDescent="0.3">
      <c r="A105">
        <v>41640.625</v>
      </c>
      <c r="B105">
        <v>2520</v>
      </c>
      <c r="C105" s="7">
        <v>41640.029861111114</v>
      </c>
      <c r="D105" t="s">
        <v>13</v>
      </c>
      <c r="E105" t="s">
        <v>169</v>
      </c>
      <c r="F105">
        <v>41640.944444444445</v>
      </c>
      <c r="G105" s="9">
        <v>41640.973611111112</v>
      </c>
      <c r="J105">
        <v>0</v>
      </c>
      <c r="K105">
        <v>0</v>
      </c>
      <c r="M105">
        <v>46</v>
      </c>
    </row>
    <row r="106" spans="1:13" x14ac:dyDescent="0.3">
      <c r="A106">
        <v>41640.625694444447</v>
      </c>
      <c r="B106">
        <v>1740</v>
      </c>
      <c r="C106" s="7">
        <v>41640.020833333336</v>
      </c>
      <c r="D106" t="s">
        <v>173</v>
      </c>
      <c r="E106" t="s">
        <v>30</v>
      </c>
      <c r="F106">
        <v>41640.941666666666</v>
      </c>
      <c r="G106" s="9">
        <v>41640.961805555555</v>
      </c>
      <c r="J106">
        <v>0</v>
      </c>
      <c r="K106">
        <v>0</v>
      </c>
      <c r="M106">
        <v>92</v>
      </c>
    </row>
    <row r="107" spans="1:13" x14ac:dyDescent="0.3">
      <c r="A107">
        <v>41640.629166666666</v>
      </c>
      <c r="B107">
        <v>1560</v>
      </c>
      <c r="C107" s="7">
        <v>41640.018055555556</v>
      </c>
      <c r="D107" t="s">
        <v>14</v>
      </c>
      <c r="E107" t="s">
        <v>16</v>
      </c>
      <c r="F107">
        <v>41640.631944444445</v>
      </c>
      <c r="G107" s="9">
        <v>41640.65</v>
      </c>
      <c r="J107">
        <v>0</v>
      </c>
      <c r="K107">
        <v>0</v>
      </c>
      <c r="M107">
        <v>79</v>
      </c>
    </row>
    <row r="108" spans="1:13" x14ac:dyDescent="0.3">
      <c r="A108">
        <v>41640.633333333331</v>
      </c>
      <c r="B108">
        <v>1140</v>
      </c>
      <c r="C108" s="7">
        <v>41640.027083333334</v>
      </c>
      <c r="D108" t="s">
        <v>15</v>
      </c>
      <c r="E108" t="s">
        <v>64</v>
      </c>
      <c r="F108">
        <v>41640.643750000003</v>
      </c>
      <c r="G108" s="9">
        <v>41640.656944444447</v>
      </c>
      <c r="J108">
        <v>0</v>
      </c>
      <c r="K108">
        <v>0</v>
      </c>
      <c r="M108">
        <v>99</v>
      </c>
    </row>
    <row r="109" spans="1:13" x14ac:dyDescent="0.3">
      <c r="A109">
        <v>41640.633333333331</v>
      </c>
      <c r="B109">
        <v>1740</v>
      </c>
      <c r="C109" s="7">
        <v>41640.022222222222</v>
      </c>
      <c r="D109" t="s">
        <v>40</v>
      </c>
      <c r="E109" t="s">
        <v>77</v>
      </c>
      <c r="F109">
        <v>41640.636111111111</v>
      </c>
      <c r="G109" s="9">
        <v>41640.65625</v>
      </c>
      <c r="J109">
        <v>0</v>
      </c>
      <c r="K109">
        <v>0</v>
      </c>
      <c r="M109">
        <v>56</v>
      </c>
    </row>
    <row r="110" spans="1:13" x14ac:dyDescent="0.3">
      <c r="A110">
        <v>41640.640277777777</v>
      </c>
      <c r="B110">
        <v>1620</v>
      </c>
      <c r="C110" s="7">
        <v>41640.026388888888</v>
      </c>
      <c r="D110" t="s">
        <v>15</v>
      </c>
      <c r="E110" t="s">
        <v>17</v>
      </c>
      <c r="F110">
        <v>41640.92291666667</v>
      </c>
      <c r="G110" s="9">
        <v>41640.941666666666</v>
      </c>
      <c r="J110">
        <v>0</v>
      </c>
      <c r="K110">
        <v>0</v>
      </c>
      <c r="M110">
        <v>93</v>
      </c>
    </row>
    <row r="111" spans="1:13" x14ac:dyDescent="0.3">
      <c r="A111">
        <v>41640.640277777777</v>
      </c>
      <c r="B111">
        <v>2040</v>
      </c>
      <c r="C111" s="7">
        <v>41640.023611111108</v>
      </c>
      <c r="D111" t="s">
        <v>157</v>
      </c>
      <c r="E111" t="s">
        <v>148</v>
      </c>
      <c r="F111">
        <v>41640.905555555553</v>
      </c>
      <c r="G111" s="9">
        <v>41640.929166666669</v>
      </c>
      <c r="J111">
        <v>0</v>
      </c>
      <c r="K111">
        <v>0</v>
      </c>
      <c r="M111">
        <v>78</v>
      </c>
    </row>
    <row r="112" spans="1:13" x14ac:dyDescent="0.3">
      <c r="A112">
        <v>41640.645138888889</v>
      </c>
      <c r="B112">
        <v>300</v>
      </c>
      <c r="C112" s="7">
        <v>41640.011111111111</v>
      </c>
      <c r="D112" t="s">
        <v>30</v>
      </c>
      <c r="E112" t="s">
        <v>168</v>
      </c>
      <c r="F112">
        <v>41640.652083333334</v>
      </c>
      <c r="G112" s="9">
        <v>41640.655555555553</v>
      </c>
      <c r="J112">
        <v>0</v>
      </c>
      <c r="K112">
        <v>0</v>
      </c>
      <c r="M112">
        <v>91</v>
      </c>
    </row>
    <row r="113" spans="1:13" x14ac:dyDescent="0.3">
      <c r="A113">
        <v>41640.647916666669</v>
      </c>
      <c r="B113">
        <v>4440</v>
      </c>
      <c r="C113" s="7">
        <v>41640.052083333336</v>
      </c>
      <c r="D113" t="s">
        <v>95</v>
      </c>
      <c r="E113" t="s">
        <v>7</v>
      </c>
      <c r="F113">
        <v>41640.651388888888</v>
      </c>
      <c r="G113" s="9">
        <v>41640.702777777777</v>
      </c>
      <c r="J113">
        <v>0</v>
      </c>
      <c r="K113">
        <v>0</v>
      </c>
      <c r="M113">
        <v>62</v>
      </c>
    </row>
    <row r="114" spans="1:13" x14ac:dyDescent="0.3">
      <c r="A114">
        <v>41640.652777777781</v>
      </c>
      <c r="B114">
        <v>960</v>
      </c>
      <c r="C114" s="7">
        <v>41640.013194444444</v>
      </c>
      <c r="D114" t="s">
        <v>22</v>
      </c>
      <c r="E114" t="s">
        <v>42</v>
      </c>
      <c r="F114">
        <v>41640.6875</v>
      </c>
      <c r="G114" s="9">
        <v>41640.698611111111</v>
      </c>
      <c r="J114">
        <v>0</v>
      </c>
      <c r="K114">
        <v>0</v>
      </c>
      <c r="M114">
        <v>73</v>
      </c>
    </row>
    <row r="115" spans="1:13" x14ac:dyDescent="0.3">
      <c r="A115">
        <v>41640.654861111114</v>
      </c>
      <c r="B115">
        <v>660</v>
      </c>
      <c r="C115" s="7">
        <v>41640.02847222222</v>
      </c>
      <c r="D115" t="s">
        <v>174</v>
      </c>
      <c r="E115" t="s">
        <v>17</v>
      </c>
      <c r="F115">
        <v>41640.67083333333</v>
      </c>
      <c r="G115" s="9">
        <v>41640.678472222222</v>
      </c>
      <c r="J115">
        <v>0</v>
      </c>
      <c r="K115">
        <v>0</v>
      </c>
      <c r="M115">
        <v>90</v>
      </c>
    </row>
    <row r="116" spans="1:13" x14ac:dyDescent="0.3">
      <c r="A116">
        <v>41640.655555555553</v>
      </c>
      <c r="B116">
        <v>2520</v>
      </c>
      <c r="C116" s="7">
        <v>41640.029166666667</v>
      </c>
      <c r="D116" t="s">
        <v>175</v>
      </c>
      <c r="E116" t="s">
        <v>46</v>
      </c>
      <c r="F116">
        <v>41640.670138888891</v>
      </c>
      <c r="G116" s="9">
        <v>41640.699305555558</v>
      </c>
      <c r="J116">
        <v>0</v>
      </c>
      <c r="K116">
        <v>0</v>
      </c>
      <c r="M116">
        <v>74</v>
      </c>
    </row>
    <row r="117" spans="1:13" x14ac:dyDescent="0.3">
      <c r="A117">
        <v>41640.661111111112</v>
      </c>
      <c r="B117">
        <v>900</v>
      </c>
      <c r="C117" s="7">
        <v>41640.01666666667</v>
      </c>
      <c r="D117" t="s">
        <v>61</v>
      </c>
      <c r="E117" t="s">
        <v>170</v>
      </c>
      <c r="F117">
        <v>41640.670138888891</v>
      </c>
      <c r="G117" s="9">
        <v>41640.680555555555</v>
      </c>
      <c r="J117">
        <v>0</v>
      </c>
      <c r="K117">
        <v>0</v>
      </c>
      <c r="M117">
        <v>80</v>
      </c>
    </row>
    <row r="118" spans="1:13" x14ac:dyDescent="0.3">
      <c r="A118">
        <v>41640.665972222225</v>
      </c>
      <c r="B118">
        <v>2400</v>
      </c>
      <c r="C118" s="7">
        <v>41640.035416666666</v>
      </c>
      <c r="D118" t="s">
        <v>95</v>
      </c>
      <c r="E118" t="s">
        <v>46</v>
      </c>
      <c r="F118">
        <v>41640.671527777777</v>
      </c>
      <c r="G118" s="9">
        <v>41640.699305555558</v>
      </c>
      <c r="J118">
        <v>0</v>
      </c>
      <c r="K118">
        <v>0</v>
      </c>
      <c r="M118">
        <v>94</v>
      </c>
    </row>
    <row r="119" spans="1:13" x14ac:dyDescent="0.3">
      <c r="A119">
        <v>41640.668749999997</v>
      </c>
      <c r="B119">
        <v>2940</v>
      </c>
      <c r="C119" s="7">
        <v>41640.038888888892</v>
      </c>
      <c r="D119" t="s">
        <v>13</v>
      </c>
      <c r="E119" t="s">
        <v>18</v>
      </c>
      <c r="F119">
        <v>41640.68472222222</v>
      </c>
      <c r="G119" s="9">
        <v>41640.71875</v>
      </c>
      <c r="J119">
        <v>0</v>
      </c>
      <c r="K119">
        <v>0</v>
      </c>
      <c r="M119">
        <v>140</v>
      </c>
    </row>
    <row r="120" spans="1:13" x14ac:dyDescent="0.3">
      <c r="A120">
        <v>41640.675000000003</v>
      </c>
      <c r="B120">
        <v>2880</v>
      </c>
      <c r="C120" s="7">
        <v>41640.033333333333</v>
      </c>
      <c r="D120" t="s">
        <v>13</v>
      </c>
      <c r="E120" t="s">
        <v>173</v>
      </c>
      <c r="F120">
        <v>41640.676388888889</v>
      </c>
      <c r="G120" s="9">
        <v>41640.709722222222</v>
      </c>
      <c r="J120">
        <v>0</v>
      </c>
      <c r="K120">
        <v>0</v>
      </c>
      <c r="M120">
        <v>120</v>
      </c>
    </row>
    <row r="121" spans="1:13" x14ac:dyDescent="0.3">
      <c r="A121">
        <v>41640.677083333336</v>
      </c>
      <c r="B121">
        <v>2880</v>
      </c>
      <c r="C121" s="7">
        <v>41640.045138888891</v>
      </c>
      <c r="D121" t="s">
        <v>61</v>
      </c>
      <c r="E121" t="s">
        <v>176</v>
      </c>
      <c r="F121">
        <v>41640.679861111108</v>
      </c>
      <c r="G121" s="9">
        <v>41640.713194444441</v>
      </c>
      <c r="J121">
        <v>0</v>
      </c>
      <c r="K121">
        <v>0</v>
      </c>
      <c r="M121">
        <v>129</v>
      </c>
    </row>
    <row r="122" spans="1:13" x14ac:dyDescent="0.3">
      <c r="A122">
        <v>41640.677777777775</v>
      </c>
      <c r="B122">
        <v>3060</v>
      </c>
      <c r="C122" s="7">
        <v>41640.043055555558</v>
      </c>
      <c r="D122" t="s">
        <v>30</v>
      </c>
      <c r="E122" t="s">
        <v>177</v>
      </c>
      <c r="F122">
        <v>41640.679166666669</v>
      </c>
      <c r="G122" s="9">
        <v>41640.714583333334</v>
      </c>
      <c r="J122">
        <v>0</v>
      </c>
      <c r="K122">
        <v>0</v>
      </c>
      <c r="M122">
        <v>119</v>
      </c>
    </row>
    <row r="123" spans="1:13" x14ac:dyDescent="0.3">
      <c r="A123">
        <v>41640.690972222219</v>
      </c>
      <c r="B123">
        <v>2040</v>
      </c>
      <c r="C123" s="7">
        <v>41640.030555555553</v>
      </c>
      <c r="D123" t="s">
        <v>15</v>
      </c>
      <c r="E123" t="s">
        <v>33</v>
      </c>
      <c r="F123">
        <v>41640.885416666664</v>
      </c>
      <c r="G123" s="9">
        <v>41640.90902777778</v>
      </c>
      <c r="J123">
        <v>0</v>
      </c>
      <c r="K123">
        <v>0</v>
      </c>
      <c r="M123">
        <v>139</v>
      </c>
    </row>
    <row r="124" spans="1:13" x14ac:dyDescent="0.3">
      <c r="A124">
        <v>41640.691666666666</v>
      </c>
      <c r="B124">
        <v>2520</v>
      </c>
      <c r="C124" s="7">
        <v>41640.033333333333</v>
      </c>
      <c r="D124" t="s">
        <v>178</v>
      </c>
      <c r="E124" t="s">
        <v>179</v>
      </c>
      <c r="F124">
        <v>41640.893055555556</v>
      </c>
      <c r="G124" s="9">
        <v>41640.922222222223</v>
      </c>
      <c r="J124">
        <v>0</v>
      </c>
      <c r="K124">
        <v>0</v>
      </c>
      <c r="M124">
        <v>122</v>
      </c>
    </row>
    <row r="125" spans="1:13" x14ac:dyDescent="0.3">
      <c r="A125">
        <v>41640.693749999999</v>
      </c>
      <c r="B125">
        <v>1800</v>
      </c>
      <c r="C125" s="7">
        <v>41640.021527777775</v>
      </c>
      <c r="D125" t="s">
        <v>95</v>
      </c>
      <c r="E125" t="s">
        <v>69</v>
      </c>
      <c r="F125">
        <v>41640.881249999999</v>
      </c>
      <c r="G125" s="9">
        <v>41640.902083333334</v>
      </c>
      <c r="J125">
        <v>0</v>
      </c>
      <c r="K125">
        <v>0</v>
      </c>
      <c r="M125">
        <v>127</v>
      </c>
    </row>
    <row r="126" spans="1:13" x14ac:dyDescent="0.3">
      <c r="A126">
        <v>41640.696527777778</v>
      </c>
      <c r="B126">
        <v>4260</v>
      </c>
      <c r="C126" s="7">
        <v>41640.070138888892</v>
      </c>
      <c r="D126" t="s">
        <v>180</v>
      </c>
      <c r="E126" t="s">
        <v>181</v>
      </c>
      <c r="F126">
        <v>41640.770138888889</v>
      </c>
      <c r="G126" s="9">
        <v>41640.819444444445</v>
      </c>
      <c r="J126">
        <v>0</v>
      </c>
      <c r="K126">
        <v>0</v>
      </c>
      <c r="M126">
        <v>130</v>
      </c>
    </row>
    <row r="127" spans="1:13" x14ac:dyDescent="0.3">
      <c r="A127">
        <v>41640.696527777778</v>
      </c>
      <c r="B127">
        <v>2940</v>
      </c>
      <c r="C127" s="7">
        <v>41640.03402777778</v>
      </c>
      <c r="D127" t="s">
        <v>182</v>
      </c>
      <c r="E127" t="s">
        <v>13</v>
      </c>
      <c r="F127">
        <v>41640.731944444444</v>
      </c>
      <c r="G127" s="9">
        <v>41640.765972222223</v>
      </c>
      <c r="J127">
        <v>0</v>
      </c>
      <c r="K127">
        <v>0</v>
      </c>
      <c r="M127">
        <v>126</v>
      </c>
    </row>
    <row r="128" spans="1:13" x14ac:dyDescent="0.3">
      <c r="A128">
        <v>41640.698611111111</v>
      </c>
      <c r="B128">
        <v>3480</v>
      </c>
      <c r="C128" s="7">
        <v>41640.040277777778</v>
      </c>
      <c r="D128" t="s">
        <v>95</v>
      </c>
      <c r="E128" t="s">
        <v>39</v>
      </c>
      <c r="F128">
        <v>41640.761111111111</v>
      </c>
      <c r="G128" s="9">
        <v>41640.801388888889</v>
      </c>
      <c r="J128">
        <v>0</v>
      </c>
      <c r="K128">
        <v>0</v>
      </c>
      <c r="M128">
        <v>121</v>
      </c>
    </row>
    <row r="129" spans="1:13" x14ac:dyDescent="0.3">
      <c r="A129">
        <v>41640.706250000003</v>
      </c>
      <c r="B129">
        <v>2700</v>
      </c>
      <c r="C129" s="7">
        <v>41640.053472222222</v>
      </c>
      <c r="D129" t="s">
        <v>183</v>
      </c>
      <c r="E129" t="s">
        <v>17</v>
      </c>
      <c r="F129">
        <v>41640.726388888892</v>
      </c>
      <c r="G129" s="9">
        <v>41640.757638888892</v>
      </c>
      <c r="J129">
        <v>0</v>
      </c>
      <c r="K129">
        <v>0</v>
      </c>
      <c r="M129">
        <v>123</v>
      </c>
    </row>
    <row r="130" spans="1:13" x14ac:dyDescent="0.3">
      <c r="A130">
        <v>41640.711805555555</v>
      </c>
      <c r="B130">
        <v>3240</v>
      </c>
      <c r="C130" s="7">
        <v>41640.038194444445</v>
      </c>
      <c r="D130" t="s">
        <v>151</v>
      </c>
      <c r="E130" t="s">
        <v>184</v>
      </c>
      <c r="F130">
        <v>41640.736805555556</v>
      </c>
      <c r="G130" s="9">
        <v>41640.774305555555</v>
      </c>
      <c r="J130">
        <v>0</v>
      </c>
      <c r="K130">
        <v>0</v>
      </c>
      <c r="M130">
        <v>128</v>
      </c>
    </row>
    <row r="131" spans="1:13" x14ac:dyDescent="0.3">
      <c r="A131">
        <v>41640.72152777778</v>
      </c>
      <c r="B131">
        <v>540</v>
      </c>
      <c r="C131" s="7">
        <v>41640.011805555558</v>
      </c>
      <c r="D131" t="s">
        <v>30</v>
      </c>
      <c r="E131" t="s">
        <v>85</v>
      </c>
      <c r="F131">
        <v>41640.729166666664</v>
      </c>
      <c r="G131" s="9">
        <v>41640.73541666667</v>
      </c>
      <c r="J131">
        <v>0</v>
      </c>
      <c r="K131">
        <v>0</v>
      </c>
      <c r="M131">
        <v>131</v>
      </c>
    </row>
    <row r="132" spans="1:13" x14ac:dyDescent="0.3">
      <c r="A132">
        <v>41640.734027777777</v>
      </c>
      <c r="B132">
        <v>1980</v>
      </c>
      <c r="C132" s="7">
        <v>41640.02847222222</v>
      </c>
      <c r="D132" t="s">
        <v>13</v>
      </c>
      <c r="E132" t="s">
        <v>182</v>
      </c>
      <c r="F132">
        <v>41640.75277777778</v>
      </c>
      <c r="G132" s="9">
        <v>41640.775694444441</v>
      </c>
      <c r="J132">
        <v>0</v>
      </c>
      <c r="K132">
        <v>0</v>
      </c>
      <c r="M132">
        <v>133</v>
      </c>
    </row>
    <row r="133" spans="1:13" x14ac:dyDescent="0.3">
      <c r="A133">
        <v>41640.73541666667</v>
      </c>
      <c r="B133">
        <v>4560</v>
      </c>
      <c r="C133" s="7">
        <v>41640.053472222222</v>
      </c>
      <c r="D133" t="s">
        <v>185</v>
      </c>
      <c r="E133" t="s">
        <v>77</v>
      </c>
      <c r="F133">
        <v>41640.758333333331</v>
      </c>
      <c r="G133" s="9">
        <v>41640.811111111114</v>
      </c>
      <c r="J133">
        <v>0</v>
      </c>
      <c r="K133">
        <v>0</v>
      </c>
      <c r="M133">
        <v>125</v>
      </c>
    </row>
    <row r="134" spans="1:13" x14ac:dyDescent="0.3">
      <c r="A134">
        <v>41640.736805555556</v>
      </c>
      <c r="B134">
        <v>4320</v>
      </c>
      <c r="C134" s="7">
        <v>41640.056250000001</v>
      </c>
      <c r="D134" t="s">
        <v>186</v>
      </c>
      <c r="E134" t="s">
        <v>187</v>
      </c>
      <c r="F134">
        <v>41640.775000000001</v>
      </c>
      <c r="G134" s="9">
        <v>41640.824999999997</v>
      </c>
      <c r="J134">
        <v>0</v>
      </c>
      <c r="K134">
        <v>0</v>
      </c>
      <c r="M134">
        <v>136</v>
      </c>
    </row>
    <row r="135" spans="1:13" x14ac:dyDescent="0.3">
      <c r="A135">
        <v>41640.743750000001</v>
      </c>
      <c r="B135">
        <v>1920</v>
      </c>
      <c r="C135" s="7">
        <v>41640.032638888886</v>
      </c>
      <c r="D135" t="s">
        <v>30</v>
      </c>
      <c r="E135" t="s">
        <v>188</v>
      </c>
      <c r="F135">
        <v>41640.756249999999</v>
      </c>
      <c r="G135" s="9">
        <v>41640.77847222222</v>
      </c>
      <c r="J135">
        <v>0</v>
      </c>
      <c r="K135">
        <v>0</v>
      </c>
      <c r="M135">
        <v>132</v>
      </c>
    </row>
    <row r="136" spans="1:13" x14ac:dyDescent="0.3">
      <c r="A136">
        <v>41640.74722222222</v>
      </c>
      <c r="B136">
        <v>4080</v>
      </c>
      <c r="C136" s="7">
        <v>41640.04791666667</v>
      </c>
      <c r="D136" t="s">
        <v>189</v>
      </c>
      <c r="E136" t="s">
        <v>5</v>
      </c>
      <c r="F136">
        <v>41640.754861111112</v>
      </c>
      <c r="G136" s="9">
        <v>41640.802083333336</v>
      </c>
      <c r="J136">
        <v>0</v>
      </c>
      <c r="K136">
        <v>0</v>
      </c>
      <c r="M136">
        <v>118</v>
      </c>
    </row>
    <row r="137" spans="1:13" x14ac:dyDescent="0.3">
      <c r="A137">
        <v>41640.760416666664</v>
      </c>
      <c r="B137">
        <v>2640</v>
      </c>
      <c r="C137" s="7">
        <v>41640.034722222219</v>
      </c>
      <c r="D137" t="s">
        <v>190</v>
      </c>
      <c r="E137" t="s">
        <v>13</v>
      </c>
      <c r="F137">
        <v>41640.905555555553</v>
      </c>
      <c r="G137" s="9">
        <v>41640.936111111114</v>
      </c>
      <c r="J137">
        <v>0</v>
      </c>
      <c r="K137">
        <v>0</v>
      </c>
      <c r="M137">
        <v>124</v>
      </c>
    </row>
    <row r="138" spans="1:13" x14ac:dyDescent="0.3">
      <c r="A138">
        <v>41640.761111111111</v>
      </c>
      <c r="B138">
        <v>4020</v>
      </c>
      <c r="C138" s="7">
        <v>41640.049305555556</v>
      </c>
      <c r="D138" t="s">
        <v>191</v>
      </c>
      <c r="E138" t="s">
        <v>13</v>
      </c>
      <c r="F138">
        <v>41640.807638888888</v>
      </c>
      <c r="G138" s="9">
        <v>41640.854166666664</v>
      </c>
      <c r="J138">
        <v>0</v>
      </c>
      <c r="K138">
        <v>0</v>
      </c>
      <c r="M138">
        <v>138</v>
      </c>
    </row>
    <row r="139" spans="1:13" x14ac:dyDescent="0.3">
      <c r="A139">
        <v>41640.79791666667</v>
      </c>
      <c r="B139">
        <v>1440</v>
      </c>
      <c r="C139" s="7">
        <v>41640.035416666666</v>
      </c>
      <c r="D139" t="s">
        <v>13</v>
      </c>
      <c r="E139" t="s">
        <v>190</v>
      </c>
      <c r="F139">
        <v>41640.803472222222</v>
      </c>
      <c r="G139" s="9">
        <v>41640.820138888892</v>
      </c>
      <c r="J139">
        <v>0</v>
      </c>
      <c r="K139">
        <v>0</v>
      </c>
      <c r="M139">
        <v>134</v>
      </c>
    </row>
    <row r="140" spans="1:13" x14ac:dyDescent="0.3">
      <c r="A140">
        <v>41640.807638888888</v>
      </c>
      <c r="B140">
        <v>1500</v>
      </c>
      <c r="C140" s="7">
        <v>41640.023611111108</v>
      </c>
      <c r="D140" t="s">
        <v>30</v>
      </c>
      <c r="E140" t="s">
        <v>192</v>
      </c>
      <c r="F140">
        <v>41640.8125</v>
      </c>
      <c r="G140" s="9">
        <v>41640.829861111109</v>
      </c>
      <c r="J140">
        <v>0</v>
      </c>
      <c r="K140">
        <v>0</v>
      </c>
      <c r="M140">
        <v>137</v>
      </c>
    </row>
    <row r="141" spans="1:13" x14ac:dyDescent="0.3">
      <c r="A141">
        <v>41640.80972222222</v>
      </c>
      <c r="B141">
        <v>2400</v>
      </c>
      <c r="C141" s="7">
        <v>41640.038888888892</v>
      </c>
      <c r="D141" t="s">
        <v>16</v>
      </c>
      <c r="E141" t="s">
        <v>77</v>
      </c>
      <c r="F141">
        <v>41640.816666666666</v>
      </c>
      <c r="G141" s="9">
        <v>41640.844444444447</v>
      </c>
      <c r="J141">
        <v>0</v>
      </c>
      <c r="K141">
        <v>0</v>
      </c>
      <c r="M141">
        <v>141</v>
      </c>
    </row>
    <row r="142" spans="1:13" x14ac:dyDescent="0.3">
      <c r="A142">
        <v>41640.8125</v>
      </c>
      <c r="B142">
        <v>2700</v>
      </c>
      <c r="C142" s="7">
        <v>41640.036805555559</v>
      </c>
      <c r="D142" t="s">
        <v>13</v>
      </c>
      <c r="E142" t="s">
        <v>191</v>
      </c>
      <c r="F142">
        <v>41640.8125</v>
      </c>
      <c r="G142" s="9">
        <v>41640.84375</v>
      </c>
      <c r="J142">
        <v>0</v>
      </c>
      <c r="K142">
        <v>0</v>
      </c>
      <c r="M142">
        <v>135</v>
      </c>
    </row>
    <row r="143" spans="1:13" x14ac:dyDescent="0.3">
      <c r="A143">
        <v>41640.817361111112</v>
      </c>
      <c r="B143">
        <v>4260</v>
      </c>
      <c r="C143" s="7">
        <v>41640.050000000003</v>
      </c>
      <c r="D143" t="s">
        <v>193</v>
      </c>
      <c r="E143" t="s">
        <v>13</v>
      </c>
      <c r="F143">
        <v>41640.870833333334</v>
      </c>
      <c r="G143" s="9">
        <v>41640.920138888891</v>
      </c>
      <c r="J143">
        <v>0</v>
      </c>
      <c r="K143">
        <v>0</v>
      </c>
      <c r="M143">
        <v>117</v>
      </c>
    </row>
    <row r="144" spans="1:13" x14ac:dyDescent="0.3">
      <c r="A144">
        <v>41640.82708333333</v>
      </c>
      <c r="B144">
        <v>2580</v>
      </c>
      <c r="C144" s="7">
        <v>41640.030555555553</v>
      </c>
      <c r="D144" t="s">
        <v>94</v>
      </c>
      <c r="E144" t="s">
        <v>30</v>
      </c>
      <c r="F144">
        <v>41640.861111111109</v>
      </c>
      <c r="G144" s="9">
        <v>41640.890972222223</v>
      </c>
      <c r="J144">
        <v>0</v>
      </c>
      <c r="K144">
        <v>0</v>
      </c>
      <c r="M144">
        <v>142</v>
      </c>
    </row>
    <row r="145" spans="1:13" x14ac:dyDescent="0.3">
      <c r="A145">
        <v>41640.837500000001</v>
      </c>
      <c r="B145">
        <v>1260</v>
      </c>
      <c r="C145" s="7">
        <v>41640.023611111108</v>
      </c>
      <c r="D145" t="s">
        <v>95</v>
      </c>
      <c r="E145" t="s">
        <v>69</v>
      </c>
      <c r="F145">
        <v>41640.842361111114</v>
      </c>
      <c r="G145" s="9">
        <v>41640.856944444444</v>
      </c>
      <c r="J145">
        <v>0</v>
      </c>
      <c r="K145">
        <v>0</v>
      </c>
      <c r="M145">
        <v>146</v>
      </c>
    </row>
    <row r="146" spans="1:13" x14ac:dyDescent="0.3">
      <c r="A146">
        <v>41640.854166666664</v>
      </c>
      <c r="B146">
        <v>1380</v>
      </c>
      <c r="C146" s="7">
        <v>41640.026388888888</v>
      </c>
      <c r="D146" t="s">
        <v>95</v>
      </c>
      <c r="E146" t="s">
        <v>69</v>
      </c>
      <c r="F146">
        <v>41640.863888888889</v>
      </c>
      <c r="G146" s="9">
        <v>41640.879861111112</v>
      </c>
      <c r="J146">
        <v>0</v>
      </c>
      <c r="K146">
        <v>0</v>
      </c>
      <c r="M146">
        <v>143</v>
      </c>
    </row>
    <row r="147" spans="1:13" x14ac:dyDescent="0.3">
      <c r="A147">
        <v>41640.856249999997</v>
      </c>
      <c r="B147">
        <v>4140</v>
      </c>
      <c r="C147" s="7">
        <v>41640.04791666667</v>
      </c>
      <c r="D147" t="s">
        <v>95</v>
      </c>
      <c r="E147" t="s">
        <v>2</v>
      </c>
      <c r="F147">
        <v>41640.865972222222</v>
      </c>
      <c r="G147" s="9">
        <v>41640.913888888892</v>
      </c>
      <c r="J147">
        <v>0</v>
      </c>
      <c r="K147">
        <v>0</v>
      </c>
      <c r="M147">
        <v>148</v>
      </c>
    </row>
    <row r="148" spans="1:13" x14ac:dyDescent="0.3">
      <c r="A148">
        <v>41640.899305555555</v>
      </c>
      <c r="B148">
        <v>2940</v>
      </c>
      <c r="C148" s="7">
        <v>41640.036111111112</v>
      </c>
      <c r="D148" t="s">
        <v>95</v>
      </c>
      <c r="E148" t="s">
        <v>194</v>
      </c>
      <c r="F148">
        <v>41640.916666666664</v>
      </c>
      <c r="G148" s="9">
        <v>41640.950694444444</v>
      </c>
      <c r="J148">
        <v>0</v>
      </c>
      <c r="K148">
        <v>0</v>
      </c>
      <c r="M148">
        <v>147</v>
      </c>
    </row>
    <row r="149" spans="1:13" x14ac:dyDescent="0.3">
      <c r="A149">
        <v>41640.912499999999</v>
      </c>
      <c r="B149">
        <v>2460</v>
      </c>
      <c r="C149" s="7">
        <v>41640.02847222222</v>
      </c>
      <c r="D149" t="s">
        <v>128</v>
      </c>
      <c r="E149" t="s">
        <v>194</v>
      </c>
      <c r="F149">
        <v>41640.928472222222</v>
      </c>
      <c r="G149" s="9">
        <v>41640.956944444442</v>
      </c>
      <c r="J149">
        <v>0</v>
      </c>
      <c r="K149">
        <v>0</v>
      </c>
      <c r="M149">
        <v>145</v>
      </c>
    </row>
    <row r="150" spans="1:13" x14ac:dyDescent="0.3">
      <c r="A150">
        <v>41640.945138888892</v>
      </c>
      <c r="B150">
        <v>1020</v>
      </c>
      <c r="C150" s="7">
        <v>41640.011805555558</v>
      </c>
      <c r="D150" t="s">
        <v>195</v>
      </c>
      <c r="E150" t="s">
        <v>194</v>
      </c>
      <c r="F150">
        <v>41640.961805555555</v>
      </c>
      <c r="G150" s="9">
        <v>41640.973611111112</v>
      </c>
      <c r="J150">
        <v>0</v>
      </c>
      <c r="K150">
        <v>0</v>
      </c>
      <c r="M150">
        <v>144</v>
      </c>
    </row>
    <row r="151" spans="1:13" x14ac:dyDescent="0.3">
      <c r="A151">
        <v>41641.04583333333</v>
      </c>
      <c r="B151">
        <v>1200</v>
      </c>
      <c r="C151" s="7">
        <v>41640.01458333333</v>
      </c>
      <c r="D151" t="s">
        <v>137</v>
      </c>
      <c r="E151" t="s">
        <v>2</v>
      </c>
      <c r="F151" t="s">
        <v>138</v>
      </c>
      <c r="G151" s="9" t="s">
        <v>138</v>
      </c>
      <c r="J151">
        <v>0</v>
      </c>
      <c r="K151">
        <v>0</v>
      </c>
      <c r="M151">
        <v>150</v>
      </c>
    </row>
    <row r="152" spans="1:13" x14ac:dyDescent="0.3">
      <c r="A152">
        <v>41641.088194444441</v>
      </c>
      <c r="B152">
        <v>2220</v>
      </c>
      <c r="C152" s="7">
        <v>41640.026388888888</v>
      </c>
      <c r="D152" t="s">
        <v>196</v>
      </c>
      <c r="E152" t="s">
        <v>5</v>
      </c>
      <c r="F152" t="s">
        <v>138</v>
      </c>
      <c r="G152" s="9" t="s">
        <v>138</v>
      </c>
      <c r="J152">
        <v>0</v>
      </c>
      <c r="K152">
        <v>0</v>
      </c>
      <c r="M152">
        <v>149</v>
      </c>
    </row>
    <row r="153" spans="1:13" x14ac:dyDescent="0.3">
      <c r="A153">
        <v>41641.315972222219</v>
      </c>
      <c r="B153">
        <v>1560</v>
      </c>
      <c r="C153" s="7">
        <v>41640.024305555555</v>
      </c>
      <c r="D153" t="s">
        <v>197</v>
      </c>
      <c r="E153" t="s">
        <v>198</v>
      </c>
      <c r="F153" t="s">
        <v>138</v>
      </c>
      <c r="G153" s="9" t="s">
        <v>138</v>
      </c>
      <c r="J153">
        <v>0</v>
      </c>
      <c r="K153">
        <v>0</v>
      </c>
      <c r="M153">
        <v>152</v>
      </c>
    </row>
    <row r="154" spans="1:13" x14ac:dyDescent="0.3">
      <c r="A154">
        <v>41641.323611111111</v>
      </c>
      <c r="B154">
        <v>1140</v>
      </c>
      <c r="C154" s="7">
        <v>41640.013888888891</v>
      </c>
      <c r="D154" t="s">
        <v>199</v>
      </c>
      <c r="E154" t="s">
        <v>10</v>
      </c>
      <c r="F154" t="s">
        <v>138</v>
      </c>
      <c r="G154" s="9" t="s">
        <v>138</v>
      </c>
      <c r="J154">
        <v>0</v>
      </c>
      <c r="K154">
        <v>0</v>
      </c>
      <c r="M154">
        <v>154</v>
      </c>
    </row>
    <row r="155" spans="1:13" x14ac:dyDescent="0.3">
      <c r="A155">
        <v>41641.324305555558</v>
      </c>
      <c r="B155">
        <v>2160</v>
      </c>
      <c r="C155" s="7">
        <v>41640.034722222219</v>
      </c>
      <c r="D155" t="s">
        <v>146</v>
      </c>
      <c r="E155" t="s">
        <v>10</v>
      </c>
      <c r="F155" t="s">
        <v>138</v>
      </c>
      <c r="G155" s="9" t="s">
        <v>138</v>
      </c>
      <c r="J155">
        <v>0</v>
      </c>
      <c r="K155">
        <v>0</v>
      </c>
      <c r="M155">
        <v>155</v>
      </c>
    </row>
    <row r="156" spans="1:13" x14ac:dyDescent="0.3">
      <c r="A156">
        <v>41641.324999999997</v>
      </c>
      <c r="B156">
        <v>2160</v>
      </c>
      <c r="C156" s="7">
        <v>41640.026388888888</v>
      </c>
      <c r="D156" t="s">
        <v>200</v>
      </c>
      <c r="E156" t="s">
        <v>10</v>
      </c>
      <c r="F156" t="s">
        <v>138</v>
      </c>
      <c r="G156" s="9" t="s">
        <v>138</v>
      </c>
      <c r="J156">
        <v>0</v>
      </c>
      <c r="K156">
        <v>0</v>
      </c>
      <c r="M156">
        <v>153</v>
      </c>
    </row>
    <row r="157" spans="1:13" x14ac:dyDescent="0.3">
      <c r="A157">
        <v>41641.326388888891</v>
      </c>
      <c r="B157">
        <v>2700</v>
      </c>
      <c r="C157" s="7">
        <v>41640.036805555559</v>
      </c>
      <c r="D157" t="s">
        <v>54</v>
      </c>
      <c r="E157" t="s">
        <v>13</v>
      </c>
      <c r="F157" t="s">
        <v>138</v>
      </c>
      <c r="G157" s="9" t="s">
        <v>138</v>
      </c>
      <c r="J157">
        <v>0</v>
      </c>
      <c r="K157">
        <v>0</v>
      </c>
      <c r="M157">
        <v>151</v>
      </c>
    </row>
    <row r="158" spans="1:13" x14ac:dyDescent="0.3">
      <c r="A158">
        <v>41641.333333333336</v>
      </c>
      <c r="B158">
        <v>1920</v>
      </c>
      <c r="C158" s="7">
        <v>41640.026388888888</v>
      </c>
      <c r="D158" t="s">
        <v>92</v>
      </c>
      <c r="E158" t="s">
        <v>13</v>
      </c>
      <c r="F158" t="s">
        <v>138</v>
      </c>
      <c r="G158" s="9" t="s">
        <v>138</v>
      </c>
      <c r="J158">
        <v>0</v>
      </c>
      <c r="K158">
        <v>0</v>
      </c>
      <c r="M158">
        <v>187</v>
      </c>
    </row>
    <row r="159" spans="1:13" x14ac:dyDescent="0.3">
      <c r="A159">
        <v>41641.336805555555</v>
      </c>
      <c r="B159">
        <v>2580</v>
      </c>
      <c r="C159" s="7">
        <v>41640.029861111114</v>
      </c>
      <c r="D159" t="s">
        <v>28</v>
      </c>
      <c r="E159" t="s">
        <v>8</v>
      </c>
      <c r="F159" t="s">
        <v>138</v>
      </c>
      <c r="G159" s="9" t="s">
        <v>138</v>
      </c>
      <c r="J159">
        <v>0</v>
      </c>
      <c r="K159">
        <v>0</v>
      </c>
      <c r="M159">
        <v>222</v>
      </c>
    </row>
    <row r="160" spans="1:13" x14ac:dyDescent="0.3">
      <c r="A160">
        <v>41641.336805555555</v>
      </c>
      <c r="B160">
        <v>3420</v>
      </c>
      <c r="C160" s="7">
        <v>41640.049305555556</v>
      </c>
      <c r="D160" t="s">
        <v>20</v>
      </c>
      <c r="E160" t="s">
        <v>8</v>
      </c>
      <c r="F160" t="s">
        <v>138</v>
      </c>
      <c r="G160" s="9" t="s">
        <v>138</v>
      </c>
      <c r="J160">
        <v>0</v>
      </c>
      <c r="K160">
        <v>0</v>
      </c>
      <c r="M160">
        <v>158</v>
      </c>
    </row>
    <row r="161" spans="1:13" x14ac:dyDescent="0.3">
      <c r="A161">
        <v>41641.34375</v>
      </c>
      <c r="B161">
        <v>2940</v>
      </c>
      <c r="C161" s="7">
        <v>41640.035416666666</v>
      </c>
      <c r="D161" t="s">
        <v>201</v>
      </c>
      <c r="E161" t="s">
        <v>15</v>
      </c>
      <c r="F161" t="s">
        <v>138</v>
      </c>
      <c r="G161" s="9" t="s">
        <v>138</v>
      </c>
      <c r="J161">
        <v>0</v>
      </c>
      <c r="K161">
        <v>0</v>
      </c>
      <c r="M161">
        <v>225</v>
      </c>
    </row>
    <row r="162" spans="1:13" x14ac:dyDescent="0.3">
      <c r="A162">
        <v>41641.34652777778</v>
      </c>
      <c r="B162">
        <v>2340</v>
      </c>
      <c r="C162" s="7">
        <v>41640.02847222222</v>
      </c>
      <c r="D162" t="s">
        <v>13</v>
      </c>
      <c r="E162" t="s">
        <v>202</v>
      </c>
      <c r="F162" t="s">
        <v>138</v>
      </c>
      <c r="G162" s="9" t="s">
        <v>138</v>
      </c>
      <c r="J162">
        <v>0</v>
      </c>
      <c r="K162">
        <v>0</v>
      </c>
      <c r="M162">
        <v>209</v>
      </c>
    </row>
    <row r="163" spans="1:13" x14ac:dyDescent="0.3">
      <c r="A163">
        <v>41641.347222222219</v>
      </c>
      <c r="B163">
        <v>2880</v>
      </c>
      <c r="C163" s="7">
        <v>41640.038888888892</v>
      </c>
      <c r="D163" t="s">
        <v>9</v>
      </c>
      <c r="E163" t="s">
        <v>8</v>
      </c>
      <c r="F163" t="s">
        <v>138</v>
      </c>
      <c r="G163" s="9" t="s">
        <v>138</v>
      </c>
      <c r="J163">
        <v>0</v>
      </c>
      <c r="K163">
        <v>0</v>
      </c>
      <c r="M163">
        <v>223</v>
      </c>
    </row>
    <row r="164" spans="1:13" x14ac:dyDescent="0.3">
      <c r="A164">
        <v>41641.347222222219</v>
      </c>
      <c r="B164">
        <v>2040</v>
      </c>
      <c r="C164" s="7">
        <v>41640.029166666667</v>
      </c>
      <c r="D164" t="s">
        <v>203</v>
      </c>
      <c r="E164" t="s">
        <v>13</v>
      </c>
      <c r="F164" t="s">
        <v>138</v>
      </c>
      <c r="G164" s="9" t="s">
        <v>138</v>
      </c>
      <c r="J164">
        <v>0</v>
      </c>
      <c r="K164">
        <v>0</v>
      </c>
      <c r="M164">
        <v>186</v>
      </c>
    </row>
    <row r="165" spans="1:13" x14ac:dyDescent="0.3">
      <c r="A165">
        <v>41641.347222222219</v>
      </c>
      <c r="B165">
        <v>1800</v>
      </c>
      <c r="C165" s="7">
        <v>41640.03402777778</v>
      </c>
      <c r="D165" t="s">
        <v>50</v>
      </c>
      <c r="E165" t="s">
        <v>204</v>
      </c>
      <c r="F165" t="s">
        <v>138</v>
      </c>
      <c r="G165" s="9" t="s">
        <v>138</v>
      </c>
      <c r="J165">
        <v>0</v>
      </c>
      <c r="K165">
        <v>0</v>
      </c>
      <c r="M165">
        <v>176</v>
      </c>
    </row>
    <row r="166" spans="1:13" x14ac:dyDescent="0.3">
      <c r="A166">
        <v>41641.357638888891</v>
      </c>
      <c r="B166">
        <v>3480</v>
      </c>
      <c r="C166" s="7">
        <v>41640.045138888891</v>
      </c>
      <c r="D166" t="s">
        <v>205</v>
      </c>
      <c r="E166" t="s">
        <v>10</v>
      </c>
      <c r="F166" t="s">
        <v>138</v>
      </c>
      <c r="G166" s="9" t="s">
        <v>138</v>
      </c>
      <c r="J166">
        <v>0</v>
      </c>
      <c r="K166">
        <v>0</v>
      </c>
      <c r="M166">
        <v>192</v>
      </c>
    </row>
    <row r="167" spans="1:13" x14ac:dyDescent="0.3">
      <c r="A167">
        <v>41641.357638888891</v>
      </c>
      <c r="B167">
        <v>2700</v>
      </c>
      <c r="C167" s="7">
        <v>41640.040972222225</v>
      </c>
      <c r="D167" t="s">
        <v>22</v>
      </c>
      <c r="E167" t="s">
        <v>158</v>
      </c>
      <c r="F167" t="s">
        <v>138</v>
      </c>
      <c r="G167" s="9" t="s">
        <v>138</v>
      </c>
      <c r="J167">
        <v>0</v>
      </c>
      <c r="K167">
        <v>0</v>
      </c>
      <c r="M167">
        <v>189</v>
      </c>
    </row>
    <row r="168" spans="1:13" x14ac:dyDescent="0.3">
      <c r="A168">
        <v>41641.359027777777</v>
      </c>
      <c r="B168">
        <v>3180</v>
      </c>
      <c r="C168" s="7">
        <v>41640.036805555559</v>
      </c>
      <c r="D168" t="s">
        <v>10</v>
      </c>
      <c r="E168" t="s">
        <v>206</v>
      </c>
      <c r="F168" t="s">
        <v>138</v>
      </c>
      <c r="G168" s="9" t="s">
        <v>138</v>
      </c>
      <c r="J168">
        <v>0</v>
      </c>
      <c r="K168">
        <v>0</v>
      </c>
      <c r="M168">
        <v>224</v>
      </c>
    </row>
    <row r="169" spans="1:13" x14ac:dyDescent="0.3">
      <c r="A169">
        <v>41641.361111111109</v>
      </c>
      <c r="B169">
        <v>2700</v>
      </c>
      <c r="C169" s="7">
        <v>41640.034722222219</v>
      </c>
      <c r="D169" t="s">
        <v>195</v>
      </c>
      <c r="E169" t="s">
        <v>13</v>
      </c>
      <c r="F169" t="s">
        <v>138</v>
      </c>
      <c r="G169" s="9" t="s">
        <v>138</v>
      </c>
      <c r="J169">
        <v>0</v>
      </c>
      <c r="K169">
        <v>0</v>
      </c>
      <c r="M169">
        <v>204</v>
      </c>
    </row>
    <row r="170" spans="1:13" x14ac:dyDescent="0.3">
      <c r="A170">
        <v>41641.371527777781</v>
      </c>
      <c r="B170">
        <v>900</v>
      </c>
      <c r="C170" s="7">
        <v>41640.026388888888</v>
      </c>
      <c r="D170" t="s">
        <v>22</v>
      </c>
      <c r="E170" t="s">
        <v>41</v>
      </c>
      <c r="F170" t="s">
        <v>138</v>
      </c>
      <c r="G170" s="9" t="s">
        <v>138</v>
      </c>
      <c r="J170">
        <v>0</v>
      </c>
      <c r="K170">
        <v>0</v>
      </c>
      <c r="M170">
        <v>175</v>
      </c>
    </row>
    <row r="171" spans="1:13" x14ac:dyDescent="0.3">
      <c r="A171">
        <v>41641.37222222222</v>
      </c>
      <c r="B171">
        <v>1860</v>
      </c>
      <c r="C171" s="7">
        <v>41640.027083333334</v>
      </c>
      <c r="D171" t="s">
        <v>13</v>
      </c>
      <c r="E171" t="s">
        <v>92</v>
      </c>
      <c r="F171" t="s">
        <v>138</v>
      </c>
      <c r="G171" s="9" t="s">
        <v>138</v>
      </c>
      <c r="J171">
        <v>0</v>
      </c>
      <c r="K171">
        <v>0</v>
      </c>
      <c r="M171">
        <v>171</v>
      </c>
    </row>
    <row r="172" spans="1:13" x14ac:dyDescent="0.3">
      <c r="A172">
        <v>41641.377083333333</v>
      </c>
      <c r="B172">
        <v>1200</v>
      </c>
      <c r="C172" s="7">
        <v>41640.026388888888</v>
      </c>
      <c r="D172" t="s">
        <v>13</v>
      </c>
      <c r="E172" t="s">
        <v>203</v>
      </c>
      <c r="F172" t="s">
        <v>138</v>
      </c>
      <c r="G172" s="9" t="s">
        <v>138</v>
      </c>
      <c r="J172">
        <v>0</v>
      </c>
      <c r="K172">
        <v>0</v>
      </c>
      <c r="M172">
        <v>181</v>
      </c>
    </row>
    <row r="173" spans="1:13" x14ac:dyDescent="0.3">
      <c r="A173">
        <v>41641.378472222219</v>
      </c>
      <c r="B173">
        <v>1260</v>
      </c>
      <c r="C173" s="7">
        <v>41640.018750000003</v>
      </c>
      <c r="D173" t="s">
        <v>131</v>
      </c>
      <c r="E173" t="s">
        <v>8</v>
      </c>
      <c r="F173" t="s">
        <v>138</v>
      </c>
      <c r="G173" s="9" t="s">
        <v>138</v>
      </c>
      <c r="J173">
        <v>0</v>
      </c>
      <c r="K173">
        <v>0</v>
      </c>
      <c r="M173">
        <v>211</v>
      </c>
    </row>
    <row r="174" spans="1:13" x14ac:dyDescent="0.3">
      <c r="A174">
        <v>41641.380555555559</v>
      </c>
      <c r="B174">
        <v>1800</v>
      </c>
      <c r="C174" s="7">
        <v>41640.021527777775</v>
      </c>
      <c r="D174" t="s">
        <v>10</v>
      </c>
      <c r="E174" t="s">
        <v>207</v>
      </c>
      <c r="F174" t="s">
        <v>138</v>
      </c>
      <c r="G174" s="9" t="s">
        <v>138</v>
      </c>
      <c r="J174">
        <v>0</v>
      </c>
      <c r="K174">
        <v>0</v>
      </c>
      <c r="M174">
        <v>168</v>
      </c>
    </row>
    <row r="175" spans="1:13" x14ac:dyDescent="0.3">
      <c r="A175">
        <v>41641.385416666664</v>
      </c>
      <c r="B175">
        <v>1560</v>
      </c>
      <c r="C175" s="7">
        <v>41640.021527777775</v>
      </c>
      <c r="D175" t="s">
        <v>208</v>
      </c>
      <c r="E175" t="s">
        <v>10</v>
      </c>
      <c r="F175" t="s">
        <v>138</v>
      </c>
      <c r="G175" s="9" t="s">
        <v>138</v>
      </c>
      <c r="J175">
        <v>0</v>
      </c>
      <c r="K175">
        <v>0</v>
      </c>
      <c r="M175">
        <v>160</v>
      </c>
    </row>
    <row r="176" spans="1:13" x14ac:dyDescent="0.3">
      <c r="A176">
        <v>41641.386805555558</v>
      </c>
      <c r="B176">
        <v>2220</v>
      </c>
      <c r="C176" s="7">
        <v>41640.026388888888</v>
      </c>
      <c r="D176" t="s">
        <v>209</v>
      </c>
      <c r="E176" t="s">
        <v>43</v>
      </c>
      <c r="F176" t="s">
        <v>138</v>
      </c>
      <c r="G176" s="9" t="s">
        <v>138</v>
      </c>
      <c r="J176">
        <v>0</v>
      </c>
      <c r="K176">
        <v>0</v>
      </c>
      <c r="M176">
        <v>221</v>
      </c>
    </row>
    <row r="177" spans="1:13" x14ac:dyDescent="0.3">
      <c r="A177">
        <v>41641.386805555558</v>
      </c>
      <c r="B177">
        <v>1500</v>
      </c>
      <c r="C177" s="7">
        <v>41640.021527777775</v>
      </c>
      <c r="D177" t="s">
        <v>178</v>
      </c>
      <c r="E177" t="s">
        <v>151</v>
      </c>
      <c r="F177" t="s">
        <v>138</v>
      </c>
      <c r="G177" s="9" t="s">
        <v>138</v>
      </c>
      <c r="J177">
        <v>0</v>
      </c>
      <c r="K177">
        <v>0</v>
      </c>
      <c r="M177">
        <v>210</v>
      </c>
    </row>
    <row r="178" spans="1:13" x14ac:dyDescent="0.3">
      <c r="A178">
        <v>41641.388888888891</v>
      </c>
      <c r="B178">
        <v>2340</v>
      </c>
      <c r="C178" s="7">
        <v>41640.03402777778</v>
      </c>
      <c r="D178" t="s">
        <v>210</v>
      </c>
      <c r="E178" t="s">
        <v>30</v>
      </c>
      <c r="F178" t="s">
        <v>138</v>
      </c>
      <c r="G178" s="9" t="s">
        <v>138</v>
      </c>
      <c r="J178">
        <v>0</v>
      </c>
      <c r="K178">
        <v>0</v>
      </c>
      <c r="M178">
        <v>226</v>
      </c>
    </row>
    <row r="179" spans="1:13" x14ac:dyDescent="0.3">
      <c r="A179">
        <v>41641.388888888891</v>
      </c>
      <c r="B179">
        <v>1140</v>
      </c>
      <c r="C179" s="7">
        <v>41640.015277777777</v>
      </c>
      <c r="D179" t="s">
        <v>211</v>
      </c>
      <c r="E179" t="s">
        <v>22</v>
      </c>
      <c r="F179" t="s">
        <v>138</v>
      </c>
      <c r="G179" s="9" t="s">
        <v>138</v>
      </c>
      <c r="J179">
        <v>0</v>
      </c>
      <c r="K179">
        <v>0</v>
      </c>
      <c r="M179">
        <v>201</v>
      </c>
    </row>
    <row r="180" spans="1:13" x14ac:dyDescent="0.3">
      <c r="A180">
        <v>41641.393750000003</v>
      </c>
      <c r="B180">
        <v>1440</v>
      </c>
      <c r="C180" s="7">
        <v>41640.018750000003</v>
      </c>
      <c r="D180" t="s">
        <v>94</v>
      </c>
      <c r="E180" t="s">
        <v>15</v>
      </c>
      <c r="F180" t="s">
        <v>138</v>
      </c>
      <c r="G180" s="9" t="s">
        <v>138</v>
      </c>
      <c r="J180">
        <v>0</v>
      </c>
      <c r="K180">
        <v>0</v>
      </c>
      <c r="M180">
        <v>196</v>
      </c>
    </row>
    <row r="181" spans="1:13" x14ac:dyDescent="0.3">
      <c r="A181">
        <v>41641.399305555555</v>
      </c>
      <c r="B181">
        <v>1260</v>
      </c>
      <c r="C181" s="7">
        <v>41640.015972222223</v>
      </c>
      <c r="D181" t="s">
        <v>30</v>
      </c>
      <c r="E181" t="s">
        <v>33</v>
      </c>
      <c r="F181" t="s">
        <v>138</v>
      </c>
      <c r="G181" s="9" t="s">
        <v>138</v>
      </c>
      <c r="J181">
        <v>0</v>
      </c>
      <c r="K181">
        <v>0</v>
      </c>
      <c r="M181">
        <v>174</v>
      </c>
    </row>
    <row r="182" spans="1:13" x14ac:dyDescent="0.3">
      <c r="A182">
        <v>41641.399305555555</v>
      </c>
      <c r="B182">
        <v>1380</v>
      </c>
      <c r="C182" s="7">
        <v>41640.015972222223</v>
      </c>
      <c r="D182" t="s">
        <v>207</v>
      </c>
      <c r="E182" t="s">
        <v>8</v>
      </c>
      <c r="F182" t="s">
        <v>138</v>
      </c>
      <c r="G182" s="9" t="s">
        <v>138</v>
      </c>
      <c r="J182">
        <v>0</v>
      </c>
      <c r="K182">
        <v>0</v>
      </c>
      <c r="M182">
        <v>170</v>
      </c>
    </row>
    <row r="183" spans="1:13" x14ac:dyDescent="0.3">
      <c r="A183">
        <v>41641.404166666667</v>
      </c>
      <c r="B183">
        <v>360</v>
      </c>
      <c r="C183" s="7">
        <v>41640.004861111112</v>
      </c>
      <c r="D183" t="s">
        <v>22</v>
      </c>
      <c r="E183" t="s">
        <v>41</v>
      </c>
      <c r="F183" t="s">
        <v>138</v>
      </c>
      <c r="G183" s="9" t="s">
        <v>138</v>
      </c>
      <c r="J183">
        <v>0</v>
      </c>
      <c r="K183">
        <v>0</v>
      </c>
      <c r="M183">
        <v>208</v>
      </c>
    </row>
    <row r="184" spans="1:13" x14ac:dyDescent="0.3">
      <c r="A184">
        <v>41641.40625</v>
      </c>
      <c r="B184">
        <v>1500</v>
      </c>
      <c r="C184" s="7">
        <v>41640.029861111114</v>
      </c>
      <c r="D184" t="s">
        <v>11</v>
      </c>
      <c r="E184" t="s">
        <v>61</v>
      </c>
      <c r="F184" t="s">
        <v>138</v>
      </c>
      <c r="G184" s="9" t="s">
        <v>138</v>
      </c>
      <c r="J184">
        <v>0</v>
      </c>
      <c r="K184">
        <v>0</v>
      </c>
      <c r="M184">
        <v>191</v>
      </c>
    </row>
    <row r="185" spans="1:13" x14ac:dyDescent="0.3">
      <c r="A185">
        <v>41641.407638888886</v>
      </c>
      <c r="B185">
        <v>1020</v>
      </c>
      <c r="C185" s="7">
        <v>41640.020833333336</v>
      </c>
      <c r="D185" t="s">
        <v>212</v>
      </c>
      <c r="E185" t="s">
        <v>40</v>
      </c>
      <c r="F185" t="s">
        <v>138</v>
      </c>
      <c r="G185" s="9" t="s">
        <v>138</v>
      </c>
      <c r="J185">
        <v>0</v>
      </c>
      <c r="K185">
        <v>0</v>
      </c>
      <c r="M185">
        <v>212</v>
      </c>
    </row>
    <row r="186" spans="1:13" x14ac:dyDescent="0.3">
      <c r="A186">
        <v>41641.409722222219</v>
      </c>
      <c r="B186">
        <v>960</v>
      </c>
      <c r="C186" s="7">
        <v>41640.025000000001</v>
      </c>
      <c r="D186" t="s">
        <v>15</v>
      </c>
      <c r="E186" t="s">
        <v>201</v>
      </c>
      <c r="F186" t="s">
        <v>138</v>
      </c>
      <c r="G186" s="9" t="s">
        <v>138</v>
      </c>
      <c r="J186">
        <v>0</v>
      </c>
      <c r="K186">
        <v>0</v>
      </c>
      <c r="M186">
        <v>188</v>
      </c>
    </row>
    <row r="187" spans="1:13" x14ac:dyDescent="0.3">
      <c r="A187">
        <v>41641.409722222219</v>
      </c>
      <c r="B187">
        <v>1680</v>
      </c>
      <c r="C187" s="7">
        <v>41640.024305555555</v>
      </c>
      <c r="D187" t="s">
        <v>93</v>
      </c>
      <c r="E187" t="s">
        <v>22</v>
      </c>
      <c r="F187" t="s">
        <v>138</v>
      </c>
      <c r="G187" s="9" t="s">
        <v>138</v>
      </c>
      <c r="J187">
        <v>0</v>
      </c>
      <c r="K187">
        <v>0</v>
      </c>
      <c r="M187">
        <v>180</v>
      </c>
    </row>
    <row r="188" spans="1:13" x14ac:dyDescent="0.3">
      <c r="A188">
        <v>41641.413194444445</v>
      </c>
      <c r="B188">
        <v>420</v>
      </c>
      <c r="C188" s="7">
        <v>41640.005555555559</v>
      </c>
      <c r="D188" t="s">
        <v>8</v>
      </c>
      <c r="E188" t="s">
        <v>9</v>
      </c>
      <c r="F188" t="s">
        <v>138</v>
      </c>
      <c r="G188" s="9" t="s">
        <v>138</v>
      </c>
      <c r="J188">
        <v>0</v>
      </c>
      <c r="K188">
        <v>0</v>
      </c>
      <c r="M188">
        <v>219</v>
      </c>
    </row>
    <row r="189" spans="1:13" x14ac:dyDescent="0.3">
      <c r="A189">
        <v>41641.413888888892</v>
      </c>
      <c r="B189">
        <v>540</v>
      </c>
      <c r="C189" s="7">
        <v>41640.008333333331</v>
      </c>
      <c r="D189" t="s">
        <v>22</v>
      </c>
      <c r="E189" t="s">
        <v>41</v>
      </c>
      <c r="F189" t="s">
        <v>138</v>
      </c>
      <c r="G189" s="9" t="s">
        <v>138</v>
      </c>
      <c r="J189">
        <v>0</v>
      </c>
      <c r="K189">
        <v>0</v>
      </c>
      <c r="M189">
        <v>195</v>
      </c>
    </row>
    <row r="190" spans="1:13" x14ac:dyDescent="0.3">
      <c r="A190">
        <v>41641.416666666664</v>
      </c>
      <c r="B190">
        <v>2820</v>
      </c>
      <c r="C190" s="7">
        <v>41640.032638888886</v>
      </c>
      <c r="D190" t="s">
        <v>213</v>
      </c>
      <c r="E190" t="s">
        <v>214</v>
      </c>
      <c r="F190" t="s">
        <v>138</v>
      </c>
      <c r="G190" s="9" t="s">
        <v>138</v>
      </c>
      <c r="J190">
        <v>0</v>
      </c>
      <c r="K190">
        <v>0</v>
      </c>
      <c r="M190">
        <v>228</v>
      </c>
    </row>
    <row r="191" spans="1:13" x14ac:dyDescent="0.3">
      <c r="A191">
        <v>41641.418055555558</v>
      </c>
      <c r="B191">
        <v>1200</v>
      </c>
      <c r="C191" s="7">
        <v>41640.017361111109</v>
      </c>
      <c r="D191" t="s">
        <v>10</v>
      </c>
      <c r="E191" t="s">
        <v>208</v>
      </c>
      <c r="F191" t="s">
        <v>138</v>
      </c>
      <c r="G191" s="9" t="s">
        <v>138</v>
      </c>
      <c r="J191">
        <v>0</v>
      </c>
      <c r="K191">
        <v>0</v>
      </c>
      <c r="M191">
        <v>202</v>
      </c>
    </row>
    <row r="192" spans="1:13" x14ac:dyDescent="0.3">
      <c r="A192">
        <v>41641.418055555558</v>
      </c>
      <c r="B192">
        <v>1500</v>
      </c>
      <c r="C192" s="7">
        <v>41640.025000000001</v>
      </c>
      <c r="D192" t="s">
        <v>13</v>
      </c>
      <c r="E192" t="s">
        <v>215</v>
      </c>
      <c r="F192" t="s">
        <v>138</v>
      </c>
      <c r="G192" s="9" t="s">
        <v>138</v>
      </c>
      <c r="J192">
        <v>0</v>
      </c>
      <c r="K192">
        <v>0</v>
      </c>
      <c r="M192">
        <v>162</v>
      </c>
    </row>
    <row r="193" spans="1:13" x14ac:dyDescent="0.3">
      <c r="A193">
        <v>41641.421527777777</v>
      </c>
      <c r="B193">
        <v>1020</v>
      </c>
      <c r="C193" s="7">
        <v>41640.012499999997</v>
      </c>
      <c r="D193" t="s">
        <v>13</v>
      </c>
      <c r="E193" t="s">
        <v>195</v>
      </c>
      <c r="F193" t="s">
        <v>138</v>
      </c>
      <c r="G193" s="9" t="s">
        <v>138</v>
      </c>
      <c r="J193">
        <v>0</v>
      </c>
      <c r="K193">
        <v>0</v>
      </c>
      <c r="M193">
        <v>200</v>
      </c>
    </row>
    <row r="194" spans="1:13" x14ac:dyDescent="0.3">
      <c r="A194">
        <v>41641.423611111109</v>
      </c>
      <c r="B194">
        <v>480</v>
      </c>
      <c r="C194" s="7">
        <v>41640.018055555556</v>
      </c>
      <c r="D194" t="s">
        <v>29</v>
      </c>
      <c r="E194" t="s">
        <v>40</v>
      </c>
      <c r="F194" t="s">
        <v>138</v>
      </c>
      <c r="G194" s="9" t="s">
        <v>138</v>
      </c>
      <c r="J194">
        <v>0</v>
      </c>
      <c r="K194">
        <v>0</v>
      </c>
      <c r="M194">
        <v>227</v>
      </c>
    </row>
    <row r="195" spans="1:13" x14ac:dyDescent="0.3">
      <c r="A195">
        <v>41641.423611111109</v>
      </c>
      <c r="B195">
        <v>1920</v>
      </c>
      <c r="C195" s="7">
        <v>41640.040277777778</v>
      </c>
      <c r="D195" t="s">
        <v>200</v>
      </c>
      <c r="E195" t="s">
        <v>216</v>
      </c>
      <c r="F195" t="s">
        <v>138</v>
      </c>
      <c r="G195" s="9" t="s">
        <v>138</v>
      </c>
      <c r="J195">
        <v>0</v>
      </c>
      <c r="K195">
        <v>0</v>
      </c>
      <c r="M195">
        <v>177</v>
      </c>
    </row>
    <row r="196" spans="1:13" x14ac:dyDescent="0.3">
      <c r="A196">
        <v>41641.423611111109</v>
      </c>
      <c r="B196">
        <v>1140</v>
      </c>
      <c r="C196" s="7">
        <v>41640.024305555555</v>
      </c>
      <c r="D196" t="s">
        <v>217</v>
      </c>
      <c r="E196" t="s">
        <v>40</v>
      </c>
      <c r="F196" t="s">
        <v>138</v>
      </c>
      <c r="G196" s="9" t="s">
        <v>138</v>
      </c>
      <c r="J196">
        <v>0</v>
      </c>
      <c r="K196">
        <v>0</v>
      </c>
      <c r="M196">
        <v>166</v>
      </c>
    </row>
    <row r="197" spans="1:13" x14ac:dyDescent="0.3">
      <c r="A197">
        <v>41641.426388888889</v>
      </c>
      <c r="B197">
        <v>900</v>
      </c>
      <c r="C197" s="7">
        <v>41640.025694444441</v>
      </c>
      <c r="D197" t="s">
        <v>10</v>
      </c>
      <c r="E197" t="s">
        <v>205</v>
      </c>
      <c r="F197" t="s">
        <v>138</v>
      </c>
      <c r="G197" s="9" t="s">
        <v>138</v>
      </c>
      <c r="J197">
        <v>0</v>
      </c>
      <c r="K197">
        <v>0</v>
      </c>
      <c r="M197">
        <v>172</v>
      </c>
    </row>
    <row r="198" spans="1:13" x14ac:dyDescent="0.3">
      <c r="A198">
        <v>41641.430555555555</v>
      </c>
      <c r="B198">
        <v>1740</v>
      </c>
      <c r="C198" s="7">
        <v>41640.020833333336</v>
      </c>
      <c r="D198" t="s">
        <v>33</v>
      </c>
      <c r="E198" t="s">
        <v>13</v>
      </c>
      <c r="F198" t="s">
        <v>138</v>
      </c>
      <c r="G198" s="9" t="s">
        <v>138</v>
      </c>
      <c r="J198">
        <v>0</v>
      </c>
      <c r="K198">
        <v>0</v>
      </c>
      <c r="M198">
        <v>197</v>
      </c>
    </row>
    <row r="199" spans="1:13" x14ac:dyDescent="0.3">
      <c r="A199">
        <v>41641.430555555555</v>
      </c>
      <c r="B199">
        <v>2160</v>
      </c>
      <c r="C199" s="7">
        <v>41640.037499999999</v>
      </c>
      <c r="D199" t="s">
        <v>149</v>
      </c>
      <c r="E199" t="s">
        <v>40</v>
      </c>
      <c r="F199" t="s">
        <v>138</v>
      </c>
      <c r="G199" s="9" t="s">
        <v>138</v>
      </c>
      <c r="J199">
        <v>0</v>
      </c>
      <c r="K199">
        <v>0</v>
      </c>
      <c r="M199">
        <v>190</v>
      </c>
    </row>
    <row r="200" spans="1:13" x14ac:dyDescent="0.3">
      <c r="A200">
        <v>41641.430555555555</v>
      </c>
      <c r="B200">
        <v>2220</v>
      </c>
      <c r="C200" s="7">
        <v>41640.035416666666</v>
      </c>
      <c r="D200" t="s">
        <v>218</v>
      </c>
      <c r="E200" t="s">
        <v>22</v>
      </c>
      <c r="F200" t="s">
        <v>138</v>
      </c>
      <c r="G200" s="9" t="s">
        <v>138</v>
      </c>
      <c r="J200">
        <v>0</v>
      </c>
      <c r="K200">
        <v>0</v>
      </c>
      <c r="M200">
        <v>159</v>
      </c>
    </row>
    <row r="201" spans="1:13" x14ac:dyDescent="0.3">
      <c r="A201">
        <v>41641.431944444441</v>
      </c>
      <c r="B201">
        <v>1140</v>
      </c>
      <c r="C201" s="7">
        <v>41640.015972222223</v>
      </c>
      <c r="D201" t="s">
        <v>22</v>
      </c>
      <c r="E201" t="s">
        <v>211</v>
      </c>
      <c r="F201" t="s">
        <v>138</v>
      </c>
      <c r="G201" s="9" t="s">
        <v>138</v>
      </c>
      <c r="J201">
        <v>0</v>
      </c>
      <c r="K201">
        <v>0</v>
      </c>
      <c r="M201">
        <v>207</v>
      </c>
    </row>
    <row r="202" spans="1:13" x14ac:dyDescent="0.3">
      <c r="A202">
        <v>41641.431944444441</v>
      </c>
      <c r="B202">
        <v>1620</v>
      </c>
      <c r="C202" s="7">
        <v>41640.031944444447</v>
      </c>
      <c r="D202" t="s">
        <v>30</v>
      </c>
      <c r="E202" t="s">
        <v>210</v>
      </c>
      <c r="F202" t="s">
        <v>138</v>
      </c>
      <c r="G202" s="9" t="s">
        <v>138</v>
      </c>
      <c r="J202">
        <v>0</v>
      </c>
      <c r="K202">
        <v>0</v>
      </c>
      <c r="M202">
        <v>203</v>
      </c>
    </row>
    <row r="203" spans="1:13" x14ac:dyDescent="0.3">
      <c r="A203">
        <v>41641.432638888888</v>
      </c>
      <c r="B203">
        <v>1920</v>
      </c>
      <c r="C203" s="7">
        <v>41640.026388888888</v>
      </c>
      <c r="D203" t="s">
        <v>151</v>
      </c>
      <c r="E203" t="s">
        <v>178</v>
      </c>
      <c r="F203" t="s">
        <v>138</v>
      </c>
      <c r="G203" s="9" t="s">
        <v>138</v>
      </c>
      <c r="J203">
        <v>0</v>
      </c>
      <c r="K203">
        <v>0</v>
      </c>
      <c r="M203">
        <v>194</v>
      </c>
    </row>
    <row r="204" spans="1:13" x14ac:dyDescent="0.3">
      <c r="A204">
        <v>41641.433333333334</v>
      </c>
      <c r="B204">
        <v>3780</v>
      </c>
      <c r="C204" s="7">
        <v>41640.044444444444</v>
      </c>
      <c r="D204" t="s">
        <v>43</v>
      </c>
      <c r="E204" t="s">
        <v>209</v>
      </c>
      <c r="F204" t="s">
        <v>138</v>
      </c>
      <c r="G204" s="9" t="s">
        <v>138</v>
      </c>
      <c r="J204">
        <v>0</v>
      </c>
      <c r="K204">
        <v>0</v>
      </c>
      <c r="M204">
        <v>173</v>
      </c>
    </row>
    <row r="205" spans="1:13" x14ac:dyDescent="0.3">
      <c r="A205">
        <v>41641.43472222222</v>
      </c>
      <c r="B205">
        <v>2880</v>
      </c>
      <c r="C205" s="7">
        <v>41640.039583333331</v>
      </c>
      <c r="D205" t="s">
        <v>156</v>
      </c>
      <c r="E205" t="s">
        <v>40</v>
      </c>
      <c r="F205" t="s">
        <v>138</v>
      </c>
      <c r="G205" s="9" t="s">
        <v>138</v>
      </c>
      <c r="J205">
        <v>0</v>
      </c>
      <c r="K205">
        <v>0</v>
      </c>
      <c r="M205">
        <v>229</v>
      </c>
    </row>
    <row r="206" spans="1:13" x14ac:dyDescent="0.3">
      <c r="A206">
        <v>41641.436111111114</v>
      </c>
      <c r="B206">
        <v>2160</v>
      </c>
      <c r="C206" s="7">
        <v>41640.025000000001</v>
      </c>
      <c r="D206" t="s">
        <v>1</v>
      </c>
      <c r="E206" t="s">
        <v>14</v>
      </c>
      <c r="F206" t="s">
        <v>138</v>
      </c>
      <c r="G206" s="9" t="s">
        <v>138</v>
      </c>
      <c r="J206">
        <v>0</v>
      </c>
      <c r="K206">
        <v>0</v>
      </c>
      <c r="M206">
        <v>167</v>
      </c>
    </row>
    <row r="207" spans="1:13" x14ac:dyDescent="0.3">
      <c r="A207">
        <v>41641.436805555553</v>
      </c>
      <c r="B207">
        <v>1800</v>
      </c>
      <c r="C207" s="7">
        <v>41640.031944444447</v>
      </c>
      <c r="D207" t="s">
        <v>61</v>
      </c>
      <c r="E207" t="s">
        <v>11</v>
      </c>
      <c r="F207" t="s">
        <v>138</v>
      </c>
      <c r="G207" s="9" t="s">
        <v>138</v>
      </c>
      <c r="J207">
        <v>0</v>
      </c>
      <c r="K207">
        <v>0</v>
      </c>
      <c r="M207">
        <v>213</v>
      </c>
    </row>
    <row r="208" spans="1:13" x14ac:dyDescent="0.3">
      <c r="A208">
        <v>41641.44027777778</v>
      </c>
      <c r="B208">
        <v>2520</v>
      </c>
      <c r="C208" s="7">
        <v>41640.029861111114</v>
      </c>
      <c r="D208" t="s">
        <v>8</v>
      </c>
      <c r="E208" t="s">
        <v>9</v>
      </c>
      <c r="F208" t="s">
        <v>138</v>
      </c>
      <c r="G208" s="9" t="s">
        <v>138</v>
      </c>
      <c r="J208">
        <v>0</v>
      </c>
      <c r="K208">
        <v>0</v>
      </c>
      <c r="M208">
        <v>199</v>
      </c>
    </row>
    <row r="209" spans="1:13" x14ac:dyDescent="0.3">
      <c r="A209">
        <v>41641.440972222219</v>
      </c>
      <c r="B209">
        <v>1680</v>
      </c>
      <c r="C209" s="7">
        <v>41640.022222222222</v>
      </c>
      <c r="D209" t="s">
        <v>55</v>
      </c>
      <c r="E209" t="s">
        <v>59</v>
      </c>
      <c r="F209" t="s">
        <v>138</v>
      </c>
      <c r="G209" s="9" t="s">
        <v>138</v>
      </c>
      <c r="J209">
        <v>0</v>
      </c>
      <c r="K209">
        <v>0</v>
      </c>
      <c r="M209">
        <v>220</v>
      </c>
    </row>
    <row r="210" spans="1:13" x14ac:dyDescent="0.3">
      <c r="A210">
        <v>41641.442361111112</v>
      </c>
      <c r="B210">
        <v>2880</v>
      </c>
      <c r="C210" s="7">
        <v>41640.038194444445</v>
      </c>
      <c r="D210" t="s">
        <v>44</v>
      </c>
      <c r="E210" t="s">
        <v>219</v>
      </c>
      <c r="F210" t="s">
        <v>138</v>
      </c>
      <c r="G210" s="9" t="s">
        <v>138</v>
      </c>
      <c r="J210">
        <v>0</v>
      </c>
      <c r="K210">
        <v>0</v>
      </c>
      <c r="M210">
        <v>157</v>
      </c>
    </row>
    <row r="211" spans="1:13" x14ac:dyDescent="0.3">
      <c r="A211">
        <v>41641.443749999999</v>
      </c>
      <c r="B211">
        <v>2760</v>
      </c>
      <c r="C211" s="7">
        <v>41640.036111111112</v>
      </c>
      <c r="D211" t="s">
        <v>8</v>
      </c>
      <c r="E211" t="s">
        <v>207</v>
      </c>
      <c r="F211" t="s">
        <v>138</v>
      </c>
      <c r="G211" s="9" t="s">
        <v>138</v>
      </c>
      <c r="J211">
        <v>0</v>
      </c>
      <c r="K211">
        <v>0</v>
      </c>
      <c r="M211">
        <v>183</v>
      </c>
    </row>
    <row r="212" spans="1:13" x14ac:dyDescent="0.3">
      <c r="A212">
        <v>41641.444444444445</v>
      </c>
      <c r="B212">
        <v>3180</v>
      </c>
      <c r="C212" s="7">
        <v>41640.049305555556</v>
      </c>
      <c r="D212" t="s">
        <v>8</v>
      </c>
      <c r="E212" t="s">
        <v>131</v>
      </c>
      <c r="F212" t="s">
        <v>138</v>
      </c>
      <c r="G212" s="9" t="s">
        <v>138</v>
      </c>
      <c r="J212">
        <v>0</v>
      </c>
      <c r="K212">
        <v>0</v>
      </c>
      <c r="M212">
        <v>161</v>
      </c>
    </row>
    <row r="213" spans="1:13" x14ac:dyDescent="0.3">
      <c r="A213">
        <v>41641.446527777778</v>
      </c>
      <c r="B213">
        <v>1920</v>
      </c>
      <c r="C213" s="7">
        <v>41640.022222222222</v>
      </c>
      <c r="D213" t="s">
        <v>15</v>
      </c>
      <c r="E213" t="s">
        <v>33</v>
      </c>
      <c r="F213" t="s">
        <v>138</v>
      </c>
      <c r="G213" s="9" t="s">
        <v>138</v>
      </c>
      <c r="J213">
        <v>0</v>
      </c>
      <c r="K213">
        <v>0</v>
      </c>
      <c r="M213">
        <v>217</v>
      </c>
    </row>
    <row r="214" spans="1:13" x14ac:dyDescent="0.3">
      <c r="A214">
        <v>41641.447222222225</v>
      </c>
      <c r="B214">
        <v>2820</v>
      </c>
      <c r="C214" s="7">
        <v>41640.033333333333</v>
      </c>
      <c r="D214" t="s">
        <v>13</v>
      </c>
      <c r="E214" t="s">
        <v>215</v>
      </c>
      <c r="F214" t="s">
        <v>138</v>
      </c>
      <c r="G214" s="9" t="s">
        <v>138</v>
      </c>
      <c r="J214">
        <v>0</v>
      </c>
      <c r="K214">
        <v>0</v>
      </c>
      <c r="M214">
        <v>216</v>
      </c>
    </row>
    <row r="215" spans="1:13" x14ac:dyDescent="0.3">
      <c r="A215">
        <v>41641.447916666664</v>
      </c>
      <c r="B215">
        <v>2580</v>
      </c>
      <c r="C215" s="7">
        <v>41640.037499999999</v>
      </c>
      <c r="D215" t="s">
        <v>220</v>
      </c>
      <c r="E215" t="s">
        <v>22</v>
      </c>
      <c r="F215" t="s">
        <v>138</v>
      </c>
      <c r="G215" s="9" t="s">
        <v>138</v>
      </c>
      <c r="J215">
        <v>0</v>
      </c>
      <c r="K215">
        <v>0</v>
      </c>
      <c r="M215">
        <v>198</v>
      </c>
    </row>
    <row r="216" spans="1:13" x14ac:dyDescent="0.3">
      <c r="A216">
        <v>41641.451388888891</v>
      </c>
      <c r="B216">
        <v>2040</v>
      </c>
      <c r="C216" s="7">
        <v>41640.023611111108</v>
      </c>
      <c r="D216" t="s">
        <v>83</v>
      </c>
      <c r="E216" t="s">
        <v>30</v>
      </c>
      <c r="F216" t="s">
        <v>138</v>
      </c>
      <c r="G216" s="9" t="s">
        <v>138</v>
      </c>
      <c r="J216">
        <v>0</v>
      </c>
      <c r="K216">
        <v>0</v>
      </c>
      <c r="M216">
        <v>169</v>
      </c>
    </row>
    <row r="217" spans="1:13" x14ac:dyDescent="0.3">
      <c r="A217">
        <v>41641.453472222223</v>
      </c>
      <c r="B217">
        <v>2100</v>
      </c>
      <c r="C217" s="7">
        <v>41640.025694444441</v>
      </c>
      <c r="D217" t="s">
        <v>13</v>
      </c>
      <c r="E217" t="s">
        <v>33</v>
      </c>
      <c r="F217" t="s">
        <v>138</v>
      </c>
      <c r="G217" s="9" t="s">
        <v>138</v>
      </c>
      <c r="J217">
        <v>0</v>
      </c>
      <c r="K217">
        <v>0</v>
      </c>
      <c r="M217">
        <v>214</v>
      </c>
    </row>
    <row r="218" spans="1:13" x14ac:dyDescent="0.3">
      <c r="A218">
        <v>41641.453472222223</v>
      </c>
      <c r="B218">
        <v>2100</v>
      </c>
      <c r="C218" s="7">
        <v>41640.038888888892</v>
      </c>
      <c r="D218" t="s">
        <v>40</v>
      </c>
      <c r="E218" t="s">
        <v>43</v>
      </c>
      <c r="F218" t="s">
        <v>138</v>
      </c>
      <c r="G218" s="9" t="s">
        <v>138</v>
      </c>
      <c r="J218">
        <v>0</v>
      </c>
      <c r="K218">
        <v>0</v>
      </c>
      <c r="M218">
        <v>193</v>
      </c>
    </row>
    <row r="219" spans="1:13" x14ac:dyDescent="0.3">
      <c r="A219">
        <v>41641.45416666667</v>
      </c>
      <c r="B219">
        <v>3000</v>
      </c>
      <c r="C219" s="7">
        <v>41640.061111111114</v>
      </c>
      <c r="D219" t="s">
        <v>221</v>
      </c>
      <c r="E219" t="s">
        <v>187</v>
      </c>
      <c r="F219" t="s">
        <v>138</v>
      </c>
      <c r="G219" s="9" t="s">
        <v>138</v>
      </c>
      <c r="J219">
        <v>0</v>
      </c>
      <c r="K219">
        <v>0</v>
      </c>
      <c r="M219">
        <v>178</v>
      </c>
    </row>
    <row r="220" spans="1:13" x14ac:dyDescent="0.3">
      <c r="A220">
        <v>41641.456944444442</v>
      </c>
      <c r="B220">
        <v>2400</v>
      </c>
      <c r="C220" s="7">
        <v>41640.040277777778</v>
      </c>
      <c r="D220" t="s">
        <v>22</v>
      </c>
      <c r="E220" t="s">
        <v>93</v>
      </c>
      <c r="F220" t="s">
        <v>138</v>
      </c>
      <c r="G220" s="9" t="s">
        <v>138</v>
      </c>
      <c r="J220">
        <v>0</v>
      </c>
      <c r="K220">
        <v>0</v>
      </c>
      <c r="M220">
        <v>206</v>
      </c>
    </row>
    <row r="221" spans="1:13" x14ac:dyDescent="0.3">
      <c r="A221">
        <v>41641.460416666669</v>
      </c>
      <c r="B221">
        <v>2640</v>
      </c>
      <c r="C221" s="7">
        <v>41640.043055555558</v>
      </c>
      <c r="D221" t="s">
        <v>8</v>
      </c>
      <c r="E221" t="s">
        <v>222</v>
      </c>
      <c r="F221" t="s">
        <v>138</v>
      </c>
      <c r="G221" s="9" t="s">
        <v>138</v>
      </c>
      <c r="J221">
        <v>0</v>
      </c>
      <c r="K221">
        <v>0</v>
      </c>
      <c r="M221">
        <v>179</v>
      </c>
    </row>
    <row r="222" spans="1:13" x14ac:dyDescent="0.3">
      <c r="A222">
        <v>41641.466666666667</v>
      </c>
      <c r="B222">
        <v>960</v>
      </c>
      <c r="C222" s="7">
        <v>41640.021527777775</v>
      </c>
      <c r="D222" t="s">
        <v>40</v>
      </c>
      <c r="E222" t="s">
        <v>213</v>
      </c>
      <c r="F222" t="s">
        <v>138</v>
      </c>
      <c r="G222" s="9" t="s">
        <v>138</v>
      </c>
      <c r="J222">
        <v>0</v>
      </c>
      <c r="K222">
        <v>0</v>
      </c>
      <c r="M222">
        <v>185</v>
      </c>
    </row>
    <row r="223" spans="1:13" x14ac:dyDescent="0.3">
      <c r="A223">
        <v>41641.470833333333</v>
      </c>
      <c r="B223">
        <v>2160</v>
      </c>
      <c r="C223" s="7">
        <v>41640.025694444441</v>
      </c>
      <c r="D223" t="s">
        <v>59</v>
      </c>
      <c r="E223" t="s">
        <v>55</v>
      </c>
      <c r="F223" t="s">
        <v>138</v>
      </c>
      <c r="G223" s="9" t="s">
        <v>138</v>
      </c>
      <c r="J223">
        <v>0</v>
      </c>
      <c r="K223">
        <v>0</v>
      </c>
      <c r="M223">
        <v>218</v>
      </c>
    </row>
    <row r="224" spans="1:13" x14ac:dyDescent="0.3">
      <c r="A224">
        <v>41641.474999999999</v>
      </c>
      <c r="B224">
        <v>2160</v>
      </c>
      <c r="C224" s="7">
        <v>41640.032638888886</v>
      </c>
      <c r="D224" t="s">
        <v>205</v>
      </c>
      <c r="E224" t="s">
        <v>15</v>
      </c>
      <c r="F224" t="s">
        <v>138</v>
      </c>
      <c r="G224" s="9" t="s">
        <v>138</v>
      </c>
      <c r="J224">
        <v>0</v>
      </c>
      <c r="K224">
        <v>0</v>
      </c>
      <c r="M224">
        <v>182</v>
      </c>
    </row>
    <row r="225" spans="1:13" x14ac:dyDescent="0.3">
      <c r="A225">
        <v>41641.481249999997</v>
      </c>
      <c r="B225">
        <v>1500</v>
      </c>
      <c r="C225" s="7">
        <v>41640.040972222225</v>
      </c>
      <c r="D225" t="s">
        <v>80</v>
      </c>
      <c r="E225" t="s">
        <v>43</v>
      </c>
      <c r="F225" t="s">
        <v>138</v>
      </c>
      <c r="G225" s="9" t="s">
        <v>138</v>
      </c>
      <c r="J225">
        <v>0</v>
      </c>
      <c r="K225">
        <v>0</v>
      </c>
      <c r="M225">
        <v>184</v>
      </c>
    </row>
    <row r="226" spans="1:13" x14ac:dyDescent="0.3">
      <c r="A226">
        <v>41641.481944444444</v>
      </c>
      <c r="B226">
        <v>1200</v>
      </c>
      <c r="C226" s="7">
        <v>41640.019444444442</v>
      </c>
      <c r="D226" t="s">
        <v>15</v>
      </c>
      <c r="E226" t="s">
        <v>94</v>
      </c>
      <c r="F226" t="s">
        <v>138</v>
      </c>
      <c r="G226" s="9" t="s">
        <v>138</v>
      </c>
      <c r="J226">
        <v>0</v>
      </c>
      <c r="K226">
        <v>0</v>
      </c>
      <c r="M226">
        <v>156</v>
      </c>
    </row>
    <row r="227" spans="1:13" x14ac:dyDescent="0.3">
      <c r="A227">
        <v>41641.482638888891</v>
      </c>
      <c r="B227">
        <v>3420</v>
      </c>
      <c r="C227" s="7">
        <v>41640.039583333331</v>
      </c>
      <c r="D227" t="s">
        <v>9</v>
      </c>
      <c r="E227" t="s">
        <v>8</v>
      </c>
      <c r="F227" t="s">
        <v>138</v>
      </c>
      <c r="G227" s="9" t="s">
        <v>138</v>
      </c>
      <c r="J227">
        <v>0</v>
      </c>
      <c r="K227">
        <v>0</v>
      </c>
      <c r="M227">
        <v>230</v>
      </c>
    </row>
    <row r="228" spans="1:13" x14ac:dyDescent="0.3">
      <c r="A228">
        <v>41641.486805555556</v>
      </c>
      <c r="B228">
        <v>660</v>
      </c>
      <c r="C228" s="7">
        <v>41640.007638888892</v>
      </c>
      <c r="D228" t="s">
        <v>15</v>
      </c>
      <c r="E228" t="s">
        <v>33</v>
      </c>
      <c r="F228" t="s">
        <v>138</v>
      </c>
      <c r="G228" s="9" t="s">
        <v>138</v>
      </c>
      <c r="J228">
        <v>0</v>
      </c>
      <c r="K228">
        <v>0</v>
      </c>
      <c r="M228">
        <v>164</v>
      </c>
    </row>
    <row r="229" spans="1:13" x14ac:dyDescent="0.3">
      <c r="A229">
        <v>41641.488888888889</v>
      </c>
      <c r="B229">
        <v>2160</v>
      </c>
      <c r="C229" s="7">
        <v>41640.025000000001</v>
      </c>
      <c r="D229" t="s">
        <v>223</v>
      </c>
      <c r="E229" t="s">
        <v>13</v>
      </c>
      <c r="F229" t="s">
        <v>138</v>
      </c>
      <c r="G229" s="9" t="s">
        <v>138</v>
      </c>
      <c r="J229">
        <v>0</v>
      </c>
      <c r="K229">
        <v>0</v>
      </c>
      <c r="M229">
        <v>165</v>
      </c>
    </row>
    <row r="230" spans="1:13" x14ac:dyDescent="0.3">
      <c r="A230">
        <v>41641.490972222222</v>
      </c>
      <c r="B230">
        <v>960</v>
      </c>
      <c r="C230" s="7">
        <v>41640.025694444441</v>
      </c>
      <c r="D230" t="s">
        <v>224</v>
      </c>
      <c r="E230" t="s">
        <v>156</v>
      </c>
      <c r="F230" t="s">
        <v>138</v>
      </c>
      <c r="G230" s="9" t="s">
        <v>138</v>
      </c>
      <c r="J230">
        <v>0</v>
      </c>
      <c r="K230">
        <v>0</v>
      </c>
      <c r="M230">
        <v>205</v>
      </c>
    </row>
    <row r="231" spans="1:13" x14ac:dyDescent="0.3">
      <c r="A231">
        <v>41641.491666666669</v>
      </c>
      <c r="B231">
        <v>1380</v>
      </c>
      <c r="C231" s="7">
        <v>41640.030555555553</v>
      </c>
      <c r="D231" t="s">
        <v>22</v>
      </c>
      <c r="E231" t="s">
        <v>220</v>
      </c>
      <c r="F231" t="s">
        <v>138</v>
      </c>
      <c r="G231" s="9" t="s">
        <v>138</v>
      </c>
      <c r="J231">
        <v>0</v>
      </c>
      <c r="K231">
        <v>0</v>
      </c>
      <c r="M231">
        <v>163</v>
      </c>
    </row>
    <row r="232" spans="1:13" x14ac:dyDescent="0.3">
      <c r="A232">
        <v>41641.498611111114</v>
      </c>
      <c r="B232">
        <v>1440</v>
      </c>
      <c r="C232" s="7">
        <v>41640.029166666667</v>
      </c>
      <c r="D232" t="s">
        <v>22</v>
      </c>
      <c r="E232" t="s">
        <v>218</v>
      </c>
      <c r="F232" t="s">
        <v>138</v>
      </c>
      <c r="G232" s="9" t="s">
        <v>138</v>
      </c>
      <c r="J232">
        <v>0</v>
      </c>
      <c r="K232">
        <v>0</v>
      </c>
      <c r="M232">
        <v>215</v>
      </c>
    </row>
    <row r="233" spans="1:13" x14ac:dyDescent="0.3">
      <c r="A233">
        <v>41641.500694444447</v>
      </c>
      <c r="B233">
        <v>1020</v>
      </c>
      <c r="C233" s="7">
        <v>41640.025000000001</v>
      </c>
      <c r="D233" t="s">
        <v>43</v>
      </c>
      <c r="E233" t="s">
        <v>71</v>
      </c>
      <c r="F233" t="s">
        <v>138</v>
      </c>
      <c r="G233" s="9" t="s">
        <v>138</v>
      </c>
      <c r="J233">
        <v>0</v>
      </c>
      <c r="K233">
        <v>0</v>
      </c>
      <c r="M233">
        <v>281</v>
      </c>
    </row>
    <row r="234" spans="1:13" x14ac:dyDescent="0.3">
      <c r="A234">
        <v>41641.502083333333</v>
      </c>
      <c r="B234">
        <v>1200</v>
      </c>
      <c r="C234" s="7">
        <v>41640.020833333336</v>
      </c>
      <c r="D234" t="s">
        <v>225</v>
      </c>
      <c r="E234" t="s">
        <v>69</v>
      </c>
      <c r="F234" t="s">
        <v>138</v>
      </c>
      <c r="G234" s="9" t="s">
        <v>138</v>
      </c>
      <c r="J234">
        <v>0</v>
      </c>
      <c r="K234">
        <v>0</v>
      </c>
      <c r="M234">
        <v>283</v>
      </c>
    </row>
    <row r="235" spans="1:13" x14ac:dyDescent="0.3">
      <c r="A235">
        <v>41641.502083333333</v>
      </c>
      <c r="B235">
        <v>1740</v>
      </c>
      <c r="C235" s="7">
        <v>41640.022222222222</v>
      </c>
      <c r="D235" t="s">
        <v>226</v>
      </c>
      <c r="E235" t="s">
        <v>69</v>
      </c>
      <c r="F235" t="s">
        <v>138</v>
      </c>
      <c r="G235" s="9" t="s">
        <v>138</v>
      </c>
      <c r="J235">
        <v>0</v>
      </c>
      <c r="K235">
        <v>0</v>
      </c>
      <c r="M235">
        <v>255</v>
      </c>
    </row>
    <row r="236" spans="1:13" x14ac:dyDescent="0.3">
      <c r="A236">
        <v>41641.503472222219</v>
      </c>
      <c r="B236">
        <v>1560</v>
      </c>
      <c r="C236" s="7">
        <v>41640.021527777775</v>
      </c>
      <c r="D236" t="s">
        <v>98</v>
      </c>
      <c r="E236" t="s">
        <v>171</v>
      </c>
      <c r="F236" t="s">
        <v>138</v>
      </c>
      <c r="G236" s="9" t="s">
        <v>138</v>
      </c>
      <c r="J236">
        <v>0</v>
      </c>
      <c r="K236">
        <v>0</v>
      </c>
      <c r="M236">
        <v>258</v>
      </c>
    </row>
    <row r="237" spans="1:13" x14ac:dyDescent="0.3">
      <c r="A237">
        <v>41641.506944444445</v>
      </c>
      <c r="B237">
        <v>1380</v>
      </c>
      <c r="C237" s="7">
        <v>41640.021527777775</v>
      </c>
      <c r="D237" t="s">
        <v>174</v>
      </c>
      <c r="E237" t="s">
        <v>81</v>
      </c>
      <c r="F237" t="s">
        <v>138</v>
      </c>
      <c r="G237" s="9" t="s">
        <v>138</v>
      </c>
      <c r="J237">
        <v>0</v>
      </c>
      <c r="K237">
        <v>0</v>
      </c>
      <c r="M237">
        <v>243</v>
      </c>
    </row>
    <row r="238" spans="1:13" x14ac:dyDescent="0.3">
      <c r="A238">
        <v>41641.513888888891</v>
      </c>
      <c r="B238">
        <v>1320</v>
      </c>
      <c r="C238" s="7">
        <v>41640.015277777777</v>
      </c>
      <c r="D238" t="s">
        <v>227</v>
      </c>
      <c r="E238" t="s">
        <v>10</v>
      </c>
      <c r="F238" t="s">
        <v>138</v>
      </c>
      <c r="G238" s="9" t="s">
        <v>138</v>
      </c>
      <c r="J238">
        <v>0</v>
      </c>
      <c r="K238">
        <v>0</v>
      </c>
      <c r="M238">
        <v>290</v>
      </c>
    </row>
    <row r="239" spans="1:13" x14ac:dyDescent="0.3">
      <c r="A239">
        <v>41641.513888888891</v>
      </c>
      <c r="B239">
        <v>900</v>
      </c>
      <c r="C239" s="7">
        <v>41640.019444444442</v>
      </c>
      <c r="D239" t="s">
        <v>150</v>
      </c>
      <c r="E239" t="s">
        <v>30</v>
      </c>
      <c r="F239" t="s">
        <v>138</v>
      </c>
      <c r="G239" s="9" t="s">
        <v>138</v>
      </c>
      <c r="J239">
        <v>0</v>
      </c>
      <c r="K239">
        <v>0</v>
      </c>
      <c r="M239">
        <v>235</v>
      </c>
    </row>
    <row r="240" spans="1:13" x14ac:dyDescent="0.3">
      <c r="A240">
        <v>41641.51458333333</v>
      </c>
      <c r="B240">
        <v>1980</v>
      </c>
      <c r="C240" s="7">
        <v>41640.02847222222</v>
      </c>
      <c r="D240" t="s">
        <v>67</v>
      </c>
      <c r="E240" t="s">
        <v>15</v>
      </c>
      <c r="F240" t="s">
        <v>138</v>
      </c>
      <c r="G240" s="9" t="s">
        <v>138</v>
      </c>
      <c r="J240">
        <v>0</v>
      </c>
      <c r="K240">
        <v>0</v>
      </c>
      <c r="M240">
        <v>245</v>
      </c>
    </row>
    <row r="241" spans="1:13" x14ac:dyDescent="0.3">
      <c r="A241">
        <v>41641.518055555556</v>
      </c>
      <c r="B241">
        <v>900</v>
      </c>
      <c r="C241" s="7">
        <v>41640.017361111109</v>
      </c>
      <c r="D241" t="s">
        <v>22</v>
      </c>
      <c r="E241" t="s">
        <v>228</v>
      </c>
      <c r="F241" t="s">
        <v>138</v>
      </c>
      <c r="G241" s="9" t="s">
        <v>138</v>
      </c>
      <c r="J241">
        <v>0</v>
      </c>
      <c r="K241">
        <v>0</v>
      </c>
      <c r="M241">
        <v>231</v>
      </c>
    </row>
    <row r="242" spans="1:13" x14ac:dyDescent="0.3">
      <c r="A242">
        <v>41641.521527777775</v>
      </c>
      <c r="B242">
        <v>720</v>
      </c>
      <c r="C242" s="7">
        <v>41640.010416666664</v>
      </c>
      <c r="D242" t="s">
        <v>10</v>
      </c>
      <c r="E242" t="s">
        <v>3</v>
      </c>
      <c r="F242" t="s">
        <v>138</v>
      </c>
      <c r="G242" s="9" t="s">
        <v>138</v>
      </c>
      <c r="J242">
        <v>0</v>
      </c>
      <c r="K242">
        <v>0</v>
      </c>
      <c r="M242">
        <v>254</v>
      </c>
    </row>
    <row r="243" spans="1:13" x14ac:dyDescent="0.3">
      <c r="A243">
        <v>41641.522222222222</v>
      </c>
      <c r="B243">
        <v>360</v>
      </c>
      <c r="C243" s="7">
        <v>41640.006249999999</v>
      </c>
      <c r="D243" t="s">
        <v>10</v>
      </c>
      <c r="E243" t="s">
        <v>72</v>
      </c>
      <c r="F243" t="s">
        <v>138</v>
      </c>
      <c r="G243" s="9" t="s">
        <v>138</v>
      </c>
      <c r="J243">
        <v>0</v>
      </c>
      <c r="K243">
        <v>0</v>
      </c>
      <c r="M243">
        <v>282</v>
      </c>
    </row>
    <row r="244" spans="1:13" x14ac:dyDescent="0.3">
      <c r="A244">
        <v>41641.522222222222</v>
      </c>
      <c r="B244">
        <v>720</v>
      </c>
      <c r="C244" s="7">
        <v>41640.026388888888</v>
      </c>
      <c r="D244" t="s">
        <v>15</v>
      </c>
      <c r="E244" t="s">
        <v>206</v>
      </c>
      <c r="F244" t="s">
        <v>138</v>
      </c>
      <c r="G244" s="9" t="s">
        <v>138</v>
      </c>
      <c r="J244">
        <v>0</v>
      </c>
      <c r="K244">
        <v>0</v>
      </c>
      <c r="M244">
        <v>259</v>
      </c>
    </row>
    <row r="245" spans="1:13" x14ac:dyDescent="0.3">
      <c r="A245">
        <v>41641.524305555555</v>
      </c>
      <c r="B245">
        <v>1980</v>
      </c>
      <c r="C245" s="7">
        <v>41640.025694444441</v>
      </c>
      <c r="D245" t="s">
        <v>229</v>
      </c>
      <c r="E245" t="s">
        <v>13</v>
      </c>
      <c r="F245" t="s">
        <v>138</v>
      </c>
      <c r="G245" s="9" t="s">
        <v>138</v>
      </c>
      <c r="J245">
        <v>0</v>
      </c>
      <c r="K245">
        <v>0</v>
      </c>
      <c r="M245">
        <v>244</v>
      </c>
    </row>
    <row r="246" spans="1:13" x14ac:dyDescent="0.3">
      <c r="A246">
        <v>41641.527777777781</v>
      </c>
      <c r="B246">
        <v>1380</v>
      </c>
      <c r="C246" s="7">
        <v>41640.020138888889</v>
      </c>
      <c r="D246" t="s">
        <v>230</v>
      </c>
      <c r="E246" t="s">
        <v>13</v>
      </c>
      <c r="F246" t="s">
        <v>138</v>
      </c>
      <c r="G246" s="9" t="s">
        <v>138</v>
      </c>
      <c r="J246">
        <v>0</v>
      </c>
      <c r="K246">
        <v>0</v>
      </c>
      <c r="M246">
        <v>284</v>
      </c>
    </row>
    <row r="247" spans="1:13" x14ac:dyDescent="0.3">
      <c r="A247">
        <v>41641.53125</v>
      </c>
      <c r="B247">
        <v>2220</v>
      </c>
      <c r="C247" s="7">
        <v>41640.026388888888</v>
      </c>
      <c r="D247" t="s">
        <v>30</v>
      </c>
      <c r="E247" t="s">
        <v>136</v>
      </c>
      <c r="F247" t="s">
        <v>138</v>
      </c>
      <c r="G247" s="9" t="s">
        <v>138</v>
      </c>
      <c r="J247">
        <v>0</v>
      </c>
      <c r="K247">
        <v>0</v>
      </c>
      <c r="M247">
        <v>233</v>
      </c>
    </row>
    <row r="248" spans="1:13" x14ac:dyDescent="0.3">
      <c r="A248">
        <v>41641.534722222219</v>
      </c>
      <c r="B248">
        <v>1080</v>
      </c>
      <c r="C248" s="7">
        <v>41640.023611111108</v>
      </c>
      <c r="D248" t="s">
        <v>168</v>
      </c>
      <c r="E248" t="s">
        <v>22</v>
      </c>
      <c r="F248" t="s">
        <v>138</v>
      </c>
      <c r="G248" s="9" t="s">
        <v>138</v>
      </c>
      <c r="J248">
        <v>0</v>
      </c>
      <c r="K248">
        <v>0</v>
      </c>
      <c r="M248">
        <v>232</v>
      </c>
    </row>
    <row r="249" spans="1:13" x14ac:dyDescent="0.3">
      <c r="A249">
        <v>41641.538194444445</v>
      </c>
      <c r="B249">
        <v>1680</v>
      </c>
      <c r="C249" s="7">
        <v>41640.019444444442</v>
      </c>
      <c r="D249" t="s">
        <v>231</v>
      </c>
      <c r="E249" t="s">
        <v>81</v>
      </c>
      <c r="F249" t="s">
        <v>138</v>
      </c>
      <c r="G249" s="9" t="s">
        <v>138</v>
      </c>
      <c r="J249">
        <v>0</v>
      </c>
      <c r="K249">
        <v>0</v>
      </c>
      <c r="M249">
        <v>248</v>
      </c>
    </row>
    <row r="250" spans="1:13" x14ac:dyDescent="0.3">
      <c r="A250">
        <v>41641.538888888892</v>
      </c>
      <c r="B250">
        <v>900</v>
      </c>
      <c r="C250" s="7">
        <v>41640.010416666664</v>
      </c>
      <c r="D250" t="s">
        <v>15</v>
      </c>
      <c r="E250" t="s">
        <v>33</v>
      </c>
      <c r="F250" t="s">
        <v>138</v>
      </c>
      <c r="G250" s="9" t="s">
        <v>138</v>
      </c>
      <c r="J250">
        <v>0</v>
      </c>
      <c r="K250">
        <v>0</v>
      </c>
      <c r="M250">
        <v>294</v>
      </c>
    </row>
    <row r="251" spans="1:13" x14ac:dyDescent="0.3">
      <c r="A251">
        <v>41641.545138888891</v>
      </c>
      <c r="B251">
        <v>2640</v>
      </c>
      <c r="C251" s="7">
        <v>41640.030555555553</v>
      </c>
      <c r="D251" t="s">
        <v>76</v>
      </c>
      <c r="E251" t="s">
        <v>30</v>
      </c>
      <c r="F251" t="s">
        <v>138</v>
      </c>
      <c r="G251" s="9" t="s">
        <v>138</v>
      </c>
      <c r="J251">
        <v>0</v>
      </c>
      <c r="K251">
        <v>0</v>
      </c>
      <c r="M251">
        <v>279</v>
      </c>
    </row>
    <row r="252" spans="1:13" x14ac:dyDescent="0.3">
      <c r="A252">
        <v>41641.547222222223</v>
      </c>
      <c r="B252">
        <v>900</v>
      </c>
      <c r="C252" s="7">
        <v>41640.011111111111</v>
      </c>
      <c r="D252" t="s">
        <v>30</v>
      </c>
      <c r="E252" t="s">
        <v>232</v>
      </c>
      <c r="F252" t="s">
        <v>138</v>
      </c>
      <c r="G252" s="9" t="s">
        <v>138</v>
      </c>
      <c r="J252">
        <v>0</v>
      </c>
      <c r="K252">
        <v>0</v>
      </c>
      <c r="M252">
        <v>289</v>
      </c>
    </row>
    <row r="253" spans="1:13" x14ac:dyDescent="0.3">
      <c r="A253">
        <v>41641.547222222223</v>
      </c>
      <c r="B253">
        <v>240</v>
      </c>
      <c r="C253" s="7">
        <v>41640.011805555558</v>
      </c>
      <c r="D253" t="s">
        <v>15</v>
      </c>
      <c r="E253" t="s">
        <v>131</v>
      </c>
      <c r="F253" t="s">
        <v>138</v>
      </c>
      <c r="G253" s="9" t="s">
        <v>138</v>
      </c>
      <c r="J253">
        <v>0</v>
      </c>
      <c r="K253">
        <v>0</v>
      </c>
      <c r="M253">
        <v>285</v>
      </c>
    </row>
    <row r="254" spans="1:13" x14ac:dyDescent="0.3">
      <c r="A254">
        <v>41641.551388888889</v>
      </c>
      <c r="B254">
        <v>1560</v>
      </c>
      <c r="C254" s="7">
        <v>41640.027083333334</v>
      </c>
      <c r="D254" t="s">
        <v>10</v>
      </c>
      <c r="E254" t="s">
        <v>227</v>
      </c>
      <c r="F254" t="s">
        <v>138</v>
      </c>
      <c r="G254" s="9" t="s">
        <v>138</v>
      </c>
      <c r="J254">
        <v>0</v>
      </c>
      <c r="K254">
        <v>0</v>
      </c>
      <c r="M254">
        <v>234</v>
      </c>
    </row>
    <row r="255" spans="1:13" x14ac:dyDescent="0.3">
      <c r="A255">
        <v>41641.555555555555</v>
      </c>
      <c r="B255">
        <v>1680</v>
      </c>
      <c r="C255" s="7">
        <v>41640.019444444442</v>
      </c>
      <c r="D255" t="s">
        <v>233</v>
      </c>
      <c r="E255" t="s">
        <v>22</v>
      </c>
      <c r="F255" t="s">
        <v>138</v>
      </c>
      <c r="G255" s="9" t="s">
        <v>138</v>
      </c>
      <c r="J255">
        <v>0</v>
      </c>
      <c r="K255">
        <v>0</v>
      </c>
      <c r="M255">
        <v>268</v>
      </c>
    </row>
    <row r="256" spans="1:13" x14ac:dyDescent="0.3">
      <c r="A256">
        <v>41641.555555555555</v>
      </c>
      <c r="B256">
        <v>1260</v>
      </c>
      <c r="C256" s="7">
        <v>41640.022222222222</v>
      </c>
      <c r="D256" t="s">
        <v>234</v>
      </c>
      <c r="E256" t="s">
        <v>30</v>
      </c>
      <c r="F256" t="s">
        <v>138</v>
      </c>
      <c r="G256" s="9" t="s">
        <v>138</v>
      </c>
      <c r="J256">
        <v>0</v>
      </c>
      <c r="K256">
        <v>0</v>
      </c>
      <c r="M256">
        <v>253</v>
      </c>
    </row>
    <row r="257" spans="1:13" x14ac:dyDescent="0.3">
      <c r="A257">
        <v>41641.55972222222</v>
      </c>
      <c r="B257">
        <v>900</v>
      </c>
      <c r="C257" s="7">
        <v>41640.015277777777</v>
      </c>
      <c r="D257" t="s">
        <v>13</v>
      </c>
      <c r="E257" t="s">
        <v>230</v>
      </c>
      <c r="F257" t="s">
        <v>138</v>
      </c>
      <c r="G257" s="9" t="s">
        <v>138</v>
      </c>
      <c r="J257">
        <v>0</v>
      </c>
      <c r="K257">
        <v>0</v>
      </c>
      <c r="M257">
        <v>278</v>
      </c>
    </row>
    <row r="258" spans="1:13" x14ac:dyDescent="0.3">
      <c r="A258">
        <v>41641.564583333333</v>
      </c>
      <c r="B258">
        <v>780</v>
      </c>
      <c r="C258" s="7">
        <v>41640.01458333333</v>
      </c>
      <c r="D258" t="s">
        <v>22</v>
      </c>
      <c r="E258" t="s">
        <v>41</v>
      </c>
      <c r="F258" t="s">
        <v>138</v>
      </c>
      <c r="G258" s="9" t="s">
        <v>138</v>
      </c>
      <c r="J258">
        <v>0</v>
      </c>
      <c r="K258">
        <v>0</v>
      </c>
      <c r="M258">
        <v>291</v>
      </c>
    </row>
    <row r="259" spans="1:13" x14ac:dyDescent="0.3">
      <c r="A259">
        <v>41641.567361111112</v>
      </c>
      <c r="B259">
        <v>1200</v>
      </c>
      <c r="C259" s="7">
        <v>41640.021527777775</v>
      </c>
      <c r="D259" t="s">
        <v>13</v>
      </c>
      <c r="E259" t="s">
        <v>229</v>
      </c>
      <c r="F259" t="s">
        <v>138</v>
      </c>
      <c r="G259" s="9" t="s">
        <v>138</v>
      </c>
      <c r="J259">
        <v>0</v>
      </c>
      <c r="K259">
        <v>0</v>
      </c>
      <c r="M259">
        <v>250</v>
      </c>
    </row>
    <row r="260" spans="1:13" x14ac:dyDescent="0.3">
      <c r="A260">
        <v>41641.569444444445</v>
      </c>
      <c r="B260">
        <v>1740</v>
      </c>
      <c r="C260" s="7">
        <v>41640.020138888889</v>
      </c>
      <c r="D260" t="s">
        <v>235</v>
      </c>
      <c r="E260" t="s">
        <v>179</v>
      </c>
      <c r="F260" t="s">
        <v>138</v>
      </c>
      <c r="G260" s="9" t="s">
        <v>138</v>
      </c>
      <c r="J260">
        <v>0</v>
      </c>
      <c r="K260">
        <v>0</v>
      </c>
      <c r="M260">
        <v>267</v>
      </c>
    </row>
    <row r="261" spans="1:13" x14ac:dyDescent="0.3">
      <c r="A261">
        <v>41641.574305555558</v>
      </c>
      <c r="B261">
        <v>1500</v>
      </c>
      <c r="C261" s="7">
        <v>41640.017361111109</v>
      </c>
      <c r="D261" t="s">
        <v>30</v>
      </c>
      <c r="E261" t="s">
        <v>150</v>
      </c>
      <c r="F261" t="s">
        <v>138</v>
      </c>
      <c r="G261" s="9" t="s">
        <v>138</v>
      </c>
      <c r="J261">
        <v>0</v>
      </c>
      <c r="K261">
        <v>0</v>
      </c>
      <c r="M261">
        <v>247</v>
      </c>
    </row>
    <row r="262" spans="1:13" x14ac:dyDescent="0.3">
      <c r="A262">
        <v>41641.576388888891</v>
      </c>
      <c r="B262">
        <v>1440</v>
      </c>
      <c r="C262" s="7">
        <v>41640.018750000003</v>
      </c>
      <c r="D262" t="s">
        <v>230</v>
      </c>
      <c r="E262" t="s">
        <v>22</v>
      </c>
      <c r="F262" t="s">
        <v>138</v>
      </c>
      <c r="G262" s="9" t="s">
        <v>138</v>
      </c>
      <c r="J262">
        <v>0</v>
      </c>
      <c r="K262">
        <v>0</v>
      </c>
      <c r="M262">
        <v>288</v>
      </c>
    </row>
    <row r="263" spans="1:13" x14ac:dyDescent="0.3">
      <c r="A263">
        <v>41641.576388888891</v>
      </c>
      <c r="B263">
        <v>1380</v>
      </c>
      <c r="C263" s="7">
        <v>41640.018750000003</v>
      </c>
      <c r="D263" t="s">
        <v>236</v>
      </c>
      <c r="E263" t="s">
        <v>15</v>
      </c>
      <c r="F263" t="s">
        <v>138</v>
      </c>
      <c r="G263" s="9" t="s">
        <v>138</v>
      </c>
      <c r="J263">
        <v>0</v>
      </c>
      <c r="K263">
        <v>0</v>
      </c>
      <c r="M263">
        <v>260</v>
      </c>
    </row>
    <row r="264" spans="1:13" x14ac:dyDescent="0.3">
      <c r="A264">
        <v>41641.576388888891</v>
      </c>
      <c r="B264">
        <v>1680</v>
      </c>
      <c r="C264" s="7">
        <v>41640.022222222222</v>
      </c>
      <c r="D264" t="s">
        <v>19</v>
      </c>
      <c r="E264" t="s">
        <v>30</v>
      </c>
      <c r="F264" t="s">
        <v>138</v>
      </c>
      <c r="G264" s="9" t="s">
        <v>138</v>
      </c>
      <c r="J264">
        <v>0</v>
      </c>
      <c r="K264">
        <v>0</v>
      </c>
      <c r="M264">
        <v>242</v>
      </c>
    </row>
    <row r="265" spans="1:13" x14ac:dyDescent="0.3">
      <c r="A265">
        <v>41641.57708333333</v>
      </c>
      <c r="B265">
        <v>720</v>
      </c>
      <c r="C265" s="7">
        <v>41640.009027777778</v>
      </c>
      <c r="D265" t="s">
        <v>30</v>
      </c>
      <c r="E265" t="s">
        <v>76</v>
      </c>
      <c r="F265" t="s">
        <v>138</v>
      </c>
      <c r="G265" s="9" t="s">
        <v>138</v>
      </c>
      <c r="J265">
        <v>0</v>
      </c>
      <c r="K265">
        <v>0</v>
      </c>
      <c r="M265">
        <v>287</v>
      </c>
    </row>
    <row r="266" spans="1:13" x14ac:dyDescent="0.3">
      <c r="A266">
        <v>41641.581250000003</v>
      </c>
      <c r="B266">
        <v>1500</v>
      </c>
      <c r="C266" s="7">
        <v>41640.018055555556</v>
      </c>
      <c r="D266" t="s">
        <v>10</v>
      </c>
      <c r="E266" t="s">
        <v>72</v>
      </c>
      <c r="F266" t="s">
        <v>138</v>
      </c>
      <c r="G266" s="9" t="s">
        <v>138</v>
      </c>
      <c r="J266">
        <v>0</v>
      </c>
      <c r="K266">
        <v>0</v>
      </c>
      <c r="M266">
        <v>237</v>
      </c>
    </row>
    <row r="267" spans="1:13" x14ac:dyDescent="0.3">
      <c r="A267">
        <v>41641.588194444441</v>
      </c>
      <c r="B267">
        <v>1800</v>
      </c>
      <c r="C267" s="7">
        <v>41640.030555555553</v>
      </c>
      <c r="D267" t="s">
        <v>22</v>
      </c>
      <c r="E267" t="s">
        <v>41</v>
      </c>
      <c r="F267" t="s">
        <v>138</v>
      </c>
      <c r="G267" s="9" t="s">
        <v>138</v>
      </c>
      <c r="J267">
        <v>0</v>
      </c>
      <c r="K267">
        <v>0</v>
      </c>
      <c r="M267">
        <v>280</v>
      </c>
    </row>
    <row r="268" spans="1:13" x14ac:dyDescent="0.3">
      <c r="A268">
        <v>41641.588194444441</v>
      </c>
      <c r="B268">
        <v>480</v>
      </c>
      <c r="C268" s="7">
        <v>41640.018750000003</v>
      </c>
      <c r="D268" t="s">
        <v>22</v>
      </c>
      <c r="E268" t="s">
        <v>168</v>
      </c>
      <c r="F268" t="s">
        <v>138</v>
      </c>
      <c r="G268" s="9" t="s">
        <v>138</v>
      </c>
      <c r="J268">
        <v>0</v>
      </c>
      <c r="K268">
        <v>0</v>
      </c>
      <c r="M268">
        <v>251</v>
      </c>
    </row>
    <row r="269" spans="1:13" x14ac:dyDescent="0.3">
      <c r="A269">
        <v>41641.589583333334</v>
      </c>
      <c r="B269">
        <v>1620</v>
      </c>
      <c r="C269" s="7">
        <v>41640.018750000003</v>
      </c>
      <c r="D269" t="s">
        <v>58</v>
      </c>
      <c r="E269" t="s">
        <v>30</v>
      </c>
      <c r="F269" t="s">
        <v>138</v>
      </c>
      <c r="G269" s="9" t="s">
        <v>138</v>
      </c>
      <c r="J269">
        <v>0</v>
      </c>
      <c r="K269">
        <v>0</v>
      </c>
      <c r="M269">
        <v>262</v>
      </c>
    </row>
    <row r="270" spans="1:13" x14ac:dyDescent="0.3">
      <c r="A270">
        <v>41641.59097222222</v>
      </c>
      <c r="B270">
        <v>1560</v>
      </c>
      <c r="C270" s="7">
        <v>41640.018055555556</v>
      </c>
      <c r="D270" t="s">
        <v>237</v>
      </c>
      <c r="E270" t="s">
        <v>15</v>
      </c>
      <c r="F270" t="s">
        <v>138</v>
      </c>
      <c r="G270" s="9" t="s">
        <v>138</v>
      </c>
      <c r="J270">
        <v>0</v>
      </c>
      <c r="K270">
        <v>0</v>
      </c>
      <c r="M270">
        <v>249</v>
      </c>
    </row>
    <row r="271" spans="1:13" x14ac:dyDescent="0.3">
      <c r="A271">
        <v>41641.592361111114</v>
      </c>
      <c r="B271">
        <v>900</v>
      </c>
      <c r="C271" s="7">
        <v>41640.020833333336</v>
      </c>
      <c r="D271" t="s">
        <v>212</v>
      </c>
      <c r="E271" t="s">
        <v>10</v>
      </c>
      <c r="F271" t="s">
        <v>138</v>
      </c>
      <c r="G271" s="9" t="s">
        <v>138</v>
      </c>
      <c r="J271">
        <v>0</v>
      </c>
      <c r="K271">
        <v>0</v>
      </c>
      <c r="M271">
        <v>292</v>
      </c>
    </row>
    <row r="272" spans="1:13" x14ac:dyDescent="0.3">
      <c r="A272">
        <v>41641.59652777778</v>
      </c>
      <c r="B272">
        <v>2100</v>
      </c>
      <c r="C272" s="7">
        <v>41640.029861111114</v>
      </c>
      <c r="D272" t="s">
        <v>29</v>
      </c>
      <c r="E272" t="s">
        <v>99</v>
      </c>
      <c r="F272" t="s">
        <v>138</v>
      </c>
      <c r="G272" s="9" t="s">
        <v>138</v>
      </c>
      <c r="J272">
        <v>0</v>
      </c>
      <c r="K272">
        <v>0</v>
      </c>
      <c r="M272">
        <v>238</v>
      </c>
    </row>
    <row r="273" spans="1:13" x14ac:dyDescent="0.3">
      <c r="A273">
        <v>41641.597222222219</v>
      </c>
      <c r="B273">
        <v>960</v>
      </c>
      <c r="C273" s="7">
        <v>41640.015972222223</v>
      </c>
      <c r="D273" t="s">
        <v>238</v>
      </c>
      <c r="E273" t="s">
        <v>239</v>
      </c>
      <c r="F273" t="s">
        <v>138</v>
      </c>
      <c r="G273" s="9" t="s">
        <v>138</v>
      </c>
      <c r="J273">
        <v>0</v>
      </c>
      <c r="K273">
        <v>0</v>
      </c>
      <c r="M273">
        <v>286</v>
      </c>
    </row>
    <row r="274" spans="1:13" x14ac:dyDescent="0.3">
      <c r="A274">
        <v>41641.597916666666</v>
      </c>
      <c r="B274">
        <v>540</v>
      </c>
      <c r="C274" s="7">
        <v>41640.012499999997</v>
      </c>
      <c r="D274" t="s">
        <v>40</v>
      </c>
      <c r="E274" t="s">
        <v>240</v>
      </c>
      <c r="F274" t="s">
        <v>138</v>
      </c>
      <c r="G274" s="9" t="s">
        <v>138</v>
      </c>
      <c r="J274">
        <v>0</v>
      </c>
      <c r="K274">
        <v>0</v>
      </c>
      <c r="M274">
        <v>241</v>
      </c>
    </row>
    <row r="275" spans="1:13" x14ac:dyDescent="0.3">
      <c r="A275">
        <v>41641.599305555559</v>
      </c>
      <c r="B275">
        <v>1620</v>
      </c>
      <c r="C275" s="7">
        <v>41640.019444444442</v>
      </c>
      <c r="D275" t="s">
        <v>15</v>
      </c>
      <c r="E275" t="s">
        <v>33</v>
      </c>
      <c r="F275" t="s">
        <v>138</v>
      </c>
      <c r="G275" s="9" t="s">
        <v>138</v>
      </c>
      <c r="J275">
        <v>0</v>
      </c>
      <c r="K275">
        <v>0</v>
      </c>
      <c r="M275">
        <v>266</v>
      </c>
    </row>
    <row r="276" spans="1:13" x14ac:dyDescent="0.3">
      <c r="A276">
        <v>41641.604166666664</v>
      </c>
      <c r="B276">
        <v>1440</v>
      </c>
      <c r="C276" s="7">
        <v>41640.01666666667</v>
      </c>
      <c r="D276" t="s">
        <v>13</v>
      </c>
      <c r="E276" t="s">
        <v>234</v>
      </c>
      <c r="F276" t="s">
        <v>138</v>
      </c>
      <c r="G276" s="9" t="s">
        <v>138</v>
      </c>
      <c r="J276">
        <v>0</v>
      </c>
      <c r="K276">
        <v>0</v>
      </c>
      <c r="M276">
        <v>275</v>
      </c>
    </row>
    <row r="277" spans="1:13" x14ac:dyDescent="0.3">
      <c r="A277">
        <v>41641.606249999997</v>
      </c>
      <c r="B277">
        <v>1800</v>
      </c>
      <c r="C277" s="7">
        <v>41640.021527777775</v>
      </c>
      <c r="D277" t="s">
        <v>98</v>
      </c>
      <c r="E277" t="s">
        <v>21</v>
      </c>
      <c r="F277" t="s">
        <v>138</v>
      </c>
      <c r="G277" s="9" t="s">
        <v>138</v>
      </c>
      <c r="J277">
        <v>0</v>
      </c>
      <c r="K277">
        <v>0</v>
      </c>
      <c r="M277">
        <v>263</v>
      </c>
    </row>
    <row r="278" spans="1:13" x14ac:dyDescent="0.3">
      <c r="A278">
        <v>41641.611805555556</v>
      </c>
      <c r="B278">
        <v>540</v>
      </c>
      <c r="C278" s="7">
        <v>41640.01458333333</v>
      </c>
      <c r="D278" t="s">
        <v>22</v>
      </c>
      <c r="E278" t="s">
        <v>41</v>
      </c>
      <c r="F278" t="s">
        <v>138</v>
      </c>
      <c r="G278" s="9" t="s">
        <v>138</v>
      </c>
      <c r="J278">
        <v>0</v>
      </c>
      <c r="K278">
        <v>0</v>
      </c>
      <c r="M278">
        <v>246</v>
      </c>
    </row>
    <row r="279" spans="1:13" x14ac:dyDescent="0.3">
      <c r="A279">
        <v>41641.611805555556</v>
      </c>
      <c r="B279">
        <v>2940</v>
      </c>
      <c r="C279" s="7">
        <v>41640.03402777778</v>
      </c>
      <c r="D279" t="s">
        <v>22</v>
      </c>
      <c r="E279" t="s">
        <v>233</v>
      </c>
      <c r="F279" t="s">
        <v>138</v>
      </c>
      <c r="G279" s="9" t="s">
        <v>138</v>
      </c>
      <c r="J279">
        <v>0</v>
      </c>
      <c r="K279">
        <v>0</v>
      </c>
      <c r="M279">
        <v>236</v>
      </c>
    </row>
    <row r="280" spans="1:13" x14ac:dyDescent="0.3">
      <c r="A280">
        <v>41641.612500000003</v>
      </c>
      <c r="B280">
        <v>300</v>
      </c>
      <c r="C280" s="7">
        <v>41640.015972222223</v>
      </c>
      <c r="D280" t="s">
        <v>30</v>
      </c>
      <c r="E280" t="s">
        <v>19</v>
      </c>
      <c r="F280" t="s">
        <v>138</v>
      </c>
      <c r="G280" s="9" t="s">
        <v>138</v>
      </c>
      <c r="J280">
        <v>0</v>
      </c>
      <c r="K280">
        <v>0</v>
      </c>
      <c r="M280">
        <v>269</v>
      </c>
    </row>
    <row r="281" spans="1:13" x14ac:dyDescent="0.3">
      <c r="A281">
        <v>41641.615277777775</v>
      </c>
      <c r="B281">
        <v>600</v>
      </c>
      <c r="C281" s="7">
        <v>41640.017361111109</v>
      </c>
      <c r="D281" t="s">
        <v>10</v>
      </c>
      <c r="E281" t="s">
        <v>212</v>
      </c>
      <c r="F281" t="s">
        <v>138</v>
      </c>
      <c r="G281" s="9" t="s">
        <v>138</v>
      </c>
      <c r="J281">
        <v>0</v>
      </c>
      <c r="K281">
        <v>0</v>
      </c>
      <c r="M281">
        <v>293</v>
      </c>
    </row>
    <row r="282" spans="1:13" x14ac:dyDescent="0.3">
      <c r="A282">
        <v>41641.617361111108</v>
      </c>
      <c r="B282">
        <v>1800</v>
      </c>
      <c r="C282" s="7">
        <v>41640.022222222222</v>
      </c>
      <c r="D282" t="s">
        <v>179</v>
      </c>
      <c r="E282" t="s">
        <v>235</v>
      </c>
      <c r="F282" t="s">
        <v>138</v>
      </c>
      <c r="G282" s="9" t="s">
        <v>138</v>
      </c>
      <c r="J282">
        <v>0</v>
      </c>
      <c r="K282">
        <v>0</v>
      </c>
      <c r="M282">
        <v>261</v>
      </c>
    </row>
    <row r="283" spans="1:13" x14ac:dyDescent="0.3">
      <c r="A283">
        <v>41641.617361111108</v>
      </c>
      <c r="B283">
        <v>1260</v>
      </c>
      <c r="C283" s="7">
        <v>41640.035416666666</v>
      </c>
      <c r="D283" t="s">
        <v>8</v>
      </c>
      <c r="E283" t="s">
        <v>53</v>
      </c>
      <c r="F283" t="s">
        <v>138</v>
      </c>
      <c r="G283" s="9" t="s">
        <v>138</v>
      </c>
      <c r="J283">
        <v>0</v>
      </c>
      <c r="K283">
        <v>0</v>
      </c>
      <c r="M283">
        <v>239</v>
      </c>
    </row>
    <row r="284" spans="1:13" x14ac:dyDescent="0.3">
      <c r="A284">
        <v>41641.625694444447</v>
      </c>
      <c r="B284">
        <v>2760</v>
      </c>
      <c r="C284" s="7">
        <v>41640.032638888886</v>
      </c>
      <c r="D284" t="s">
        <v>15</v>
      </c>
      <c r="E284" t="s">
        <v>236</v>
      </c>
      <c r="F284" t="s">
        <v>138</v>
      </c>
      <c r="G284" s="9" t="s">
        <v>138</v>
      </c>
      <c r="J284">
        <v>0</v>
      </c>
      <c r="K284">
        <v>0</v>
      </c>
      <c r="M284">
        <v>264</v>
      </c>
    </row>
    <row r="285" spans="1:13" x14ac:dyDescent="0.3">
      <c r="A285">
        <v>41641.628472222219</v>
      </c>
      <c r="B285">
        <v>2040</v>
      </c>
      <c r="C285" s="7">
        <v>41640.023611111108</v>
      </c>
      <c r="D285" t="s">
        <v>128</v>
      </c>
      <c r="E285" t="s">
        <v>46</v>
      </c>
      <c r="F285" t="s">
        <v>138</v>
      </c>
      <c r="G285" s="9" t="s">
        <v>138</v>
      </c>
      <c r="J285">
        <v>0</v>
      </c>
      <c r="K285">
        <v>0</v>
      </c>
      <c r="M285">
        <v>271</v>
      </c>
    </row>
    <row r="286" spans="1:13" x14ac:dyDescent="0.3">
      <c r="A286">
        <v>41641.628472222219</v>
      </c>
      <c r="B286">
        <v>2220</v>
      </c>
      <c r="C286" s="7">
        <v>41640.026388888888</v>
      </c>
      <c r="D286" t="s">
        <v>22</v>
      </c>
      <c r="E286" t="s">
        <v>230</v>
      </c>
      <c r="F286" t="s">
        <v>138</v>
      </c>
      <c r="G286" s="9" t="s">
        <v>138</v>
      </c>
      <c r="J286">
        <v>0</v>
      </c>
      <c r="K286">
        <v>0</v>
      </c>
      <c r="M286">
        <v>265</v>
      </c>
    </row>
    <row r="287" spans="1:13" x14ac:dyDescent="0.3">
      <c r="A287">
        <v>41641.628472222219</v>
      </c>
      <c r="B287">
        <v>660</v>
      </c>
      <c r="C287" s="7">
        <v>41640.027777777781</v>
      </c>
      <c r="D287" t="s">
        <v>30</v>
      </c>
      <c r="E287" t="s">
        <v>58</v>
      </c>
      <c r="F287" t="s">
        <v>138</v>
      </c>
      <c r="G287" s="9" t="s">
        <v>138</v>
      </c>
      <c r="J287">
        <v>0</v>
      </c>
      <c r="K287">
        <v>0</v>
      </c>
      <c r="M287">
        <v>252</v>
      </c>
    </row>
    <row r="288" spans="1:13" x14ac:dyDescent="0.3">
      <c r="A288">
        <v>41641.638888888891</v>
      </c>
      <c r="B288">
        <v>1140</v>
      </c>
      <c r="C288" s="7">
        <v>41640.017361111109</v>
      </c>
      <c r="D288" t="s">
        <v>22</v>
      </c>
      <c r="E288" t="s">
        <v>67</v>
      </c>
      <c r="F288" t="s">
        <v>138</v>
      </c>
      <c r="G288" s="9" t="s">
        <v>138</v>
      </c>
      <c r="J288">
        <v>0</v>
      </c>
      <c r="K288">
        <v>0</v>
      </c>
      <c r="M288">
        <v>240</v>
      </c>
    </row>
    <row r="289" spans="1:13" x14ac:dyDescent="0.3">
      <c r="A289">
        <v>41641.63958333333</v>
      </c>
      <c r="B289">
        <v>1200</v>
      </c>
      <c r="C289" s="7">
        <v>41640.013888888891</v>
      </c>
      <c r="D289" t="s">
        <v>195</v>
      </c>
      <c r="E289" t="s">
        <v>13</v>
      </c>
      <c r="F289" t="s">
        <v>138</v>
      </c>
      <c r="G289" s="9" t="s">
        <v>138</v>
      </c>
      <c r="J289">
        <v>0</v>
      </c>
      <c r="K289">
        <v>0</v>
      </c>
      <c r="M289">
        <v>295</v>
      </c>
    </row>
    <row r="290" spans="1:13" x14ac:dyDescent="0.3">
      <c r="A290">
        <v>41641.640277777777</v>
      </c>
      <c r="B290">
        <v>2820</v>
      </c>
      <c r="C290" s="7">
        <v>41640.032638888886</v>
      </c>
      <c r="D290" t="s">
        <v>40</v>
      </c>
      <c r="E290" t="s">
        <v>77</v>
      </c>
      <c r="F290" t="s">
        <v>138</v>
      </c>
      <c r="G290" s="9" t="s">
        <v>138</v>
      </c>
      <c r="J290">
        <v>0</v>
      </c>
      <c r="K290">
        <v>0</v>
      </c>
      <c r="M290">
        <v>276</v>
      </c>
    </row>
    <row r="291" spans="1:13" x14ac:dyDescent="0.3">
      <c r="A291">
        <v>41641.643055555556</v>
      </c>
      <c r="B291">
        <v>1200</v>
      </c>
      <c r="C291" s="7">
        <v>41640.018055555556</v>
      </c>
      <c r="D291" t="s">
        <v>22</v>
      </c>
      <c r="E291" t="s">
        <v>158</v>
      </c>
      <c r="F291" t="s">
        <v>138</v>
      </c>
      <c r="G291" s="9" t="s">
        <v>138</v>
      </c>
      <c r="J291">
        <v>0</v>
      </c>
      <c r="K291">
        <v>0</v>
      </c>
      <c r="M291">
        <v>274</v>
      </c>
    </row>
    <row r="292" spans="1:13" x14ac:dyDescent="0.3">
      <c r="A292">
        <v>41641.649305555555</v>
      </c>
      <c r="B292">
        <v>1800</v>
      </c>
      <c r="C292" s="7">
        <v>41640.021527777775</v>
      </c>
      <c r="D292" t="s">
        <v>22</v>
      </c>
      <c r="E292" t="s">
        <v>41</v>
      </c>
      <c r="F292" t="s">
        <v>138</v>
      </c>
      <c r="G292" s="9" t="s">
        <v>138</v>
      </c>
      <c r="J292">
        <v>0</v>
      </c>
      <c r="K292">
        <v>0</v>
      </c>
      <c r="M292">
        <v>256</v>
      </c>
    </row>
    <row r="293" spans="1:13" x14ac:dyDescent="0.3">
      <c r="A293">
        <v>41641.655555555553</v>
      </c>
      <c r="B293">
        <v>2280</v>
      </c>
      <c r="C293" s="7">
        <v>41640.043055555558</v>
      </c>
      <c r="D293" t="s">
        <v>211</v>
      </c>
      <c r="E293" t="s">
        <v>241</v>
      </c>
      <c r="F293" t="s">
        <v>138</v>
      </c>
      <c r="G293" s="9" t="s">
        <v>138</v>
      </c>
      <c r="J293">
        <v>0</v>
      </c>
      <c r="K293">
        <v>0</v>
      </c>
      <c r="M293">
        <v>273</v>
      </c>
    </row>
    <row r="294" spans="1:13" x14ac:dyDescent="0.3">
      <c r="A294">
        <v>41641.656944444447</v>
      </c>
      <c r="B294">
        <v>3180</v>
      </c>
      <c r="C294" s="7">
        <v>41640.036805555559</v>
      </c>
      <c r="D294" t="s">
        <v>67</v>
      </c>
      <c r="E294" t="s">
        <v>15</v>
      </c>
      <c r="F294" t="s">
        <v>138</v>
      </c>
      <c r="G294" s="9" t="s">
        <v>138</v>
      </c>
      <c r="J294">
        <v>0</v>
      </c>
      <c r="K294">
        <v>0</v>
      </c>
      <c r="M294">
        <v>277</v>
      </c>
    </row>
    <row r="295" spans="1:13" x14ac:dyDescent="0.3">
      <c r="A295">
        <v>41641.657638888886</v>
      </c>
      <c r="B295">
        <v>900</v>
      </c>
      <c r="C295" s="7">
        <v>41640.022222222222</v>
      </c>
      <c r="D295" t="s">
        <v>13</v>
      </c>
      <c r="E295" t="s">
        <v>195</v>
      </c>
      <c r="F295" t="s">
        <v>138</v>
      </c>
      <c r="G295" s="9" t="s">
        <v>138</v>
      </c>
      <c r="J295">
        <v>0</v>
      </c>
      <c r="K295">
        <v>0</v>
      </c>
      <c r="M295">
        <v>270</v>
      </c>
    </row>
    <row r="296" spans="1:13" x14ac:dyDescent="0.3">
      <c r="A296">
        <v>41641.660416666666</v>
      </c>
      <c r="B296">
        <v>1200</v>
      </c>
      <c r="C296" s="7">
        <v>41640.027777777781</v>
      </c>
      <c r="D296" t="s">
        <v>15</v>
      </c>
      <c r="E296" t="s">
        <v>237</v>
      </c>
      <c r="F296" t="s">
        <v>138</v>
      </c>
      <c r="G296" s="9" t="s">
        <v>138</v>
      </c>
      <c r="J296">
        <v>0</v>
      </c>
      <c r="K296">
        <v>0</v>
      </c>
      <c r="M296">
        <v>257</v>
      </c>
    </row>
    <row r="297" spans="1:13" x14ac:dyDescent="0.3">
      <c r="A297">
        <v>41641.663194444445</v>
      </c>
      <c r="B297">
        <v>2040</v>
      </c>
      <c r="C297" s="7">
        <v>41640.033333333333</v>
      </c>
      <c r="D297" t="s">
        <v>22</v>
      </c>
      <c r="E297" t="s">
        <v>147</v>
      </c>
      <c r="F297" t="s">
        <v>138</v>
      </c>
      <c r="G297" s="9" t="s">
        <v>138</v>
      </c>
      <c r="J297">
        <v>0</v>
      </c>
      <c r="K297">
        <v>0</v>
      </c>
      <c r="M297">
        <v>272</v>
      </c>
    </row>
    <row r="298" spans="1:13" x14ac:dyDescent="0.3">
      <c r="A298">
        <v>41641.666666666664</v>
      </c>
      <c r="B298">
        <v>2160</v>
      </c>
      <c r="C298" s="7">
        <v>41640.027777777781</v>
      </c>
      <c r="D298" t="s">
        <v>242</v>
      </c>
      <c r="E298" t="s">
        <v>30</v>
      </c>
      <c r="F298" t="s">
        <v>138</v>
      </c>
      <c r="G298" s="9" t="s">
        <v>138</v>
      </c>
      <c r="J298">
        <v>0</v>
      </c>
      <c r="K298">
        <v>0</v>
      </c>
      <c r="M298">
        <v>308</v>
      </c>
    </row>
    <row r="299" spans="1:13" x14ac:dyDescent="0.3">
      <c r="A299">
        <v>41641.680555555555</v>
      </c>
      <c r="B299">
        <v>2340</v>
      </c>
      <c r="C299" s="7">
        <v>41640.027777777781</v>
      </c>
      <c r="D299" t="s">
        <v>165</v>
      </c>
      <c r="E299" t="s">
        <v>13</v>
      </c>
      <c r="F299" t="s">
        <v>138</v>
      </c>
      <c r="G299" s="9" t="s">
        <v>138</v>
      </c>
      <c r="J299">
        <v>0</v>
      </c>
      <c r="K299">
        <v>0</v>
      </c>
      <c r="M299">
        <v>310</v>
      </c>
    </row>
    <row r="300" spans="1:13" x14ac:dyDescent="0.3">
      <c r="A300">
        <v>41641.686805555553</v>
      </c>
      <c r="B300">
        <v>780</v>
      </c>
      <c r="C300" s="7">
        <v>41640.01666666667</v>
      </c>
      <c r="D300" t="s">
        <v>30</v>
      </c>
      <c r="E300" t="s">
        <v>243</v>
      </c>
      <c r="F300" t="s">
        <v>138</v>
      </c>
      <c r="G300" s="9" t="s">
        <v>138</v>
      </c>
      <c r="J300">
        <v>0</v>
      </c>
      <c r="K300">
        <v>0</v>
      </c>
      <c r="M300">
        <v>300</v>
      </c>
    </row>
    <row r="301" spans="1:13" x14ac:dyDescent="0.3">
      <c r="A301">
        <v>41641.690972222219</v>
      </c>
      <c r="B301">
        <v>1560</v>
      </c>
      <c r="C301" s="7">
        <v>41640.027083333334</v>
      </c>
      <c r="D301" t="s">
        <v>244</v>
      </c>
      <c r="E301" t="s">
        <v>245</v>
      </c>
      <c r="F301" t="s">
        <v>138</v>
      </c>
      <c r="G301" s="9" t="s">
        <v>138</v>
      </c>
      <c r="J301">
        <v>0</v>
      </c>
      <c r="K301">
        <v>0</v>
      </c>
      <c r="M301">
        <v>301</v>
      </c>
    </row>
    <row r="302" spans="1:13" x14ac:dyDescent="0.3">
      <c r="A302">
        <v>41641.691666666666</v>
      </c>
      <c r="B302">
        <v>1260</v>
      </c>
      <c r="C302" s="7">
        <v>41640.017361111109</v>
      </c>
      <c r="D302" t="s">
        <v>246</v>
      </c>
      <c r="E302" t="s">
        <v>30</v>
      </c>
      <c r="F302" t="s">
        <v>138</v>
      </c>
      <c r="G302" s="9" t="s">
        <v>138</v>
      </c>
      <c r="J302">
        <v>0</v>
      </c>
      <c r="K302">
        <v>0</v>
      </c>
      <c r="M302">
        <v>307</v>
      </c>
    </row>
    <row r="303" spans="1:13" x14ac:dyDescent="0.3">
      <c r="A303">
        <v>41641.692361111112</v>
      </c>
      <c r="B303">
        <v>2100</v>
      </c>
      <c r="C303" s="7">
        <v>41640.03125</v>
      </c>
      <c r="D303" t="s">
        <v>4</v>
      </c>
      <c r="E303" t="s">
        <v>2</v>
      </c>
      <c r="F303" t="s">
        <v>138</v>
      </c>
      <c r="G303" s="9" t="s">
        <v>138</v>
      </c>
      <c r="J303">
        <v>0</v>
      </c>
      <c r="K303">
        <v>0</v>
      </c>
      <c r="M303">
        <v>297</v>
      </c>
    </row>
    <row r="304" spans="1:13" x14ac:dyDescent="0.3">
      <c r="A304">
        <v>41641.700694444444</v>
      </c>
      <c r="B304">
        <v>1380</v>
      </c>
      <c r="C304" s="7">
        <v>41640.01666666667</v>
      </c>
      <c r="D304" t="s">
        <v>15</v>
      </c>
      <c r="E304" t="s">
        <v>247</v>
      </c>
      <c r="F304" t="s">
        <v>138</v>
      </c>
      <c r="G304" s="9" t="s">
        <v>138</v>
      </c>
      <c r="J304">
        <v>0</v>
      </c>
      <c r="K304">
        <v>0</v>
      </c>
      <c r="M304">
        <v>311</v>
      </c>
    </row>
    <row r="305" spans="1:13" x14ac:dyDescent="0.3">
      <c r="A305">
        <v>41641.706250000003</v>
      </c>
      <c r="B305">
        <v>3120</v>
      </c>
      <c r="C305" s="7">
        <v>41640.048611111109</v>
      </c>
      <c r="D305" t="s">
        <v>34</v>
      </c>
      <c r="E305" t="s">
        <v>81</v>
      </c>
      <c r="F305" t="s">
        <v>138</v>
      </c>
      <c r="G305" s="9" t="s">
        <v>138</v>
      </c>
      <c r="J305">
        <v>0</v>
      </c>
      <c r="K305">
        <v>0</v>
      </c>
      <c r="M305">
        <v>302</v>
      </c>
    </row>
    <row r="306" spans="1:13" x14ac:dyDescent="0.3">
      <c r="A306">
        <v>41641.709027777775</v>
      </c>
      <c r="B306">
        <v>1020</v>
      </c>
      <c r="C306" s="7">
        <v>41640.025694444441</v>
      </c>
      <c r="D306" t="s">
        <v>30</v>
      </c>
      <c r="E306" t="s">
        <v>2</v>
      </c>
      <c r="F306" t="s">
        <v>138</v>
      </c>
      <c r="G306" s="9" t="s">
        <v>138</v>
      </c>
      <c r="J306">
        <v>0</v>
      </c>
      <c r="K306">
        <v>0</v>
      </c>
      <c r="M306">
        <v>304</v>
      </c>
    </row>
    <row r="307" spans="1:13" x14ac:dyDescent="0.3">
      <c r="A307">
        <v>41641.712500000001</v>
      </c>
      <c r="B307">
        <v>3000</v>
      </c>
      <c r="C307" s="7">
        <v>41640.035416666666</v>
      </c>
      <c r="D307" t="s">
        <v>30</v>
      </c>
      <c r="E307" t="s">
        <v>242</v>
      </c>
      <c r="F307" t="s">
        <v>138</v>
      </c>
      <c r="G307" s="9" t="s">
        <v>138</v>
      </c>
      <c r="J307">
        <v>0</v>
      </c>
      <c r="K307">
        <v>0</v>
      </c>
      <c r="M307">
        <v>309</v>
      </c>
    </row>
    <row r="308" spans="1:13" x14ac:dyDescent="0.3">
      <c r="A308">
        <v>41641.712500000001</v>
      </c>
      <c r="B308">
        <v>3240</v>
      </c>
      <c r="C308" s="7">
        <v>41640.037499999999</v>
      </c>
      <c r="D308" t="s">
        <v>13</v>
      </c>
      <c r="E308" t="s">
        <v>165</v>
      </c>
      <c r="F308" t="s">
        <v>138</v>
      </c>
      <c r="G308" s="9" t="s">
        <v>138</v>
      </c>
      <c r="J308">
        <v>0</v>
      </c>
      <c r="K308">
        <v>0</v>
      </c>
      <c r="M308">
        <v>298</v>
      </c>
    </row>
    <row r="309" spans="1:13" x14ac:dyDescent="0.3">
      <c r="A309">
        <v>41641.723611111112</v>
      </c>
      <c r="B309">
        <v>3360</v>
      </c>
      <c r="C309" s="7">
        <v>41640.043749999997</v>
      </c>
      <c r="D309" t="s">
        <v>248</v>
      </c>
      <c r="E309" t="s">
        <v>13</v>
      </c>
      <c r="F309" t="s">
        <v>138</v>
      </c>
      <c r="G309" s="9" t="s">
        <v>138</v>
      </c>
      <c r="J309">
        <v>0</v>
      </c>
      <c r="K309">
        <v>0</v>
      </c>
      <c r="M309">
        <v>305</v>
      </c>
    </row>
    <row r="310" spans="1:13" x14ac:dyDescent="0.3">
      <c r="A310">
        <v>41641.734722222223</v>
      </c>
      <c r="B310">
        <v>2700</v>
      </c>
      <c r="C310" s="7">
        <v>41640.04583333333</v>
      </c>
      <c r="D310" t="s">
        <v>30</v>
      </c>
      <c r="E310" t="s">
        <v>246</v>
      </c>
      <c r="F310" t="s">
        <v>138</v>
      </c>
      <c r="G310" s="9" t="s">
        <v>138</v>
      </c>
      <c r="J310">
        <v>0</v>
      </c>
      <c r="K310">
        <v>0</v>
      </c>
      <c r="M310">
        <v>296</v>
      </c>
    </row>
    <row r="311" spans="1:13" x14ac:dyDescent="0.3">
      <c r="A311">
        <v>41641.739583333336</v>
      </c>
      <c r="B311">
        <v>3360</v>
      </c>
      <c r="C311" s="7">
        <v>41640.040972222225</v>
      </c>
      <c r="D311" t="s">
        <v>249</v>
      </c>
      <c r="E311" t="s">
        <v>13</v>
      </c>
      <c r="F311" t="s">
        <v>138</v>
      </c>
      <c r="G311" s="9" t="s">
        <v>138</v>
      </c>
      <c r="J311">
        <v>0</v>
      </c>
      <c r="K311">
        <v>0</v>
      </c>
      <c r="M311">
        <v>313</v>
      </c>
    </row>
    <row r="312" spans="1:13" x14ac:dyDescent="0.3">
      <c r="A312">
        <v>41641.75</v>
      </c>
      <c r="B312">
        <v>540</v>
      </c>
      <c r="C312" s="7">
        <v>41640.011805555558</v>
      </c>
      <c r="D312" t="s">
        <v>98</v>
      </c>
      <c r="E312" t="s">
        <v>180</v>
      </c>
      <c r="F312" t="s">
        <v>138</v>
      </c>
      <c r="G312" s="9" t="s">
        <v>138</v>
      </c>
      <c r="J312">
        <v>0</v>
      </c>
      <c r="K312">
        <v>0</v>
      </c>
      <c r="M312">
        <v>299</v>
      </c>
    </row>
    <row r="313" spans="1:13" x14ac:dyDescent="0.3">
      <c r="A313">
        <v>41641.776388888888</v>
      </c>
      <c r="B313">
        <v>1560</v>
      </c>
      <c r="C313" s="7">
        <v>41640.027777777781</v>
      </c>
      <c r="D313" t="s">
        <v>13</v>
      </c>
      <c r="E313" t="s">
        <v>248</v>
      </c>
      <c r="F313" t="s">
        <v>138</v>
      </c>
      <c r="G313" s="9" t="s">
        <v>138</v>
      </c>
      <c r="J313">
        <v>0</v>
      </c>
      <c r="K313">
        <v>0</v>
      </c>
      <c r="M313">
        <v>306</v>
      </c>
    </row>
    <row r="314" spans="1:13" x14ac:dyDescent="0.3">
      <c r="A314">
        <v>41641.784722222219</v>
      </c>
      <c r="B314">
        <v>300</v>
      </c>
      <c r="C314" s="7">
        <v>41640.006944444445</v>
      </c>
      <c r="D314" t="s">
        <v>13</v>
      </c>
      <c r="E314" t="s">
        <v>249</v>
      </c>
      <c r="F314" t="s">
        <v>138</v>
      </c>
      <c r="G314" s="9" t="s">
        <v>138</v>
      </c>
      <c r="J314">
        <v>0</v>
      </c>
      <c r="K314">
        <v>0</v>
      </c>
      <c r="M314">
        <v>314</v>
      </c>
    </row>
    <row r="315" spans="1:13" x14ac:dyDescent="0.3">
      <c r="A315">
        <v>41641.790277777778</v>
      </c>
      <c r="B315">
        <v>540</v>
      </c>
      <c r="C315" s="7">
        <v>41640.015277777777</v>
      </c>
      <c r="D315" t="s">
        <v>68</v>
      </c>
      <c r="E315" t="s">
        <v>2</v>
      </c>
      <c r="F315" t="s">
        <v>138</v>
      </c>
      <c r="G315" s="9" t="s">
        <v>138</v>
      </c>
      <c r="J315">
        <v>0</v>
      </c>
      <c r="K315">
        <v>0</v>
      </c>
      <c r="M315">
        <v>312</v>
      </c>
    </row>
    <row r="316" spans="1:13" x14ac:dyDescent="0.3">
      <c r="A316">
        <v>41641.805555555555</v>
      </c>
      <c r="B316">
        <v>1380</v>
      </c>
      <c r="C316" s="7">
        <v>41640.023611111108</v>
      </c>
      <c r="D316" t="s">
        <v>195</v>
      </c>
      <c r="E316" t="s">
        <v>30</v>
      </c>
      <c r="F316" t="s">
        <v>138</v>
      </c>
      <c r="G316" s="9" t="s">
        <v>138</v>
      </c>
      <c r="J316">
        <v>0</v>
      </c>
      <c r="K316">
        <v>0</v>
      </c>
      <c r="M316">
        <v>303</v>
      </c>
    </row>
    <row r="317" spans="1:13" x14ac:dyDescent="0.3">
      <c r="A317">
        <v>41641.84097222222</v>
      </c>
      <c r="B317">
        <v>480</v>
      </c>
      <c r="C317" s="7">
        <v>41640.012499999997</v>
      </c>
      <c r="D317" t="s">
        <v>1</v>
      </c>
      <c r="E317" t="s">
        <v>46</v>
      </c>
      <c r="F317" t="s">
        <v>138</v>
      </c>
      <c r="G317" s="9" t="s">
        <v>138</v>
      </c>
      <c r="J317">
        <v>0</v>
      </c>
      <c r="K317">
        <v>0</v>
      </c>
      <c r="M317">
        <v>325</v>
      </c>
    </row>
    <row r="318" spans="1:13" x14ac:dyDescent="0.3">
      <c r="A318">
        <v>41641.841666666667</v>
      </c>
      <c r="B318">
        <v>2220</v>
      </c>
      <c r="C318" s="7">
        <v>41640.03402777778</v>
      </c>
      <c r="D318" t="s">
        <v>250</v>
      </c>
      <c r="E318" t="s">
        <v>39</v>
      </c>
      <c r="F318" t="s">
        <v>138</v>
      </c>
      <c r="G318" s="9" t="s">
        <v>138</v>
      </c>
      <c r="J318">
        <v>0</v>
      </c>
      <c r="K318">
        <v>0</v>
      </c>
      <c r="M318">
        <v>323</v>
      </c>
    </row>
    <row r="319" spans="1:13" x14ac:dyDescent="0.3">
      <c r="A319">
        <v>41641.84375</v>
      </c>
      <c r="B319">
        <v>1440</v>
      </c>
      <c r="C319" s="7">
        <v>41640.029166666667</v>
      </c>
      <c r="D319" t="s">
        <v>13</v>
      </c>
      <c r="E319" t="s">
        <v>128</v>
      </c>
      <c r="F319" t="s">
        <v>138</v>
      </c>
      <c r="G319" s="9" t="s">
        <v>138</v>
      </c>
      <c r="J319">
        <v>0</v>
      </c>
      <c r="K319">
        <v>0</v>
      </c>
      <c r="M319">
        <v>317</v>
      </c>
    </row>
    <row r="320" spans="1:13" x14ac:dyDescent="0.3">
      <c r="A320">
        <v>41641.856249999997</v>
      </c>
      <c r="B320">
        <v>1020</v>
      </c>
      <c r="C320" s="7">
        <v>41640.011805555558</v>
      </c>
      <c r="D320" t="s">
        <v>13</v>
      </c>
      <c r="E320" t="s">
        <v>75</v>
      </c>
      <c r="F320" t="s">
        <v>138</v>
      </c>
      <c r="G320" s="9" t="s">
        <v>138</v>
      </c>
      <c r="J320">
        <v>0</v>
      </c>
      <c r="K320">
        <v>0</v>
      </c>
      <c r="M320">
        <v>321</v>
      </c>
    </row>
    <row r="321" spans="1:13" x14ac:dyDescent="0.3">
      <c r="A321">
        <v>41641.881944444445</v>
      </c>
      <c r="B321">
        <v>1620</v>
      </c>
      <c r="C321" s="7">
        <v>41640.018750000003</v>
      </c>
      <c r="D321" t="s">
        <v>251</v>
      </c>
      <c r="E321" t="s">
        <v>13</v>
      </c>
      <c r="F321" t="s">
        <v>138</v>
      </c>
      <c r="G321" s="9" t="s">
        <v>138</v>
      </c>
      <c r="J321">
        <v>0</v>
      </c>
      <c r="K321">
        <v>0</v>
      </c>
      <c r="M321">
        <v>318</v>
      </c>
    </row>
    <row r="322" spans="1:13" x14ac:dyDescent="0.3">
      <c r="A322">
        <v>41641.893750000003</v>
      </c>
      <c r="B322">
        <v>1860</v>
      </c>
      <c r="C322" s="7">
        <v>41640.036805555559</v>
      </c>
      <c r="D322" t="s">
        <v>95</v>
      </c>
      <c r="E322" t="s">
        <v>46</v>
      </c>
      <c r="F322" t="s">
        <v>138</v>
      </c>
      <c r="G322" s="9" t="s">
        <v>138</v>
      </c>
      <c r="J322">
        <v>0</v>
      </c>
      <c r="K322">
        <v>0</v>
      </c>
      <c r="M322">
        <v>319</v>
      </c>
    </row>
    <row r="323" spans="1:13" x14ac:dyDescent="0.3">
      <c r="A323">
        <v>41641.90347222222</v>
      </c>
      <c r="B323">
        <v>2520</v>
      </c>
      <c r="C323" s="7">
        <v>41640.04583333333</v>
      </c>
      <c r="D323" t="s">
        <v>13</v>
      </c>
      <c r="E323" t="s">
        <v>251</v>
      </c>
      <c r="F323" t="s">
        <v>138</v>
      </c>
      <c r="G323" s="9" t="s">
        <v>138</v>
      </c>
      <c r="J323">
        <v>0</v>
      </c>
      <c r="K323">
        <v>0</v>
      </c>
      <c r="M323">
        <v>322</v>
      </c>
    </row>
    <row r="324" spans="1:13" x14ac:dyDescent="0.3">
      <c r="A324">
        <v>41641.931944444441</v>
      </c>
      <c r="B324">
        <v>1380</v>
      </c>
      <c r="C324" s="7">
        <v>41640.015972222223</v>
      </c>
      <c r="D324" t="s">
        <v>252</v>
      </c>
      <c r="E324" t="s">
        <v>13</v>
      </c>
      <c r="F324" t="s">
        <v>138</v>
      </c>
      <c r="G324" s="9" t="s">
        <v>138</v>
      </c>
      <c r="J324">
        <v>0</v>
      </c>
      <c r="K324">
        <v>0</v>
      </c>
      <c r="M324">
        <v>324</v>
      </c>
    </row>
    <row r="325" spans="1:13" x14ac:dyDescent="0.3">
      <c r="A325">
        <v>41641.947916666664</v>
      </c>
      <c r="B325">
        <v>1560</v>
      </c>
      <c r="C325" s="7">
        <v>41640.018055555556</v>
      </c>
      <c r="D325" t="s">
        <v>13</v>
      </c>
      <c r="E325" t="s">
        <v>252</v>
      </c>
      <c r="F325" t="s">
        <v>138</v>
      </c>
      <c r="G325" s="9" t="s">
        <v>138</v>
      </c>
      <c r="J325">
        <v>0</v>
      </c>
      <c r="K325">
        <v>0</v>
      </c>
      <c r="M325">
        <v>315</v>
      </c>
    </row>
    <row r="326" spans="1:13" x14ac:dyDescent="0.3">
      <c r="A326">
        <v>41641.963888888888</v>
      </c>
      <c r="B326">
        <v>1560</v>
      </c>
      <c r="C326" s="7">
        <v>41640.018055555556</v>
      </c>
      <c r="D326" t="s">
        <v>158</v>
      </c>
      <c r="E326" t="s">
        <v>253</v>
      </c>
      <c r="F326" t="s">
        <v>138</v>
      </c>
      <c r="G326" s="9" t="s">
        <v>138</v>
      </c>
      <c r="J326">
        <v>0</v>
      </c>
      <c r="K326">
        <v>0</v>
      </c>
      <c r="M326">
        <v>320</v>
      </c>
    </row>
    <row r="327" spans="1:13" x14ac:dyDescent="0.3">
      <c r="A327">
        <v>41641.970138888886</v>
      </c>
      <c r="B327">
        <v>1980</v>
      </c>
      <c r="C327" s="7">
        <v>41640.022916666669</v>
      </c>
      <c r="D327" t="s">
        <v>95</v>
      </c>
      <c r="E327" t="s">
        <v>39</v>
      </c>
      <c r="F327" t="s">
        <v>138</v>
      </c>
      <c r="G327" s="9" t="s">
        <v>138</v>
      </c>
      <c r="J327">
        <v>0</v>
      </c>
      <c r="K327">
        <v>0</v>
      </c>
      <c r="M327">
        <v>316</v>
      </c>
    </row>
    <row r="328" spans="1:13" x14ac:dyDescent="0.3">
      <c r="A328">
        <v>41642.013194444444</v>
      </c>
      <c r="B328">
        <v>3240</v>
      </c>
      <c r="C328" s="7">
        <v>41640.037499999999</v>
      </c>
      <c r="D328" t="s">
        <v>254</v>
      </c>
      <c r="E328" t="s">
        <v>24</v>
      </c>
      <c r="F328" t="s">
        <v>138</v>
      </c>
      <c r="G328" s="9" t="s">
        <v>138</v>
      </c>
      <c r="J328">
        <v>0</v>
      </c>
      <c r="K328">
        <v>0</v>
      </c>
      <c r="M328">
        <v>326</v>
      </c>
    </row>
    <row r="329" spans="1:13" x14ac:dyDescent="0.3">
      <c r="A329">
        <v>41642.037499999999</v>
      </c>
      <c r="B329">
        <v>1980</v>
      </c>
      <c r="C329" s="7">
        <v>41640.022916666669</v>
      </c>
      <c r="D329" t="s">
        <v>96</v>
      </c>
      <c r="E329" t="s">
        <v>2</v>
      </c>
      <c r="F329" t="s">
        <v>138</v>
      </c>
      <c r="G329" s="9" t="s">
        <v>138</v>
      </c>
      <c r="J329">
        <v>0</v>
      </c>
      <c r="K329">
        <v>0</v>
      </c>
      <c r="M329">
        <v>328</v>
      </c>
    </row>
    <row r="330" spans="1:13" x14ac:dyDescent="0.3">
      <c r="A330">
        <v>41642.056250000001</v>
      </c>
      <c r="B330">
        <v>1200</v>
      </c>
      <c r="C330" s="7">
        <v>41640.01666666667</v>
      </c>
      <c r="D330" t="s">
        <v>38</v>
      </c>
      <c r="E330" t="s">
        <v>2</v>
      </c>
      <c r="F330" t="s">
        <v>138</v>
      </c>
      <c r="G330" s="9" t="s">
        <v>138</v>
      </c>
      <c r="J330">
        <v>0</v>
      </c>
      <c r="K330">
        <v>0</v>
      </c>
      <c r="M330">
        <v>327</v>
      </c>
    </row>
    <row r="331" spans="1:13" x14ac:dyDescent="0.3">
      <c r="A331">
        <v>41642.225694444445</v>
      </c>
      <c r="B331">
        <v>3600</v>
      </c>
      <c r="C331" s="7">
        <v>41640.042361111111</v>
      </c>
      <c r="D331" t="s">
        <v>62</v>
      </c>
      <c r="E331" t="s">
        <v>17</v>
      </c>
      <c r="F331" t="s">
        <v>138</v>
      </c>
      <c r="G331" s="9" t="s">
        <v>138</v>
      </c>
      <c r="J331">
        <v>0</v>
      </c>
      <c r="K331">
        <v>0</v>
      </c>
      <c r="M331">
        <v>333</v>
      </c>
    </row>
    <row r="332" spans="1:13" x14ac:dyDescent="0.3">
      <c r="A332">
        <v>41642.263888888891</v>
      </c>
      <c r="B332">
        <v>2460</v>
      </c>
      <c r="C332" s="7">
        <v>41640.031944444447</v>
      </c>
      <c r="D332" t="s">
        <v>220</v>
      </c>
      <c r="E332" t="s">
        <v>30</v>
      </c>
      <c r="F332" t="s">
        <v>138</v>
      </c>
      <c r="G332" s="9" t="s">
        <v>138</v>
      </c>
      <c r="J332">
        <v>0</v>
      </c>
      <c r="K332">
        <v>0</v>
      </c>
      <c r="M332">
        <v>342</v>
      </c>
    </row>
    <row r="333" spans="1:13" x14ac:dyDescent="0.3">
      <c r="A333">
        <v>41642.26666666667</v>
      </c>
      <c r="B333">
        <v>1920</v>
      </c>
      <c r="C333" s="7">
        <v>41640.025000000001</v>
      </c>
      <c r="D333" t="s">
        <v>255</v>
      </c>
      <c r="E333" t="s">
        <v>256</v>
      </c>
      <c r="F333" t="s">
        <v>138</v>
      </c>
      <c r="G333" s="9" t="s">
        <v>138</v>
      </c>
      <c r="J333">
        <v>0</v>
      </c>
      <c r="K333">
        <v>0</v>
      </c>
      <c r="M333">
        <v>334</v>
      </c>
    </row>
    <row r="334" spans="1:13" x14ac:dyDescent="0.3">
      <c r="A334">
        <v>41642.288194444445</v>
      </c>
      <c r="B334">
        <v>2700</v>
      </c>
      <c r="C334" s="7">
        <v>41640.031944444447</v>
      </c>
      <c r="D334" t="s">
        <v>19</v>
      </c>
      <c r="E334" t="s">
        <v>10</v>
      </c>
      <c r="F334" t="s">
        <v>138</v>
      </c>
      <c r="G334" s="9" t="s">
        <v>138</v>
      </c>
      <c r="J334">
        <v>0</v>
      </c>
      <c r="K334">
        <v>0</v>
      </c>
      <c r="M334">
        <v>337</v>
      </c>
    </row>
    <row r="335" spans="1:13" x14ac:dyDescent="0.3">
      <c r="A335">
        <v>41642.290277777778</v>
      </c>
      <c r="B335">
        <v>1020</v>
      </c>
      <c r="C335" s="7">
        <v>41640.013888888891</v>
      </c>
      <c r="D335" t="s">
        <v>38</v>
      </c>
      <c r="E335" t="s">
        <v>10</v>
      </c>
      <c r="F335" t="s">
        <v>138</v>
      </c>
      <c r="G335" s="9" t="s">
        <v>138</v>
      </c>
      <c r="J335">
        <v>0</v>
      </c>
      <c r="K335">
        <v>0</v>
      </c>
      <c r="M335">
        <v>340</v>
      </c>
    </row>
    <row r="336" spans="1:13" x14ac:dyDescent="0.3">
      <c r="A336">
        <v>41642.298611111109</v>
      </c>
      <c r="B336">
        <v>2400</v>
      </c>
      <c r="C336" s="7">
        <v>41640.030555555553</v>
      </c>
      <c r="D336" t="s">
        <v>257</v>
      </c>
      <c r="E336" t="s">
        <v>13</v>
      </c>
      <c r="F336" t="s">
        <v>138</v>
      </c>
      <c r="G336" s="9" t="s">
        <v>138</v>
      </c>
      <c r="J336">
        <v>0</v>
      </c>
      <c r="K336">
        <v>0</v>
      </c>
      <c r="M336">
        <v>341</v>
      </c>
    </row>
    <row r="337" spans="1:13" x14ac:dyDescent="0.3">
      <c r="A337">
        <v>41642.305555555555</v>
      </c>
      <c r="B337">
        <v>1440</v>
      </c>
      <c r="C337" s="7">
        <v>41640.020833333336</v>
      </c>
      <c r="D337" t="s">
        <v>258</v>
      </c>
      <c r="E337" t="s">
        <v>161</v>
      </c>
      <c r="F337" t="s">
        <v>138</v>
      </c>
      <c r="G337" s="9" t="s">
        <v>138</v>
      </c>
      <c r="J337">
        <v>0</v>
      </c>
      <c r="K337">
        <v>0</v>
      </c>
      <c r="M337">
        <v>332</v>
      </c>
    </row>
    <row r="338" spans="1:13" x14ac:dyDescent="0.3">
      <c r="A338">
        <v>41642.305555555555</v>
      </c>
      <c r="B338">
        <v>1980</v>
      </c>
      <c r="C338" s="7">
        <v>41640.033333333333</v>
      </c>
      <c r="D338" t="s">
        <v>259</v>
      </c>
      <c r="E338" t="s">
        <v>79</v>
      </c>
      <c r="F338" t="s">
        <v>138</v>
      </c>
      <c r="G338" s="9" t="s">
        <v>138</v>
      </c>
      <c r="J338">
        <v>0</v>
      </c>
      <c r="K338">
        <v>0</v>
      </c>
      <c r="M338">
        <v>331</v>
      </c>
    </row>
    <row r="339" spans="1:13" x14ac:dyDescent="0.3">
      <c r="A339">
        <v>41642.3125</v>
      </c>
      <c r="B339">
        <v>1620</v>
      </c>
      <c r="C339" s="7">
        <v>41640.018750000003</v>
      </c>
      <c r="D339" t="s">
        <v>260</v>
      </c>
      <c r="E339" t="s">
        <v>13</v>
      </c>
      <c r="F339" t="s">
        <v>138</v>
      </c>
      <c r="G339" s="9" t="s">
        <v>138</v>
      </c>
      <c r="J339">
        <v>0</v>
      </c>
      <c r="K339">
        <v>0</v>
      </c>
      <c r="M339">
        <v>336</v>
      </c>
    </row>
    <row r="340" spans="1:13" x14ac:dyDescent="0.3">
      <c r="A340">
        <v>41642.315972222219</v>
      </c>
      <c r="B340">
        <v>2940</v>
      </c>
      <c r="C340" s="7">
        <v>41640.03402777778</v>
      </c>
      <c r="D340" t="s">
        <v>261</v>
      </c>
      <c r="E340" t="s">
        <v>179</v>
      </c>
      <c r="F340" t="s">
        <v>138</v>
      </c>
      <c r="G340" s="9" t="s">
        <v>138</v>
      </c>
      <c r="J340">
        <v>0</v>
      </c>
      <c r="K340">
        <v>0</v>
      </c>
      <c r="M340">
        <v>343</v>
      </c>
    </row>
    <row r="341" spans="1:13" x14ac:dyDescent="0.3">
      <c r="A341">
        <v>41642.315972222219</v>
      </c>
      <c r="B341">
        <v>2100</v>
      </c>
      <c r="C341" s="7">
        <v>41640.025000000001</v>
      </c>
      <c r="D341" t="s">
        <v>52</v>
      </c>
      <c r="E341" t="s">
        <v>10</v>
      </c>
      <c r="F341" t="s">
        <v>138</v>
      </c>
      <c r="G341" s="9" t="s">
        <v>138</v>
      </c>
      <c r="J341">
        <v>0</v>
      </c>
      <c r="K341">
        <v>0</v>
      </c>
      <c r="M341">
        <v>335</v>
      </c>
    </row>
    <row r="342" spans="1:13" x14ac:dyDescent="0.3">
      <c r="A342">
        <v>41642.324305555558</v>
      </c>
      <c r="B342">
        <v>2040</v>
      </c>
      <c r="C342" s="7">
        <v>41640.02847222222</v>
      </c>
      <c r="D342" t="s">
        <v>10</v>
      </c>
      <c r="E342" t="s">
        <v>262</v>
      </c>
      <c r="F342" t="s">
        <v>138</v>
      </c>
      <c r="G342" s="9" t="s">
        <v>138</v>
      </c>
      <c r="J342">
        <v>0</v>
      </c>
      <c r="K342">
        <v>0</v>
      </c>
      <c r="M342">
        <v>338</v>
      </c>
    </row>
    <row r="343" spans="1:13" x14ac:dyDescent="0.3">
      <c r="A343">
        <v>41642.326388888891</v>
      </c>
      <c r="B343">
        <v>2340</v>
      </c>
      <c r="C343" s="7">
        <v>41640.029166666667</v>
      </c>
      <c r="D343" t="s">
        <v>35</v>
      </c>
      <c r="E343" t="s">
        <v>22</v>
      </c>
      <c r="F343" t="s">
        <v>138</v>
      </c>
      <c r="G343" s="9" t="s">
        <v>138</v>
      </c>
      <c r="J343">
        <v>0</v>
      </c>
      <c r="K343">
        <v>0</v>
      </c>
      <c r="M343">
        <v>339</v>
      </c>
    </row>
    <row r="344" spans="1:13" x14ac:dyDescent="0.3">
      <c r="A344">
        <v>41642.326388888891</v>
      </c>
      <c r="B344">
        <v>3300</v>
      </c>
      <c r="C344" s="7">
        <v>41640.040277777778</v>
      </c>
      <c r="D344" t="s">
        <v>263</v>
      </c>
      <c r="E344" t="s">
        <v>13</v>
      </c>
      <c r="F344" t="s">
        <v>138</v>
      </c>
      <c r="G344" s="9" t="s">
        <v>138</v>
      </c>
      <c r="J344">
        <v>0</v>
      </c>
      <c r="K344">
        <v>0</v>
      </c>
      <c r="M344">
        <v>330</v>
      </c>
    </row>
    <row r="345" spans="1:13" x14ac:dyDescent="0.3">
      <c r="A345">
        <v>41642.32916666667</v>
      </c>
      <c r="B345">
        <v>2160</v>
      </c>
      <c r="C345" s="7">
        <v>41640.025000000001</v>
      </c>
      <c r="D345" t="s">
        <v>10</v>
      </c>
      <c r="E345" t="s">
        <v>19</v>
      </c>
      <c r="F345" t="s">
        <v>138</v>
      </c>
      <c r="G345" s="9" t="s">
        <v>138</v>
      </c>
      <c r="J345">
        <v>0</v>
      </c>
      <c r="K345">
        <v>0</v>
      </c>
      <c r="M345">
        <v>329</v>
      </c>
    </row>
    <row r="346" spans="1:13" x14ac:dyDescent="0.3">
      <c r="A346">
        <v>41642.333333333336</v>
      </c>
      <c r="B346">
        <v>1200</v>
      </c>
      <c r="C346" s="7">
        <v>41640.015972222223</v>
      </c>
      <c r="D346" t="s">
        <v>209</v>
      </c>
      <c r="E346" t="s">
        <v>13</v>
      </c>
      <c r="F346" t="s">
        <v>138</v>
      </c>
      <c r="G346" s="9" t="s">
        <v>138</v>
      </c>
      <c r="J346">
        <v>0</v>
      </c>
      <c r="K346">
        <v>0</v>
      </c>
      <c r="M346">
        <v>385</v>
      </c>
    </row>
    <row r="347" spans="1:13" x14ac:dyDescent="0.3">
      <c r="A347">
        <v>41642.335416666669</v>
      </c>
      <c r="B347">
        <v>1440</v>
      </c>
      <c r="C347" s="7">
        <v>41640.017361111109</v>
      </c>
      <c r="D347" t="s">
        <v>13</v>
      </c>
      <c r="E347" t="s">
        <v>53</v>
      </c>
      <c r="F347" t="s">
        <v>138</v>
      </c>
      <c r="G347" s="9" t="s">
        <v>138</v>
      </c>
      <c r="J347">
        <v>0</v>
      </c>
      <c r="K347">
        <v>0</v>
      </c>
      <c r="M347">
        <v>382</v>
      </c>
    </row>
    <row r="348" spans="1:13" x14ac:dyDescent="0.3">
      <c r="A348">
        <v>41642.335416666669</v>
      </c>
      <c r="B348">
        <v>900</v>
      </c>
      <c r="C348" s="7">
        <v>41640.013888888891</v>
      </c>
      <c r="D348" t="s">
        <v>22</v>
      </c>
      <c r="E348" t="s">
        <v>264</v>
      </c>
      <c r="F348" t="s">
        <v>138</v>
      </c>
      <c r="G348" s="9" t="s">
        <v>138</v>
      </c>
      <c r="J348">
        <v>0</v>
      </c>
      <c r="K348">
        <v>0</v>
      </c>
      <c r="M348">
        <v>359</v>
      </c>
    </row>
    <row r="349" spans="1:13" x14ac:dyDescent="0.3">
      <c r="A349">
        <v>41642.336805555555</v>
      </c>
      <c r="B349">
        <v>2220</v>
      </c>
      <c r="C349" s="7">
        <v>41640.026388888888</v>
      </c>
      <c r="D349" t="s">
        <v>207</v>
      </c>
      <c r="E349" t="s">
        <v>30</v>
      </c>
      <c r="F349" t="s">
        <v>138</v>
      </c>
      <c r="G349" s="9" t="s">
        <v>138</v>
      </c>
      <c r="J349">
        <v>0</v>
      </c>
      <c r="K349">
        <v>0</v>
      </c>
      <c r="M349">
        <v>398</v>
      </c>
    </row>
    <row r="350" spans="1:13" x14ac:dyDescent="0.3">
      <c r="A350">
        <v>41642.339583333334</v>
      </c>
      <c r="B350">
        <v>720</v>
      </c>
      <c r="C350" s="7">
        <v>41640.009027777778</v>
      </c>
      <c r="D350" t="s">
        <v>22</v>
      </c>
      <c r="E350" t="s">
        <v>73</v>
      </c>
      <c r="F350" t="s">
        <v>138</v>
      </c>
      <c r="G350" s="9" t="s">
        <v>138</v>
      </c>
      <c r="J350">
        <v>0</v>
      </c>
      <c r="K350">
        <v>0</v>
      </c>
      <c r="M350">
        <v>404</v>
      </c>
    </row>
    <row r="351" spans="1:13" x14ac:dyDescent="0.3">
      <c r="A351">
        <v>41642.34097222222</v>
      </c>
      <c r="B351">
        <v>900</v>
      </c>
      <c r="C351" s="7">
        <v>41640.015277777777</v>
      </c>
      <c r="D351" t="s">
        <v>10</v>
      </c>
      <c r="E351" t="s">
        <v>38</v>
      </c>
      <c r="F351" t="s">
        <v>138</v>
      </c>
      <c r="G351" s="9" t="s">
        <v>138</v>
      </c>
      <c r="J351">
        <v>0</v>
      </c>
      <c r="K351">
        <v>0</v>
      </c>
      <c r="M351">
        <v>409</v>
      </c>
    </row>
    <row r="352" spans="1:13" x14ac:dyDescent="0.3">
      <c r="A352">
        <v>41642.341666666667</v>
      </c>
      <c r="B352">
        <v>1320</v>
      </c>
      <c r="C352" s="7">
        <v>41640.023611111108</v>
      </c>
      <c r="D352" t="s">
        <v>13</v>
      </c>
      <c r="E352" t="s">
        <v>218</v>
      </c>
      <c r="F352" t="s">
        <v>138</v>
      </c>
      <c r="G352" s="9" t="s">
        <v>138</v>
      </c>
      <c r="J352">
        <v>0</v>
      </c>
      <c r="K352">
        <v>0</v>
      </c>
      <c r="M352">
        <v>384</v>
      </c>
    </row>
    <row r="353" spans="1:13" x14ac:dyDescent="0.3">
      <c r="A353">
        <v>41642.345833333333</v>
      </c>
      <c r="B353">
        <v>660</v>
      </c>
      <c r="C353" s="7">
        <v>41640.01458333333</v>
      </c>
      <c r="D353" t="s">
        <v>10</v>
      </c>
      <c r="E353" t="s">
        <v>70</v>
      </c>
      <c r="F353" t="s">
        <v>138</v>
      </c>
      <c r="G353" s="9" t="s">
        <v>138</v>
      </c>
      <c r="J353">
        <v>0</v>
      </c>
      <c r="K353">
        <v>0</v>
      </c>
      <c r="M353">
        <v>360</v>
      </c>
    </row>
    <row r="354" spans="1:13" x14ac:dyDescent="0.3">
      <c r="A354">
        <v>41642.347222222219</v>
      </c>
      <c r="B354">
        <v>1140</v>
      </c>
      <c r="C354" s="7">
        <v>41640.015972222223</v>
      </c>
      <c r="D354" t="s">
        <v>158</v>
      </c>
      <c r="E354" t="s">
        <v>8</v>
      </c>
      <c r="F354" t="s">
        <v>138</v>
      </c>
      <c r="G354" s="9" t="s">
        <v>138</v>
      </c>
      <c r="J354">
        <v>0</v>
      </c>
      <c r="K354">
        <v>0</v>
      </c>
      <c r="M354">
        <v>405</v>
      </c>
    </row>
    <row r="355" spans="1:13" x14ac:dyDescent="0.3">
      <c r="A355">
        <v>41642.347222222219</v>
      </c>
      <c r="B355">
        <v>2100</v>
      </c>
      <c r="C355" s="7">
        <v>41640.02847222222</v>
      </c>
      <c r="D355" t="s">
        <v>265</v>
      </c>
      <c r="E355" t="s">
        <v>22</v>
      </c>
      <c r="F355" t="s">
        <v>138</v>
      </c>
      <c r="G355" s="9" t="s">
        <v>138</v>
      </c>
      <c r="J355">
        <v>0</v>
      </c>
      <c r="K355">
        <v>0</v>
      </c>
      <c r="M355">
        <v>369</v>
      </c>
    </row>
    <row r="356" spans="1:13" x14ac:dyDescent="0.3">
      <c r="A356">
        <v>41642.347916666666</v>
      </c>
      <c r="B356">
        <v>1920</v>
      </c>
      <c r="C356" s="7">
        <v>41640.022222222222</v>
      </c>
      <c r="D356" t="s">
        <v>3</v>
      </c>
      <c r="E356" t="s">
        <v>40</v>
      </c>
      <c r="F356" t="s">
        <v>138</v>
      </c>
      <c r="G356" s="9" t="s">
        <v>138</v>
      </c>
      <c r="J356">
        <v>0</v>
      </c>
      <c r="K356">
        <v>0</v>
      </c>
      <c r="M356">
        <v>381</v>
      </c>
    </row>
    <row r="357" spans="1:13" x14ac:dyDescent="0.3">
      <c r="A357">
        <v>41642.352777777778</v>
      </c>
      <c r="B357">
        <v>1260</v>
      </c>
      <c r="C357" s="7">
        <v>41640.015972222223</v>
      </c>
      <c r="D357" t="s">
        <v>13</v>
      </c>
      <c r="E357" t="s">
        <v>209</v>
      </c>
      <c r="F357" t="s">
        <v>138</v>
      </c>
      <c r="G357" s="9" t="s">
        <v>138</v>
      </c>
      <c r="J357">
        <v>0</v>
      </c>
      <c r="K357">
        <v>0</v>
      </c>
      <c r="M357">
        <v>410</v>
      </c>
    </row>
    <row r="358" spans="1:13" x14ac:dyDescent="0.3">
      <c r="A358">
        <v>41642.353472222225</v>
      </c>
      <c r="B358">
        <v>1980</v>
      </c>
      <c r="C358" s="7">
        <v>41640.036111111112</v>
      </c>
      <c r="D358" t="s">
        <v>203</v>
      </c>
      <c r="E358" t="s">
        <v>216</v>
      </c>
      <c r="F358" t="s">
        <v>138</v>
      </c>
      <c r="G358" s="9" t="s">
        <v>138</v>
      </c>
      <c r="J358">
        <v>0</v>
      </c>
      <c r="K358">
        <v>0</v>
      </c>
      <c r="M358">
        <v>365</v>
      </c>
    </row>
    <row r="359" spans="1:13" x14ac:dyDescent="0.3">
      <c r="A359">
        <v>41642.354861111111</v>
      </c>
      <c r="B359">
        <v>360</v>
      </c>
      <c r="C359" s="7">
        <v>41640.006944444445</v>
      </c>
      <c r="D359" t="s">
        <v>1</v>
      </c>
      <c r="E359" t="s">
        <v>10</v>
      </c>
      <c r="F359" t="s">
        <v>138</v>
      </c>
      <c r="G359" s="9" t="s">
        <v>138</v>
      </c>
      <c r="J359">
        <v>0</v>
      </c>
      <c r="K359">
        <v>0</v>
      </c>
      <c r="M359">
        <v>422</v>
      </c>
    </row>
    <row r="360" spans="1:13" x14ac:dyDescent="0.3">
      <c r="A360">
        <v>41642.354861111111</v>
      </c>
      <c r="B360">
        <v>1080</v>
      </c>
      <c r="C360" s="7">
        <v>41640.01458333333</v>
      </c>
      <c r="D360" t="s">
        <v>220</v>
      </c>
      <c r="E360" t="s">
        <v>13</v>
      </c>
      <c r="F360" t="s">
        <v>138</v>
      </c>
      <c r="G360" s="9" t="s">
        <v>138</v>
      </c>
      <c r="J360">
        <v>0</v>
      </c>
      <c r="K360">
        <v>0</v>
      </c>
      <c r="M360">
        <v>354</v>
      </c>
    </row>
    <row r="361" spans="1:13" x14ac:dyDescent="0.3">
      <c r="A361">
        <v>41642.35833333333</v>
      </c>
      <c r="B361">
        <v>2220</v>
      </c>
      <c r="C361" s="7">
        <v>41640.025694444441</v>
      </c>
      <c r="D361" t="s">
        <v>266</v>
      </c>
      <c r="E361" t="s">
        <v>7</v>
      </c>
      <c r="F361" t="s">
        <v>138</v>
      </c>
      <c r="G361" s="9" t="s">
        <v>138</v>
      </c>
      <c r="J361">
        <v>0</v>
      </c>
      <c r="K361">
        <v>0</v>
      </c>
      <c r="M361">
        <v>428</v>
      </c>
    </row>
    <row r="362" spans="1:13" x14ac:dyDescent="0.3">
      <c r="A362">
        <v>41642.361111111109</v>
      </c>
      <c r="B362">
        <v>1980</v>
      </c>
      <c r="C362" s="7">
        <v>41640.023611111108</v>
      </c>
      <c r="D362" t="s">
        <v>13</v>
      </c>
      <c r="E362" t="s">
        <v>73</v>
      </c>
      <c r="F362" t="s">
        <v>138</v>
      </c>
      <c r="G362" s="9" t="s">
        <v>138</v>
      </c>
      <c r="J362">
        <v>0</v>
      </c>
      <c r="K362">
        <v>0</v>
      </c>
      <c r="M362">
        <v>350</v>
      </c>
    </row>
    <row r="363" spans="1:13" x14ac:dyDescent="0.3">
      <c r="A363">
        <v>41642.361805555556</v>
      </c>
      <c r="B363">
        <v>1080</v>
      </c>
      <c r="C363" s="7">
        <v>41640.013194444444</v>
      </c>
      <c r="D363" t="s">
        <v>8</v>
      </c>
      <c r="E363" t="s">
        <v>130</v>
      </c>
      <c r="F363" t="s">
        <v>138</v>
      </c>
      <c r="G363" s="9" t="s">
        <v>138</v>
      </c>
      <c r="J363">
        <v>0</v>
      </c>
      <c r="K363">
        <v>0</v>
      </c>
      <c r="M363">
        <v>407</v>
      </c>
    </row>
    <row r="364" spans="1:13" x14ac:dyDescent="0.3">
      <c r="A364">
        <v>41642.362500000003</v>
      </c>
      <c r="B364">
        <v>1860</v>
      </c>
      <c r="C364" s="7">
        <v>41640.026388888888</v>
      </c>
      <c r="D364" t="s">
        <v>264</v>
      </c>
      <c r="E364" t="s">
        <v>40</v>
      </c>
      <c r="F364" t="s">
        <v>138</v>
      </c>
      <c r="G364" s="9" t="s">
        <v>138</v>
      </c>
      <c r="J364">
        <v>0</v>
      </c>
      <c r="K364">
        <v>0</v>
      </c>
      <c r="M364">
        <v>402</v>
      </c>
    </row>
    <row r="365" spans="1:13" x14ac:dyDescent="0.3">
      <c r="A365">
        <v>41642.363194444442</v>
      </c>
      <c r="B365">
        <v>1500</v>
      </c>
      <c r="C365" s="7">
        <v>41640.018055555556</v>
      </c>
      <c r="D365" t="s">
        <v>15</v>
      </c>
      <c r="E365" t="s">
        <v>33</v>
      </c>
      <c r="F365" t="s">
        <v>138</v>
      </c>
      <c r="G365" s="9" t="s">
        <v>138</v>
      </c>
      <c r="J365">
        <v>0</v>
      </c>
      <c r="K365">
        <v>0</v>
      </c>
      <c r="M365">
        <v>377</v>
      </c>
    </row>
    <row r="366" spans="1:13" x14ac:dyDescent="0.3">
      <c r="A366">
        <v>41642.363888888889</v>
      </c>
      <c r="B366">
        <v>1740</v>
      </c>
      <c r="C366" s="7">
        <v>41640.023611111108</v>
      </c>
      <c r="D366" t="s">
        <v>90</v>
      </c>
      <c r="E366" t="s">
        <v>10</v>
      </c>
      <c r="F366" t="s">
        <v>138</v>
      </c>
      <c r="G366" s="9" t="s">
        <v>138</v>
      </c>
      <c r="J366">
        <v>0</v>
      </c>
      <c r="K366">
        <v>0</v>
      </c>
      <c r="M366">
        <v>390</v>
      </c>
    </row>
    <row r="367" spans="1:13" x14ac:dyDescent="0.3">
      <c r="A367">
        <v>41642.368055555555</v>
      </c>
      <c r="B367">
        <v>2040</v>
      </c>
      <c r="C367" s="7">
        <v>41640.023611111108</v>
      </c>
      <c r="D367" t="s">
        <v>97</v>
      </c>
      <c r="E367" t="s">
        <v>30</v>
      </c>
      <c r="F367" t="s">
        <v>138</v>
      </c>
      <c r="G367" s="9" t="s">
        <v>138</v>
      </c>
      <c r="J367">
        <v>0</v>
      </c>
      <c r="K367">
        <v>0</v>
      </c>
      <c r="M367">
        <v>427</v>
      </c>
    </row>
    <row r="368" spans="1:13" x14ac:dyDescent="0.3">
      <c r="A368">
        <v>41642.377083333333</v>
      </c>
      <c r="B368">
        <v>1140</v>
      </c>
      <c r="C368" s="7">
        <v>41640.013194444444</v>
      </c>
      <c r="D368" t="s">
        <v>10</v>
      </c>
      <c r="E368" t="s">
        <v>1</v>
      </c>
      <c r="F368" t="s">
        <v>138</v>
      </c>
      <c r="G368" s="9" t="s">
        <v>138</v>
      </c>
      <c r="J368">
        <v>0</v>
      </c>
      <c r="K368">
        <v>0</v>
      </c>
      <c r="M368">
        <v>353</v>
      </c>
    </row>
    <row r="369" spans="1:13" x14ac:dyDescent="0.3">
      <c r="A369">
        <v>41642.381944444445</v>
      </c>
      <c r="B369">
        <v>1800</v>
      </c>
      <c r="C369" s="7">
        <v>41640.027083333334</v>
      </c>
      <c r="D369" t="s">
        <v>267</v>
      </c>
      <c r="E369" t="s">
        <v>87</v>
      </c>
      <c r="F369" t="s">
        <v>138</v>
      </c>
      <c r="G369" s="9" t="s">
        <v>138</v>
      </c>
      <c r="J369">
        <v>0</v>
      </c>
      <c r="K369">
        <v>0</v>
      </c>
      <c r="M369">
        <v>408</v>
      </c>
    </row>
    <row r="370" spans="1:13" x14ac:dyDescent="0.3">
      <c r="A370">
        <v>41642.381944444445</v>
      </c>
      <c r="B370">
        <v>2940</v>
      </c>
      <c r="C370" s="7">
        <v>41640.045138888891</v>
      </c>
      <c r="D370" t="s">
        <v>227</v>
      </c>
      <c r="E370" t="s">
        <v>216</v>
      </c>
      <c r="F370" t="s">
        <v>138</v>
      </c>
      <c r="G370" s="9" t="s">
        <v>138</v>
      </c>
      <c r="J370">
        <v>0</v>
      </c>
      <c r="K370">
        <v>0</v>
      </c>
      <c r="M370">
        <v>403</v>
      </c>
    </row>
    <row r="371" spans="1:13" x14ac:dyDescent="0.3">
      <c r="A371">
        <v>41642.387499999997</v>
      </c>
      <c r="B371">
        <v>540</v>
      </c>
      <c r="C371" s="7">
        <v>41640.021527777775</v>
      </c>
      <c r="D371" t="s">
        <v>30</v>
      </c>
      <c r="E371" t="s">
        <v>268</v>
      </c>
      <c r="F371" t="s">
        <v>138</v>
      </c>
      <c r="G371" s="9" t="s">
        <v>138</v>
      </c>
      <c r="J371">
        <v>0</v>
      </c>
      <c r="K371">
        <v>0</v>
      </c>
      <c r="M371">
        <v>389</v>
      </c>
    </row>
    <row r="372" spans="1:13" x14ac:dyDescent="0.3">
      <c r="A372">
        <v>41642.388888888891</v>
      </c>
      <c r="B372">
        <v>1620</v>
      </c>
      <c r="C372" s="7">
        <v>41640.018750000003</v>
      </c>
      <c r="D372" t="s">
        <v>269</v>
      </c>
      <c r="E372" t="s">
        <v>22</v>
      </c>
      <c r="F372" t="s">
        <v>138</v>
      </c>
      <c r="G372" s="9" t="s">
        <v>138</v>
      </c>
      <c r="J372">
        <v>0</v>
      </c>
      <c r="K372">
        <v>0</v>
      </c>
      <c r="M372">
        <v>424</v>
      </c>
    </row>
    <row r="373" spans="1:13" x14ac:dyDescent="0.3">
      <c r="A373">
        <v>41642.388888888891</v>
      </c>
      <c r="B373">
        <v>2100</v>
      </c>
      <c r="C373" s="7">
        <v>41640.024305555555</v>
      </c>
      <c r="D373" t="s">
        <v>74</v>
      </c>
      <c r="E373" t="s">
        <v>30</v>
      </c>
      <c r="F373" t="s">
        <v>138</v>
      </c>
      <c r="G373" s="9" t="s">
        <v>138</v>
      </c>
      <c r="J373">
        <v>0</v>
      </c>
      <c r="K373">
        <v>0</v>
      </c>
      <c r="M373">
        <v>352</v>
      </c>
    </row>
    <row r="374" spans="1:13" x14ac:dyDescent="0.3">
      <c r="A374">
        <v>41642.393750000003</v>
      </c>
      <c r="B374">
        <v>1080</v>
      </c>
      <c r="C374" s="7">
        <v>41640.012499999997</v>
      </c>
      <c r="D374" t="s">
        <v>13</v>
      </c>
      <c r="E374" t="s">
        <v>158</v>
      </c>
      <c r="F374" t="s">
        <v>138</v>
      </c>
      <c r="G374" s="9" t="s">
        <v>138</v>
      </c>
      <c r="J374">
        <v>0</v>
      </c>
      <c r="K374">
        <v>0</v>
      </c>
      <c r="M374">
        <v>376</v>
      </c>
    </row>
    <row r="375" spans="1:13" x14ac:dyDescent="0.3">
      <c r="A375">
        <v>41642.398611111108</v>
      </c>
      <c r="B375">
        <v>960</v>
      </c>
      <c r="C375" s="7">
        <v>41640.011111111111</v>
      </c>
      <c r="D375" t="s">
        <v>258</v>
      </c>
      <c r="E375" t="s">
        <v>43</v>
      </c>
      <c r="F375" t="s">
        <v>138</v>
      </c>
      <c r="G375" s="9" t="s">
        <v>138</v>
      </c>
      <c r="J375">
        <v>0</v>
      </c>
      <c r="K375">
        <v>0</v>
      </c>
      <c r="M375">
        <v>387</v>
      </c>
    </row>
    <row r="376" spans="1:13" x14ac:dyDescent="0.3">
      <c r="A376">
        <v>41642.399305555555</v>
      </c>
      <c r="B376">
        <v>1800</v>
      </c>
      <c r="C376" s="7">
        <v>41640.029166666667</v>
      </c>
      <c r="D376" t="s">
        <v>176</v>
      </c>
      <c r="E376" t="s">
        <v>10</v>
      </c>
      <c r="F376" t="s">
        <v>138</v>
      </c>
      <c r="G376" s="9" t="s">
        <v>138</v>
      </c>
      <c r="J376">
        <v>0</v>
      </c>
      <c r="K376">
        <v>0</v>
      </c>
      <c r="M376">
        <v>414</v>
      </c>
    </row>
    <row r="377" spans="1:13" x14ac:dyDescent="0.3">
      <c r="A377">
        <v>41642.402777777781</v>
      </c>
      <c r="B377">
        <v>1200</v>
      </c>
      <c r="C377" s="7">
        <v>41640.013888888891</v>
      </c>
      <c r="D377" t="s">
        <v>22</v>
      </c>
      <c r="E377" t="s">
        <v>265</v>
      </c>
      <c r="F377" t="s">
        <v>138</v>
      </c>
      <c r="G377" s="9" t="s">
        <v>138</v>
      </c>
      <c r="J377">
        <v>0</v>
      </c>
      <c r="K377">
        <v>0</v>
      </c>
      <c r="M377">
        <v>423</v>
      </c>
    </row>
    <row r="378" spans="1:13" x14ac:dyDescent="0.3">
      <c r="A378">
        <v>41642.402777777781</v>
      </c>
      <c r="B378">
        <v>900</v>
      </c>
      <c r="C378" s="7">
        <v>41640.011111111111</v>
      </c>
      <c r="D378" t="s">
        <v>22</v>
      </c>
      <c r="E378" t="s">
        <v>41</v>
      </c>
      <c r="F378" t="s">
        <v>138</v>
      </c>
      <c r="G378" s="9" t="s">
        <v>138</v>
      </c>
      <c r="J378">
        <v>0</v>
      </c>
      <c r="K378">
        <v>0</v>
      </c>
      <c r="M378">
        <v>366</v>
      </c>
    </row>
    <row r="379" spans="1:13" x14ac:dyDescent="0.3">
      <c r="A379">
        <v>41642.40347222222</v>
      </c>
      <c r="B379">
        <v>1260</v>
      </c>
      <c r="C379" s="7">
        <v>41640.020833333336</v>
      </c>
      <c r="D379" t="s">
        <v>13</v>
      </c>
      <c r="E379" t="s">
        <v>220</v>
      </c>
      <c r="F379" t="s">
        <v>138</v>
      </c>
      <c r="G379" s="9" t="s">
        <v>138</v>
      </c>
      <c r="J379">
        <v>0</v>
      </c>
      <c r="K379">
        <v>0</v>
      </c>
      <c r="M379">
        <v>370</v>
      </c>
    </row>
    <row r="380" spans="1:13" x14ac:dyDescent="0.3">
      <c r="A380">
        <v>41642.404166666667</v>
      </c>
      <c r="B380">
        <v>900</v>
      </c>
      <c r="C380" s="7">
        <v>41640.01666666667</v>
      </c>
      <c r="D380" t="s">
        <v>15</v>
      </c>
      <c r="E380" t="s">
        <v>33</v>
      </c>
      <c r="F380" t="s">
        <v>138</v>
      </c>
      <c r="G380" s="9" t="s">
        <v>138</v>
      </c>
      <c r="J380">
        <v>0</v>
      </c>
      <c r="K380">
        <v>0</v>
      </c>
      <c r="M380">
        <v>392</v>
      </c>
    </row>
    <row r="381" spans="1:13" x14ac:dyDescent="0.3">
      <c r="A381">
        <v>41642.404166666667</v>
      </c>
      <c r="B381">
        <v>1620</v>
      </c>
      <c r="C381" s="7">
        <v>41640.023611111108</v>
      </c>
      <c r="D381" t="s">
        <v>30</v>
      </c>
      <c r="E381" t="s">
        <v>207</v>
      </c>
      <c r="F381" t="s">
        <v>138</v>
      </c>
      <c r="G381" s="9" t="s">
        <v>138</v>
      </c>
      <c r="J381">
        <v>0</v>
      </c>
      <c r="K381">
        <v>0</v>
      </c>
      <c r="M381">
        <v>383</v>
      </c>
    </row>
    <row r="382" spans="1:13" x14ac:dyDescent="0.3">
      <c r="A382">
        <v>41642.404166666667</v>
      </c>
      <c r="B382">
        <v>1920</v>
      </c>
      <c r="C382" s="7">
        <v>41640.022222222222</v>
      </c>
      <c r="D382" t="s">
        <v>10</v>
      </c>
      <c r="E382" t="s">
        <v>90</v>
      </c>
      <c r="F382" t="s">
        <v>138</v>
      </c>
      <c r="G382" s="9" t="s">
        <v>138</v>
      </c>
      <c r="J382">
        <v>0</v>
      </c>
      <c r="K382">
        <v>0</v>
      </c>
      <c r="M382">
        <v>351</v>
      </c>
    </row>
    <row r="383" spans="1:13" x14ac:dyDescent="0.3">
      <c r="A383">
        <v>41642.404861111114</v>
      </c>
      <c r="B383">
        <v>1260</v>
      </c>
      <c r="C383" s="7">
        <v>41640.01458333333</v>
      </c>
      <c r="D383" t="s">
        <v>29</v>
      </c>
      <c r="E383" t="s">
        <v>13</v>
      </c>
      <c r="F383" t="s">
        <v>138</v>
      </c>
      <c r="G383" s="9" t="s">
        <v>138</v>
      </c>
      <c r="J383">
        <v>0</v>
      </c>
      <c r="K383">
        <v>0</v>
      </c>
      <c r="M383">
        <v>379</v>
      </c>
    </row>
    <row r="384" spans="1:13" x14ac:dyDescent="0.3">
      <c r="A384">
        <v>41642.410416666666</v>
      </c>
      <c r="B384">
        <v>1440</v>
      </c>
      <c r="C384" s="7">
        <v>41640.021527777775</v>
      </c>
      <c r="D384" t="s">
        <v>147</v>
      </c>
      <c r="E384" t="s">
        <v>8</v>
      </c>
      <c r="F384" t="s">
        <v>138</v>
      </c>
      <c r="G384" s="9" t="s">
        <v>138</v>
      </c>
      <c r="J384">
        <v>0</v>
      </c>
      <c r="K384">
        <v>0</v>
      </c>
      <c r="M384">
        <v>413</v>
      </c>
    </row>
    <row r="385" spans="1:13" x14ac:dyDescent="0.3">
      <c r="A385">
        <v>41642.411111111112</v>
      </c>
      <c r="B385">
        <v>780</v>
      </c>
      <c r="C385" s="7">
        <v>41640.011805555558</v>
      </c>
      <c r="D385" t="s">
        <v>75</v>
      </c>
      <c r="E385" t="s">
        <v>179</v>
      </c>
      <c r="F385" t="s">
        <v>138</v>
      </c>
      <c r="G385" s="9" t="s">
        <v>138</v>
      </c>
      <c r="J385">
        <v>0</v>
      </c>
      <c r="K385">
        <v>0</v>
      </c>
      <c r="M385">
        <v>368</v>
      </c>
    </row>
    <row r="386" spans="1:13" x14ac:dyDescent="0.3">
      <c r="A386">
        <v>41642.412499999999</v>
      </c>
      <c r="B386">
        <v>1560</v>
      </c>
      <c r="C386" s="7">
        <v>41640.018055555556</v>
      </c>
      <c r="D386" t="s">
        <v>56</v>
      </c>
      <c r="E386" t="s">
        <v>22</v>
      </c>
      <c r="F386" t="s">
        <v>138</v>
      </c>
      <c r="G386" s="9" t="s">
        <v>138</v>
      </c>
      <c r="J386">
        <v>0</v>
      </c>
      <c r="K386">
        <v>0</v>
      </c>
      <c r="M386">
        <v>395</v>
      </c>
    </row>
    <row r="387" spans="1:13" x14ac:dyDescent="0.3">
      <c r="A387">
        <v>41642.415972222225</v>
      </c>
      <c r="B387">
        <v>900</v>
      </c>
      <c r="C387" s="7">
        <v>41640.010416666664</v>
      </c>
      <c r="D387" t="s">
        <v>270</v>
      </c>
      <c r="E387" t="s">
        <v>22</v>
      </c>
      <c r="F387" t="s">
        <v>138</v>
      </c>
      <c r="G387" s="9" t="s">
        <v>138</v>
      </c>
      <c r="J387">
        <v>0</v>
      </c>
      <c r="K387">
        <v>0</v>
      </c>
      <c r="M387">
        <v>420</v>
      </c>
    </row>
    <row r="388" spans="1:13" x14ac:dyDescent="0.3">
      <c r="A388">
        <v>41642.420138888891</v>
      </c>
      <c r="B388">
        <v>1320</v>
      </c>
      <c r="C388" s="7">
        <v>41640.020138888889</v>
      </c>
      <c r="D388" t="s">
        <v>177</v>
      </c>
      <c r="E388" t="s">
        <v>43</v>
      </c>
      <c r="F388" t="s">
        <v>138</v>
      </c>
      <c r="G388" s="9" t="s">
        <v>138</v>
      </c>
      <c r="J388">
        <v>0</v>
      </c>
      <c r="K388">
        <v>0</v>
      </c>
      <c r="M388">
        <v>406</v>
      </c>
    </row>
    <row r="389" spans="1:13" x14ac:dyDescent="0.3">
      <c r="A389">
        <v>41642.422222222223</v>
      </c>
      <c r="B389">
        <v>1200</v>
      </c>
      <c r="C389" s="7">
        <v>41640.017361111109</v>
      </c>
      <c r="D389" t="s">
        <v>271</v>
      </c>
      <c r="E389" t="s">
        <v>15</v>
      </c>
      <c r="F389" t="s">
        <v>138</v>
      </c>
      <c r="G389" s="9" t="s">
        <v>138</v>
      </c>
      <c r="J389">
        <v>0</v>
      </c>
      <c r="K389">
        <v>0</v>
      </c>
      <c r="M389">
        <v>361</v>
      </c>
    </row>
    <row r="390" spans="1:13" x14ac:dyDescent="0.3">
      <c r="A390">
        <v>41642.42291666667</v>
      </c>
      <c r="B390">
        <v>1140</v>
      </c>
      <c r="C390" s="7">
        <v>41640.031944444447</v>
      </c>
      <c r="D390" t="s">
        <v>22</v>
      </c>
      <c r="E390" t="s">
        <v>216</v>
      </c>
      <c r="F390" t="s">
        <v>138</v>
      </c>
      <c r="G390" s="9" t="s">
        <v>138</v>
      </c>
      <c r="J390">
        <v>0</v>
      </c>
      <c r="K390">
        <v>0</v>
      </c>
      <c r="M390">
        <v>367</v>
      </c>
    </row>
    <row r="391" spans="1:13" x14ac:dyDescent="0.3">
      <c r="A391">
        <v>41642.424305555556</v>
      </c>
      <c r="B391">
        <v>1860</v>
      </c>
      <c r="C391" s="7">
        <v>41640.021527777775</v>
      </c>
      <c r="D391" t="s">
        <v>87</v>
      </c>
      <c r="E391" t="s">
        <v>267</v>
      </c>
      <c r="F391" t="s">
        <v>138</v>
      </c>
      <c r="G391" s="9" t="s">
        <v>138</v>
      </c>
      <c r="J391">
        <v>0</v>
      </c>
      <c r="K391">
        <v>0</v>
      </c>
      <c r="M391">
        <v>380</v>
      </c>
    </row>
    <row r="392" spans="1:13" x14ac:dyDescent="0.3">
      <c r="A392">
        <v>41642.428472222222</v>
      </c>
      <c r="B392">
        <v>1140</v>
      </c>
      <c r="C392" s="7">
        <v>41640.013194444444</v>
      </c>
      <c r="D392" t="s">
        <v>22</v>
      </c>
      <c r="E392" t="s">
        <v>41</v>
      </c>
      <c r="F392" t="s">
        <v>138</v>
      </c>
      <c r="G392" s="9" t="s">
        <v>138</v>
      </c>
      <c r="J392">
        <v>0</v>
      </c>
      <c r="K392">
        <v>0</v>
      </c>
      <c r="M392">
        <v>396</v>
      </c>
    </row>
    <row r="393" spans="1:13" x14ac:dyDescent="0.3">
      <c r="A393">
        <v>41642.430555555555</v>
      </c>
      <c r="B393">
        <v>1020</v>
      </c>
      <c r="C393" s="7">
        <v>41640.011805555558</v>
      </c>
      <c r="D393" t="s">
        <v>130</v>
      </c>
      <c r="E393" t="s">
        <v>8</v>
      </c>
      <c r="F393" t="s">
        <v>138</v>
      </c>
      <c r="G393" s="9" t="s">
        <v>138</v>
      </c>
      <c r="J393">
        <v>0</v>
      </c>
      <c r="K393">
        <v>0</v>
      </c>
      <c r="M393">
        <v>421</v>
      </c>
    </row>
    <row r="394" spans="1:13" x14ac:dyDescent="0.3">
      <c r="A394">
        <v>41642.430555555555</v>
      </c>
      <c r="B394">
        <v>1380</v>
      </c>
      <c r="C394" s="7">
        <v>41640.022916666669</v>
      </c>
      <c r="D394" t="s">
        <v>130</v>
      </c>
      <c r="E394" t="s">
        <v>30</v>
      </c>
      <c r="F394" t="s">
        <v>138</v>
      </c>
      <c r="G394" s="9" t="s">
        <v>138</v>
      </c>
      <c r="J394">
        <v>0</v>
      </c>
      <c r="K394">
        <v>0</v>
      </c>
      <c r="M394">
        <v>344</v>
      </c>
    </row>
    <row r="395" spans="1:13" x14ac:dyDescent="0.3">
      <c r="A395">
        <v>41642.431250000001</v>
      </c>
      <c r="B395">
        <v>780</v>
      </c>
      <c r="C395" s="7">
        <v>41640.018055555556</v>
      </c>
      <c r="D395" t="s">
        <v>43</v>
      </c>
      <c r="E395" t="s">
        <v>258</v>
      </c>
      <c r="F395" t="s">
        <v>138</v>
      </c>
      <c r="G395" s="9" t="s">
        <v>138</v>
      </c>
      <c r="J395">
        <v>0</v>
      </c>
      <c r="K395">
        <v>0</v>
      </c>
      <c r="M395">
        <v>412</v>
      </c>
    </row>
    <row r="396" spans="1:13" x14ac:dyDescent="0.3">
      <c r="A396">
        <v>41642.432638888888</v>
      </c>
      <c r="B396">
        <v>1500</v>
      </c>
      <c r="C396" s="7">
        <v>41640.020833333336</v>
      </c>
      <c r="D396" t="s">
        <v>272</v>
      </c>
      <c r="E396" t="s">
        <v>13</v>
      </c>
      <c r="F396" t="s">
        <v>138</v>
      </c>
      <c r="G396" s="9" t="s">
        <v>138</v>
      </c>
      <c r="J396">
        <v>0</v>
      </c>
      <c r="K396">
        <v>0</v>
      </c>
      <c r="M396">
        <v>372</v>
      </c>
    </row>
    <row r="397" spans="1:13" x14ac:dyDescent="0.3">
      <c r="A397">
        <v>41642.435416666667</v>
      </c>
      <c r="B397">
        <v>960</v>
      </c>
      <c r="C397" s="7">
        <v>41640.027777777781</v>
      </c>
      <c r="D397" t="s">
        <v>10</v>
      </c>
      <c r="E397" t="s">
        <v>176</v>
      </c>
      <c r="F397" t="s">
        <v>138</v>
      </c>
      <c r="G397" s="9" t="s">
        <v>138</v>
      </c>
      <c r="J397">
        <v>0</v>
      </c>
      <c r="K397">
        <v>0</v>
      </c>
      <c r="M397">
        <v>391</v>
      </c>
    </row>
    <row r="398" spans="1:13" x14ac:dyDescent="0.3">
      <c r="A398">
        <v>41642.436805555553</v>
      </c>
      <c r="B398">
        <v>840</v>
      </c>
      <c r="C398" s="7">
        <v>41640.011111111111</v>
      </c>
      <c r="D398" t="s">
        <v>22</v>
      </c>
      <c r="E398" t="s">
        <v>29</v>
      </c>
      <c r="F398" t="s">
        <v>138</v>
      </c>
      <c r="G398" s="9" t="s">
        <v>138</v>
      </c>
      <c r="J398">
        <v>0</v>
      </c>
      <c r="K398">
        <v>0</v>
      </c>
      <c r="M398">
        <v>401</v>
      </c>
    </row>
    <row r="399" spans="1:13" x14ac:dyDescent="0.3">
      <c r="A399">
        <v>41642.443749999999</v>
      </c>
      <c r="B399">
        <v>2160</v>
      </c>
      <c r="C399" s="7">
        <v>41640.031944444447</v>
      </c>
      <c r="D399" t="s">
        <v>91</v>
      </c>
      <c r="E399" t="s">
        <v>15</v>
      </c>
      <c r="F399" t="s">
        <v>138</v>
      </c>
      <c r="G399" s="9" t="s">
        <v>138</v>
      </c>
      <c r="J399">
        <v>0</v>
      </c>
      <c r="K399">
        <v>0</v>
      </c>
      <c r="M399">
        <v>386</v>
      </c>
    </row>
    <row r="400" spans="1:13" x14ac:dyDescent="0.3">
      <c r="A400">
        <v>41642.444444444445</v>
      </c>
      <c r="B400">
        <v>1260</v>
      </c>
      <c r="C400" s="7">
        <v>41640.036111111112</v>
      </c>
      <c r="D400" t="s">
        <v>13</v>
      </c>
      <c r="E400" t="s">
        <v>56</v>
      </c>
      <c r="F400" t="s">
        <v>138</v>
      </c>
      <c r="G400" s="9" t="s">
        <v>138</v>
      </c>
      <c r="J400">
        <v>0</v>
      </c>
      <c r="K400">
        <v>0</v>
      </c>
      <c r="M400">
        <v>399</v>
      </c>
    </row>
    <row r="401" spans="1:13" x14ac:dyDescent="0.3">
      <c r="A401">
        <v>41642.444444444445</v>
      </c>
      <c r="B401">
        <v>1920</v>
      </c>
      <c r="C401" s="7">
        <v>41640.022222222222</v>
      </c>
      <c r="D401" t="s">
        <v>236</v>
      </c>
      <c r="E401" t="s">
        <v>15</v>
      </c>
      <c r="F401" t="s">
        <v>138</v>
      </c>
      <c r="G401" s="9" t="s">
        <v>138</v>
      </c>
      <c r="J401">
        <v>0</v>
      </c>
      <c r="K401">
        <v>0</v>
      </c>
      <c r="M401">
        <v>378</v>
      </c>
    </row>
    <row r="402" spans="1:13" x14ac:dyDescent="0.3">
      <c r="A402">
        <v>41642.445833333331</v>
      </c>
      <c r="B402">
        <v>1080</v>
      </c>
      <c r="C402" s="7">
        <v>41640.012499999997</v>
      </c>
      <c r="D402" t="s">
        <v>273</v>
      </c>
      <c r="E402" t="s">
        <v>40</v>
      </c>
      <c r="F402" t="s">
        <v>138</v>
      </c>
      <c r="G402" s="9" t="s">
        <v>138</v>
      </c>
      <c r="J402">
        <v>0</v>
      </c>
      <c r="K402">
        <v>0</v>
      </c>
      <c r="M402">
        <v>426</v>
      </c>
    </row>
    <row r="403" spans="1:13" x14ac:dyDescent="0.3">
      <c r="A403">
        <v>41642.447916666664</v>
      </c>
      <c r="B403">
        <v>1380</v>
      </c>
      <c r="C403" s="7">
        <v>41640.015972222223</v>
      </c>
      <c r="D403" t="s">
        <v>22</v>
      </c>
      <c r="E403" t="s">
        <v>270</v>
      </c>
      <c r="F403" t="s">
        <v>138</v>
      </c>
      <c r="G403" s="9" t="s">
        <v>138</v>
      </c>
      <c r="J403">
        <v>0</v>
      </c>
      <c r="K403">
        <v>0</v>
      </c>
      <c r="M403">
        <v>397</v>
      </c>
    </row>
    <row r="404" spans="1:13" x14ac:dyDescent="0.3">
      <c r="A404">
        <v>41642.448611111111</v>
      </c>
      <c r="B404">
        <v>1560</v>
      </c>
      <c r="C404" s="7">
        <v>41640.019444444442</v>
      </c>
      <c r="D404" t="s">
        <v>274</v>
      </c>
      <c r="E404" t="s">
        <v>13</v>
      </c>
      <c r="F404" t="s">
        <v>138</v>
      </c>
      <c r="G404" s="9" t="s">
        <v>138</v>
      </c>
      <c r="J404">
        <v>0</v>
      </c>
      <c r="K404">
        <v>0</v>
      </c>
      <c r="M404">
        <v>347</v>
      </c>
    </row>
    <row r="405" spans="1:13" x14ac:dyDescent="0.3">
      <c r="A405">
        <v>41642.449305555558</v>
      </c>
      <c r="B405">
        <v>1200</v>
      </c>
      <c r="C405" s="7">
        <v>41640.029166666667</v>
      </c>
      <c r="D405" t="s">
        <v>179</v>
      </c>
      <c r="E405" t="s">
        <v>75</v>
      </c>
      <c r="F405" t="s">
        <v>138</v>
      </c>
      <c r="G405" s="9" t="s">
        <v>138</v>
      </c>
      <c r="J405">
        <v>0</v>
      </c>
      <c r="K405">
        <v>0</v>
      </c>
      <c r="M405">
        <v>364</v>
      </c>
    </row>
    <row r="406" spans="1:13" x14ac:dyDescent="0.3">
      <c r="A406">
        <v>41642.451388888891</v>
      </c>
      <c r="B406">
        <v>960</v>
      </c>
      <c r="C406" s="7">
        <v>41640.011805555558</v>
      </c>
      <c r="D406" t="s">
        <v>29</v>
      </c>
      <c r="E406" t="s">
        <v>22</v>
      </c>
      <c r="F406" t="s">
        <v>138</v>
      </c>
      <c r="G406" s="9" t="s">
        <v>138</v>
      </c>
      <c r="J406">
        <v>0</v>
      </c>
      <c r="K406">
        <v>0</v>
      </c>
      <c r="M406">
        <v>363</v>
      </c>
    </row>
    <row r="407" spans="1:13" x14ac:dyDescent="0.3">
      <c r="A407">
        <v>41642.451388888891</v>
      </c>
      <c r="B407">
        <v>1560</v>
      </c>
      <c r="C407" s="7">
        <v>41640.022222222222</v>
      </c>
      <c r="D407" t="s">
        <v>158</v>
      </c>
      <c r="E407" t="s">
        <v>30</v>
      </c>
      <c r="F407" t="s">
        <v>138</v>
      </c>
      <c r="G407" s="9" t="s">
        <v>138</v>
      </c>
      <c r="J407">
        <v>0</v>
      </c>
      <c r="K407">
        <v>0</v>
      </c>
      <c r="M407">
        <v>345</v>
      </c>
    </row>
    <row r="408" spans="1:13" x14ac:dyDescent="0.3">
      <c r="A408">
        <v>41642.458333333336</v>
      </c>
      <c r="B408">
        <v>2460</v>
      </c>
      <c r="C408" s="7">
        <v>41640.03125</v>
      </c>
      <c r="D408" t="s">
        <v>275</v>
      </c>
      <c r="E408" t="s">
        <v>143</v>
      </c>
      <c r="F408" t="s">
        <v>138</v>
      </c>
      <c r="G408" s="9" t="s">
        <v>138</v>
      </c>
      <c r="J408">
        <v>0</v>
      </c>
      <c r="K408">
        <v>0</v>
      </c>
      <c r="M408">
        <v>394</v>
      </c>
    </row>
    <row r="409" spans="1:13" x14ac:dyDescent="0.3">
      <c r="A409">
        <v>41642.459027777775</v>
      </c>
      <c r="B409">
        <v>1740</v>
      </c>
      <c r="C409" s="7">
        <v>41640.020833333336</v>
      </c>
      <c r="D409" t="s">
        <v>43</v>
      </c>
      <c r="E409" t="s">
        <v>177</v>
      </c>
      <c r="F409" t="s">
        <v>138</v>
      </c>
      <c r="G409" s="9" t="s">
        <v>138</v>
      </c>
      <c r="J409">
        <v>0</v>
      </c>
      <c r="K409">
        <v>0</v>
      </c>
      <c r="M409">
        <v>417</v>
      </c>
    </row>
    <row r="410" spans="1:13" x14ac:dyDescent="0.3">
      <c r="A410">
        <v>41642.462500000001</v>
      </c>
      <c r="B410">
        <v>1200</v>
      </c>
      <c r="C410" s="7">
        <v>41640.013888888891</v>
      </c>
      <c r="D410" t="s">
        <v>30</v>
      </c>
      <c r="E410" t="s">
        <v>130</v>
      </c>
      <c r="F410" t="s">
        <v>138</v>
      </c>
      <c r="G410" s="9" t="s">
        <v>138</v>
      </c>
      <c r="J410">
        <v>0</v>
      </c>
      <c r="K410">
        <v>0</v>
      </c>
      <c r="M410">
        <v>373</v>
      </c>
    </row>
    <row r="411" spans="1:13" x14ac:dyDescent="0.3">
      <c r="A411">
        <v>41642.462500000001</v>
      </c>
      <c r="B411">
        <v>120</v>
      </c>
      <c r="C411" s="7">
        <v>41640.015277777777</v>
      </c>
      <c r="D411" t="s">
        <v>13</v>
      </c>
      <c r="E411" t="s">
        <v>272</v>
      </c>
      <c r="F411" t="s">
        <v>138</v>
      </c>
      <c r="G411" s="9" t="s">
        <v>138</v>
      </c>
      <c r="J411">
        <v>0</v>
      </c>
      <c r="K411">
        <v>0</v>
      </c>
      <c r="M411">
        <v>362</v>
      </c>
    </row>
    <row r="412" spans="1:13" x14ac:dyDescent="0.3">
      <c r="A412">
        <v>41642.464583333334</v>
      </c>
      <c r="B412">
        <v>1380</v>
      </c>
      <c r="C412" s="7">
        <v>41640.01666666667</v>
      </c>
      <c r="D412" t="s">
        <v>15</v>
      </c>
      <c r="E412" t="s">
        <v>33</v>
      </c>
      <c r="F412" t="s">
        <v>138</v>
      </c>
      <c r="G412" s="9" t="s">
        <v>138</v>
      </c>
      <c r="J412">
        <v>0</v>
      </c>
      <c r="K412">
        <v>0</v>
      </c>
      <c r="M412">
        <v>357</v>
      </c>
    </row>
    <row r="413" spans="1:13" x14ac:dyDescent="0.3">
      <c r="A413">
        <v>41642.465277777781</v>
      </c>
      <c r="B413">
        <v>1380</v>
      </c>
      <c r="C413" s="7">
        <v>41640.01666666667</v>
      </c>
      <c r="D413" t="s">
        <v>22</v>
      </c>
      <c r="E413" t="s">
        <v>29</v>
      </c>
      <c r="F413" t="s">
        <v>138</v>
      </c>
      <c r="G413" s="9" t="s">
        <v>138</v>
      </c>
      <c r="J413">
        <v>0</v>
      </c>
      <c r="K413">
        <v>0</v>
      </c>
      <c r="M413">
        <v>348</v>
      </c>
    </row>
    <row r="414" spans="1:13" x14ac:dyDescent="0.3">
      <c r="A414">
        <v>41642.467361111114</v>
      </c>
      <c r="B414">
        <v>1860</v>
      </c>
      <c r="C414" s="7">
        <v>41640.038194444445</v>
      </c>
      <c r="D414" t="s">
        <v>41</v>
      </c>
      <c r="E414" t="s">
        <v>194</v>
      </c>
      <c r="F414" t="s">
        <v>138</v>
      </c>
      <c r="G414" s="9" t="s">
        <v>138</v>
      </c>
      <c r="J414">
        <v>0</v>
      </c>
      <c r="K414">
        <v>0</v>
      </c>
      <c r="M414">
        <v>411</v>
      </c>
    </row>
    <row r="415" spans="1:13" x14ac:dyDescent="0.3">
      <c r="A415">
        <v>41642.46875</v>
      </c>
      <c r="B415">
        <v>1680</v>
      </c>
      <c r="C415" s="7">
        <v>41640.020833333336</v>
      </c>
      <c r="D415" t="s">
        <v>215</v>
      </c>
      <c r="E415" t="s">
        <v>15</v>
      </c>
      <c r="F415" t="s">
        <v>138</v>
      </c>
      <c r="G415" s="9" t="s">
        <v>138</v>
      </c>
      <c r="J415">
        <v>0</v>
      </c>
      <c r="K415">
        <v>0</v>
      </c>
      <c r="M415">
        <v>374</v>
      </c>
    </row>
    <row r="416" spans="1:13" x14ac:dyDescent="0.3">
      <c r="A416">
        <v>41642.472222222219</v>
      </c>
      <c r="B416">
        <v>1500</v>
      </c>
      <c r="C416" s="7">
        <v>41640.025000000001</v>
      </c>
      <c r="D416" t="s">
        <v>269</v>
      </c>
      <c r="E416" t="s">
        <v>15</v>
      </c>
      <c r="F416" t="s">
        <v>138</v>
      </c>
      <c r="G416" s="9" t="s">
        <v>138</v>
      </c>
      <c r="J416">
        <v>0</v>
      </c>
      <c r="K416">
        <v>0</v>
      </c>
      <c r="M416">
        <v>425</v>
      </c>
    </row>
    <row r="417" spans="1:13" x14ac:dyDescent="0.3">
      <c r="A417">
        <v>41642.472222222219</v>
      </c>
      <c r="B417">
        <v>1440</v>
      </c>
      <c r="C417" s="7">
        <v>41640.026388888888</v>
      </c>
      <c r="D417" t="s">
        <v>276</v>
      </c>
      <c r="E417" t="s">
        <v>30</v>
      </c>
      <c r="F417" t="s">
        <v>138</v>
      </c>
      <c r="G417" s="9" t="s">
        <v>138</v>
      </c>
      <c r="J417">
        <v>0</v>
      </c>
      <c r="K417">
        <v>0</v>
      </c>
      <c r="M417">
        <v>346</v>
      </c>
    </row>
    <row r="418" spans="1:13" x14ac:dyDescent="0.3">
      <c r="A418">
        <v>41642.478472222225</v>
      </c>
      <c r="B418">
        <v>1440</v>
      </c>
      <c r="C418" s="7">
        <v>41640.022222222222</v>
      </c>
      <c r="D418" t="s">
        <v>212</v>
      </c>
      <c r="E418" t="s">
        <v>13</v>
      </c>
      <c r="F418" t="s">
        <v>138</v>
      </c>
      <c r="G418" s="9" t="s">
        <v>138</v>
      </c>
      <c r="J418">
        <v>0</v>
      </c>
      <c r="K418">
        <v>0</v>
      </c>
      <c r="M418">
        <v>416</v>
      </c>
    </row>
    <row r="419" spans="1:13" x14ac:dyDescent="0.3">
      <c r="A419">
        <v>41642.479166666664</v>
      </c>
      <c r="B419">
        <v>420</v>
      </c>
      <c r="C419" s="7">
        <v>41640.020138888889</v>
      </c>
      <c r="D419" t="s">
        <v>13</v>
      </c>
      <c r="E419" t="s">
        <v>274</v>
      </c>
      <c r="F419" t="s">
        <v>138</v>
      </c>
      <c r="G419" s="9" t="s">
        <v>138</v>
      </c>
      <c r="J419">
        <v>0</v>
      </c>
      <c r="K419">
        <v>0</v>
      </c>
      <c r="M419">
        <v>355</v>
      </c>
    </row>
    <row r="420" spans="1:13" x14ac:dyDescent="0.3">
      <c r="A420">
        <v>41642.481249999997</v>
      </c>
      <c r="B420">
        <v>1980</v>
      </c>
      <c r="C420" s="7">
        <v>41640.022916666669</v>
      </c>
      <c r="D420" t="s">
        <v>241</v>
      </c>
      <c r="E420" t="s">
        <v>13</v>
      </c>
      <c r="F420" t="s">
        <v>138</v>
      </c>
      <c r="G420" s="9" t="s">
        <v>138</v>
      </c>
      <c r="J420">
        <v>0</v>
      </c>
      <c r="K420">
        <v>0</v>
      </c>
      <c r="M420">
        <v>349</v>
      </c>
    </row>
    <row r="421" spans="1:13" x14ac:dyDescent="0.3">
      <c r="A421">
        <v>41642.482638888891</v>
      </c>
      <c r="B421">
        <v>1740</v>
      </c>
      <c r="C421" s="7">
        <v>41640.026388888888</v>
      </c>
      <c r="D421" t="s">
        <v>277</v>
      </c>
      <c r="E421" t="s">
        <v>10</v>
      </c>
      <c r="F421" t="s">
        <v>138</v>
      </c>
      <c r="G421" s="9" t="s">
        <v>138</v>
      </c>
      <c r="J421">
        <v>0</v>
      </c>
      <c r="K421">
        <v>0</v>
      </c>
      <c r="M421">
        <v>388</v>
      </c>
    </row>
    <row r="422" spans="1:13" x14ac:dyDescent="0.3">
      <c r="A422">
        <v>41642.484027777777</v>
      </c>
      <c r="B422">
        <v>1680</v>
      </c>
      <c r="C422" s="7">
        <v>41640.034722222219</v>
      </c>
      <c r="D422" t="s">
        <v>278</v>
      </c>
      <c r="E422" t="s">
        <v>46</v>
      </c>
      <c r="F422" t="s">
        <v>138</v>
      </c>
      <c r="G422" s="9" t="s">
        <v>138</v>
      </c>
      <c r="J422">
        <v>0</v>
      </c>
      <c r="K422">
        <v>0</v>
      </c>
      <c r="M422">
        <v>393</v>
      </c>
    </row>
    <row r="423" spans="1:13" x14ac:dyDescent="0.3">
      <c r="A423">
        <v>41642.486111111109</v>
      </c>
      <c r="B423">
        <v>1380</v>
      </c>
      <c r="C423" s="7">
        <v>41640.020833333336</v>
      </c>
      <c r="D423" t="s">
        <v>62</v>
      </c>
      <c r="E423" t="s">
        <v>185</v>
      </c>
      <c r="F423" t="s">
        <v>138</v>
      </c>
      <c r="G423" s="9" t="s">
        <v>138</v>
      </c>
      <c r="J423">
        <v>0</v>
      </c>
      <c r="K423">
        <v>0</v>
      </c>
      <c r="M423">
        <v>371</v>
      </c>
    </row>
    <row r="424" spans="1:13" x14ac:dyDescent="0.3">
      <c r="A424">
        <v>41642.486805555556</v>
      </c>
      <c r="B424">
        <v>1020</v>
      </c>
      <c r="C424" s="7">
        <v>41640.011805555558</v>
      </c>
      <c r="D424" t="s">
        <v>8</v>
      </c>
      <c r="E424" t="s">
        <v>147</v>
      </c>
      <c r="F424" t="s">
        <v>138</v>
      </c>
      <c r="G424" s="9" t="s">
        <v>138</v>
      </c>
      <c r="J424">
        <v>0</v>
      </c>
      <c r="K424">
        <v>0</v>
      </c>
      <c r="M424">
        <v>375</v>
      </c>
    </row>
    <row r="425" spans="1:13" x14ac:dyDescent="0.3">
      <c r="A425">
        <v>41642.490972222222</v>
      </c>
      <c r="B425">
        <v>1560</v>
      </c>
      <c r="C425" s="7">
        <v>41640.020138888889</v>
      </c>
      <c r="D425" t="s">
        <v>130</v>
      </c>
      <c r="E425" t="s">
        <v>8</v>
      </c>
      <c r="F425" t="s">
        <v>138</v>
      </c>
      <c r="G425" s="9" t="s">
        <v>138</v>
      </c>
      <c r="J425">
        <v>0</v>
      </c>
      <c r="K425">
        <v>0</v>
      </c>
      <c r="M425">
        <v>418</v>
      </c>
    </row>
    <row r="426" spans="1:13" x14ac:dyDescent="0.3">
      <c r="A426">
        <v>41642.490972222222</v>
      </c>
      <c r="B426">
        <v>1800</v>
      </c>
      <c r="C426" s="7">
        <v>41640.029861111114</v>
      </c>
      <c r="D426" t="s">
        <v>90</v>
      </c>
      <c r="E426" t="s">
        <v>245</v>
      </c>
      <c r="F426" t="s">
        <v>138</v>
      </c>
      <c r="G426" s="9" t="s">
        <v>138</v>
      </c>
      <c r="J426">
        <v>0</v>
      </c>
      <c r="K426">
        <v>0</v>
      </c>
      <c r="M426">
        <v>358</v>
      </c>
    </row>
    <row r="427" spans="1:13" x14ac:dyDescent="0.3">
      <c r="A427">
        <v>41642.493055555555</v>
      </c>
      <c r="B427">
        <v>2220</v>
      </c>
      <c r="C427" s="7">
        <v>41640.02847222222</v>
      </c>
      <c r="D427" t="s">
        <v>162</v>
      </c>
      <c r="E427" t="s">
        <v>22</v>
      </c>
      <c r="F427" t="s">
        <v>138</v>
      </c>
      <c r="G427" s="9" t="s">
        <v>138</v>
      </c>
      <c r="J427">
        <v>0</v>
      </c>
      <c r="K427">
        <v>0</v>
      </c>
      <c r="M427">
        <v>356</v>
      </c>
    </row>
    <row r="428" spans="1:13" x14ac:dyDescent="0.3">
      <c r="A428">
        <v>41642.493750000001</v>
      </c>
      <c r="B428">
        <v>840</v>
      </c>
      <c r="C428" s="7">
        <v>41640.010416666664</v>
      </c>
      <c r="D428" t="s">
        <v>15</v>
      </c>
      <c r="E428" t="s">
        <v>236</v>
      </c>
      <c r="F428" t="s">
        <v>138</v>
      </c>
      <c r="G428" s="9" t="s">
        <v>138</v>
      </c>
      <c r="J428">
        <v>0</v>
      </c>
      <c r="K428">
        <v>0</v>
      </c>
      <c r="M428">
        <v>419</v>
      </c>
    </row>
    <row r="429" spans="1:13" x14ac:dyDescent="0.3">
      <c r="A429">
        <v>41642.493750000001</v>
      </c>
      <c r="B429">
        <v>2280</v>
      </c>
      <c r="C429" s="7">
        <v>41640.026388888888</v>
      </c>
      <c r="D429" t="s">
        <v>279</v>
      </c>
      <c r="E429" t="s">
        <v>13</v>
      </c>
      <c r="F429" t="s">
        <v>138</v>
      </c>
      <c r="G429" s="9" t="s">
        <v>138</v>
      </c>
      <c r="J429">
        <v>0</v>
      </c>
      <c r="K429">
        <v>0</v>
      </c>
      <c r="M429">
        <v>400</v>
      </c>
    </row>
    <row r="430" spans="1:13" x14ac:dyDescent="0.3">
      <c r="A430">
        <v>41642.496527777781</v>
      </c>
      <c r="B430">
        <v>2520</v>
      </c>
      <c r="C430" s="7">
        <v>41640.039583333331</v>
      </c>
      <c r="D430" t="s">
        <v>280</v>
      </c>
      <c r="E430" t="s">
        <v>143</v>
      </c>
      <c r="F430" t="s">
        <v>138</v>
      </c>
      <c r="G430" s="9" t="s">
        <v>138</v>
      </c>
      <c r="J430">
        <v>0</v>
      </c>
      <c r="K430">
        <v>0</v>
      </c>
      <c r="M430">
        <v>415</v>
      </c>
    </row>
    <row r="431" spans="1:13" x14ac:dyDescent="0.3">
      <c r="A431">
        <v>41642.5</v>
      </c>
      <c r="B431">
        <v>840</v>
      </c>
      <c r="C431" s="7">
        <v>41640.017361111109</v>
      </c>
      <c r="D431" t="s">
        <v>13</v>
      </c>
      <c r="E431" t="s">
        <v>40</v>
      </c>
      <c r="F431" t="s">
        <v>138</v>
      </c>
      <c r="G431" s="9" t="s">
        <v>138</v>
      </c>
      <c r="J431">
        <v>0</v>
      </c>
      <c r="K431">
        <v>0</v>
      </c>
      <c r="M431">
        <v>480</v>
      </c>
    </row>
    <row r="432" spans="1:13" x14ac:dyDescent="0.3">
      <c r="A432">
        <v>41642.500694444447</v>
      </c>
      <c r="B432">
        <v>960</v>
      </c>
      <c r="C432" s="7">
        <v>41640.011805555558</v>
      </c>
      <c r="D432" t="s">
        <v>22</v>
      </c>
      <c r="E432" t="s">
        <v>34</v>
      </c>
      <c r="F432" t="s">
        <v>138</v>
      </c>
      <c r="G432" s="9" t="s">
        <v>138</v>
      </c>
      <c r="J432">
        <v>0</v>
      </c>
      <c r="K432">
        <v>0</v>
      </c>
      <c r="M432">
        <v>482</v>
      </c>
    </row>
    <row r="433" spans="1:13" x14ac:dyDescent="0.3">
      <c r="A433">
        <v>41642.501388888886</v>
      </c>
      <c r="B433">
        <v>1260</v>
      </c>
      <c r="C433" s="7">
        <v>41640.022916666669</v>
      </c>
      <c r="D433" t="s">
        <v>13</v>
      </c>
      <c r="E433" t="s">
        <v>84</v>
      </c>
      <c r="F433" t="s">
        <v>138</v>
      </c>
      <c r="G433" s="9" t="s">
        <v>138</v>
      </c>
      <c r="J433">
        <v>0</v>
      </c>
      <c r="K433">
        <v>0</v>
      </c>
      <c r="M433">
        <v>497</v>
      </c>
    </row>
    <row r="434" spans="1:13" x14ac:dyDescent="0.3">
      <c r="A434">
        <v>41642.503472222219</v>
      </c>
      <c r="B434">
        <v>1500</v>
      </c>
      <c r="C434" s="7">
        <v>41640.027083333334</v>
      </c>
      <c r="D434" t="s">
        <v>30</v>
      </c>
      <c r="E434" t="s">
        <v>281</v>
      </c>
      <c r="F434" t="s">
        <v>138</v>
      </c>
      <c r="G434" s="9" t="s">
        <v>138</v>
      </c>
      <c r="J434">
        <v>0</v>
      </c>
      <c r="K434">
        <v>0</v>
      </c>
      <c r="M434">
        <v>433</v>
      </c>
    </row>
    <row r="435" spans="1:13" x14ac:dyDescent="0.3">
      <c r="A435">
        <v>41642.505555555559</v>
      </c>
      <c r="B435">
        <v>1260</v>
      </c>
      <c r="C435" s="7">
        <v>41640.024305555555</v>
      </c>
      <c r="D435" t="s">
        <v>8</v>
      </c>
      <c r="E435" t="s">
        <v>145</v>
      </c>
      <c r="F435" t="s">
        <v>138</v>
      </c>
      <c r="G435" s="9" t="s">
        <v>138</v>
      </c>
      <c r="J435">
        <v>0</v>
      </c>
      <c r="K435">
        <v>0</v>
      </c>
      <c r="M435">
        <v>467</v>
      </c>
    </row>
    <row r="436" spans="1:13" x14ac:dyDescent="0.3">
      <c r="A436">
        <v>41642.507638888892</v>
      </c>
      <c r="B436">
        <v>1800</v>
      </c>
      <c r="C436" s="7">
        <v>41640.021527777775</v>
      </c>
      <c r="D436" t="s">
        <v>208</v>
      </c>
      <c r="E436" t="s">
        <v>14</v>
      </c>
      <c r="F436" t="s">
        <v>138</v>
      </c>
      <c r="G436" s="9" t="s">
        <v>138</v>
      </c>
      <c r="J436">
        <v>0</v>
      </c>
      <c r="K436">
        <v>0</v>
      </c>
      <c r="M436">
        <v>476</v>
      </c>
    </row>
    <row r="437" spans="1:13" x14ac:dyDescent="0.3">
      <c r="A437">
        <v>41642.508333333331</v>
      </c>
      <c r="B437">
        <v>1500</v>
      </c>
      <c r="C437" s="7">
        <v>41640.02847222222</v>
      </c>
      <c r="D437" t="s">
        <v>282</v>
      </c>
      <c r="E437" t="s">
        <v>283</v>
      </c>
      <c r="F437" t="s">
        <v>138</v>
      </c>
      <c r="G437" s="9" t="s">
        <v>138</v>
      </c>
      <c r="J437">
        <v>0</v>
      </c>
      <c r="K437">
        <v>0</v>
      </c>
      <c r="M437">
        <v>500</v>
      </c>
    </row>
    <row r="438" spans="1:13" x14ac:dyDescent="0.3">
      <c r="A438">
        <v>41642.508333333331</v>
      </c>
      <c r="B438">
        <v>1020</v>
      </c>
      <c r="C438" s="7">
        <v>41640.025694444441</v>
      </c>
      <c r="D438" t="s">
        <v>13</v>
      </c>
      <c r="E438" t="s">
        <v>284</v>
      </c>
      <c r="F438" t="s">
        <v>138</v>
      </c>
      <c r="G438" s="9" t="s">
        <v>138</v>
      </c>
      <c r="J438">
        <v>0</v>
      </c>
      <c r="K438">
        <v>0</v>
      </c>
      <c r="M438">
        <v>455</v>
      </c>
    </row>
    <row r="439" spans="1:13" x14ac:dyDescent="0.3">
      <c r="A439">
        <v>41642.510416666664</v>
      </c>
      <c r="B439">
        <v>1380</v>
      </c>
      <c r="C439" s="7">
        <v>41640.038194444445</v>
      </c>
      <c r="D439" t="s">
        <v>211</v>
      </c>
      <c r="E439" t="s">
        <v>134</v>
      </c>
      <c r="F439" t="s">
        <v>138</v>
      </c>
      <c r="G439" s="9" t="s">
        <v>138</v>
      </c>
      <c r="J439">
        <v>0</v>
      </c>
      <c r="K439">
        <v>0</v>
      </c>
      <c r="M439">
        <v>442</v>
      </c>
    </row>
    <row r="440" spans="1:13" x14ac:dyDescent="0.3">
      <c r="A440">
        <v>41642.511111111111</v>
      </c>
      <c r="B440">
        <v>2880</v>
      </c>
      <c r="C440" s="7">
        <v>41640.045138888891</v>
      </c>
      <c r="D440" t="s">
        <v>139</v>
      </c>
      <c r="E440" t="s">
        <v>81</v>
      </c>
      <c r="F440" t="s">
        <v>138</v>
      </c>
      <c r="G440" s="9" t="s">
        <v>138</v>
      </c>
      <c r="J440">
        <v>0</v>
      </c>
      <c r="K440">
        <v>0</v>
      </c>
      <c r="M440">
        <v>458</v>
      </c>
    </row>
    <row r="441" spans="1:13" x14ac:dyDescent="0.3">
      <c r="A441">
        <v>41642.513194444444</v>
      </c>
      <c r="B441">
        <v>900</v>
      </c>
      <c r="C441" s="7">
        <v>41640.010416666664</v>
      </c>
      <c r="D441" t="s">
        <v>10</v>
      </c>
      <c r="E441" t="s">
        <v>144</v>
      </c>
      <c r="F441" t="s">
        <v>138</v>
      </c>
      <c r="G441" s="9" t="s">
        <v>138</v>
      </c>
      <c r="J441">
        <v>0</v>
      </c>
      <c r="K441">
        <v>0</v>
      </c>
      <c r="M441">
        <v>471</v>
      </c>
    </row>
    <row r="442" spans="1:13" x14ac:dyDescent="0.3">
      <c r="A442">
        <v>41642.513888888891</v>
      </c>
      <c r="B442">
        <v>1680</v>
      </c>
      <c r="C442" s="7">
        <v>41640.019444444442</v>
      </c>
      <c r="D442" t="s">
        <v>217</v>
      </c>
      <c r="E442" t="s">
        <v>10</v>
      </c>
      <c r="F442" t="s">
        <v>138</v>
      </c>
      <c r="G442" s="9" t="s">
        <v>138</v>
      </c>
      <c r="J442">
        <v>0</v>
      </c>
      <c r="K442">
        <v>0</v>
      </c>
      <c r="M442">
        <v>486</v>
      </c>
    </row>
    <row r="443" spans="1:13" x14ac:dyDescent="0.3">
      <c r="A443">
        <v>41642.513888888891</v>
      </c>
      <c r="B443">
        <v>2160</v>
      </c>
      <c r="C443" s="7">
        <v>41640.02847222222</v>
      </c>
      <c r="D443" t="s">
        <v>12</v>
      </c>
      <c r="E443" t="s">
        <v>22</v>
      </c>
      <c r="F443" t="s">
        <v>138</v>
      </c>
      <c r="G443" s="9" t="s">
        <v>138</v>
      </c>
      <c r="J443">
        <v>0</v>
      </c>
      <c r="K443">
        <v>0</v>
      </c>
      <c r="M443">
        <v>485</v>
      </c>
    </row>
    <row r="444" spans="1:13" x14ac:dyDescent="0.3">
      <c r="A444">
        <v>41642.513888888891</v>
      </c>
      <c r="B444">
        <v>2040</v>
      </c>
      <c r="C444" s="7">
        <v>41640.023611111108</v>
      </c>
      <c r="D444" t="s">
        <v>285</v>
      </c>
      <c r="E444" t="s">
        <v>15</v>
      </c>
      <c r="F444" t="s">
        <v>138</v>
      </c>
      <c r="G444" s="9" t="s">
        <v>138</v>
      </c>
      <c r="J444">
        <v>0</v>
      </c>
      <c r="K444">
        <v>0</v>
      </c>
      <c r="M444">
        <v>430</v>
      </c>
    </row>
    <row r="445" spans="1:13" x14ac:dyDescent="0.3">
      <c r="A445">
        <v>41642.520833333336</v>
      </c>
      <c r="B445">
        <v>2100</v>
      </c>
      <c r="C445" s="7">
        <v>41640.038194444445</v>
      </c>
      <c r="D445" t="s">
        <v>73</v>
      </c>
      <c r="E445" t="s">
        <v>187</v>
      </c>
      <c r="F445" t="s">
        <v>138</v>
      </c>
      <c r="G445" s="9" t="s">
        <v>138</v>
      </c>
      <c r="J445">
        <v>0</v>
      </c>
      <c r="K445">
        <v>0</v>
      </c>
      <c r="M445">
        <v>454</v>
      </c>
    </row>
    <row r="446" spans="1:13" x14ac:dyDescent="0.3">
      <c r="A446">
        <v>41642.524305555555</v>
      </c>
      <c r="B446">
        <v>540</v>
      </c>
      <c r="C446" s="7">
        <v>41640.013194444444</v>
      </c>
      <c r="D446" t="s">
        <v>98</v>
      </c>
      <c r="E446" t="s">
        <v>286</v>
      </c>
      <c r="F446" t="s">
        <v>138</v>
      </c>
      <c r="G446" s="9" t="s">
        <v>138</v>
      </c>
      <c r="J446">
        <v>0</v>
      </c>
      <c r="K446">
        <v>0</v>
      </c>
      <c r="M446">
        <v>462</v>
      </c>
    </row>
    <row r="447" spans="1:13" x14ac:dyDescent="0.3">
      <c r="A447">
        <v>41642.527777777781</v>
      </c>
      <c r="B447">
        <v>2100</v>
      </c>
      <c r="C447" s="7">
        <v>41640.030555555553</v>
      </c>
      <c r="D447" t="s">
        <v>142</v>
      </c>
      <c r="E447" t="s">
        <v>7</v>
      </c>
      <c r="F447" t="s">
        <v>138</v>
      </c>
      <c r="G447" s="9" t="s">
        <v>138</v>
      </c>
      <c r="J447">
        <v>0</v>
      </c>
      <c r="K447">
        <v>0</v>
      </c>
      <c r="M447">
        <v>502</v>
      </c>
    </row>
    <row r="448" spans="1:13" x14ac:dyDescent="0.3">
      <c r="A448">
        <v>41642.52847222222</v>
      </c>
      <c r="B448">
        <v>1380</v>
      </c>
      <c r="C448" s="7">
        <v>41640.01666666667</v>
      </c>
      <c r="D448" t="s">
        <v>28</v>
      </c>
      <c r="E448" t="s">
        <v>14</v>
      </c>
      <c r="F448" t="s">
        <v>138</v>
      </c>
      <c r="G448" s="9" t="s">
        <v>138</v>
      </c>
      <c r="J448">
        <v>0</v>
      </c>
      <c r="K448">
        <v>0</v>
      </c>
      <c r="M448">
        <v>475</v>
      </c>
    </row>
    <row r="449" spans="1:13" x14ac:dyDescent="0.3">
      <c r="A449">
        <v>41642.53402777778</v>
      </c>
      <c r="B449">
        <v>1320</v>
      </c>
      <c r="C449" s="7">
        <v>41640.025694444441</v>
      </c>
      <c r="D449" t="s">
        <v>15</v>
      </c>
      <c r="E449" t="s">
        <v>274</v>
      </c>
      <c r="F449" t="s">
        <v>138</v>
      </c>
      <c r="G449" s="9" t="s">
        <v>138</v>
      </c>
      <c r="J449">
        <v>0</v>
      </c>
      <c r="K449">
        <v>0</v>
      </c>
      <c r="M449">
        <v>429</v>
      </c>
    </row>
    <row r="450" spans="1:13" x14ac:dyDescent="0.3">
      <c r="A450">
        <v>41642.534722222219</v>
      </c>
      <c r="B450">
        <v>3720</v>
      </c>
      <c r="C450" s="7">
        <v>41640.049305555556</v>
      </c>
      <c r="D450" t="s">
        <v>268</v>
      </c>
      <c r="E450" t="s">
        <v>8</v>
      </c>
      <c r="F450" t="s">
        <v>138</v>
      </c>
      <c r="G450" s="9" t="s">
        <v>138</v>
      </c>
      <c r="J450">
        <v>0</v>
      </c>
      <c r="K450">
        <v>0</v>
      </c>
      <c r="M450">
        <v>479</v>
      </c>
    </row>
    <row r="451" spans="1:13" x14ac:dyDescent="0.3">
      <c r="A451">
        <v>41642.541666666664</v>
      </c>
      <c r="B451">
        <v>1080</v>
      </c>
      <c r="C451" s="7">
        <v>41640.015277777777</v>
      </c>
      <c r="D451" t="s">
        <v>10</v>
      </c>
      <c r="E451" t="s">
        <v>217</v>
      </c>
      <c r="F451" t="s">
        <v>138</v>
      </c>
      <c r="G451" s="9" t="s">
        <v>138</v>
      </c>
      <c r="J451">
        <v>0</v>
      </c>
      <c r="K451">
        <v>0</v>
      </c>
      <c r="M451">
        <v>484</v>
      </c>
    </row>
    <row r="452" spans="1:13" x14ac:dyDescent="0.3">
      <c r="A452">
        <v>41642.541666666664</v>
      </c>
      <c r="B452">
        <v>1440</v>
      </c>
      <c r="C452" s="7">
        <v>41640.035416666666</v>
      </c>
      <c r="D452" t="s">
        <v>66</v>
      </c>
      <c r="E452" t="s">
        <v>10</v>
      </c>
      <c r="F452" t="s">
        <v>138</v>
      </c>
      <c r="G452" s="9" t="s">
        <v>138</v>
      </c>
      <c r="J452">
        <v>0</v>
      </c>
      <c r="K452">
        <v>0</v>
      </c>
      <c r="M452">
        <v>466</v>
      </c>
    </row>
    <row r="453" spans="1:13" x14ac:dyDescent="0.3">
      <c r="A453">
        <v>41642.544444444444</v>
      </c>
      <c r="B453">
        <v>1620</v>
      </c>
      <c r="C453" s="7">
        <v>41640.02847222222</v>
      </c>
      <c r="D453" t="s">
        <v>15</v>
      </c>
      <c r="E453" t="s">
        <v>285</v>
      </c>
      <c r="F453" t="s">
        <v>138</v>
      </c>
      <c r="G453" s="9" t="s">
        <v>138</v>
      </c>
      <c r="J453">
        <v>0</v>
      </c>
      <c r="K453">
        <v>0</v>
      </c>
      <c r="M453">
        <v>432</v>
      </c>
    </row>
    <row r="454" spans="1:13" x14ac:dyDescent="0.3">
      <c r="A454">
        <v>41642.545138888891</v>
      </c>
      <c r="B454">
        <v>1800</v>
      </c>
      <c r="C454" s="7">
        <v>41640.020833333336</v>
      </c>
      <c r="D454" t="s">
        <v>287</v>
      </c>
      <c r="E454" t="s">
        <v>15</v>
      </c>
      <c r="F454" t="s">
        <v>138</v>
      </c>
      <c r="G454" s="9" t="s">
        <v>138</v>
      </c>
      <c r="J454">
        <v>0</v>
      </c>
      <c r="K454">
        <v>0</v>
      </c>
      <c r="M454">
        <v>473</v>
      </c>
    </row>
    <row r="455" spans="1:13" x14ac:dyDescent="0.3">
      <c r="A455">
        <v>41642.545138888891</v>
      </c>
      <c r="B455">
        <v>1200</v>
      </c>
      <c r="C455" s="7">
        <v>41640.025694444441</v>
      </c>
      <c r="D455" t="s">
        <v>288</v>
      </c>
      <c r="E455" t="s">
        <v>50</v>
      </c>
      <c r="F455" t="s">
        <v>138</v>
      </c>
      <c r="G455" s="9" t="s">
        <v>138</v>
      </c>
      <c r="J455">
        <v>0</v>
      </c>
      <c r="K455">
        <v>0</v>
      </c>
      <c r="M455">
        <v>465</v>
      </c>
    </row>
    <row r="456" spans="1:13" x14ac:dyDescent="0.3">
      <c r="A456">
        <v>41642.548611111109</v>
      </c>
      <c r="B456">
        <v>1320</v>
      </c>
      <c r="C456" s="7">
        <v>41640.017361111109</v>
      </c>
      <c r="D456" t="s">
        <v>247</v>
      </c>
      <c r="E456" t="s">
        <v>13</v>
      </c>
      <c r="F456" t="s">
        <v>138</v>
      </c>
      <c r="G456" s="9" t="s">
        <v>138</v>
      </c>
      <c r="J456">
        <v>0</v>
      </c>
      <c r="K456">
        <v>0</v>
      </c>
      <c r="M456">
        <v>439</v>
      </c>
    </row>
    <row r="457" spans="1:13" x14ac:dyDescent="0.3">
      <c r="A457">
        <v>41642.550000000003</v>
      </c>
      <c r="B457">
        <v>2400</v>
      </c>
      <c r="C457" s="7">
        <v>41640.02847222222</v>
      </c>
      <c r="D457" t="s">
        <v>170</v>
      </c>
      <c r="E457" t="s">
        <v>13</v>
      </c>
      <c r="F457" t="s">
        <v>138</v>
      </c>
      <c r="G457" s="9" t="s">
        <v>138</v>
      </c>
      <c r="J457">
        <v>0</v>
      </c>
      <c r="K457">
        <v>0</v>
      </c>
      <c r="M457">
        <v>499</v>
      </c>
    </row>
    <row r="458" spans="1:13" x14ac:dyDescent="0.3">
      <c r="A458">
        <v>41642.550694444442</v>
      </c>
      <c r="B458">
        <v>2760</v>
      </c>
      <c r="C458" s="7">
        <v>41640.031944444447</v>
      </c>
      <c r="D458" t="s">
        <v>15</v>
      </c>
      <c r="E458" t="s">
        <v>215</v>
      </c>
      <c r="F458" t="s">
        <v>138</v>
      </c>
      <c r="G458" s="9" t="s">
        <v>138</v>
      </c>
      <c r="J458">
        <v>0</v>
      </c>
      <c r="K458">
        <v>0</v>
      </c>
      <c r="M458">
        <v>487</v>
      </c>
    </row>
    <row r="459" spans="1:13" x14ac:dyDescent="0.3">
      <c r="A459">
        <v>41642.552083333336</v>
      </c>
      <c r="B459">
        <v>1500</v>
      </c>
      <c r="C459" s="7">
        <v>41640.024305555555</v>
      </c>
      <c r="D459" t="s">
        <v>14</v>
      </c>
      <c r="E459" t="s">
        <v>208</v>
      </c>
      <c r="F459" t="s">
        <v>138</v>
      </c>
      <c r="G459" s="9" t="s">
        <v>138</v>
      </c>
      <c r="J459">
        <v>0</v>
      </c>
      <c r="K459">
        <v>0</v>
      </c>
      <c r="M459">
        <v>461</v>
      </c>
    </row>
    <row r="460" spans="1:13" x14ac:dyDescent="0.3">
      <c r="A460">
        <v>41642.555555555555</v>
      </c>
      <c r="B460">
        <v>1320</v>
      </c>
      <c r="C460" s="7">
        <v>41640.015277777777</v>
      </c>
      <c r="D460" t="s">
        <v>191</v>
      </c>
      <c r="E460" t="s">
        <v>10</v>
      </c>
      <c r="F460" t="s">
        <v>138</v>
      </c>
      <c r="G460" s="9" t="s">
        <v>138</v>
      </c>
      <c r="J460">
        <v>0</v>
      </c>
      <c r="K460">
        <v>0</v>
      </c>
      <c r="M460">
        <v>460</v>
      </c>
    </row>
    <row r="461" spans="1:13" x14ac:dyDescent="0.3">
      <c r="A461">
        <v>41642.556944444441</v>
      </c>
      <c r="B461">
        <v>900</v>
      </c>
      <c r="C461" s="7">
        <v>41640.029861111114</v>
      </c>
      <c r="D461" t="s">
        <v>141</v>
      </c>
      <c r="E461" t="s">
        <v>15</v>
      </c>
      <c r="F461" t="s">
        <v>138</v>
      </c>
      <c r="G461" s="9" t="s">
        <v>138</v>
      </c>
      <c r="J461">
        <v>0</v>
      </c>
      <c r="K461">
        <v>0</v>
      </c>
      <c r="M461">
        <v>483</v>
      </c>
    </row>
    <row r="462" spans="1:13" x14ac:dyDescent="0.3">
      <c r="A462">
        <v>41642.5625</v>
      </c>
      <c r="B462">
        <v>600</v>
      </c>
      <c r="C462" s="7">
        <v>41640.010416666664</v>
      </c>
      <c r="D462" t="s">
        <v>149</v>
      </c>
      <c r="E462" t="s">
        <v>151</v>
      </c>
      <c r="F462" t="s">
        <v>138</v>
      </c>
      <c r="G462" s="9" t="s">
        <v>138</v>
      </c>
      <c r="J462">
        <v>0</v>
      </c>
      <c r="K462">
        <v>0</v>
      </c>
      <c r="M462">
        <v>434</v>
      </c>
    </row>
    <row r="463" spans="1:13" x14ac:dyDescent="0.3">
      <c r="A463">
        <v>41642.564583333333</v>
      </c>
      <c r="B463">
        <v>600</v>
      </c>
      <c r="C463" s="7">
        <v>41640.022222222222</v>
      </c>
      <c r="D463" t="s">
        <v>22</v>
      </c>
      <c r="E463" t="s">
        <v>12</v>
      </c>
      <c r="F463" t="s">
        <v>138</v>
      </c>
      <c r="G463" s="9" t="s">
        <v>138</v>
      </c>
      <c r="J463">
        <v>0</v>
      </c>
      <c r="K463">
        <v>0</v>
      </c>
      <c r="M463">
        <v>440</v>
      </c>
    </row>
    <row r="464" spans="1:13" x14ac:dyDescent="0.3">
      <c r="A464">
        <v>41642.569444444445</v>
      </c>
      <c r="B464">
        <v>960</v>
      </c>
      <c r="C464" s="7">
        <v>41640.015277777777</v>
      </c>
      <c r="D464" t="s">
        <v>289</v>
      </c>
      <c r="E464" t="s">
        <v>13</v>
      </c>
      <c r="F464" t="s">
        <v>138</v>
      </c>
      <c r="G464" s="9" t="s">
        <v>138</v>
      </c>
      <c r="J464">
        <v>0</v>
      </c>
      <c r="K464">
        <v>0</v>
      </c>
      <c r="M464">
        <v>464</v>
      </c>
    </row>
    <row r="465" spans="1:13" x14ac:dyDescent="0.3">
      <c r="A465">
        <v>41642.574305555558</v>
      </c>
      <c r="B465">
        <v>240</v>
      </c>
      <c r="C465" s="7">
        <v>41640.009722222225</v>
      </c>
      <c r="D465" t="s">
        <v>13</v>
      </c>
      <c r="E465" t="s">
        <v>247</v>
      </c>
      <c r="F465" t="s">
        <v>138</v>
      </c>
      <c r="G465" s="9" t="s">
        <v>138</v>
      </c>
      <c r="J465">
        <v>0</v>
      </c>
      <c r="K465">
        <v>0</v>
      </c>
      <c r="M465">
        <v>501</v>
      </c>
    </row>
    <row r="466" spans="1:13" x14ac:dyDescent="0.3">
      <c r="A466">
        <v>41642.57708333333</v>
      </c>
      <c r="B466">
        <v>1440</v>
      </c>
      <c r="C466" s="7">
        <v>41640.01666666667</v>
      </c>
      <c r="D466" t="s">
        <v>15</v>
      </c>
      <c r="E466" t="s">
        <v>287</v>
      </c>
      <c r="F466" t="s">
        <v>138</v>
      </c>
      <c r="G466" s="9" t="s">
        <v>138</v>
      </c>
      <c r="J466">
        <v>0</v>
      </c>
      <c r="K466">
        <v>0</v>
      </c>
      <c r="M466">
        <v>474</v>
      </c>
    </row>
    <row r="467" spans="1:13" x14ac:dyDescent="0.3">
      <c r="A467">
        <v>41642.578472222223</v>
      </c>
      <c r="B467">
        <v>480</v>
      </c>
      <c r="C467" s="7">
        <v>41640.024305555555</v>
      </c>
      <c r="D467" t="s">
        <v>50</v>
      </c>
      <c r="E467" t="s">
        <v>288</v>
      </c>
      <c r="F467" t="s">
        <v>138</v>
      </c>
      <c r="G467" s="9" t="s">
        <v>138</v>
      </c>
      <c r="J467">
        <v>0</v>
      </c>
      <c r="K467">
        <v>0</v>
      </c>
      <c r="M467">
        <v>496</v>
      </c>
    </row>
    <row r="468" spans="1:13" x14ac:dyDescent="0.3">
      <c r="A468">
        <v>41642.579861111109</v>
      </c>
      <c r="B468">
        <v>2340</v>
      </c>
      <c r="C468" s="7">
        <v>41640.029861111114</v>
      </c>
      <c r="D468" t="s">
        <v>38</v>
      </c>
      <c r="E468" t="s">
        <v>46</v>
      </c>
      <c r="F468" t="s">
        <v>138</v>
      </c>
      <c r="G468" s="9" t="s">
        <v>138</v>
      </c>
      <c r="J468">
        <v>0</v>
      </c>
      <c r="K468">
        <v>0</v>
      </c>
      <c r="M468">
        <v>456</v>
      </c>
    </row>
    <row r="469" spans="1:13" x14ac:dyDescent="0.3">
      <c r="A469">
        <v>41642.579861111109</v>
      </c>
      <c r="B469">
        <v>1440</v>
      </c>
      <c r="C469" s="7">
        <v>41640.02847222222</v>
      </c>
      <c r="D469" t="s">
        <v>192</v>
      </c>
      <c r="E469" t="s">
        <v>50</v>
      </c>
      <c r="F469" t="s">
        <v>138</v>
      </c>
      <c r="G469" s="9" t="s">
        <v>138</v>
      </c>
      <c r="J469">
        <v>0</v>
      </c>
      <c r="K469">
        <v>0</v>
      </c>
      <c r="M469">
        <v>431</v>
      </c>
    </row>
    <row r="470" spans="1:13" x14ac:dyDescent="0.3">
      <c r="A470">
        <v>41642.581250000003</v>
      </c>
      <c r="B470">
        <v>1920</v>
      </c>
      <c r="C470" s="7">
        <v>41640.022222222222</v>
      </c>
      <c r="D470" t="s">
        <v>14</v>
      </c>
      <c r="E470" t="s">
        <v>28</v>
      </c>
      <c r="F470" t="s">
        <v>138</v>
      </c>
      <c r="G470" s="9" t="s">
        <v>138</v>
      </c>
      <c r="J470">
        <v>0</v>
      </c>
      <c r="K470">
        <v>0</v>
      </c>
      <c r="M470">
        <v>493</v>
      </c>
    </row>
    <row r="471" spans="1:13" x14ac:dyDescent="0.3">
      <c r="A471">
        <v>41642.583333333336</v>
      </c>
      <c r="B471">
        <v>900</v>
      </c>
      <c r="C471" s="7">
        <v>41640.019444444442</v>
      </c>
      <c r="D471" t="s">
        <v>13</v>
      </c>
      <c r="E471" t="s">
        <v>170</v>
      </c>
      <c r="F471" t="s">
        <v>138</v>
      </c>
      <c r="G471" s="9" t="s">
        <v>138</v>
      </c>
      <c r="J471">
        <v>0</v>
      </c>
      <c r="K471">
        <v>0</v>
      </c>
      <c r="M471">
        <v>463</v>
      </c>
    </row>
    <row r="472" spans="1:13" x14ac:dyDescent="0.3">
      <c r="A472">
        <v>41642.584722222222</v>
      </c>
      <c r="B472">
        <v>540</v>
      </c>
      <c r="C472" s="7">
        <v>41640.011805555558</v>
      </c>
      <c r="D472" t="s">
        <v>40</v>
      </c>
      <c r="E472" t="s">
        <v>13</v>
      </c>
      <c r="F472" t="s">
        <v>138</v>
      </c>
      <c r="G472" s="9" t="s">
        <v>138</v>
      </c>
      <c r="J472">
        <v>0</v>
      </c>
      <c r="K472">
        <v>0</v>
      </c>
      <c r="M472">
        <v>447</v>
      </c>
    </row>
    <row r="473" spans="1:13" x14ac:dyDescent="0.3">
      <c r="A473">
        <v>41642.585416666669</v>
      </c>
      <c r="B473">
        <v>1500</v>
      </c>
      <c r="C473" s="7">
        <v>41640.018055555556</v>
      </c>
      <c r="D473" t="s">
        <v>10</v>
      </c>
      <c r="E473" t="s">
        <v>191</v>
      </c>
      <c r="F473" t="s">
        <v>138</v>
      </c>
      <c r="G473" s="9" t="s">
        <v>138</v>
      </c>
      <c r="J473">
        <v>0</v>
      </c>
      <c r="K473">
        <v>0</v>
      </c>
      <c r="M473">
        <v>445</v>
      </c>
    </row>
    <row r="474" spans="1:13" x14ac:dyDescent="0.3">
      <c r="A474">
        <v>41642.586111111108</v>
      </c>
      <c r="B474">
        <v>1980</v>
      </c>
      <c r="C474" s="7">
        <v>41640.027083333334</v>
      </c>
      <c r="D474" t="s">
        <v>145</v>
      </c>
      <c r="E474" t="s">
        <v>33</v>
      </c>
      <c r="F474" t="s">
        <v>138</v>
      </c>
      <c r="G474" s="9" t="s">
        <v>138</v>
      </c>
      <c r="J474">
        <v>0</v>
      </c>
      <c r="K474">
        <v>0</v>
      </c>
      <c r="M474">
        <v>453</v>
      </c>
    </row>
    <row r="475" spans="1:13" x14ac:dyDescent="0.3">
      <c r="A475">
        <v>41642.59097222222</v>
      </c>
      <c r="B475">
        <v>1500</v>
      </c>
      <c r="C475" s="7">
        <v>41640.017361111109</v>
      </c>
      <c r="D475" t="s">
        <v>15</v>
      </c>
      <c r="E475" t="s">
        <v>33</v>
      </c>
      <c r="F475" t="s">
        <v>138</v>
      </c>
      <c r="G475" s="9" t="s">
        <v>138</v>
      </c>
      <c r="J475">
        <v>0</v>
      </c>
      <c r="K475">
        <v>0</v>
      </c>
      <c r="M475">
        <v>477</v>
      </c>
    </row>
    <row r="476" spans="1:13" x14ac:dyDescent="0.3">
      <c r="A476">
        <v>41642.592361111114</v>
      </c>
      <c r="B476">
        <v>1140</v>
      </c>
      <c r="C476" s="7">
        <v>41640.027777777781</v>
      </c>
      <c r="D476" t="s">
        <v>10</v>
      </c>
      <c r="E476" t="s">
        <v>66</v>
      </c>
      <c r="F476" t="s">
        <v>138</v>
      </c>
      <c r="G476" s="9" t="s">
        <v>138</v>
      </c>
      <c r="J476">
        <v>0</v>
      </c>
      <c r="K476">
        <v>0</v>
      </c>
      <c r="M476">
        <v>459</v>
      </c>
    </row>
    <row r="477" spans="1:13" x14ac:dyDescent="0.3">
      <c r="A477">
        <v>41642.592361111114</v>
      </c>
      <c r="B477">
        <v>1080</v>
      </c>
      <c r="C477" s="7">
        <v>41640.012499999997</v>
      </c>
      <c r="D477" t="s">
        <v>13</v>
      </c>
      <c r="E477" t="s">
        <v>289</v>
      </c>
      <c r="F477" t="s">
        <v>138</v>
      </c>
      <c r="G477" s="9" t="s">
        <v>138</v>
      </c>
      <c r="J477">
        <v>0</v>
      </c>
      <c r="K477">
        <v>0</v>
      </c>
      <c r="M477">
        <v>435</v>
      </c>
    </row>
    <row r="478" spans="1:13" x14ac:dyDescent="0.3">
      <c r="A478">
        <v>41642.59375</v>
      </c>
      <c r="B478">
        <v>900</v>
      </c>
      <c r="C478" s="7">
        <v>41640.020833333336</v>
      </c>
      <c r="D478" t="s">
        <v>41</v>
      </c>
      <c r="E478" t="s">
        <v>14</v>
      </c>
      <c r="F478" t="s">
        <v>138</v>
      </c>
      <c r="G478" s="9" t="s">
        <v>138</v>
      </c>
      <c r="J478">
        <v>0</v>
      </c>
      <c r="K478">
        <v>0</v>
      </c>
      <c r="M478">
        <v>503</v>
      </c>
    </row>
    <row r="479" spans="1:13" x14ac:dyDescent="0.3">
      <c r="A479">
        <v>41642.597222222219</v>
      </c>
      <c r="B479">
        <v>1860</v>
      </c>
      <c r="C479" s="7">
        <v>41640.026388888888</v>
      </c>
      <c r="D479" t="s">
        <v>231</v>
      </c>
      <c r="E479" t="s">
        <v>13</v>
      </c>
      <c r="F479" t="s">
        <v>138</v>
      </c>
      <c r="G479" s="9" t="s">
        <v>138</v>
      </c>
      <c r="J479">
        <v>0</v>
      </c>
      <c r="K479">
        <v>0</v>
      </c>
      <c r="M479">
        <v>441</v>
      </c>
    </row>
    <row r="480" spans="1:13" x14ac:dyDescent="0.3">
      <c r="A480">
        <v>41642.599305555559</v>
      </c>
      <c r="B480">
        <v>360</v>
      </c>
      <c r="C480" s="7">
        <v>41640.011805555558</v>
      </c>
      <c r="D480" t="s">
        <v>40</v>
      </c>
      <c r="E480" t="s">
        <v>13</v>
      </c>
      <c r="F480" t="s">
        <v>138</v>
      </c>
      <c r="G480" s="9" t="s">
        <v>138</v>
      </c>
      <c r="J480">
        <v>0</v>
      </c>
      <c r="K480">
        <v>0</v>
      </c>
      <c r="M480">
        <v>448</v>
      </c>
    </row>
    <row r="481" spans="1:13" x14ac:dyDescent="0.3">
      <c r="A481">
        <v>41642.6</v>
      </c>
      <c r="B481">
        <v>1740</v>
      </c>
      <c r="C481" s="7">
        <v>41640.020138888889</v>
      </c>
      <c r="D481" t="s">
        <v>265</v>
      </c>
      <c r="E481" t="s">
        <v>13</v>
      </c>
      <c r="F481" t="s">
        <v>138</v>
      </c>
      <c r="G481" s="9" t="s">
        <v>138</v>
      </c>
      <c r="J481">
        <v>0</v>
      </c>
      <c r="K481">
        <v>0</v>
      </c>
      <c r="M481">
        <v>446</v>
      </c>
    </row>
    <row r="482" spans="1:13" x14ac:dyDescent="0.3">
      <c r="A482">
        <v>41642.601388888892</v>
      </c>
      <c r="B482">
        <v>2460</v>
      </c>
      <c r="C482" s="7">
        <v>41640.029166666667</v>
      </c>
      <c r="D482" t="s">
        <v>278</v>
      </c>
      <c r="E482" t="s">
        <v>181</v>
      </c>
      <c r="F482" t="s">
        <v>138</v>
      </c>
      <c r="G482" s="9" t="s">
        <v>138</v>
      </c>
      <c r="J482">
        <v>0</v>
      </c>
      <c r="K482">
        <v>0</v>
      </c>
      <c r="M482">
        <v>478</v>
      </c>
    </row>
    <row r="483" spans="1:13" x14ac:dyDescent="0.3">
      <c r="A483">
        <v>41642.602083333331</v>
      </c>
      <c r="B483">
        <v>2220</v>
      </c>
      <c r="C483" s="7">
        <v>41640.035416666666</v>
      </c>
      <c r="D483" t="s">
        <v>290</v>
      </c>
      <c r="E483" t="s">
        <v>13</v>
      </c>
      <c r="F483" t="s">
        <v>138</v>
      </c>
      <c r="G483" s="9" t="s">
        <v>138</v>
      </c>
      <c r="J483">
        <v>0</v>
      </c>
      <c r="K483">
        <v>0</v>
      </c>
      <c r="M483">
        <v>498</v>
      </c>
    </row>
    <row r="484" spans="1:13" x14ac:dyDescent="0.3">
      <c r="A484">
        <v>41642.602083333331</v>
      </c>
      <c r="B484">
        <v>1380</v>
      </c>
      <c r="C484" s="7">
        <v>41640.032638888886</v>
      </c>
      <c r="D484" t="s">
        <v>100</v>
      </c>
      <c r="E484" t="s">
        <v>39</v>
      </c>
      <c r="F484" t="s">
        <v>138</v>
      </c>
      <c r="G484" s="9" t="s">
        <v>138</v>
      </c>
      <c r="J484">
        <v>0</v>
      </c>
      <c r="K484">
        <v>0</v>
      </c>
      <c r="M484">
        <v>468</v>
      </c>
    </row>
    <row r="485" spans="1:13" x14ac:dyDescent="0.3">
      <c r="A485">
        <v>41642.602777777778</v>
      </c>
      <c r="B485">
        <v>1860</v>
      </c>
      <c r="C485" s="7">
        <v>41640.021527777775</v>
      </c>
      <c r="D485" t="s">
        <v>189</v>
      </c>
      <c r="E485" t="s">
        <v>30</v>
      </c>
      <c r="F485" t="s">
        <v>138</v>
      </c>
      <c r="G485" s="9" t="s">
        <v>138</v>
      </c>
      <c r="J485">
        <v>0</v>
      </c>
      <c r="K485">
        <v>0</v>
      </c>
      <c r="M485">
        <v>494</v>
      </c>
    </row>
    <row r="486" spans="1:13" x14ac:dyDescent="0.3">
      <c r="A486">
        <v>41642.602777777778</v>
      </c>
      <c r="B486">
        <v>1260</v>
      </c>
      <c r="C486" s="7">
        <v>41640.01458333333</v>
      </c>
      <c r="D486" t="s">
        <v>291</v>
      </c>
      <c r="E486" t="s">
        <v>30</v>
      </c>
      <c r="F486" t="s">
        <v>138</v>
      </c>
      <c r="G486" s="9" t="s">
        <v>138</v>
      </c>
      <c r="J486">
        <v>0</v>
      </c>
      <c r="K486">
        <v>0</v>
      </c>
      <c r="M486">
        <v>436</v>
      </c>
    </row>
    <row r="487" spans="1:13" x14ac:dyDescent="0.3">
      <c r="A487">
        <v>41642.606249999997</v>
      </c>
      <c r="B487">
        <v>4020</v>
      </c>
      <c r="C487" s="7">
        <v>41640.046527777777</v>
      </c>
      <c r="D487" t="s">
        <v>292</v>
      </c>
      <c r="E487" t="s">
        <v>7</v>
      </c>
      <c r="F487" t="s">
        <v>138</v>
      </c>
      <c r="G487" s="9" t="s">
        <v>138</v>
      </c>
      <c r="J487">
        <v>0</v>
      </c>
      <c r="K487">
        <v>0</v>
      </c>
      <c r="M487">
        <v>488</v>
      </c>
    </row>
    <row r="488" spans="1:13" x14ac:dyDescent="0.3">
      <c r="A488">
        <v>41642.607638888891</v>
      </c>
      <c r="B488">
        <v>2280</v>
      </c>
      <c r="C488" s="7">
        <v>41640.029166666667</v>
      </c>
      <c r="D488" t="s">
        <v>151</v>
      </c>
      <c r="E488" t="s">
        <v>149</v>
      </c>
      <c r="F488" t="s">
        <v>138</v>
      </c>
      <c r="G488" s="9" t="s">
        <v>138</v>
      </c>
      <c r="J488">
        <v>0</v>
      </c>
      <c r="K488">
        <v>0</v>
      </c>
      <c r="M488">
        <v>492</v>
      </c>
    </row>
    <row r="489" spans="1:13" x14ac:dyDescent="0.3">
      <c r="A489">
        <v>41642.607638888891</v>
      </c>
      <c r="B489">
        <v>3000</v>
      </c>
      <c r="C489" s="7">
        <v>41640.034722222219</v>
      </c>
      <c r="D489" t="s">
        <v>8</v>
      </c>
      <c r="E489" t="s">
        <v>268</v>
      </c>
      <c r="F489" t="s">
        <v>138</v>
      </c>
      <c r="G489" s="9" t="s">
        <v>138</v>
      </c>
      <c r="J489">
        <v>0</v>
      </c>
      <c r="K489">
        <v>0</v>
      </c>
      <c r="M489">
        <v>437</v>
      </c>
    </row>
    <row r="490" spans="1:13" x14ac:dyDescent="0.3">
      <c r="A490">
        <v>41642.60833333333</v>
      </c>
      <c r="B490">
        <v>2460</v>
      </c>
      <c r="C490" s="7">
        <v>41640.03402777778</v>
      </c>
      <c r="D490" t="s">
        <v>30</v>
      </c>
      <c r="E490" t="s">
        <v>236</v>
      </c>
      <c r="F490" t="s">
        <v>138</v>
      </c>
      <c r="G490" s="9" t="s">
        <v>138</v>
      </c>
      <c r="J490">
        <v>0</v>
      </c>
      <c r="K490">
        <v>0</v>
      </c>
      <c r="M490">
        <v>457</v>
      </c>
    </row>
    <row r="491" spans="1:13" x14ac:dyDescent="0.3">
      <c r="A491">
        <v>41642.609722222223</v>
      </c>
      <c r="B491">
        <v>840</v>
      </c>
      <c r="C491" s="7">
        <v>41640.015972222223</v>
      </c>
      <c r="D491" t="s">
        <v>50</v>
      </c>
      <c r="E491" t="s">
        <v>293</v>
      </c>
      <c r="F491" t="s">
        <v>138</v>
      </c>
      <c r="G491" s="9" t="s">
        <v>138</v>
      </c>
      <c r="J491">
        <v>0</v>
      </c>
      <c r="K491">
        <v>0</v>
      </c>
      <c r="M491">
        <v>472</v>
      </c>
    </row>
    <row r="492" spans="1:13" x14ac:dyDescent="0.3">
      <c r="A492">
        <v>41642.613194444442</v>
      </c>
      <c r="B492">
        <v>3360</v>
      </c>
      <c r="C492" s="7">
        <v>41640.045138888891</v>
      </c>
      <c r="D492" t="s">
        <v>254</v>
      </c>
      <c r="E492" t="s">
        <v>174</v>
      </c>
      <c r="F492" t="s">
        <v>138</v>
      </c>
      <c r="G492" s="9" t="s">
        <v>138</v>
      </c>
      <c r="J492">
        <v>0</v>
      </c>
      <c r="K492">
        <v>0</v>
      </c>
      <c r="M492">
        <v>470</v>
      </c>
    </row>
    <row r="493" spans="1:13" x14ac:dyDescent="0.3">
      <c r="A493">
        <v>41642.615972222222</v>
      </c>
      <c r="B493">
        <v>1560</v>
      </c>
      <c r="C493" s="7">
        <v>41640.021527777775</v>
      </c>
      <c r="D493" t="s">
        <v>15</v>
      </c>
      <c r="E493" t="s">
        <v>294</v>
      </c>
      <c r="F493" t="s">
        <v>138</v>
      </c>
      <c r="G493" s="9" t="s">
        <v>138</v>
      </c>
      <c r="J493">
        <v>0</v>
      </c>
      <c r="K493">
        <v>0</v>
      </c>
      <c r="M493">
        <v>449</v>
      </c>
    </row>
    <row r="494" spans="1:13" x14ac:dyDescent="0.3">
      <c r="A494">
        <v>41642.615972222222</v>
      </c>
      <c r="B494">
        <v>1320</v>
      </c>
      <c r="C494" s="7">
        <v>41640.015277777777</v>
      </c>
      <c r="D494" t="s">
        <v>98</v>
      </c>
      <c r="E494" t="s">
        <v>142</v>
      </c>
      <c r="F494" t="s">
        <v>138</v>
      </c>
      <c r="G494" s="9" t="s">
        <v>138</v>
      </c>
      <c r="J494">
        <v>0</v>
      </c>
      <c r="K494">
        <v>0</v>
      </c>
      <c r="M494">
        <v>443</v>
      </c>
    </row>
    <row r="495" spans="1:13" x14ac:dyDescent="0.3">
      <c r="A495">
        <v>41642.616666666669</v>
      </c>
      <c r="B495">
        <v>1380</v>
      </c>
      <c r="C495" s="7">
        <v>41640.029166666667</v>
      </c>
      <c r="D495" t="s">
        <v>13</v>
      </c>
      <c r="E495" t="s">
        <v>17</v>
      </c>
      <c r="F495" t="s">
        <v>138</v>
      </c>
      <c r="G495" s="9" t="s">
        <v>138</v>
      </c>
      <c r="J495">
        <v>0</v>
      </c>
      <c r="K495">
        <v>0</v>
      </c>
      <c r="M495">
        <v>438</v>
      </c>
    </row>
    <row r="496" spans="1:13" x14ac:dyDescent="0.3">
      <c r="A496">
        <v>41642.620833333334</v>
      </c>
      <c r="B496">
        <v>1320</v>
      </c>
      <c r="C496" s="7">
        <v>41640.034722222219</v>
      </c>
      <c r="D496" t="s">
        <v>158</v>
      </c>
      <c r="E496" t="s">
        <v>295</v>
      </c>
      <c r="F496" t="s">
        <v>138</v>
      </c>
      <c r="G496" s="9" t="s">
        <v>138</v>
      </c>
      <c r="J496">
        <v>0</v>
      </c>
      <c r="K496">
        <v>0</v>
      </c>
      <c r="M496">
        <v>490</v>
      </c>
    </row>
    <row r="497" spans="1:13" x14ac:dyDescent="0.3">
      <c r="A497">
        <v>41642.62222222222</v>
      </c>
      <c r="B497">
        <v>840</v>
      </c>
      <c r="C497" s="7">
        <v>41640.020138888889</v>
      </c>
      <c r="D497" t="s">
        <v>13</v>
      </c>
      <c r="E497" t="s">
        <v>265</v>
      </c>
      <c r="F497" t="s">
        <v>138</v>
      </c>
      <c r="G497" s="9" t="s">
        <v>138</v>
      </c>
      <c r="J497">
        <v>0</v>
      </c>
      <c r="K497">
        <v>0</v>
      </c>
      <c r="M497">
        <v>452</v>
      </c>
    </row>
    <row r="498" spans="1:13" x14ac:dyDescent="0.3">
      <c r="A498">
        <v>41642.629861111112</v>
      </c>
      <c r="B498">
        <v>1800</v>
      </c>
      <c r="C498" s="7">
        <v>41640.020833333336</v>
      </c>
      <c r="D498" t="s">
        <v>14</v>
      </c>
      <c r="E498" t="s">
        <v>41</v>
      </c>
      <c r="F498" t="s">
        <v>138</v>
      </c>
      <c r="G498" s="9" t="s">
        <v>138</v>
      </c>
      <c r="J498">
        <v>0</v>
      </c>
      <c r="K498">
        <v>0</v>
      </c>
      <c r="M498">
        <v>444</v>
      </c>
    </row>
    <row r="499" spans="1:13" x14ac:dyDescent="0.3">
      <c r="A499">
        <v>41642.636805555558</v>
      </c>
      <c r="B499">
        <v>1260</v>
      </c>
      <c r="C499" s="7">
        <v>41640.020833333336</v>
      </c>
      <c r="D499" t="s">
        <v>13</v>
      </c>
      <c r="E499" t="s">
        <v>231</v>
      </c>
      <c r="F499" t="s">
        <v>138</v>
      </c>
      <c r="G499" s="9" t="s">
        <v>138</v>
      </c>
      <c r="J499">
        <v>0</v>
      </c>
      <c r="K499">
        <v>0</v>
      </c>
      <c r="M499">
        <v>491</v>
      </c>
    </row>
    <row r="500" spans="1:13" x14ac:dyDescent="0.3">
      <c r="A500">
        <v>41642.642361111109</v>
      </c>
      <c r="B500">
        <v>1260</v>
      </c>
      <c r="C500" s="7">
        <v>41640.022916666669</v>
      </c>
      <c r="D500" t="s">
        <v>296</v>
      </c>
      <c r="E500" t="s">
        <v>17</v>
      </c>
      <c r="F500" t="s">
        <v>138</v>
      </c>
      <c r="G500" s="9" t="s">
        <v>138</v>
      </c>
      <c r="J500">
        <v>0</v>
      </c>
      <c r="K500">
        <v>0</v>
      </c>
      <c r="M500">
        <v>451</v>
      </c>
    </row>
    <row r="501" spans="1:13" x14ac:dyDescent="0.3">
      <c r="A501">
        <v>41642.645138888889</v>
      </c>
      <c r="B501">
        <v>540</v>
      </c>
      <c r="C501" s="7">
        <v>41640.019444444442</v>
      </c>
      <c r="D501" t="s">
        <v>38</v>
      </c>
      <c r="E501" t="s">
        <v>7</v>
      </c>
      <c r="F501" t="s">
        <v>138</v>
      </c>
      <c r="G501" s="9" t="s">
        <v>138</v>
      </c>
      <c r="J501">
        <v>0</v>
      </c>
      <c r="K501">
        <v>0</v>
      </c>
      <c r="M501">
        <v>481</v>
      </c>
    </row>
    <row r="502" spans="1:13" x14ac:dyDescent="0.3">
      <c r="A502">
        <v>41642.645833333336</v>
      </c>
      <c r="B502">
        <v>480</v>
      </c>
      <c r="C502" s="7">
        <v>41640.025694444441</v>
      </c>
      <c r="D502" t="s">
        <v>95</v>
      </c>
      <c r="E502" t="s">
        <v>46</v>
      </c>
      <c r="F502" t="s">
        <v>138</v>
      </c>
      <c r="G502" s="9" t="s">
        <v>138</v>
      </c>
      <c r="J502">
        <v>0</v>
      </c>
      <c r="K502">
        <v>0</v>
      </c>
      <c r="M502">
        <v>450</v>
      </c>
    </row>
    <row r="503" spans="1:13" x14ac:dyDescent="0.3">
      <c r="A503">
        <v>41642.654861111114</v>
      </c>
      <c r="B503">
        <v>420</v>
      </c>
      <c r="C503" s="7">
        <v>41640.013194444444</v>
      </c>
      <c r="D503" t="s">
        <v>30</v>
      </c>
      <c r="E503" t="s">
        <v>291</v>
      </c>
      <c r="F503" t="s">
        <v>138</v>
      </c>
      <c r="G503" s="9" t="s">
        <v>138</v>
      </c>
      <c r="J503">
        <v>0</v>
      </c>
      <c r="K503">
        <v>0</v>
      </c>
      <c r="M503">
        <v>489</v>
      </c>
    </row>
    <row r="504" spans="1:13" x14ac:dyDescent="0.3">
      <c r="A504">
        <v>41642.659722222219</v>
      </c>
      <c r="B504">
        <v>1860</v>
      </c>
      <c r="C504" s="7">
        <v>41640.021527777775</v>
      </c>
      <c r="D504" t="s">
        <v>297</v>
      </c>
      <c r="E504" t="s">
        <v>43</v>
      </c>
      <c r="F504" t="s">
        <v>138</v>
      </c>
      <c r="G504" s="9" t="s">
        <v>138</v>
      </c>
      <c r="J504">
        <v>0</v>
      </c>
      <c r="K504">
        <v>0</v>
      </c>
      <c r="M504">
        <v>495</v>
      </c>
    </row>
    <row r="505" spans="1:13" x14ac:dyDescent="0.3">
      <c r="A505">
        <v>41642.664583333331</v>
      </c>
      <c r="B505">
        <v>1620</v>
      </c>
      <c r="C505" s="7">
        <v>41640.020138888889</v>
      </c>
      <c r="D505" t="s">
        <v>13</v>
      </c>
      <c r="E505" t="s">
        <v>290</v>
      </c>
      <c r="F505" t="s">
        <v>138</v>
      </c>
      <c r="G505" s="9" t="s">
        <v>138</v>
      </c>
      <c r="J505">
        <v>0</v>
      </c>
      <c r="K505">
        <v>0</v>
      </c>
      <c r="M505">
        <v>469</v>
      </c>
    </row>
    <row r="506" spans="1:13" x14ac:dyDescent="0.3">
      <c r="A506">
        <v>41642.666666666664</v>
      </c>
      <c r="B506">
        <v>2940</v>
      </c>
      <c r="C506" s="7">
        <v>41640.03402777778</v>
      </c>
      <c r="D506" t="s">
        <v>278</v>
      </c>
      <c r="E506" t="s">
        <v>7</v>
      </c>
      <c r="F506" t="s">
        <v>138</v>
      </c>
      <c r="G506" s="9" t="s">
        <v>138</v>
      </c>
      <c r="J506">
        <v>0</v>
      </c>
      <c r="K506">
        <v>0</v>
      </c>
      <c r="M506">
        <v>508</v>
      </c>
    </row>
    <row r="507" spans="1:13" x14ac:dyDescent="0.3">
      <c r="A507">
        <v>41642.668749999997</v>
      </c>
      <c r="B507">
        <v>2460</v>
      </c>
      <c r="C507" s="7">
        <v>41640.031944444447</v>
      </c>
      <c r="D507" t="s">
        <v>95</v>
      </c>
      <c r="E507" t="s">
        <v>7</v>
      </c>
      <c r="F507" t="s">
        <v>138</v>
      </c>
      <c r="G507" s="9" t="s">
        <v>138</v>
      </c>
      <c r="J507">
        <v>0</v>
      </c>
      <c r="K507">
        <v>0</v>
      </c>
      <c r="M507">
        <v>515</v>
      </c>
    </row>
    <row r="508" spans="1:13" x14ac:dyDescent="0.3">
      <c r="A508">
        <v>41642.669444444444</v>
      </c>
      <c r="B508">
        <v>960</v>
      </c>
      <c r="C508" s="7">
        <v>41640.021527777775</v>
      </c>
      <c r="D508" t="s">
        <v>40</v>
      </c>
      <c r="E508" t="s">
        <v>156</v>
      </c>
      <c r="F508" t="s">
        <v>138</v>
      </c>
      <c r="G508" s="9" t="s">
        <v>138</v>
      </c>
      <c r="J508">
        <v>0</v>
      </c>
      <c r="K508">
        <v>0</v>
      </c>
      <c r="M508">
        <v>536</v>
      </c>
    </row>
    <row r="509" spans="1:13" x14ac:dyDescent="0.3">
      <c r="A509">
        <v>41642.677777777775</v>
      </c>
      <c r="B509">
        <v>720</v>
      </c>
      <c r="C509" s="7">
        <v>41640.021527777775</v>
      </c>
      <c r="D509" t="s">
        <v>30</v>
      </c>
      <c r="E509" t="s">
        <v>193</v>
      </c>
      <c r="F509" t="s">
        <v>138</v>
      </c>
      <c r="G509" s="9" t="s">
        <v>138</v>
      </c>
      <c r="J509">
        <v>0</v>
      </c>
      <c r="K509">
        <v>0</v>
      </c>
      <c r="M509">
        <v>506</v>
      </c>
    </row>
    <row r="510" spans="1:13" x14ac:dyDescent="0.3">
      <c r="A510">
        <v>41642.678472222222</v>
      </c>
      <c r="B510">
        <v>960</v>
      </c>
      <c r="C510" s="7">
        <v>41640.019444444442</v>
      </c>
      <c r="D510" t="s">
        <v>298</v>
      </c>
      <c r="E510" t="s">
        <v>194</v>
      </c>
      <c r="F510" t="s">
        <v>138</v>
      </c>
      <c r="G510" s="9" t="s">
        <v>138</v>
      </c>
      <c r="J510">
        <v>0</v>
      </c>
      <c r="K510">
        <v>0</v>
      </c>
      <c r="M510">
        <v>520</v>
      </c>
    </row>
    <row r="511" spans="1:13" x14ac:dyDescent="0.3">
      <c r="A511">
        <v>41642.680555555555</v>
      </c>
      <c r="B511">
        <v>2220</v>
      </c>
      <c r="C511" s="7">
        <v>41640.025694444441</v>
      </c>
      <c r="D511" t="s">
        <v>22</v>
      </c>
      <c r="E511" t="s">
        <v>299</v>
      </c>
      <c r="F511" t="s">
        <v>138</v>
      </c>
      <c r="G511" s="9" t="s">
        <v>138</v>
      </c>
      <c r="J511">
        <v>0</v>
      </c>
      <c r="K511">
        <v>0</v>
      </c>
      <c r="M511">
        <v>530</v>
      </c>
    </row>
    <row r="512" spans="1:13" x14ac:dyDescent="0.3">
      <c r="A512">
        <v>41642.682638888888</v>
      </c>
      <c r="B512">
        <v>2640</v>
      </c>
      <c r="C512" s="7">
        <v>41640.041666666664</v>
      </c>
      <c r="D512" t="s">
        <v>40</v>
      </c>
      <c r="E512" t="s">
        <v>17</v>
      </c>
      <c r="F512" t="s">
        <v>138</v>
      </c>
      <c r="G512" s="9" t="s">
        <v>138</v>
      </c>
      <c r="J512">
        <v>0</v>
      </c>
      <c r="K512">
        <v>0</v>
      </c>
      <c r="M512">
        <v>535</v>
      </c>
    </row>
    <row r="513" spans="1:13" x14ac:dyDescent="0.3">
      <c r="A513">
        <v>41642.693749999999</v>
      </c>
      <c r="B513">
        <v>2220</v>
      </c>
      <c r="C513" s="7">
        <v>41640.029166666667</v>
      </c>
      <c r="D513" t="s">
        <v>8</v>
      </c>
      <c r="E513" t="s">
        <v>93</v>
      </c>
      <c r="F513" t="s">
        <v>138</v>
      </c>
      <c r="G513" s="9" t="s">
        <v>138</v>
      </c>
      <c r="J513">
        <v>0</v>
      </c>
      <c r="K513">
        <v>0</v>
      </c>
      <c r="M513">
        <v>507</v>
      </c>
    </row>
    <row r="514" spans="1:13" x14ac:dyDescent="0.3">
      <c r="A514">
        <v>41642.695138888892</v>
      </c>
      <c r="B514">
        <v>2040</v>
      </c>
      <c r="C514" s="7">
        <v>41640.034722222219</v>
      </c>
      <c r="D514" t="s">
        <v>300</v>
      </c>
      <c r="E514" t="s">
        <v>194</v>
      </c>
      <c r="F514" t="s">
        <v>138</v>
      </c>
      <c r="G514" s="9" t="s">
        <v>138</v>
      </c>
      <c r="J514">
        <v>0</v>
      </c>
      <c r="K514">
        <v>0</v>
      </c>
      <c r="M514">
        <v>509</v>
      </c>
    </row>
    <row r="515" spans="1:13" x14ac:dyDescent="0.3">
      <c r="A515">
        <v>41642.697916666664</v>
      </c>
      <c r="B515">
        <v>480</v>
      </c>
      <c r="C515" s="7">
        <v>41640.005555555559</v>
      </c>
      <c r="D515" t="s">
        <v>178</v>
      </c>
      <c r="E515" t="s">
        <v>179</v>
      </c>
      <c r="F515" t="s">
        <v>138</v>
      </c>
      <c r="G515" s="9" t="s">
        <v>138</v>
      </c>
      <c r="J515">
        <v>0</v>
      </c>
      <c r="K515">
        <v>0</v>
      </c>
      <c r="M515">
        <v>519</v>
      </c>
    </row>
    <row r="516" spans="1:13" x14ac:dyDescent="0.3">
      <c r="A516">
        <v>41642.701388888891</v>
      </c>
      <c r="B516">
        <v>1500</v>
      </c>
      <c r="C516" s="7">
        <v>41640.022222222222</v>
      </c>
      <c r="D516" t="s">
        <v>184</v>
      </c>
      <c r="E516" t="s">
        <v>151</v>
      </c>
      <c r="F516" t="s">
        <v>138</v>
      </c>
      <c r="G516" s="9" t="s">
        <v>138</v>
      </c>
      <c r="J516">
        <v>0</v>
      </c>
      <c r="K516">
        <v>0</v>
      </c>
      <c r="M516">
        <v>529</v>
      </c>
    </row>
    <row r="517" spans="1:13" x14ac:dyDescent="0.3">
      <c r="A517">
        <v>41642.70208333333</v>
      </c>
      <c r="B517">
        <v>1860</v>
      </c>
      <c r="C517" s="7">
        <v>41640.033333333333</v>
      </c>
      <c r="D517" t="s">
        <v>13</v>
      </c>
      <c r="E517" t="s">
        <v>301</v>
      </c>
      <c r="F517" t="s">
        <v>138</v>
      </c>
      <c r="G517" s="9" t="s">
        <v>138</v>
      </c>
      <c r="J517">
        <v>0</v>
      </c>
      <c r="K517">
        <v>0</v>
      </c>
      <c r="M517">
        <v>516</v>
      </c>
    </row>
    <row r="518" spans="1:13" x14ac:dyDescent="0.3">
      <c r="A518">
        <v>41642.709722222222</v>
      </c>
      <c r="B518">
        <v>2400</v>
      </c>
      <c r="C518" s="7">
        <v>41640.029861111114</v>
      </c>
      <c r="D518" t="s">
        <v>193</v>
      </c>
      <c r="E518" t="s">
        <v>30</v>
      </c>
      <c r="F518" t="s">
        <v>138</v>
      </c>
      <c r="G518" s="9" t="s">
        <v>138</v>
      </c>
      <c r="J518">
        <v>0</v>
      </c>
      <c r="K518">
        <v>0</v>
      </c>
      <c r="M518">
        <v>521</v>
      </c>
    </row>
    <row r="519" spans="1:13" x14ac:dyDescent="0.3">
      <c r="A519">
        <v>41642.716666666667</v>
      </c>
      <c r="B519">
        <v>4140</v>
      </c>
      <c r="C519" s="7">
        <v>41640.050000000003</v>
      </c>
      <c r="D519" t="s">
        <v>247</v>
      </c>
      <c r="E519" t="s">
        <v>13</v>
      </c>
      <c r="F519" t="s">
        <v>138</v>
      </c>
      <c r="G519" s="9" t="s">
        <v>138</v>
      </c>
      <c r="J519">
        <v>0</v>
      </c>
      <c r="K519">
        <v>0</v>
      </c>
      <c r="M519">
        <v>533</v>
      </c>
    </row>
    <row r="520" spans="1:13" x14ac:dyDescent="0.3">
      <c r="A520">
        <v>41642.716666666667</v>
      </c>
      <c r="B520">
        <v>2220</v>
      </c>
      <c r="C520" s="7">
        <v>41640.026388888888</v>
      </c>
      <c r="D520" t="s">
        <v>18</v>
      </c>
      <c r="E520" t="s">
        <v>13</v>
      </c>
      <c r="F520" t="s">
        <v>138</v>
      </c>
      <c r="G520" s="9" t="s">
        <v>138</v>
      </c>
      <c r="J520">
        <v>0</v>
      </c>
      <c r="K520">
        <v>0</v>
      </c>
      <c r="M520">
        <v>510</v>
      </c>
    </row>
    <row r="521" spans="1:13" x14ac:dyDescent="0.3">
      <c r="A521">
        <v>41642.719444444447</v>
      </c>
      <c r="B521">
        <v>4020</v>
      </c>
      <c r="C521" s="7">
        <v>41640.04791666667</v>
      </c>
      <c r="D521" t="s">
        <v>30</v>
      </c>
      <c r="E521" t="s">
        <v>94</v>
      </c>
      <c r="F521" t="s">
        <v>138</v>
      </c>
      <c r="G521" s="9" t="s">
        <v>138</v>
      </c>
      <c r="J521">
        <v>0</v>
      </c>
      <c r="K521">
        <v>0</v>
      </c>
      <c r="M521">
        <v>528</v>
      </c>
    </row>
    <row r="522" spans="1:13" x14ac:dyDescent="0.3">
      <c r="A522">
        <v>41642.722916666666</v>
      </c>
      <c r="B522">
        <v>1200</v>
      </c>
      <c r="C522" s="7">
        <v>41640.025694444441</v>
      </c>
      <c r="D522" t="s">
        <v>98</v>
      </c>
      <c r="E522" t="s">
        <v>7</v>
      </c>
      <c r="F522" t="s">
        <v>138</v>
      </c>
      <c r="G522" s="9" t="s">
        <v>138</v>
      </c>
      <c r="J522">
        <v>0</v>
      </c>
      <c r="K522">
        <v>0</v>
      </c>
      <c r="M522">
        <v>526</v>
      </c>
    </row>
    <row r="523" spans="1:13" x14ac:dyDescent="0.3">
      <c r="A523">
        <v>41642.724305555559</v>
      </c>
      <c r="B523">
        <v>2640</v>
      </c>
      <c r="C523" s="7">
        <v>41640.03125</v>
      </c>
      <c r="D523" t="s">
        <v>40</v>
      </c>
      <c r="E523" t="s">
        <v>13</v>
      </c>
      <c r="F523" t="s">
        <v>138</v>
      </c>
      <c r="G523" s="9" t="s">
        <v>138</v>
      </c>
      <c r="J523">
        <v>0</v>
      </c>
      <c r="K523">
        <v>0</v>
      </c>
      <c r="M523">
        <v>513</v>
      </c>
    </row>
    <row r="524" spans="1:13" x14ac:dyDescent="0.3">
      <c r="A524">
        <v>41642.729861111111</v>
      </c>
      <c r="B524">
        <v>4140</v>
      </c>
      <c r="C524" s="7">
        <v>41640.061805555553</v>
      </c>
      <c r="D524" t="s">
        <v>224</v>
      </c>
      <c r="E524" t="s">
        <v>96</v>
      </c>
      <c r="F524" t="s">
        <v>138</v>
      </c>
      <c r="G524" s="9" t="s">
        <v>138</v>
      </c>
      <c r="J524">
        <v>0</v>
      </c>
      <c r="K524">
        <v>0</v>
      </c>
      <c r="M524">
        <v>504</v>
      </c>
    </row>
    <row r="525" spans="1:13" x14ac:dyDescent="0.3">
      <c r="A525">
        <v>41642.730555555558</v>
      </c>
      <c r="B525">
        <v>1320</v>
      </c>
      <c r="C525" s="7">
        <v>41640.024305555555</v>
      </c>
      <c r="D525" t="s">
        <v>98</v>
      </c>
      <c r="E525" t="s">
        <v>302</v>
      </c>
      <c r="F525" t="s">
        <v>138</v>
      </c>
      <c r="G525" s="9" t="s">
        <v>138</v>
      </c>
      <c r="J525">
        <v>0</v>
      </c>
      <c r="K525">
        <v>0</v>
      </c>
      <c r="M525">
        <v>505</v>
      </c>
    </row>
    <row r="526" spans="1:13" x14ac:dyDescent="0.3">
      <c r="A526">
        <v>41642.736111111109</v>
      </c>
      <c r="B526">
        <v>3720</v>
      </c>
      <c r="C526" s="7">
        <v>41640.052083333336</v>
      </c>
      <c r="D526" t="s">
        <v>293</v>
      </c>
      <c r="E526" t="s">
        <v>5</v>
      </c>
      <c r="F526" t="s">
        <v>138</v>
      </c>
      <c r="G526" s="9" t="s">
        <v>138</v>
      </c>
      <c r="J526">
        <v>0</v>
      </c>
      <c r="K526">
        <v>0</v>
      </c>
      <c r="M526">
        <v>522</v>
      </c>
    </row>
    <row r="527" spans="1:13" x14ac:dyDescent="0.3">
      <c r="A527">
        <v>41642.736111111109</v>
      </c>
      <c r="B527">
        <v>3420</v>
      </c>
      <c r="C527" s="7">
        <v>41640.047222222223</v>
      </c>
      <c r="D527" t="s">
        <v>151</v>
      </c>
      <c r="E527" t="s">
        <v>184</v>
      </c>
      <c r="F527" t="s">
        <v>138</v>
      </c>
      <c r="G527" s="9" t="s">
        <v>138</v>
      </c>
      <c r="J527">
        <v>0</v>
      </c>
      <c r="K527">
        <v>0</v>
      </c>
      <c r="M527">
        <v>512</v>
      </c>
    </row>
    <row r="528" spans="1:13" x14ac:dyDescent="0.3">
      <c r="A528">
        <v>41642.736805555556</v>
      </c>
      <c r="B528">
        <v>3600</v>
      </c>
      <c r="C528" s="7">
        <v>41640.048611111109</v>
      </c>
      <c r="D528" t="s">
        <v>303</v>
      </c>
      <c r="E528" t="s">
        <v>215</v>
      </c>
      <c r="F528" t="s">
        <v>138</v>
      </c>
      <c r="G528" s="9" t="s">
        <v>138</v>
      </c>
      <c r="J528">
        <v>0</v>
      </c>
      <c r="K528">
        <v>0</v>
      </c>
      <c r="M528">
        <v>524</v>
      </c>
    </row>
    <row r="529" spans="1:13" x14ac:dyDescent="0.3">
      <c r="A529">
        <v>41642.736805555556</v>
      </c>
      <c r="B529">
        <v>480</v>
      </c>
      <c r="C529" s="7">
        <v>41640.018055555556</v>
      </c>
      <c r="D529" t="s">
        <v>98</v>
      </c>
      <c r="E529" t="s">
        <v>304</v>
      </c>
      <c r="F529" t="s">
        <v>138</v>
      </c>
      <c r="G529" s="9" t="s">
        <v>138</v>
      </c>
      <c r="J529">
        <v>0</v>
      </c>
      <c r="K529">
        <v>0</v>
      </c>
      <c r="M529">
        <v>523</v>
      </c>
    </row>
    <row r="530" spans="1:13" x14ac:dyDescent="0.3">
      <c r="A530">
        <v>41642.747916666667</v>
      </c>
      <c r="B530">
        <v>1560</v>
      </c>
      <c r="C530" s="7">
        <v>41640.032638888886</v>
      </c>
      <c r="D530" t="s">
        <v>13</v>
      </c>
      <c r="E530" t="s">
        <v>18</v>
      </c>
      <c r="F530" t="s">
        <v>138</v>
      </c>
      <c r="G530" s="9" t="s">
        <v>138</v>
      </c>
      <c r="J530">
        <v>0</v>
      </c>
      <c r="K530">
        <v>0</v>
      </c>
      <c r="M530">
        <v>514</v>
      </c>
    </row>
    <row r="531" spans="1:13" x14ac:dyDescent="0.3">
      <c r="A531">
        <v>41642.754861111112</v>
      </c>
      <c r="B531">
        <v>5220</v>
      </c>
      <c r="C531" s="7">
        <v>41640.070138888892</v>
      </c>
      <c r="D531" t="s">
        <v>77</v>
      </c>
      <c r="E531" t="s">
        <v>5</v>
      </c>
      <c r="F531" t="s">
        <v>138</v>
      </c>
      <c r="G531" s="9" t="s">
        <v>138</v>
      </c>
      <c r="J531">
        <v>0</v>
      </c>
      <c r="K531">
        <v>0</v>
      </c>
      <c r="M531">
        <v>511</v>
      </c>
    </row>
    <row r="532" spans="1:13" x14ac:dyDescent="0.3">
      <c r="A532">
        <v>41642.756944444445</v>
      </c>
      <c r="B532">
        <v>1800</v>
      </c>
      <c r="C532" s="7">
        <v>41640.036805555559</v>
      </c>
      <c r="D532" t="s">
        <v>13</v>
      </c>
      <c r="E532" t="s">
        <v>215</v>
      </c>
      <c r="F532" t="s">
        <v>138</v>
      </c>
      <c r="G532" s="9" t="s">
        <v>138</v>
      </c>
      <c r="J532">
        <v>0</v>
      </c>
      <c r="K532">
        <v>0</v>
      </c>
      <c r="M532">
        <v>534</v>
      </c>
    </row>
    <row r="533" spans="1:13" x14ac:dyDescent="0.3">
      <c r="A533">
        <v>41642.757638888892</v>
      </c>
      <c r="B533">
        <v>4200</v>
      </c>
      <c r="C533" s="7">
        <v>41640.052083333336</v>
      </c>
      <c r="D533" t="s">
        <v>30</v>
      </c>
      <c r="E533" t="s">
        <v>193</v>
      </c>
      <c r="F533" t="s">
        <v>138</v>
      </c>
      <c r="G533" s="9" t="s">
        <v>138</v>
      </c>
      <c r="J533">
        <v>0</v>
      </c>
      <c r="K533">
        <v>0</v>
      </c>
      <c r="M533">
        <v>525</v>
      </c>
    </row>
    <row r="534" spans="1:13" x14ac:dyDescent="0.3">
      <c r="A534">
        <v>41642.768055555556</v>
      </c>
      <c r="B534">
        <v>4740</v>
      </c>
      <c r="C534" s="7">
        <v>41640.063888888886</v>
      </c>
      <c r="D534" t="s">
        <v>13</v>
      </c>
      <c r="E534" t="s">
        <v>247</v>
      </c>
      <c r="F534" t="s">
        <v>138</v>
      </c>
      <c r="G534" s="9" t="s">
        <v>138</v>
      </c>
      <c r="J534">
        <v>0</v>
      </c>
      <c r="K534">
        <v>0</v>
      </c>
      <c r="M534">
        <v>531</v>
      </c>
    </row>
    <row r="535" spans="1:13" x14ac:dyDescent="0.3">
      <c r="A535">
        <v>41642.768750000003</v>
      </c>
      <c r="B535">
        <v>5400</v>
      </c>
      <c r="C535" s="7">
        <v>41640.086111111108</v>
      </c>
      <c r="D535" t="s">
        <v>15</v>
      </c>
      <c r="E535" t="s">
        <v>17</v>
      </c>
      <c r="F535" t="s">
        <v>138</v>
      </c>
      <c r="G535" s="9" t="s">
        <v>138</v>
      </c>
      <c r="J535">
        <v>0</v>
      </c>
      <c r="K535">
        <v>0</v>
      </c>
      <c r="M535">
        <v>517</v>
      </c>
    </row>
    <row r="536" spans="1:13" x14ac:dyDescent="0.3">
      <c r="A536">
        <v>41642.804861111108</v>
      </c>
      <c r="B536">
        <v>2700</v>
      </c>
      <c r="C536" s="7">
        <v>41640.035416666666</v>
      </c>
      <c r="D536" t="s">
        <v>226</v>
      </c>
      <c r="E536" t="s">
        <v>181</v>
      </c>
      <c r="F536" t="s">
        <v>138</v>
      </c>
      <c r="G536" s="9" t="s">
        <v>138</v>
      </c>
      <c r="J536">
        <v>0</v>
      </c>
      <c r="K536">
        <v>0</v>
      </c>
      <c r="M536">
        <v>527</v>
      </c>
    </row>
    <row r="537" spans="1:13" x14ac:dyDescent="0.3">
      <c r="A537">
        <v>41642.804861111108</v>
      </c>
      <c r="B537">
        <v>900</v>
      </c>
      <c r="C537" s="7">
        <v>41640.015277777777</v>
      </c>
      <c r="D537" t="s">
        <v>98</v>
      </c>
      <c r="E537" t="s">
        <v>45</v>
      </c>
      <c r="F537" t="s">
        <v>138</v>
      </c>
      <c r="G537" s="9" t="s">
        <v>138</v>
      </c>
      <c r="J537">
        <v>0</v>
      </c>
      <c r="K537">
        <v>0</v>
      </c>
      <c r="M537">
        <v>518</v>
      </c>
    </row>
    <row r="538" spans="1:13" x14ac:dyDescent="0.3">
      <c r="A538">
        <v>41642.822916666664</v>
      </c>
      <c r="B538">
        <v>1080</v>
      </c>
      <c r="C538" s="7">
        <v>41640.020138888889</v>
      </c>
      <c r="D538" t="s">
        <v>98</v>
      </c>
      <c r="E538" t="s">
        <v>305</v>
      </c>
      <c r="F538" t="s">
        <v>138</v>
      </c>
      <c r="G538" s="9" t="s">
        <v>138</v>
      </c>
      <c r="J538">
        <v>0</v>
      </c>
      <c r="K538">
        <v>0</v>
      </c>
      <c r="M538">
        <v>532</v>
      </c>
    </row>
    <row r="539" spans="1:13" x14ac:dyDescent="0.3">
      <c r="A539">
        <v>41642.834722222222</v>
      </c>
      <c r="B539">
        <v>2400</v>
      </c>
      <c r="C539" s="7">
        <v>41640.027777777781</v>
      </c>
      <c r="D539" t="s">
        <v>13</v>
      </c>
      <c r="E539" t="s">
        <v>305</v>
      </c>
      <c r="F539" t="s">
        <v>138</v>
      </c>
      <c r="G539" s="9" t="s">
        <v>138</v>
      </c>
      <c r="J539">
        <v>0</v>
      </c>
      <c r="K539">
        <v>0</v>
      </c>
      <c r="M539">
        <v>547</v>
      </c>
    </row>
    <row r="540" spans="1:13" x14ac:dyDescent="0.3">
      <c r="A540">
        <v>41642.838888888888</v>
      </c>
      <c r="B540">
        <v>4500</v>
      </c>
      <c r="C540" s="7">
        <v>41640.052083333336</v>
      </c>
      <c r="D540" t="s">
        <v>72</v>
      </c>
      <c r="E540" t="s">
        <v>46</v>
      </c>
      <c r="F540" t="s">
        <v>138</v>
      </c>
      <c r="G540" s="9" t="s">
        <v>138</v>
      </c>
      <c r="J540">
        <v>0</v>
      </c>
      <c r="K540">
        <v>0</v>
      </c>
      <c r="M540">
        <v>545</v>
      </c>
    </row>
    <row r="541" spans="1:13" x14ac:dyDescent="0.3">
      <c r="A541">
        <v>41642.851388888892</v>
      </c>
      <c r="B541">
        <v>1860</v>
      </c>
      <c r="C541" s="7">
        <v>41640.022916666669</v>
      </c>
      <c r="D541" t="s">
        <v>98</v>
      </c>
      <c r="E541" t="s">
        <v>306</v>
      </c>
      <c r="F541" t="s">
        <v>138</v>
      </c>
      <c r="G541" s="9" t="s">
        <v>138</v>
      </c>
      <c r="J541">
        <v>0</v>
      </c>
      <c r="K541">
        <v>0</v>
      </c>
      <c r="M541">
        <v>543</v>
      </c>
    </row>
    <row r="542" spans="1:13" x14ac:dyDescent="0.3">
      <c r="A542">
        <v>41642.872916666667</v>
      </c>
      <c r="B542">
        <v>1620</v>
      </c>
      <c r="C542" s="7">
        <v>41640.024305555555</v>
      </c>
      <c r="D542" t="s">
        <v>98</v>
      </c>
      <c r="E542" t="s">
        <v>209</v>
      </c>
      <c r="F542" t="s">
        <v>138</v>
      </c>
      <c r="G542" s="9" t="s">
        <v>138</v>
      </c>
      <c r="J542">
        <v>0</v>
      </c>
      <c r="K542">
        <v>0</v>
      </c>
      <c r="M542">
        <v>542</v>
      </c>
    </row>
    <row r="543" spans="1:13" x14ac:dyDescent="0.3">
      <c r="A543">
        <v>41642.874305555553</v>
      </c>
      <c r="B543">
        <v>2520</v>
      </c>
      <c r="C543" s="7">
        <v>41640.036111111112</v>
      </c>
      <c r="D543" t="s">
        <v>1</v>
      </c>
      <c r="E543" t="s">
        <v>39</v>
      </c>
      <c r="F543" t="s">
        <v>138</v>
      </c>
      <c r="G543" s="9" t="s">
        <v>138</v>
      </c>
      <c r="J543">
        <v>0</v>
      </c>
      <c r="K543">
        <v>0</v>
      </c>
      <c r="M543">
        <v>541</v>
      </c>
    </row>
    <row r="544" spans="1:13" x14ac:dyDescent="0.3">
      <c r="A544">
        <v>41642.875</v>
      </c>
      <c r="B544">
        <v>4140</v>
      </c>
      <c r="C544" s="7">
        <v>41640.04791666667</v>
      </c>
      <c r="D544" t="s">
        <v>100</v>
      </c>
      <c r="E544" t="s">
        <v>39</v>
      </c>
      <c r="F544" t="s">
        <v>138</v>
      </c>
      <c r="G544" s="9" t="s">
        <v>138</v>
      </c>
      <c r="J544">
        <v>0</v>
      </c>
      <c r="K544">
        <v>0</v>
      </c>
      <c r="M544">
        <v>546</v>
      </c>
    </row>
    <row r="545" spans="1:13" x14ac:dyDescent="0.3">
      <c r="A545">
        <v>41642.886111111111</v>
      </c>
      <c r="B545">
        <v>1980</v>
      </c>
      <c r="C545" s="7">
        <v>41640.022916666669</v>
      </c>
      <c r="D545" t="s">
        <v>98</v>
      </c>
      <c r="E545" t="s">
        <v>27</v>
      </c>
      <c r="F545" t="s">
        <v>138</v>
      </c>
      <c r="G545" s="9" t="s">
        <v>138</v>
      </c>
      <c r="J545">
        <v>0</v>
      </c>
      <c r="K545">
        <v>0</v>
      </c>
      <c r="M545">
        <v>540</v>
      </c>
    </row>
    <row r="546" spans="1:13" x14ac:dyDescent="0.3">
      <c r="A546">
        <v>41642.931250000001</v>
      </c>
      <c r="B546">
        <v>2040</v>
      </c>
      <c r="C546" s="7">
        <v>41640.033333333333</v>
      </c>
      <c r="D546" t="s">
        <v>307</v>
      </c>
      <c r="E546" t="s">
        <v>5</v>
      </c>
      <c r="F546" t="s">
        <v>138</v>
      </c>
      <c r="G546" s="9" t="s">
        <v>138</v>
      </c>
      <c r="J546">
        <v>0</v>
      </c>
      <c r="K546">
        <v>0</v>
      </c>
      <c r="M546">
        <v>544</v>
      </c>
    </row>
    <row r="547" spans="1:13" x14ac:dyDescent="0.3">
      <c r="A547">
        <v>41642.939583333333</v>
      </c>
      <c r="B547">
        <v>3360</v>
      </c>
      <c r="C547" s="7">
        <v>41640.038888888892</v>
      </c>
      <c r="D547" t="s">
        <v>38</v>
      </c>
      <c r="E547" t="s">
        <v>181</v>
      </c>
      <c r="F547" t="s">
        <v>138</v>
      </c>
      <c r="G547" s="9" t="s">
        <v>138</v>
      </c>
      <c r="J547">
        <v>0</v>
      </c>
      <c r="K547">
        <v>0</v>
      </c>
      <c r="M547">
        <v>539</v>
      </c>
    </row>
    <row r="548" spans="1:13" x14ac:dyDescent="0.3">
      <c r="A548">
        <v>41642.947222222225</v>
      </c>
      <c r="B548">
        <v>1500</v>
      </c>
      <c r="C548" s="7">
        <v>41640.019444444442</v>
      </c>
      <c r="D548" t="s">
        <v>98</v>
      </c>
      <c r="E548" t="s">
        <v>42</v>
      </c>
      <c r="F548" t="s">
        <v>138</v>
      </c>
      <c r="G548" s="9" t="s">
        <v>138</v>
      </c>
      <c r="J548">
        <v>0</v>
      </c>
      <c r="K548">
        <v>0</v>
      </c>
      <c r="M548">
        <v>537</v>
      </c>
    </row>
    <row r="549" spans="1:13" x14ac:dyDescent="0.3">
      <c r="A549">
        <v>41642.968055555553</v>
      </c>
      <c r="B549">
        <v>2520</v>
      </c>
      <c r="C549" s="7">
        <v>41640.029166666667</v>
      </c>
      <c r="D549" t="s">
        <v>29</v>
      </c>
      <c r="E549" t="s">
        <v>2</v>
      </c>
      <c r="F549" t="s">
        <v>138</v>
      </c>
      <c r="G549" s="9" t="s">
        <v>138</v>
      </c>
      <c r="J549">
        <v>0</v>
      </c>
      <c r="K549">
        <v>0</v>
      </c>
      <c r="M549">
        <v>538</v>
      </c>
    </row>
    <row r="550" spans="1:13" x14ac:dyDescent="0.3">
      <c r="A550">
        <v>41643.005555555559</v>
      </c>
      <c r="B550">
        <v>2520</v>
      </c>
      <c r="C550" s="7">
        <v>41640.029861111114</v>
      </c>
      <c r="D550" t="s">
        <v>15</v>
      </c>
      <c r="E550" t="s">
        <v>193</v>
      </c>
      <c r="F550" t="s">
        <v>138</v>
      </c>
      <c r="G550" s="9" t="s">
        <v>138</v>
      </c>
      <c r="J550">
        <v>0</v>
      </c>
      <c r="K550">
        <v>0</v>
      </c>
      <c r="M550">
        <v>548</v>
      </c>
    </row>
    <row r="551" spans="1:13" x14ac:dyDescent="0.3">
      <c r="A551">
        <v>41643.024305555555</v>
      </c>
      <c r="B551">
        <v>1800</v>
      </c>
      <c r="C551" s="7">
        <v>41640.020833333336</v>
      </c>
      <c r="D551" t="s">
        <v>308</v>
      </c>
      <c r="E551" t="s">
        <v>5</v>
      </c>
      <c r="F551" t="s">
        <v>138</v>
      </c>
      <c r="G551" s="9" t="s">
        <v>138</v>
      </c>
      <c r="J551">
        <v>0</v>
      </c>
      <c r="K551">
        <v>0</v>
      </c>
      <c r="M551">
        <v>552</v>
      </c>
    </row>
    <row r="552" spans="1:13" x14ac:dyDescent="0.3">
      <c r="A552">
        <v>41643.038888888892</v>
      </c>
      <c r="B552">
        <v>2280</v>
      </c>
      <c r="C552" s="7">
        <v>41640.026388888888</v>
      </c>
      <c r="D552" t="s">
        <v>95</v>
      </c>
      <c r="E552" t="s">
        <v>39</v>
      </c>
      <c r="F552" t="s">
        <v>138</v>
      </c>
      <c r="G552" s="9" t="s">
        <v>138</v>
      </c>
      <c r="J552">
        <v>0</v>
      </c>
      <c r="K552">
        <v>0</v>
      </c>
      <c r="M552">
        <v>549</v>
      </c>
    </row>
    <row r="553" spans="1:13" x14ac:dyDescent="0.3">
      <c r="A553">
        <v>41643.112500000003</v>
      </c>
      <c r="B553">
        <v>1920</v>
      </c>
      <c r="C553" s="7">
        <v>41640.022222222222</v>
      </c>
      <c r="D553" t="s">
        <v>309</v>
      </c>
      <c r="E553" t="s">
        <v>5</v>
      </c>
      <c r="F553" t="s">
        <v>138</v>
      </c>
      <c r="G553" s="9" t="s">
        <v>138</v>
      </c>
      <c r="J553">
        <v>0</v>
      </c>
      <c r="K553">
        <v>0</v>
      </c>
      <c r="M553">
        <v>550</v>
      </c>
    </row>
    <row r="554" spans="1:13" x14ac:dyDescent="0.3">
      <c r="A554">
        <v>41643.154166666667</v>
      </c>
      <c r="B554">
        <v>1380</v>
      </c>
      <c r="C554" s="7">
        <v>41640.015972222223</v>
      </c>
      <c r="D554" t="s">
        <v>41</v>
      </c>
      <c r="E554" t="s">
        <v>5</v>
      </c>
      <c r="F554" t="s">
        <v>138</v>
      </c>
      <c r="G554" s="9" t="s">
        <v>138</v>
      </c>
      <c r="J554">
        <v>0</v>
      </c>
      <c r="K554">
        <v>0</v>
      </c>
      <c r="M554">
        <v>551</v>
      </c>
    </row>
    <row r="555" spans="1:13" x14ac:dyDescent="0.3">
      <c r="A555">
        <v>41643.181250000001</v>
      </c>
      <c r="B555">
        <v>2460</v>
      </c>
      <c r="C555" s="7">
        <v>41640.02847222222</v>
      </c>
      <c r="D555" t="s">
        <v>225</v>
      </c>
      <c r="E555" t="s">
        <v>30</v>
      </c>
      <c r="F555" t="s">
        <v>138</v>
      </c>
      <c r="G555" s="9" t="s">
        <v>138</v>
      </c>
      <c r="J555">
        <v>0</v>
      </c>
      <c r="K555">
        <v>0</v>
      </c>
      <c r="M555">
        <v>554</v>
      </c>
    </row>
    <row r="556" spans="1:13" x14ac:dyDescent="0.3">
      <c r="A556">
        <v>41643.222222222219</v>
      </c>
      <c r="B556">
        <v>540</v>
      </c>
      <c r="C556" s="7">
        <v>41640.006944444445</v>
      </c>
      <c r="D556" t="s">
        <v>30</v>
      </c>
      <c r="E556" t="s">
        <v>225</v>
      </c>
      <c r="F556" t="s">
        <v>138</v>
      </c>
      <c r="G556" s="9" t="s">
        <v>138</v>
      </c>
      <c r="J556">
        <v>0</v>
      </c>
      <c r="K556">
        <v>0</v>
      </c>
      <c r="M556">
        <v>558</v>
      </c>
    </row>
    <row r="557" spans="1:13" x14ac:dyDescent="0.3">
      <c r="A557">
        <v>41643.305555555555</v>
      </c>
      <c r="B557">
        <v>1380</v>
      </c>
      <c r="C557" s="7">
        <v>41640.018750000003</v>
      </c>
      <c r="D557" t="s">
        <v>8</v>
      </c>
      <c r="E557" t="s">
        <v>310</v>
      </c>
      <c r="F557" t="s">
        <v>138</v>
      </c>
      <c r="G557" s="9" t="s">
        <v>138</v>
      </c>
      <c r="J557">
        <v>0</v>
      </c>
      <c r="K557">
        <v>0</v>
      </c>
      <c r="M557">
        <v>557</v>
      </c>
    </row>
    <row r="558" spans="1:13" x14ac:dyDescent="0.3">
      <c r="A558">
        <v>41643.3125</v>
      </c>
      <c r="B558">
        <v>1320</v>
      </c>
      <c r="C558" s="7">
        <v>41640.018750000003</v>
      </c>
      <c r="D558" t="s">
        <v>98</v>
      </c>
      <c r="E558" t="s">
        <v>217</v>
      </c>
      <c r="F558" t="s">
        <v>138</v>
      </c>
      <c r="G558" s="9" t="s">
        <v>138</v>
      </c>
      <c r="J558">
        <v>0</v>
      </c>
      <c r="K558">
        <v>0</v>
      </c>
      <c r="M558">
        <v>560</v>
      </c>
    </row>
    <row r="559" spans="1:13" x14ac:dyDescent="0.3">
      <c r="A559">
        <v>41643.318749999999</v>
      </c>
      <c r="B559">
        <v>1860</v>
      </c>
      <c r="C559" s="7">
        <v>41640.021527777775</v>
      </c>
      <c r="D559" t="s">
        <v>170</v>
      </c>
      <c r="E559" t="s">
        <v>10</v>
      </c>
      <c r="F559" t="s">
        <v>138</v>
      </c>
      <c r="G559" s="9" t="s">
        <v>138</v>
      </c>
      <c r="J559">
        <v>0</v>
      </c>
      <c r="K559">
        <v>0</v>
      </c>
      <c r="M559">
        <v>553</v>
      </c>
    </row>
    <row r="560" spans="1:13" x14ac:dyDescent="0.3">
      <c r="A560">
        <v>41643.322222222225</v>
      </c>
      <c r="B560">
        <v>960</v>
      </c>
      <c r="C560" s="7">
        <v>41640.015277777777</v>
      </c>
      <c r="D560" t="s">
        <v>80</v>
      </c>
      <c r="E560" t="s">
        <v>10</v>
      </c>
      <c r="F560" t="s">
        <v>138</v>
      </c>
      <c r="G560" s="9" t="s">
        <v>138</v>
      </c>
      <c r="J560">
        <v>0</v>
      </c>
      <c r="K560">
        <v>0</v>
      </c>
      <c r="M560">
        <v>556</v>
      </c>
    </row>
    <row r="561" spans="1:13" x14ac:dyDescent="0.3">
      <c r="A561">
        <v>41643.325694444444</v>
      </c>
      <c r="B561">
        <v>2040</v>
      </c>
      <c r="C561" s="7">
        <v>41640.025000000001</v>
      </c>
      <c r="D561" t="s">
        <v>311</v>
      </c>
      <c r="E561" t="s">
        <v>13</v>
      </c>
      <c r="F561" t="s">
        <v>138</v>
      </c>
      <c r="G561" s="9" t="s">
        <v>138</v>
      </c>
      <c r="J561">
        <v>0</v>
      </c>
      <c r="K561">
        <v>0</v>
      </c>
      <c r="M561">
        <v>559</v>
      </c>
    </row>
    <row r="562" spans="1:13" x14ac:dyDescent="0.3">
      <c r="A562">
        <v>41643.331250000003</v>
      </c>
      <c r="B562">
        <v>1560</v>
      </c>
      <c r="C562" s="7">
        <v>41640.020833333336</v>
      </c>
      <c r="D562" t="s">
        <v>56</v>
      </c>
      <c r="E562" t="s">
        <v>10</v>
      </c>
      <c r="F562" t="s">
        <v>138</v>
      </c>
      <c r="G562" s="9" t="s">
        <v>138</v>
      </c>
      <c r="J562">
        <v>0</v>
      </c>
      <c r="K562">
        <v>0</v>
      </c>
      <c r="M562">
        <v>555</v>
      </c>
    </row>
    <row r="563" spans="1:13" x14ac:dyDescent="0.3">
      <c r="A563">
        <v>41643.336805555555</v>
      </c>
      <c r="B563">
        <v>420</v>
      </c>
      <c r="C563" s="7">
        <v>41640.012499999997</v>
      </c>
      <c r="D563" t="s">
        <v>10</v>
      </c>
      <c r="E563" t="s">
        <v>268</v>
      </c>
      <c r="F563" t="s">
        <v>138</v>
      </c>
      <c r="G563" s="9" t="s">
        <v>138</v>
      </c>
      <c r="J563">
        <v>0</v>
      </c>
      <c r="K563">
        <v>0</v>
      </c>
      <c r="M563">
        <v>636</v>
      </c>
    </row>
    <row r="564" spans="1:13" x14ac:dyDescent="0.3">
      <c r="A564">
        <v>41643.337500000001</v>
      </c>
      <c r="B564">
        <v>1980</v>
      </c>
      <c r="C564" s="7">
        <v>41640.022916666669</v>
      </c>
      <c r="D564" t="s">
        <v>8</v>
      </c>
      <c r="E564" t="s">
        <v>56</v>
      </c>
      <c r="F564" t="s">
        <v>138</v>
      </c>
      <c r="G564" s="9" t="s">
        <v>138</v>
      </c>
      <c r="J564">
        <v>0</v>
      </c>
      <c r="K564">
        <v>0</v>
      </c>
      <c r="M564">
        <v>629</v>
      </c>
    </row>
    <row r="565" spans="1:13" x14ac:dyDescent="0.3">
      <c r="A565">
        <v>41643.337500000001</v>
      </c>
      <c r="B565">
        <v>2760</v>
      </c>
      <c r="C565" s="7">
        <v>41640.033333333333</v>
      </c>
      <c r="D565" t="s">
        <v>131</v>
      </c>
      <c r="E565" t="s">
        <v>13</v>
      </c>
      <c r="F565" t="s">
        <v>138</v>
      </c>
      <c r="G565" s="9" t="s">
        <v>138</v>
      </c>
      <c r="J565">
        <v>0</v>
      </c>
      <c r="K565">
        <v>0</v>
      </c>
      <c r="M565">
        <v>583</v>
      </c>
    </row>
    <row r="566" spans="1:13" x14ac:dyDescent="0.3">
      <c r="A566">
        <v>41643.338194444441</v>
      </c>
      <c r="B566">
        <v>1080</v>
      </c>
      <c r="C566" s="7">
        <v>41640.024305555555</v>
      </c>
      <c r="D566" t="s">
        <v>8</v>
      </c>
      <c r="E566" t="s">
        <v>25</v>
      </c>
      <c r="F566" t="s">
        <v>138</v>
      </c>
      <c r="G566" s="9" t="s">
        <v>138</v>
      </c>
      <c r="J566">
        <v>0</v>
      </c>
      <c r="K566">
        <v>0</v>
      </c>
      <c r="M566">
        <v>618</v>
      </c>
    </row>
    <row r="567" spans="1:13" x14ac:dyDescent="0.3">
      <c r="A567">
        <v>41643.34097222222</v>
      </c>
      <c r="B567">
        <v>1080</v>
      </c>
      <c r="C567" s="7">
        <v>41640.020138888889</v>
      </c>
      <c r="D567" t="s">
        <v>13</v>
      </c>
      <c r="E567" t="s">
        <v>23</v>
      </c>
      <c r="F567" t="s">
        <v>138</v>
      </c>
      <c r="G567" s="9" t="s">
        <v>138</v>
      </c>
      <c r="J567">
        <v>0</v>
      </c>
      <c r="K567">
        <v>0</v>
      </c>
      <c r="M567">
        <v>598</v>
      </c>
    </row>
    <row r="568" spans="1:13" x14ac:dyDescent="0.3">
      <c r="A568">
        <v>41643.34375</v>
      </c>
      <c r="B568">
        <v>840</v>
      </c>
      <c r="C568" s="7">
        <v>41640.015972222223</v>
      </c>
      <c r="D568" t="s">
        <v>13</v>
      </c>
      <c r="E568" t="s">
        <v>91</v>
      </c>
      <c r="F568" t="s">
        <v>138</v>
      </c>
      <c r="G568" s="9" t="s">
        <v>138</v>
      </c>
      <c r="J568">
        <v>0</v>
      </c>
      <c r="K568">
        <v>0</v>
      </c>
      <c r="M568">
        <v>590</v>
      </c>
    </row>
    <row r="569" spans="1:13" x14ac:dyDescent="0.3">
      <c r="A569">
        <v>41643.345833333333</v>
      </c>
      <c r="B569">
        <v>720</v>
      </c>
      <c r="C569" s="7">
        <v>41640.018750000003</v>
      </c>
      <c r="D569" t="s">
        <v>10</v>
      </c>
      <c r="E569" t="s">
        <v>285</v>
      </c>
      <c r="F569" t="s">
        <v>138</v>
      </c>
      <c r="G569" s="9" t="s">
        <v>138</v>
      </c>
      <c r="J569">
        <v>0</v>
      </c>
      <c r="K569">
        <v>0</v>
      </c>
      <c r="M569">
        <v>608</v>
      </c>
    </row>
    <row r="570" spans="1:13" x14ac:dyDescent="0.3">
      <c r="A570">
        <v>41643.34652777778</v>
      </c>
      <c r="B570">
        <v>1620</v>
      </c>
      <c r="C570" s="7">
        <v>41640.023611111108</v>
      </c>
      <c r="D570" t="s">
        <v>96</v>
      </c>
      <c r="E570" t="s">
        <v>14</v>
      </c>
      <c r="F570" t="s">
        <v>138</v>
      </c>
      <c r="G570" s="9" t="s">
        <v>138</v>
      </c>
      <c r="J570">
        <v>0</v>
      </c>
      <c r="K570">
        <v>0</v>
      </c>
      <c r="M570">
        <v>576</v>
      </c>
    </row>
    <row r="571" spans="1:13" x14ac:dyDescent="0.3">
      <c r="A571">
        <v>41643.347222222219</v>
      </c>
      <c r="B571">
        <v>720</v>
      </c>
      <c r="C571" s="7">
        <v>41640.012499999997</v>
      </c>
      <c r="D571" t="s">
        <v>232</v>
      </c>
      <c r="E571" t="s">
        <v>22</v>
      </c>
      <c r="F571" t="s">
        <v>138</v>
      </c>
      <c r="G571" s="9" t="s">
        <v>138</v>
      </c>
      <c r="J571">
        <v>0</v>
      </c>
      <c r="K571">
        <v>0</v>
      </c>
      <c r="M571">
        <v>638</v>
      </c>
    </row>
    <row r="572" spans="1:13" x14ac:dyDescent="0.3">
      <c r="A572">
        <v>41643.354166666664</v>
      </c>
      <c r="B572">
        <v>1680</v>
      </c>
      <c r="C572" s="7">
        <v>41640.03402777778</v>
      </c>
      <c r="D572" t="s">
        <v>179</v>
      </c>
      <c r="E572" t="s">
        <v>261</v>
      </c>
      <c r="F572" t="s">
        <v>138</v>
      </c>
      <c r="G572" s="9" t="s">
        <v>138</v>
      </c>
      <c r="J572">
        <v>0</v>
      </c>
      <c r="K572">
        <v>0</v>
      </c>
      <c r="M572">
        <v>646</v>
      </c>
    </row>
    <row r="573" spans="1:13" x14ac:dyDescent="0.3">
      <c r="A573">
        <v>41643.354861111111</v>
      </c>
      <c r="B573">
        <v>1140</v>
      </c>
      <c r="C573" s="7">
        <v>41640.01458333333</v>
      </c>
      <c r="D573" t="s">
        <v>97</v>
      </c>
      <c r="E573" t="s">
        <v>30</v>
      </c>
      <c r="F573" t="s">
        <v>138</v>
      </c>
      <c r="G573" s="9" t="s">
        <v>138</v>
      </c>
      <c r="J573">
        <v>0</v>
      </c>
      <c r="K573">
        <v>0</v>
      </c>
      <c r="M573">
        <v>571</v>
      </c>
    </row>
    <row r="574" spans="1:13" x14ac:dyDescent="0.3">
      <c r="A574">
        <v>41643.357638888891</v>
      </c>
      <c r="B574">
        <v>1800</v>
      </c>
      <c r="C574" s="7">
        <v>41640.020833333336</v>
      </c>
      <c r="D574" t="s">
        <v>154</v>
      </c>
      <c r="E574" t="s">
        <v>30</v>
      </c>
      <c r="F574" t="s">
        <v>138</v>
      </c>
      <c r="G574" s="9" t="s">
        <v>138</v>
      </c>
      <c r="J574">
        <v>0</v>
      </c>
      <c r="K574">
        <v>0</v>
      </c>
      <c r="M574">
        <v>603</v>
      </c>
    </row>
    <row r="575" spans="1:13" x14ac:dyDescent="0.3">
      <c r="A575">
        <v>41643.357638888891</v>
      </c>
      <c r="B575">
        <v>1140</v>
      </c>
      <c r="C575" s="7">
        <v>41640.019444444442</v>
      </c>
      <c r="D575" t="s">
        <v>312</v>
      </c>
      <c r="E575" t="s">
        <v>10</v>
      </c>
      <c r="F575" t="s">
        <v>138</v>
      </c>
      <c r="G575" s="9" t="s">
        <v>138</v>
      </c>
      <c r="J575">
        <v>0</v>
      </c>
      <c r="K575">
        <v>0</v>
      </c>
      <c r="M575">
        <v>591</v>
      </c>
    </row>
    <row r="576" spans="1:13" x14ac:dyDescent="0.3">
      <c r="A576">
        <v>41643.36041666667</v>
      </c>
      <c r="B576">
        <v>1260</v>
      </c>
      <c r="C576" s="7">
        <v>41640.023611111108</v>
      </c>
      <c r="D576" t="s">
        <v>215</v>
      </c>
      <c r="E576" t="s">
        <v>15</v>
      </c>
      <c r="F576" t="s">
        <v>138</v>
      </c>
      <c r="G576" s="9" t="s">
        <v>138</v>
      </c>
      <c r="J576">
        <v>0</v>
      </c>
      <c r="K576">
        <v>0</v>
      </c>
      <c r="M576">
        <v>600</v>
      </c>
    </row>
    <row r="577" spans="1:13" x14ac:dyDescent="0.3">
      <c r="A577">
        <v>41643.363194444442</v>
      </c>
      <c r="B577">
        <v>1560</v>
      </c>
      <c r="C577" s="7">
        <v>41640.018055555556</v>
      </c>
      <c r="D577" t="s">
        <v>79</v>
      </c>
      <c r="E577" t="s">
        <v>215</v>
      </c>
      <c r="F577" t="s">
        <v>138</v>
      </c>
      <c r="G577" s="9" t="s">
        <v>138</v>
      </c>
      <c r="J577">
        <v>0</v>
      </c>
      <c r="K577">
        <v>0</v>
      </c>
      <c r="M577">
        <v>630</v>
      </c>
    </row>
    <row r="578" spans="1:13" x14ac:dyDescent="0.3">
      <c r="A578">
        <v>41643.364583333336</v>
      </c>
      <c r="B578">
        <v>1620</v>
      </c>
      <c r="C578" s="7">
        <v>41640.018750000003</v>
      </c>
      <c r="D578" t="s">
        <v>250</v>
      </c>
      <c r="E578" t="s">
        <v>14</v>
      </c>
      <c r="F578" t="s">
        <v>138</v>
      </c>
      <c r="G578" s="9" t="s">
        <v>138</v>
      </c>
      <c r="J578">
        <v>0</v>
      </c>
      <c r="K578">
        <v>0</v>
      </c>
      <c r="M578">
        <v>639</v>
      </c>
    </row>
    <row r="579" spans="1:13" x14ac:dyDescent="0.3">
      <c r="A579">
        <v>41643.365972222222</v>
      </c>
      <c r="B579">
        <v>540</v>
      </c>
      <c r="C579" s="7">
        <v>41640.006944444445</v>
      </c>
      <c r="D579" t="s">
        <v>10</v>
      </c>
      <c r="E579" t="s">
        <v>6</v>
      </c>
      <c r="F579" t="s">
        <v>138</v>
      </c>
      <c r="G579" s="9" t="s">
        <v>138</v>
      </c>
      <c r="J579">
        <v>0</v>
      </c>
      <c r="K579">
        <v>0</v>
      </c>
      <c r="M579">
        <v>572</v>
      </c>
    </row>
    <row r="580" spans="1:13" x14ac:dyDescent="0.3">
      <c r="A580">
        <v>41643.368055555555</v>
      </c>
      <c r="B580">
        <v>660</v>
      </c>
      <c r="C580" s="7">
        <v>41640.01458333333</v>
      </c>
      <c r="D580" t="s">
        <v>49</v>
      </c>
      <c r="E580" t="s">
        <v>50</v>
      </c>
      <c r="F580" t="s">
        <v>138</v>
      </c>
      <c r="G580" s="9" t="s">
        <v>138</v>
      </c>
      <c r="J580">
        <v>0</v>
      </c>
      <c r="K580">
        <v>0</v>
      </c>
      <c r="M580">
        <v>614</v>
      </c>
    </row>
    <row r="581" spans="1:13" x14ac:dyDescent="0.3">
      <c r="A581">
        <v>41643.368750000001</v>
      </c>
      <c r="B581">
        <v>1020</v>
      </c>
      <c r="C581" s="7">
        <v>41640.01458333333</v>
      </c>
      <c r="D581" t="s">
        <v>271</v>
      </c>
      <c r="E581" t="s">
        <v>22</v>
      </c>
      <c r="F581" t="s">
        <v>138</v>
      </c>
      <c r="G581" s="9" t="s">
        <v>138</v>
      </c>
      <c r="J581">
        <v>0</v>
      </c>
      <c r="K581">
        <v>0</v>
      </c>
      <c r="M581">
        <v>567</v>
      </c>
    </row>
    <row r="582" spans="1:13" x14ac:dyDescent="0.3">
      <c r="A582">
        <v>41643.369444444441</v>
      </c>
      <c r="B582">
        <v>1020</v>
      </c>
      <c r="C582" s="7">
        <v>41640.024305555555</v>
      </c>
      <c r="D582" t="s">
        <v>10</v>
      </c>
      <c r="E582" t="s">
        <v>134</v>
      </c>
      <c r="F582" t="s">
        <v>138</v>
      </c>
      <c r="G582" s="9" t="s">
        <v>138</v>
      </c>
      <c r="J582">
        <v>0</v>
      </c>
      <c r="K582">
        <v>0</v>
      </c>
      <c r="M582">
        <v>584</v>
      </c>
    </row>
    <row r="583" spans="1:13" x14ac:dyDescent="0.3">
      <c r="A583">
        <v>41643.373611111114</v>
      </c>
      <c r="B583">
        <v>2040</v>
      </c>
      <c r="C583" s="7">
        <v>41640.023611111108</v>
      </c>
      <c r="D583" t="s">
        <v>13</v>
      </c>
      <c r="E583" t="s">
        <v>24</v>
      </c>
      <c r="F583" t="s">
        <v>138</v>
      </c>
      <c r="G583" s="9" t="s">
        <v>138</v>
      </c>
      <c r="J583">
        <v>0</v>
      </c>
      <c r="K583">
        <v>0</v>
      </c>
      <c r="M583">
        <v>622</v>
      </c>
    </row>
    <row r="584" spans="1:13" x14ac:dyDescent="0.3">
      <c r="A584">
        <v>41643.376388888886</v>
      </c>
      <c r="B584">
        <v>3000</v>
      </c>
      <c r="C584" s="7">
        <v>41640.034722222219</v>
      </c>
      <c r="D584" t="s">
        <v>13</v>
      </c>
      <c r="E584" t="s">
        <v>131</v>
      </c>
      <c r="F584" t="s">
        <v>138</v>
      </c>
      <c r="G584" s="9" t="s">
        <v>138</v>
      </c>
      <c r="J584">
        <v>0</v>
      </c>
      <c r="K584">
        <v>0</v>
      </c>
      <c r="M584">
        <v>628</v>
      </c>
    </row>
    <row r="585" spans="1:13" x14ac:dyDescent="0.3">
      <c r="A585">
        <v>41643.379861111112</v>
      </c>
      <c r="B585">
        <v>1680</v>
      </c>
      <c r="C585" s="7">
        <v>41640.019444444442</v>
      </c>
      <c r="D585" t="s">
        <v>58</v>
      </c>
      <c r="E585" t="s">
        <v>30</v>
      </c>
      <c r="F585" t="s">
        <v>138</v>
      </c>
      <c r="G585" s="9" t="s">
        <v>138</v>
      </c>
      <c r="J585">
        <v>0</v>
      </c>
      <c r="K585">
        <v>0</v>
      </c>
      <c r="M585">
        <v>631</v>
      </c>
    </row>
    <row r="586" spans="1:13" x14ac:dyDescent="0.3">
      <c r="A586">
        <v>41643.380555555559</v>
      </c>
      <c r="B586">
        <v>840</v>
      </c>
      <c r="C586" s="7">
        <v>41640.011111111111</v>
      </c>
      <c r="D586" t="s">
        <v>32</v>
      </c>
      <c r="E586" t="s">
        <v>33</v>
      </c>
      <c r="F586" t="s">
        <v>138</v>
      </c>
      <c r="G586" s="9" t="s">
        <v>138</v>
      </c>
      <c r="J586">
        <v>0</v>
      </c>
      <c r="K586">
        <v>0</v>
      </c>
      <c r="M586">
        <v>617</v>
      </c>
    </row>
    <row r="587" spans="1:13" x14ac:dyDescent="0.3">
      <c r="A587">
        <v>41643.380555555559</v>
      </c>
      <c r="B587">
        <v>1740</v>
      </c>
      <c r="C587" s="7">
        <v>41640.027083333334</v>
      </c>
      <c r="D587" t="s">
        <v>15</v>
      </c>
      <c r="E587" t="s">
        <v>313</v>
      </c>
      <c r="F587" t="s">
        <v>138</v>
      </c>
      <c r="G587" s="9" t="s">
        <v>138</v>
      </c>
      <c r="J587">
        <v>0</v>
      </c>
      <c r="K587">
        <v>0</v>
      </c>
      <c r="M587">
        <v>609</v>
      </c>
    </row>
    <row r="588" spans="1:13" x14ac:dyDescent="0.3">
      <c r="A588">
        <v>41643.382638888892</v>
      </c>
      <c r="B588">
        <v>1800</v>
      </c>
      <c r="C588" s="7">
        <v>41640.026388888888</v>
      </c>
      <c r="D588" t="s">
        <v>19</v>
      </c>
      <c r="E588" t="s">
        <v>22</v>
      </c>
      <c r="F588" t="s">
        <v>138</v>
      </c>
      <c r="G588" s="9" t="s">
        <v>138</v>
      </c>
      <c r="J588">
        <v>0</v>
      </c>
      <c r="K588">
        <v>0</v>
      </c>
      <c r="M588">
        <v>599</v>
      </c>
    </row>
    <row r="589" spans="1:13" x14ac:dyDescent="0.3">
      <c r="A589">
        <v>41643.383333333331</v>
      </c>
      <c r="B589">
        <v>900</v>
      </c>
      <c r="C589" s="7">
        <v>41640.011111111111</v>
      </c>
      <c r="D589" t="s">
        <v>30</v>
      </c>
      <c r="E589" t="s">
        <v>154</v>
      </c>
      <c r="F589" t="s">
        <v>138</v>
      </c>
      <c r="G589" s="9" t="s">
        <v>138</v>
      </c>
      <c r="J589">
        <v>0</v>
      </c>
      <c r="K589">
        <v>0</v>
      </c>
      <c r="M589">
        <v>635</v>
      </c>
    </row>
    <row r="590" spans="1:13" x14ac:dyDescent="0.3">
      <c r="A590">
        <v>41643.383333333331</v>
      </c>
      <c r="B590">
        <v>240</v>
      </c>
      <c r="C590" s="7">
        <v>41640.00277777778</v>
      </c>
      <c r="D590" t="s">
        <v>22</v>
      </c>
      <c r="E590" t="s">
        <v>38</v>
      </c>
      <c r="F590" t="s">
        <v>138</v>
      </c>
      <c r="G590" s="9" t="s">
        <v>138</v>
      </c>
      <c r="J590">
        <v>0</v>
      </c>
      <c r="K590">
        <v>0</v>
      </c>
      <c r="M590">
        <v>569</v>
      </c>
    </row>
    <row r="591" spans="1:13" x14ac:dyDescent="0.3">
      <c r="A591">
        <v>41643.384722222225</v>
      </c>
      <c r="B591">
        <v>1740</v>
      </c>
      <c r="C591" s="7">
        <v>41640.020138888889</v>
      </c>
      <c r="D591" t="s">
        <v>43</v>
      </c>
      <c r="E591" t="s">
        <v>314</v>
      </c>
      <c r="F591" t="s">
        <v>138</v>
      </c>
      <c r="G591" s="9" t="s">
        <v>138</v>
      </c>
      <c r="J591">
        <v>0</v>
      </c>
      <c r="K591">
        <v>0</v>
      </c>
      <c r="M591">
        <v>570</v>
      </c>
    </row>
    <row r="592" spans="1:13" x14ac:dyDescent="0.3">
      <c r="A592">
        <v>41643.388888888891</v>
      </c>
      <c r="B592">
        <v>2460</v>
      </c>
      <c r="C592" s="7">
        <v>41640.02847222222</v>
      </c>
      <c r="D592" t="s">
        <v>73</v>
      </c>
      <c r="E592" t="s">
        <v>30</v>
      </c>
      <c r="F592" t="s">
        <v>138</v>
      </c>
      <c r="G592" s="9" t="s">
        <v>138</v>
      </c>
      <c r="J592">
        <v>0</v>
      </c>
      <c r="K592">
        <v>0</v>
      </c>
      <c r="M592">
        <v>645</v>
      </c>
    </row>
    <row r="593" spans="1:13" x14ac:dyDescent="0.3">
      <c r="A593">
        <v>41643.388888888891</v>
      </c>
      <c r="B593">
        <v>1200</v>
      </c>
      <c r="C593" s="7">
        <v>41640.033333333333</v>
      </c>
      <c r="D593" t="s">
        <v>30</v>
      </c>
      <c r="E593" t="s">
        <v>97</v>
      </c>
      <c r="F593" t="s">
        <v>138</v>
      </c>
      <c r="G593" s="9" t="s">
        <v>138</v>
      </c>
      <c r="J593">
        <v>0</v>
      </c>
      <c r="K593">
        <v>0</v>
      </c>
      <c r="M593">
        <v>593</v>
      </c>
    </row>
    <row r="594" spans="1:13" x14ac:dyDescent="0.3">
      <c r="A594">
        <v>41643.390277777777</v>
      </c>
      <c r="B594">
        <v>900</v>
      </c>
      <c r="C594" s="7">
        <v>41640.011111111111</v>
      </c>
      <c r="D594" t="s">
        <v>22</v>
      </c>
      <c r="E594" t="s">
        <v>68</v>
      </c>
      <c r="F594" t="s">
        <v>138</v>
      </c>
      <c r="G594" s="9" t="s">
        <v>138</v>
      </c>
      <c r="J594">
        <v>0</v>
      </c>
      <c r="K594">
        <v>0</v>
      </c>
      <c r="M594">
        <v>601</v>
      </c>
    </row>
    <row r="595" spans="1:13" x14ac:dyDescent="0.3">
      <c r="A595">
        <v>41643.393055555556</v>
      </c>
      <c r="B595">
        <v>780</v>
      </c>
      <c r="C595" s="7">
        <v>41640.009027777778</v>
      </c>
      <c r="D595" t="s">
        <v>8</v>
      </c>
      <c r="E595" t="s">
        <v>240</v>
      </c>
      <c r="F595" t="s">
        <v>138</v>
      </c>
      <c r="G595" s="9" t="s">
        <v>138</v>
      </c>
      <c r="J595">
        <v>0</v>
      </c>
      <c r="K595">
        <v>0</v>
      </c>
      <c r="M595">
        <v>637</v>
      </c>
    </row>
    <row r="596" spans="1:13" x14ac:dyDescent="0.3">
      <c r="A596">
        <v>41643.395833333336</v>
      </c>
      <c r="B596">
        <v>720</v>
      </c>
      <c r="C596" s="7">
        <v>41640.023611111108</v>
      </c>
      <c r="D596" t="s">
        <v>22</v>
      </c>
      <c r="E596" t="s">
        <v>232</v>
      </c>
      <c r="F596" t="s">
        <v>138</v>
      </c>
      <c r="G596" s="9" t="s">
        <v>138</v>
      </c>
      <c r="J596">
        <v>0</v>
      </c>
      <c r="K596">
        <v>0</v>
      </c>
      <c r="M596">
        <v>615</v>
      </c>
    </row>
    <row r="597" spans="1:13" x14ac:dyDescent="0.3">
      <c r="A597">
        <v>41643.396527777775</v>
      </c>
      <c r="B597">
        <v>1500</v>
      </c>
      <c r="C597" s="7">
        <v>41640.025694444441</v>
      </c>
      <c r="D597" t="s">
        <v>282</v>
      </c>
      <c r="E597" t="s">
        <v>22</v>
      </c>
      <c r="F597" t="s">
        <v>138</v>
      </c>
      <c r="G597" s="9" t="s">
        <v>138</v>
      </c>
      <c r="J597">
        <v>0</v>
      </c>
      <c r="K597">
        <v>0</v>
      </c>
      <c r="M597">
        <v>589</v>
      </c>
    </row>
    <row r="598" spans="1:13" x14ac:dyDescent="0.3">
      <c r="A598">
        <v>41643.398611111108</v>
      </c>
      <c r="B598">
        <v>1440</v>
      </c>
      <c r="C598" s="7">
        <v>41640.01666666667</v>
      </c>
      <c r="D598" t="s">
        <v>38</v>
      </c>
      <c r="E598" t="s">
        <v>39</v>
      </c>
      <c r="F598" t="s">
        <v>138</v>
      </c>
      <c r="G598" s="9" t="s">
        <v>138</v>
      </c>
      <c r="J598">
        <v>0</v>
      </c>
      <c r="K598">
        <v>0</v>
      </c>
      <c r="M598">
        <v>633</v>
      </c>
    </row>
    <row r="599" spans="1:13" x14ac:dyDescent="0.3">
      <c r="A599">
        <v>41643.399305555555</v>
      </c>
      <c r="B599">
        <v>2040</v>
      </c>
      <c r="C599" s="7">
        <v>41640.023611111108</v>
      </c>
      <c r="D599" t="s">
        <v>315</v>
      </c>
      <c r="E599" t="s">
        <v>10</v>
      </c>
      <c r="F599" t="s">
        <v>138</v>
      </c>
      <c r="G599" s="9" t="s">
        <v>138</v>
      </c>
      <c r="J599">
        <v>0</v>
      </c>
      <c r="K599">
        <v>0</v>
      </c>
      <c r="M599">
        <v>623</v>
      </c>
    </row>
    <row r="600" spans="1:13" x14ac:dyDescent="0.3">
      <c r="A600">
        <v>41643.4</v>
      </c>
      <c r="B600">
        <v>1500</v>
      </c>
      <c r="C600" s="7">
        <v>41640.018055555556</v>
      </c>
      <c r="D600" t="s">
        <v>22</v>
      </c>
      <c r="E600" t="s">
        <v>271</v>
      </c>
      <c r="F600" t="s">
        <v>138</v>
      </c>
      <c r="G600" s="9" t="s">
        <v>138</v>
      </c>
      <c r="J600">
        <v>0</v>
      </c>
      <c r="K600">
        <v>0</v>
      </c>
      <c r="M600">
        <v>604</v>
      </c>
    </row>
    <row r="601" spans="1:13" x14ac:dyDescent="0.3">
      <c r="A601">
        <v>41643.401388888888</v>
      </c>
      <c r="B601">
        <v>840</v>
      </c>
      <c r="C601" s="7">
        <v>41640.010416666664</v>
      </c>
      <c r="D601" t="s">
        <v>10</v>
      </c>
      <c r="E601" t="s">
        <v>312</v>
      </c>
      <c r="F601" t="s">
        <v>138</v>
      </c>
      <c r="G601" s="9" t="s">
        <v>138</v>
      </c>
      <c r="J601">
        <v>0</v>
      </c>
      <c r="K601">
        <v>0</v>
      </c>
      <c r="M601">
        <v>640</v>
      </c>
    </row>
    <row r="602" spans="1:13" x14ac:dyDescent="0.3">
      <c r="A602">
        <v>41643.402777777781</v>
      </c>
      <c r="B602">
        <v>840</v>
      </c>
      <c r="C602" s="7">
        <v>41640.012499999997</v>
      </c>
      <c r="D602" t="s">
        <v>43</v>
      </c>
      <c r="E602" t="s">
        <v>40</v>
      </c>
      <c r="F602" t="s">
        <v>138</v>
      </c>
      <c r="G602" s="9" t="s">
        <v>138</v>
      </c>
      <c r="J602">
        <v>0</v>
      </c>
      <c r="K602">
        <v>0</v>
      </c>
      <c r="M602">
        <v>573</v>
      </c>
    </row>
    <row r="603" spans="1:13" x14ac:dyDescent="0.3">
      <c r="A603">
        <v>41643.404166666667</v>
      </c>
      <c r="B603">
        <v>2040</v>
      </c>
      <c r="C603" s="7">
        <v>41640.03402777778</v>
      </c>
      <c r="D603" t="s">
        <v>197</v>
      </c>
      <c r="E603" t="s">
        <v>43</v>
      </c>
      <c r="F603" t="s">
        <v>138</v>
      </c>
      <c r="G603" s="9" t="s">
        <v>138</v>
      </c>
      <c r="J603">
        <v>0</v>
      </c>
      <c r="K603">
        <v>0</v>
      </c>
      <c r="M603">
        <v>613</v>
      </c>
    </row>
    <row r="604" spans="1:13" x14ac:dyDescent="0.3">
      <c r="A604">
        <v>41643.407638888886</v>
      </c>
      <c r="B604">
        <v>780</v>
      </c>
      <c r="C604" s="7">
        <v>41640.012499999997</v>
      </c>
      <c r="D604" t="s">
        <v>50</v>
      </c>
      <c r="E604" t="s">
        <v>49</v>
      </c>
      <c r="F604" t="s">
        <v>138</v>
      </c>
      <c r="G604" s="9" t="s">
        <v>138</v>
      </c>
      <c r="J604">
        <v>0</v>
      </c>
      <c r="K604">
        <v>0</v>
      </c>
      <c r="M604">
        <v>585</v>
      </c>
    </row>
    <row r="605" spans="1:13" x14ac:dyDescent="0.3">
      <c r="A605">
        <v>41643.409722222219</v>
      </c>
      <c r="B605">
        <v>3420</v>
      </c>
      <c r="C605" s="7">
        <v>41640.040277777778</v>
      </c>
      <c r="D605" t="s">
        <v>251</v>
      </c>
      <c r="E605" t="s">
        <v>143</v>
      </c>
      <c r="F605" t="s">
        <v>138</v>
      </c>
      <c r="G605" s="9" t="s">
        <v>138</v>
      </c>
      <c r="J605">
        <v>0</v>
      </c>
      <c r="K605">
        <v>0</v>
      </c>
      <c r="M605">
        <v>634</v>
      </c>
    </row>
    <row r="606" spans="1:13" x14ac:dyDescent="0.3">
      <c r="A606">
        <v>41643.409722222219</v>
      </c>
      <c r="B606">
        <v>1920</v>
      </c>
      <c r="C606" s="7">
        <v>41640.029166666667</v>
      </c>
      <c r="D606" t="s">
        <v>84</v>
      </c>
      <c r="E606" t="s">
        <v>30</v>
      </c>
      <c r="F606" t="s">
        <v>138</v>
      </c>
      <c r="G606" s="9" t="s">
        <v>138</v>
      </c>
      <c r="J606">
        <v>0</v>
      </c>
      <c r="K606">
        <v>0</v>
      </c>
      <c r="M606">
        <v>627</v>
      </c>
    </row>
    <row r="607" spans="1:13" x14ac:dyDescent="0.3">
      <c r="A607">
        <v>41643.409722222219</v>
      </c>
      <c r="B607">
        <v>1140</v>
      </c>
      <c r="C607" s="7">
        <v>41640.025000000001</v>
      </c>
      <c r="D607" t="s">
        <v>30</v>
      </c>
      <c r="E607" t="s">
        <v>58</v>
      </c>
      <c r="F607" t="s">
        <v>138</v>
      </c>
      <c r="G607" s="9" t="s">
        <v>138</v>
      </c>
      <c r="J607">
        <v>0</v>
      </c>
      <c r="K607">
        <v>0</v>
      </c>
      <c r="M607">
        <v>597</v>
      </c>
    </row>
    <row r="608" spans="1:13" x14ac:dyDescent="0.3">
      <c r="A608">
        <v>41643.410416666666</v>
      </c>
      <c r="B608">
        <v>1440</v>
      </c>
      <c r="C608" s="7">
        <v>41640.017361111109</v>
      </c>
      <c r="D608" t="s">
        <v>14</v>
      </c>
      <c r="E608" t="s">
        <v>96</v>
      </c>
      <c r="F608" t="s">
        <v>138</v>
      </c>
      <c r="G608" s="9" t="s">
        <v>138</v>
      </c>
      <c r="J608">
        <v>0</v>
      </c>
      <c r="K608">
        <v>0</v>
      </c>
      <c r="M608">
        <v>577</v>
      </c>
    </row>
    <row r="609" spans="1:13" x14ac:dyDescent="0.3">
      <c r="A609">
        <v>41643.416666666664</v>
      </c>
      <c r="B609">
        <v>720</v>
      </c>
      <c r="C609" s="7">
        <v>41640.011805555558</v>
      </c>
      <c r="D609" t="s">
        <v>22</v>
      </c>
      <c r="E609" t="s">
        <v>19</v>
      </c>
      <c r="F609" t="s">
        <v>138</v>
      </c>
      <c r="G609" s="9" t="s">
        <v>138</v>
      </c>
      <c r="J609">
        <v>0</v>
      </c>
      <c r="K609">
        <v>0</v>
      </c>
      <c r="M609">
        <v>582</v>
      </c>
    </row>
    <row r="610" spans="1:13" x14ac:dyDescent="0.3">
      <c r="A610">
        <v>41643.418749999997</v>
      </c>
      <c r="B610">
        <v>2460</v>
      </c>
      <c r="C610" s="7">
        <v>41640.029166666667</v>
      </c>
      <c r="D610" t="s">
        <v>316</v>
      </c>
      <c r="E610" t="s">
        <v>30</v>
      </c>
      <c r="F610" t="s">
        <v>138</v>
      </c>
      <c r="G610" s="9" t="s">
        <v>138</v>
      </c>
      <c r="J610">
        <v>0</v>
      </c>
      <c r="K610">
        <v>0</v>
      </c>
      <c r="M610">
        <v>619</v>
      </c>
    </row>
    <row r="611" spans="1:13" x14ac:dyDescent="0.3">
      <c r="A611">
        <v>41643.42291666667</v>
      </c>
      <c r="B611">
        <v>1140</v>
      </c>
      <c r="C611" s="7">
        <v>41640.013888888891</v>
      </c>
      <c r="D611" t="s">
        <v>317</v>
      </c>
      <c r="E611" t="s">
        <v>40</v>
      </c>
      <c r="F611" t="s">
        <v>138</v>
      </c>
      <c r="G611" s="9" t="s">
        <v>138</v>
      </c>
      <c r="J611">
        <v>0</v>
      </c>
      <c r="K611">
        <v>0</v>
      </c>
      <c r="M611">
        <v>624</v>
      </c>
    </row>
    <row r="612" spans="1:13" x14ac:dyDescent="0.3">
      <c r="A612">
        <v>41643.426388888889</v>
      </c>
      <c r="B612">
        <v>900</v>
      </c>
      <c r="C612" s="7">
        <v>41640.017361111109</v>
      </c>
      <c r="D612" t="s">
        <v>10</v>
      </c>
      <c r="E612" t="s">
        <v>315</v>
      </c>
      <c r="F612" t="s">
        <v>138</v>
      </c>
      <c r="G612" s="9" t="s">
        <v>138</v>
      </c>
      <c r="J612">
        <v>0</v>
      </c>
      <c r="K612">
        <v>0</v>
      </c>
      <c r="M612">
        <v>580</v>
      </c>
    </row>
    <row r="613" spans="1:13" x14ac:dyDescent="0.3">
      <c r="A613">
        <v>41643.428472222222</v>
      </c>
      <c r="B613">
        <v>780</v>
      </c>
      <c r="C613" s="7">
        <v>41640.021527777775</v>
      </c>
      <c r="D613" t="s">
        <v>22</v>
      </c>
      <c r="E613" t="s">
        <v>282</v>
      </c>
      <c r="F613" t="s">
        <v>138</v>
      </c>
      <c r="G613" s="9" t="s">
        <v>138</v>
      </c>
      <c r="J613">
        <v>0</v>
      </c>
      <c r="K613">
        <v>0</v>
      </c>
      <c r="M613">
        <v>649</v>
      </c>
    </row>
    <row r="614" spans="1:13" x14ac:dyDescent="0.3">
      <c r="A614">
        <v>41643.428472222222</v>
      </c>
      <c r="B614">
        <v>840</v>
      </c>
      <c r="C614" s="7">
        <v>41640.013194444444</v>
      </c>
      <c r="D614" t="s">
        <v>15</v>
      </c>
      <c r="E614" t="s">
        <v>215</v>
      </c>
      <c r="F614" t="s">
        <v>138</v>
      </c>
      <c r="G614" s="9" t="s">
        <v>138</v>
      </c>
      <c r="J614">
        <v>0</v>
      </c>
      <c r="K614">
        <v>0</v>
      </c>
      <c r="M614">
        <v>562</v>
      </c>
    </row>
    <row r="615" spans="1:13" x14ac:dyDescent="0.3">
      <c r="A615">
        <v>41643.430555555555</v>
      </c>
      <c r="B615">
        <v>1380</v>
      </c>
      <c r="C615" s="7">
        <v>41640.015972222223</v>
      </c>
      <c r="D615" t="s">
        <v>236</v>
      </c>
      <c r="E615" t="s">
        <v>30</v>
      </c>
      <c r="F615" t="s">
        <v>138</v>
      </c>
      <c r="G615" s="9" t="s">
        <v>138</v>
      </c>
      <c r="J615">
        <v>0</v>
      </c>
      <c r="K615">
        <v>0</v>
      </c>
      <c r="M615">
        <v>602</v>
      </c>
    </row>
    <row r="616" spans="1:13" x14ac:dyDescent="0.3">
      <c r="A616">
        <v>41643.430555555555</v>
      </c>
      <c r="B616">
        <v>1560</v>
      </c>
      <c r="C616" s="7">
        <v>41640.02847222222</v>
      </c>
      <c r="D616" t="s">
        <v>241</v>
      </c>
      <c r="E616" t="s">
        <v>43</v>
      </c>
      <c r="F616" t="s">
        <v>138</v>
      </c>
      <c r="G616" s="9" t="s">
        <v>138</v>
      </c>
      <c r="J616">
        <v>0</v>
      </c>
      <c r="K616">
        <v>0</v>
      </c>
      <c r="M616">
        <v>596</v>
      </c>
    </row>
    <row r="617" spans="1:13" x14ac:dyDescent="0.3">
      <c r="A617">
        <v>41643.430555555555</v>
      </c>
      <c r="B617">
        <v>960</v>
      </c>
      <c r="C617" s="7">
        <v>41640.025694444441</v>
      </c>
      <c r="D617" t="s">
        <v>56</v>
      </c>
      <c r="E617" t="s">
        <v>8</v>
      </c>
      <c r="F617" t="s">
        <v>138</v>
      </c>
      <c r="G617" s="9" t="s">
        <v>138</v>
      </c>
      <c r="J617">
        <v>0</v>
      </c>
      <c r="K617">
        <v>0</v>
      </c>
      <c r="M617">
        <v>592</v>
      </c>
    </row>
    <row r="618" spans="1:13" x14ac:dyDescent="0.3">
      <c r="A618">
        <v>41643.430555555555</v>
      </c>
      <c r="B618">
        <v>1080</v>
      </c>
      <c r="C618" s="7">
        <v>41640.01666666667</v>
      </c>
      <c r="D618" t="s">
        <v>318</v>
      </c>
      <c r="E618" t="s">
        <v>22</v>
      </c>
      <c r="F618" t="s">
        <v>138</v>
      </c>
      <c r="G618" s="9" t="s">
        <v>138</v>
      </c>
      <c r="J618">
        <v>0</v>
      </c>
      <c r="K618">
        <v>0</v>
      </c>
      <c r="M618">
        <v>566</v>
      </c>
    </row>
    <row r="619" spans="1:13" x14ac:dyDescent="0.3">
      <c r="A619">
        <v>41643.432638888888</v>
      </c>
      <c r="B619">
        <v>1800</v>
      </c>
      <c r="C619" s="7">
        <v>41640.027083333334</v>
      </c>
      <c r="D619" t="s">
        <v>319</v>
      </c>
      <c r="E619" t="s">
        <v>245</v>
      </c>
      <c r="F619" t="s">
        <v>138</v>
      </c>
      <c r="G619" s="9" t="s">
        <v>138</v>
      </c>
      <c r="J619">
        <v>0</v>
      </c>
      <c r="K619">
        <v>0</v>
      </c>
      <c r="M619">
        <v>641</v>
      </c>
    </row>
    <row r="620" spans="1:13" x14ac:dyDescent="0.3">
      <c r="A620">
        <v>41643.432638888888</v>
      </c>
      <c r="B620">
        <v>1020</v>
      </c>
      <c r="C620" s="7">
        <v>41640.029861111114</v>
      </c>
      <c r="D620" t="s">
        <v>30</v>
      </c>
      <c r="E620" t="s">
        <v>73</v>
      </c>
      <c r="F620" t="s">
        <v>138</v>
      </c>
      <c r="G620" s="9" t="s">
        <v>138</v>
      </c>
      <c r="J620">
        <v>0</v>
      </c>
      <c r="K620">
        <v>0</v>
      </c>
      <c r="M620">
        <v>586</v>
      </c>
    </row>
    <row r="621" spans="1:13" x14ac:dyDescent="0.3">
      <c r="A621">
        <v>41643.4375</v>
      </c>
      <c r="B621">
        <v>900</v>
      </c>
      <c r="C621" s="7">
        <v>41640.022916666669</v>
      </c>
      <c r="D621" t="s">
        <v>285</v>
      </c>
      <c r="E621" t="s">
        <v>30</v>
      </c>
      <c r="F621" t="s">
        <v>138</v>
      </c>
      <c r="G621" s="9" t="s">
        <v>138</v>
      </c>
      <c r="J621">
        <v>0</v>
      </c>
      <c r="K621">
        <v>0</v>
      </c>
      <c r="M621">
        <v>612</v>
      </c>
    </row>
    <row r="622" spans="1:13" x14ac:dyDescent="0.3">
      <c r="A622">
        <v>41643.438888888886</v>
      </c>
      <c r="B622">
        <v>1440</v>
      </c>
      <c r="C622" s="7">
        <v>41640.025000000001</v>
      </c>
      <c r="D622" t="s">
        <v>320</v>
      </c>
      <c r="E622" t="s">
        <v>22</v>
      </c>
      <c r="F622" t="s">
        <v>138</v>
      </c>
      <c r="G622" s="9" t="s">
        <v>138</v>
      </c>
      <c r="J622">
        <v>0</v>
      </c>
      <c r="K622">
        <v>0</v>
      </c>
      <c r="M622">
        <v>625</v>
      </c>
    </row>
    <row r="623" spans="1:13" x14ac:dyDescent="0.3">
      <c r="A623">
        <v>41643.439583333333</v>
      </c>
      <c r="B623">
        <v>900</v>
      </c>
      <c r="C623" s="7">
        <v>41640.01666666667</v>
      </c>
      <c r="D623" t="s">
        <v>259</v>
      </c>
      <c r="E623" t="s">
        <v>13</v>
      </c>
      <c r="F623" t="s">
        <v>138</v>
      </c>
      <c r="G623" s="9" t="s">
        <v>138</v>
      </c>
      <c r="J623">
        <v>0</v>
      </c>
      <c r="K623">
        <v>0</v>
      </c>
      <c r="M623">
        <v>563</v>
      </c>
    </row>
    <row r="624" spans="1:13" x14ac:dyDescent="0.3">
      <c r="A624">
        <v>41643.440972222219</v>
      </c>
      <c r="B624">
        <v>1620</v>
      </c>
      <c r="C624" s="7">
        <v>41640.022222222222</v>
      </c>
      <c r="D624" t="s">
        <v>268</v>
      </c>
      <c r="E624" t="s">
        <v>13</v>
      </c>
      <c r="F624" t="s">
        <v>138</v>
      </c>
      <c r="G624" s="9" t="s">
        <v>138</v>
      </c>
      <c r="J624">
        <v>0</v>
      </c>
      <c r="K624">
        <v>0</v>
      </c>
      <c r="M624">
        <v>579</v>
      </c>
    </row>
    <row r="625" spans="1:13" x14ac:dyDescent="0.3">
      <c r="A625">
        <v>41643.444444444445</v>
      </c>
      <c r="B625">
        <v>1380</v>
      </c>
      <c r="C625" s="7">
        <v>41640.015972222223</v>
      </c>
      <c r="D625" t="s">
        <v>321</v>
      </c>
      <c r="E625" t="s">
        <v>13</v>
      </c>
      <c r="F625" t="s">
        <v>138</v>
      </c>
      <c r="G625" s="9" t="s">
        <v>138</v>
      </c>
      <c r="J625">
        <v>0</v>
      </c>
      <c r="K625">
        <v>0</v>
      </c>
      <c r="M625">
        <v>605</v>
      </c>
    </row>
    <row r="626" spans="1:13" x14ac:dyDescent="0.3">
      <c r="A626">
        <v>41643.449999999997</v>
      </c>
      <c r="B626">
        <v>960</v>
      </c>
      <c r="C626" s="7">
        <v>41640.030555555553</v>
      </c>
      <c r="D626" t="s">
        <v>43</v>
      </c>
      <c r="E626" t="s">
        <v>197</v>
      </c>
      <c r="F626" t="s">
        <v>138</v>
      </c>
      <c r="G626" s="9" t="s">
        <v>138</v>
      </c>
      <c r="J626">
        <v>0</v>
      </c>
      <c r="K626">
        <v>0</v>
      </c>
      <c r="M626">
        <v>594</v>
      </c>
    </row>
    <row r="627" spans="1:13" x14ac:dyDescent="0.3">
      <c r="A627">
        <v>41643.451388888891</v>
      </c>
      <c r="B627">
        <v>1200</v>
      </c>
      <c r="C627" s="7">
        <v>41640.018055555556</v>
      </c>
      <c r="D627" t="s">
        <v>82</v>
      </c>
      <c r="E627" t="s">
        <v>22</v>
      </c>
      <c r="F627" t="s">
        <v>138</v>
      </c>
      <c r="G627" s="9" t="s">
        <v>138</v>
      </c>
      <c r="J627">
        <v>0</v>
      </c>
      <c r="K627">
        <v>0</v>
      </c>
      <c r="M627">
        <v>581</v>
      </c>
    </row>
    <row r="628" spans="1:13" x14ac:dyDescent="0.3">
      <c r="A628">
        <v>41643.451388888891</v>
      </c>
      <c r="B628">
        <v>2280</v>
      </c>
      <c r="C628" s="7">
        <v>41640.03125</v>
      </c>
      <c r="D628" t="s">
        <v>25</v>
      </c>
      <c r="E628" t="s">
        <v>8</v>
      </c>
      <c r="F628" t="s">
        <v>138</v>
      </c>
      <c r="G628" s="9" t="s">
        <v>138</v>
      </c>
      <c r="J628">
        <v>0</v>
      </c>
      <c r="K628">
        <v>0</v>
      </c>
      <c r="M628">
        <v>574</v>
      </c>
    </row>
    <row r="629" spans="1:13" x14ac:dyDescent="0.3">
      <c r="A629">
        <v>41643.451388888891</v>
      </c>
      <c r="B629">
        <v>1380</v>
      </c>
      <c r="C629" s="7">
        <v>41640.021527777775</v>
      </c>
      <c r="D629" t="s">
        <v>166</v>
      </c>
      <c r="E629" t="s">
        <v>22</v>
      </c>
      <c r="F629" t="s">
        <v>138</v>
      </c>
      <c r="G629" s="9" t="s">
        <v>138</v>
      </c>
      <c r="J629">
        <v>0</v>
      </c>
      <c r="K629">
        <v>0</v>
      </c>
      <c r="M629">
        <v>565</v>
      </c>
    </row>
    <row r="630" spans="1:13" x14ac:dyDescent="0.3">
      <c r="A630">
        <v>41643.456250000003</v>
      </c>
      <c r="B630">
        <v>840</v>
      </c>
      <c r="C630" s="7">
        <v>41640.013888888891</v>
      </c>
      <c r="D630" t="s">
        <v>40</v>
      </c>
      <c r="E630" t="s">
        <v>88</v>
      </c>
      <c r="F630" t="s">
        <v>138</v>
      </c>
      <c r="G630" s="9" t="s">
        <v>138</v>
      </c>
      <c r="J630">
        <v>0</v>
      </c>
      <c r="K630">
        <v>0</v>
      </c>
      <c r="M630">
        <v>588</v>
      </c>
    </row>
    <row r="631" spans="1:13" x14ac:dyDescent="0.3">
      <c r="A631">
        <v>41643.457638888889</v>
      </c>
      <c r="B631">
        <v>1500</v>
      </c>
      <c r="C631" s="7">
        <v>41640.019444444442</v>
      </c>
      <c r="D631" t="s">
        <v>14</v>
      </c>
      <c r="E631" t="s">
        <v>250</v>
      </c>
      <c r="F631" t="s">
        <v>138</v>
      </c>
      <c r="G631" s="9" t="s">
        <v>138</v>
      </c>
      <c r="J631">
        <v>0</v>
      </c>
      <c r="K631">
        <v>0</v>
      </c>
      <c r="M631">
        <v>644</v>
      </c>
    </row>
    <row r="632" spans="1:13" x14ac:dyDescent="0.3">
      <c r="A632">
        <v>41643.461805555555</v>
      </c>
      <c r="B632">
        <v>1500</v>
      </c>
      <c r="C632" s="7">
        <v>41640.018055555556</v>
      </c>
      <c r="D632" t="s">
        <v>13</v>
      </c>
      <c r="E632" t="s">
        <v>259</v>
      </c>
      <c r="F632" t="s">
        <v>138</v>
      </c>
      <c r="G632" s="9" t="s">
        <v>138</v>
      </c>
      <c r="J632">
        <v>0</v>
      </c>
      <c r="K632">
        <v>0</v>
      </c>
      <c r="M632">
        <v>578</v>
      </c>
    </row>
    <row r="633" spans="1:13" x14ac:dyDescent="0.3">
      <c r="A633">
        <v>41643.463194444441</v>
      </c>
      <c r="B633">
        <v>720</v>
      </c>
      <c r="C633" s="7">
        <v>41640.017361111109</v>
      </c>
      <c r="D633" t="s">
        <v>13</v>
      </c>
      <c r="E633" t="s">
        <v>321</v>
      </c>
      <c r="F633" t="s">
        <v>138</v>
      </c>
      <c r="G633" s="9" t="s">
        <v>138</v>
      </c>
      <c r="J633">
        <v>0</v>
      </c>
      <c r="K633">
        <v>0</v>
      </c>
      <c r="M633">
        <v>648</v>
      </c>
    </row>
    <row r="634" spans="1:13" x14ac:dyDescent="0.3">
      <c r="A634">
        <v>41643.467361111114</v>
      </c>
      <c r="B634">
        <v>900</v>
      </c>
      <c r="C634" s="7">
        <v>41640.013888888891</v>
      </c>
      <c r="D634" t="s">
        <v>14</v>
      </c>
      <c r="E634" t="s">
        <v>15</v>
      </c>
      <c r="F634" t="s">
        <v>138</v>
      </c>
      <c r="G634" s="9" t="s">
        <v>138</v>
      </c>
      <c r="J634">
        <v>0</v>
      </c>
      <c r="K634">
        <v>0</v>
      </c>
      <c r="M634">
        <v>611</v>
      </c>
    </row>
    <row r="635" spans="1:13" x14ac:dyDescent="0.3">
      <c r="A635">
        <v>41643.46875</v>
      </c>
      <c r="B635">
        <v>600</v>
      </c>
      <c r="C635" s="7">
        <v>41640.009722222225</v>
      </c>
      <c r="D635" t="s">
        <v>40</v>
      </c>
      <c r="E635" t="s">
        <v>43</v>
      </c>
      <c r="F635" t="s">
        <v>138</v>
      </c>
      <c r="G635" s="9" t="s">
        <v>138</v>
      </c>
      <c r="J635">
        <v>0</v>
      </c>
      <c r="K635">
        <v>0</v>
      </c>
      <c r="M635">
        <v>620</v>
      </c>
    </row>
    <row r="636" spans="1:13" x14ac:dyDescent="0.3">
      <c r="A636">
        <v>41643.47152777778</v>
      </c>
      <c r="B636">
        <v>1320</v>
      </c>
      <c r="C636" s="7">
        <v>41640.015972222223</v>
      </c>
      <c r="D636" t="s">
        <v>30</v>
      </c>
      <c r="E636" t="s">
        <v>84</v>
      </c>
      <c r="F636" t="s">
        <v>138</v>
      </c>
      <c r="G636" s="9" t="s">
        <v>138</v>
      </c>
      <c r="J636">
        <v>0</v>
      </c>
      <c r="K636">
        <v>0</v>
      </c>
      <c r="M636">
        <v>568</v>
      </c>
    </row>
    <row r="637" spans="1:13" x14ac:dyDescent="0.3">
      <c r="A637">
        <v>41643.472222222219</v>
      </c>
      <c r="B637">
        <v>1680</v>
      </c>
      <c r="C637" s="7">
        <v>41640.019444444442</v>
      </c>
      <c r="D637" t="s">
        <v>299</v>
      </c>
      <c r="E637" t="s">
        <v>15</v>
      </c>
      <c r="F637" t="s">
        <v>138</v>
      </c>
      <c r="G637" s="9" t="s">
        <v>138</v>
      </c>
      <c r="J637">
        <v>0</v>
      </c>
      <c r="K637">
        <v>0</v>
      </c>
      <c r="M637">
        <v>652</v>
      </c>
    </row>
    <row r="638" spans="1:13" x14ac:dyDescent="0.3">
      <c r="A638">
        <v>41643.472222222219</v>
      </c>
      <c r="B638">
        <v>1080</v>
      </c>
      <c r="C638" s="7">
        <v>41640.013194444444</v>
      </c>
      <c r="D638" t="s">
        <v>14</v>
      </c>
      <c r="E638" t="s">
        <v>15</v>
      </c>
      <c r="F638" t="s">
        <v>138</v>
      </c>
      <c r="G638" s="9" t="s">
        <v>138</v>
      </c>
      <c r="J638">
        <v>0</v>
      </c>
      <c r="K638">
        <v>0</v>
      </c>
      <c r="M638">
        <v>564</v>
      </c>
    </row>
    <row r="639" spans="1:13" x14ac:dyDescent="0.3">
      <c r="A639">
        <v>41643.473611111112</v>
      </c>
      <c r="B639">
        <v>1320</v>
      </c>
      <c r="C639" s="7">
        <v>41640.030555555553</v>
      </c>
      <c r="D639" t="s">
        <v>22</v>
      </c>
      <c r="E639" t="s">
        <v>318</v>
      </c>
      <c r="F639" t="s">
        <v>138</v>
      </c>
      <c r="G639" s="9" t="s">
        <v>138</v>
      </c>
      <c r="J639">
        <v>0</v>
      </c>
      <c r="K639">
        <v>0</v>
      </c>
      <c r="M639">
        <v>587</v>
      </c>
    </row>
    <row r="640" spans="1:13" x14ac:dyDescent="0.3">
      <c r="A640">
        <v>41643.474999999999</v>
      </c>
      <c r="B640">
        <v>1020</v>
      </c>
      <c r="C640" s="7">
        <v>41640.013888888891</v>
      </c>
      <c r="D640" t="s">
        <v>43</v>
      </c>
      <c r="E640" t="s">
        <v>241</v>
      </c>
      <c r="F640" t="s">
        <v>138</v>
      </c>
      <c r="G640" s="9" t="s">
        <v>138</v>
      </c>
      <c r="J640">
        <v>0</v>
      </c>
      <c r="K640">
        <v>0</v>
      </c>
      <c r="M640">
        <v>621</v>
      </c>
    </row>
    <row r="641" spans="1:13" x14ac:dyDescent="0.3">
      <c r="A641">
        <v>41643.476388888892</v>
      </c>
      <c r="B641">
        <v>1140</v>
      </c>
      <c r="C641" s="7">
        <v>41640.015277777777</v>
      </c>
      <c r="D641" t="s">
        <v>13</v>
      </c>
      <c r="E641" t="s">
        <v>268</v>
      </c>
      <c r="F641" t="s">
        <v>138</v>
      </c>
      <c r="G641" s="9" t="s">
        <v>138</v>
      </c>
      <c r="J641">
        <v>0</v>
      </c>
      <c r="K641">
        <v>0</v>
      </c>
      <c r="M641">
        <v>643</v>
      </c>
    </row>
    <row r="642" spans="1:13" x14ac:dyDescent="0.3">
      <c r="A642">
        <v>41643.48333333333</v>
      </c>
      <c r="B642">
        <v>1800</v>
      </c>
      <c r="C642" s="7">
        <v>41640.029166666667</v>
      </c>
      <c r="D642" t="s">
        <v>322</v>
      </c>
      <c r="E642" t="s">
        <v>323</v>
      </c>
      <c r="F642" t="s">
        <v>138</v>
      </c>
      <c r="G642" s="9" t="s">
        <v>138</v>
      </c>
      <c r="J642">
        <v>0</v>
      </c>
      <c r="K642">
        <v>0</v>
      </c>
      <c r="M642">
        <v>647</v>
      </c>
    </row>
    <row r="643" spans="1:13" x14ac:dyDescent="0.3">
      <c r="A643">
        <v>41643.48333333333</v>
      </c>
      <c r="B643">
        <v>1140</v>
      </c>
      <c r="C643" s="7">
        <v>41640.013194444444</v>
      </c>
      <c r="D643" t="s">
        <v>88</v>
      </c>
      <c r="E643" t="s">
        <v>40</v>
      </c>
      <c r="F643" t="s">
        <v>138</v>
      </c>
      <c r="G643" s="9" t="s">
        <v>138</v>
      </c>
      <c r="J643">
        <v>0</v>
      </c>
      <c r="K643">
        <v>0</v>
      </c>
      <c r="M643">
        <v>606</v>
      </c>
    </row>
    <row r="644" spans="1:13" x14ac:dyDescent="0.3">
      <c r="A644">
        <v>41643.489583333336</v>
      </c>
      <c r="B644">
        <v>1200</v>
      </c>
      <c r="C644" s="7">
        <v>41640.017361111109</v>
      </c>
      <c r="D644" t="s">
        <v>96</v>
      </c>
      <c r="E644" t="s">
        <v>17</v>
      </c>
      <c r="F644" t="s">
        <v>138</v>
      </c>
      <c r="G644" s="9" t="s">
        <v>138</v>
      </c>
      <c r="J644">
        <v>0</v>
      </c>
      <c r="K644">
        <v>0</v>
      </c>
      <c r="M644">
        <v>650</v>
      </c>
    </row>
    <row r="645" spans="1:13" x14ac:dyDescent="0.3">
      <c r="A645">
        <v>41643.489583333336</v>
      </c>
      <c r="B645">
        <v>1920</v>
      </c>
      <c r="C645" s="7">
        <v>41640.024305555555</v>
      </c>
      <c r="D645" t="s">
        <v>324</v>
      </c>
      <c r="E645" t="s">
        <v>30</v>
      </c>
      <c r="F645" t="s">
        <v>138</v>
      </c>
      <c r="G645" s="9" t="s">
        <v>138</v>
      </c>
      <c r="J645">
        <v>0</v>
      </c>
      <c r="K645">
        <v>0</v>
      </c>
      <c r="M645">
        <v>642</v>
      </c>
    </row>
    <row r="646" spans="1:13" x14ac:dyDescent="0.3">
      <c r="A646">
        <v>41643.489583333336</v>
      </c>
      <c r="B646">
        <v>1080</v>
      </c>
      <c r="C646" s="7">
        <v>41640.01666666667</v>
      </c>
      <c r="D646" t="s">
        <v>22</v>
      </c>
      <c r="E646" t="s">
        <v>82</v>
      </c>
      <c r="F646" t="s">
        <v>138</v>
      </c>
      <c r="G646" s="9" t="s">
        <v>138</v>
      </c>
      <c r="J646">
        <v>0</v>
      </c>
      <c r="K646">
        <v>0</v>
      </c>
      <c r="M646">
        <v>561</v>
      </c>
    </row>
    <row r="647" spans="1:13" x14ac:dyDescent="0.3">
      <c r="A647">
        <v>41643.491666666669</v>
      </c>
      <c r="B647">
        <v>960</v>
      </c>
      <c r="C647" s="7">
        <v>41640.035416666666</v>
      </c>
      <c r="D647" t="s">
        <v>30</v>
      </c>
      <c r="E647" t="s">
        <v>285</v>
      </c>
      <c r="F647" t="s">
        <v>138</v>
      </c>
      <c r="G647" s="9" t="s">
        <v>138</v>
      </c>
      <c r="J647">
        <v>0</v>
      </c>
      <c r="K647">
        <v>0</v>
      </c>
      <c r="M647">
        <v>595</v>
      </c>
    </row>
    <row r="648" spans="1:13" x14ac:dyDescent="0.3">
      <c r="A648">
        <v>41643.493055555555</v>
      </c>
      <c r="B648">
        <v>1320</v>
      </c>
      <c r="C648" s="7">
        <v>41640.017361111109</v>
      </c>
      <c r="D648" t="s">
        <v>62</v>
      </c>
      <c r="E648" t="s">
        <v>22</v>
      </c>
      <c r="F648" t="s">
        <v>138</v>
      </c>
      <c r="G648" s="9" t="s">
        <v>138</v>
      </c>
      <c r="J648">
        <v>0</v>
      </c>
      <c r="K648">
        <v>0</v>
      </c>
      <c r="M648">
        <v>616</v>
      </c>
    </row>
    <row r="649" spans="1:13" x14ac:dyDescent="0.3">
      <c r="A649">
        <v>41643.493750000001</v>
      </c>
      <c r="B649">
        <v>1080</v>
      </c>
      <c r="C649" s="7">
        <v>41640.017361111109</v>
      </c>
      <c r="D649" t="s">
        <v>15</v>
      </c>
      <c r="E649" t="s">
        <v>33</v>
      </c>
      <c r="F649" t="s">
        <v>138</v>
      </c>
      <c r="G649" s="9" t="s">
        <v>138</v>
      </c>
      <c r="J649">
        <v>0</v>
      </c>
      <c r="K649">
        <v>0</v>
      </c>
      <c r="M649">
        <v>626</v>
      </c>
    </row>
    <row r="650" spans="1:13" x14ac:dyDescent="0.3">
      <c r="A650">
        <v>41643.493750000001</v>
      </c>
      <c r="B650">
        <v>1500</v>
      </c>
      <c r="C650" s="7">
        <v>41640.017361111109</v>
      </c>
      <c r="D650" t="s">
        <v>169</v>
      </c>
      <c r="E650" t="s">
        <v>8</v>
      </c>
      <c r="F650" t="s">
        <v>138</v>
      </c>
      <c r="G650" s="9" t="s">
        <v>138</v>
      </c>
      <c r="J650">
        <v>0</v>
      </c>
      <c r="K650">
        <v>0</v>
      </c>
      <c r="M650">
        <v>607</v>
      </c>
    </row>
    <row r="651" spans="1:13" x14ac:dyDescent="0.3">
      <c r="A651">
        <v>41643.496527777781</v>
      </c>
      <c r="B651">
        <v>1800</v>
      </c>
      <c r="C651" s="7">
        <v>41640.027777777781</v>
      </c>
      <c r="D651" t="s">
        <v>234</v>
      </c>
      <c r="E651" t="s">
        <v>5</v>
      </c>
      <c r="F651" t="s">
        <v>138</v>
      </c>
      <c r="G651" s="9" t="s">
        <v>138</v>
      </c>
      <c r="J651">
        <v>0</v>
      </c>
      <c r="K651">
        <v>0</v>
      </c>
      <c r="M651">
        <v>575</v>
      </c>
    </row>
    <row r="652" spans="1:13" x14ac:dyDescent="0.3">
      <c r="A652">
        <v>41643.497916666667</v>
      </c>
      <c r="B652">
        <v>2160</v>
      </c>
      <c r="C652" s="7">
        <v>41640.025000000001</v>
      </c>
      <c r="D652" t="s">
        <v>325</v>
      </c>
      <c r="E652" t="s">
        <v>30</v>
      </c>
      <c r="F652" t="s">
        <v>138</v>
      </c>
      <c r="G652" s="9" t="s">
        <v>138</v>
      </c>
      <c r="J652">
        <v>0</v>
      </c>
      <c r="K652">
        <v>0</v>
      </c>
      <c r="M652">
        <v>632</v>
      </c>
    </row>
    <row r="653" spans="1:13" x14ac:dyDescent="0.3">
      <c r="A653">
        <v>41643.499305555553</v>
      </c>
      <c r="B653">
        <v>1440</v>
      </c>
      <c r="C653" s="7">
        <v>41640.018750000003</v>
      </c>
      <c r="D653" t="s">
        <v>326</v>
      </c>
      <c r="E653" t="s">
        <v>10</v>
      </c>
      <c r="F653" t="s">
        <v>138</v>
      </c>
      <c r="G653" s="9" t="s">
        <v>138</v>
      </c>
      <c r="J653">
        <v>0</v>
      </c>
      <c r="K653">
        <v>0</v>
      </c>
      <c r="M653">
        <v>651</v>
      </c>
    </row>
    <row r="654" spans="1:13" x14ac:dyDescent="0.3">
      <c r="A654">
        <v>41643.499305555553</v>
      </c>
      <c r="B654">
        <v>1140</v>
      </c>
      <c r="C654" s="7">
        <v>41640.023611111108</v>
      </c>
      <c r="D654" t="s">
        <v>22</v>
      </c>
      <c r="E654" t="s">
        <v>166</v>
      </c>
      <c r="F654" t="s">
        <v>138</v>
      </c>
      <c r="G654" s="9" t="s">
        <v>138</v>
      </c>
      <c r="J654">
        <v>0</v>
      </c>
      <c r="K654">
        <v>0</v>
      </c>
      <c r="M654">
        <v>610</v>
      </c>
    </row>
    <row r="655" spans="1:13" x14ac:dyDescent="0.3">
      <c r="A655">
        <v>41643.5</v>
      </c>
      <c r="B655">
        <v>2220</v>
      </c>
      <c r="C655" s="7">
        <v>41640.029861111114</v>
      </c>
      <c r="D655" t="s">
        <v>159</v>
      </c>
      <c r="E655" t="s">
        <v>327</v>
      </c>
      <c r="F655" t="s">
        <v>138</v>
      </c>
      <c r="G655" s="9" t="s">
        <v>138</v>
      </c>
      <c r="J655">
        <v>0</v>
      </c>
      <c r="K655">
        <v>0</v>
      </c>
      <c r="M655">
        <v>675</v>
      </c>
    </row>
    <row r="656" spans="1:13" x14ac:dyDescent="0.3">
      <c r="A656">
        <v>41643.503472222219</v>
      </c>
      <c r="B656">
        <v>1560</v>
      </c>
      <c r="C656" s="7">
        <v>41640.018750000003</v>
      </c>
      <c r="D656" t="s">
        <v>149</v>
      </c>
      <c r="E656" t="s">
        <v>13</v>
      </c>
      <c r="F656" t="s">
        <v>138</v>
      </c>
      <c r="G656" s="9" t="s">
        <v>138</v>
      </c>
      <c r="J656">
        <v>0</v>
      </c>
      <c r="K656">
        <v>0</v>
      </c>
      <c r="M656">
        <v>696</v>
      </c>
    </row>
    <row r="657" spans="1:13" x14ac:dyDescent="0.3">
      <c r="A657">
        <v>41643.506249999999</v>
      </c>
      <c r="B657">
        <v>1560</v>
      </c>
      <c r="C657" s="7">
        <v>41640.018055555556</v>
      </c>
      <c r="D657" t="s">
        <v>215</v>
      </c>
      <c r="E657" t="s">
        <v>15</v>
      </c>
      <c r="F657" t="s">
        <v>138</v>
      </c>
      <c r="G657" s="9" t="s">
        <v>138</v>
      </c>
      <c r="J657">
        <v>0</v>
      </c>
      <c r="K657">
        <v>0</v>
      </c>
      <c r="M657">
        <v>714</v>
      </c>
    </row>
    <row r="658" spans="1:13" x14ac:dyDescent="0.3">
      <c r="A658">
        <v>41643.508333333331</v>
      </c>
      <c r="B658">
        <v>1680</v>
      </c>
      <c r="C658" s="7">
        <v>41640.02847222222</v>
      </c>
      <c r="D658" t="s">
        <v>40</v>
      </c>
      <c r="E658" t="s">
        <v>15</v>
      </c>
      <c r="F658" t="s">
        <v>138</v>
      </c>
      <c r="G658" s="9" t="s">
        <v>138</v>
      </c>
      <c r="J658">
        <v>0</v>
      </c>
      <c r="K658">
        <v>0</v>
      </c>
      <c r="M658">
        <v>687</v>
      </c>
    </row>
    <row r="659" spans="1:13" x14ac:dyDescent="0.3">
      <c r="A659">
        <v>41643.509027777778</v>
      </c>
      <c r="B659">
        <v>1680</v>
      </c>
      <c r="C659" s="7">
        <v>41640.038194444445</v>
      </c>
      <c r="D659" t="s">
        <v>13</v>
      </c>
      <c r="E659" t="s">
        <v>133</v>
      </c>
      <c r="F659" t="s">
        <v>138</v>
      </c>
      <c r="G659" s="9" t="s">
        <v>138</v>
      </c>
      <c r="J659">
        <v>0</v>
      </c>
      <c r="K659">
        <v>0</v>
      </c>
      <c r="M659">
        <v>662</v>
      </c>
    </row>
    <row r="660" spans="1:13" x14ac:dyDescent="0.3">
      <c r="A660">
        <v>41643.511111111111</v>
      </c>
      <c r="B660">
        <v>900</v>
      </c>
      <c r="C660" s="7">
        <v>41640.029166666667</v>
      </c>
      <c r="D660" t="s">
        <v>22</v>
      </c>
      <c r="E660" t="s">
        <v>328</v>
      </c>
      <c r="F660" t="s">
        <v>138</v>
      </c>
      <c r="G660" s="9" t="s">
        <v>138</v>
      </c>
      <c r="J660">
        <v>0</v>
      </c>
      <c r="K660">
        <v>0</v>
      </c>
      <c r="M660">
        <v>720</v>
      </c>
    </row>
    <row r="661" spans="1:13" x14ac:dyDescent="0.3">
      <c r="A661">
        <v>41643.513888888891</v>
      </c>
      <c r="B661">
        <v>3000</v>
      </c>
      <c r="C661" s="7">
        <v>41640.038888888892</v>
      </c>
      <c r="D661" t="s">
        <v>202</v>
      </c>
      <c r="E661" t="s">
        <v>22</v>
      </c>
      <c r="F661" t="s">
        <v>138</v>
      </c>
      <c r="G661" s="9" t="s">
        <v>138</v>
      </c>
      <c r="J661">
        <v>0</v>
      </c>
      <c r="K661">
        <v>0</v>
      </c>
      <c r="M661">
        <v>706</v>
      </c>
    </row>
    <row r="662" spans="1:13" x14ac:dyDescent="0.3">
      <c r="A662">
        <v>41643.513888888891</v>
      </c>
      <c r="B662">
        <v>2160</v>
      </c>
      <c r="C662" s="7">
        <v>41640.03125</v>
      </c>
      <c r="D662" t="s">
        <v>73</v>
      </c>
      <c r="E662" t="s">
        <v>8</v>
      </c>
      <c r="F662" t="s">
        <v>138</v>
      </c>
      <c r="G662" s="9" t="s">
        <v>138</v>
      </c>
      <c r="J662">
        <v>0</v>
      </c>
      <c r="K662">
        <v>0</v>
      </c>
      <c r="M662">
        <v>676</v>
      </c>
    </row>
    <row r="663" spans="1:13" x14ac:dyDescent="0.3">
      <c r="A663">
        <v>41643.513888888891</v>
      </c>
      <c r="B663">
        <v>2460</v>
      </c>
      <c r="C663" s="7">
        <v>41640.029861111114</v>
      </c>
      <c r="D663" t="s">
        <v>274</v>
      </c>
      <c r="E663" t="s">
        <v>8</v>
      </c>
      <c r="F663" t="s">
        <v>138</v>
      </c>
      <c r="G663" s="9" t="s">
        <v>138</v>
      </c>
      <c r="J663">
        <v>0</v>
      </c>
      <c r="K663">
        <v>0</v>
      </c>
      <c r="M663">
        <v>664</v>
      </c>
    </row>
    <row r="664" spans="1:13" x14ac:dyDescent="0.3">
      <c r="A664">
        <v>41643.51666666667</v>
      </c>
      <c r="B664">
        <v>2820</v>
      </c>
      <c r="C664" s="7">
        <v>41640.032638888886</v>
      </c>
      <c r="D664" t="s">
        <v>15</v>
      </c>
      <c r="E664" t="s">
        <v>134</v>
      </c>
      <c r="F664" t="s">
        <v>138</v>
      </c>
      <c r="G664" s="9" t="s">
        <v>138</v>
      </c>
      <c r="J664">
        <v>0</v>
      </c>
      <c r="K664">
        <v>0</v>
      </c>
      <c r="M664">
        <v>694</v>
      </c>
    </row>
    <row r="665" spans="1:13" x14ac:dyDescent="0.3">
      <c r="A665">
        <v>41643.521527777775</v>
      </c>
      <c r="B665">
        <v>1860</v>
      </c>
      <c r="C665" s="7">
        <v>41640.027083333334</v>
      </c>
      <c r="D665" t="s">
        <v>329</v>
      </c>
      <c r="E665" t="s">
        <v>30</v>
      </c>
      <c r="F665" t="s">
        <v>138</v>
      </c>
      <c r="G665" s="9" t="s">
        <v>138</v>
      </c>
      <c r="J665">
        <v>0</v>
      </c>
      <c r="K665">
        <v>0</v>
      </c>
      <c r="M665">
        <v>699</v>
      </c>
    </row>
    <row r="666" spans="1:13" x14ac:dyDescent="0.3">
      <c r="A666">
        <v>41643.525694444441</v>
      </c>
      <c r="B666">
        <v>2820</v>
      </c>
      <c r="C666" s="7">
        <v>41640.032638888886</v>
      </c>
      <c r="D666" t="s">
        <v>30</v>
      </c>
      <c r="E666" t="s">
        <v>236</v>
      </c>
      <c r="F666" t="s">
        <v>138</v>
      </c>
      <c r="G666" s="9" t="s">
        <v>138</v>
      </c>
      <c r="J666">
        <v>0</v>
      </c>
      <c r="K666">
        <v>0</v>
      </c>
      <c r="M666">
        <v>654</v>
      </c>
    </row>
    <row r="667" spans="1:13" x14ac:dyDescent="0.3">
      <c r="A667">
        <v>41643.529166666667</v>
      </c>
      <c r="B667">
        <v>960</v>
      </c>
      <c r="C667" s="7">
        <v>41640.025694444441</v>
      </c>
      <c r="D667" t="s">
        <v>13</v>
      </c>
      <c r="E667" t="s">
        <v>149</v>
      </c>
      <c r="F667" t="s">
        <v>138</v>
      </c>
      <c r="G667" s="9" t="s">
        <v>138</v>
      </c>
      <c r="J667">
        <v>0</v>
      </c>
      <c r="K667">
        <v>0</v>
      </c>
      <c r="M667">
        <v>716</v>
      </c>
    </row>
    <row r="668" spans="1:13" x14ac:dyDescent="0.3">
      <c r="A668">
        <v>41643.530555555553</v>
      </c>
      <c r="B668">
        <v>2520</v>
      </c>
      <c r="C668" s="7">
        <v>41640.029861111114</v>
      </c>
      <c r="D668" t="s">
        <v>58</v>
      </c>
      <c r="E668" t="s">
        <v>10</v>
      </c>
      <c r="F668" t="s">
        <v>138</v>
      </c>
      <c r="G668" s="9" t="s">
        <v>138</v>
      </c>
      <c r="J668">
        <v>0</v>
      </c>
      <c r="K668">
        <v>0</v>
      </c>
      <c r="M668">
        <v>721</v>
      </c>
    </row>
    <row r="669" spans="1:13" x14ac:dyDescent="0.3">
      <c r="A669">
        <v>41643.533333333333</v>
      </c>
      <c r="B669">
        <v>3540</v>
      </c>
      <c r="C669" s="7">
        <v>41640.052777777775</v>
      </c>
      <c r="D669" t="s">
        <v>60</v>
      </c>
      <c r="E669" t="s">
        <v>13</v>
      </c>
      <c r="F669" t="s">
        <v>138</v>
      </c>
      <c r="G669" s="9" t="s">
        <v>138</v>
      </c>
      <c r="J669">
        <v>0</v>
      </c>
      <c r="K669">
        <v>0</v>
      </c>
      <c r="M669">
        <v>719</v>
      </c>
    </row>
    <row r="670" spans="1:13" x14ac:dyDescent="0.3">
      <c r="A670">
        <v>41643.533333333333</v>
      </c>
      <c r="B670">
        <v>1020</v>
      </c>
      <c r="C670" s="7">
        <v>41640.013194444444</v>
      </c>
      <c r="D670" t="s">
        <v>43</v>
      </c>
      <c r="E670" t="s">
        <v>180</v>
      </c>
      <c r="F670" t="s">
        <v>138</v>
      </c>
      <c r="G670" s="9" t="s">
        <v>138</v>
      </c>
      <c r="J670">
        <v>0</v>
      </c>
      <c r="K670">
        <v>0</v>
      </c>
      <c r="M670">
        <v>683</v>
      </c>
    </row>
    <row r="671" spans="1:13" x14ac:dyDescent="0.3">
      <c r="A671">
        <v>41643.534722222219</v>
      </c>
      <c r="B671">
        <v>1860</v>
      </c>
      <c r="C671" s="7">
        <v>41640.024305555555</v>
      </c>
      <c r="D671" t="s">
        <v>139</v>
      </c>
      <c r="E671" t="s">
        <v>22</v>
      </c>
      <c r="F671" t="s">
        <v>138</v>
      </c>
      <c r="G671" s="9" t="s">
        <v>138</v>
      </c>
      <c r="J671">
        <v>0</v>
      </c>
      <c r="K671">
        <v>0</v>
      </c>
      <c r="M671">
        <v>731</v>
      </c>
    </row>
    <row r="672" spans="1:13" x14ac:dyDescent="0.3">
      <c r="A672">
        <v>41643.534722222219</v>
      </c>
      <c r="B672">
        <v>1560</v>
      </c>
      <c r="C672" s="7">
        <v>41640.021527777775</v>
      </c>
      <c r="D672" t="s">
        <v>330</v>
      </c>
      <c r="E672" t="s">
        <v>15</v>
      </c>
      <c r="F672" t="s">
        <v>138</v>
      </c>
      <c r="G672" s="9" t="s">
        <v>138</v>
      </c>
      <c r="J672">
        <v>0</v>
      </c>
      <c r="K672">
        <v>0</v>
      </c>
      <c r="M672">
        <v>710</v>
      </c>
    </row>
    <row r="673" spans="1:13" x14ac:dyDescent="0.3">
      <c r="A673">
        <v>41643.534722222219</v>
      </c>
      <c r="B673">
        <v>2940</v>
      </c>
      <c r="C673" s="7">
        <v>41640.036111111112</v>
      </c>
      <c r="D673" t="s">
        <v>26</v>
      </c>
      <c r="E673" t="s">
        <v>22</v>
      </c>
      <c r="F673" t="s">
        <v>138</v>
      </c>
      <c r="G673" s="9" t="s">
        <v>138</v>
      </c>
      <c r="J673">
        <v>0</v>
      </c>
      <c r="K673">
        <v>0</v>
      </c>
      <c r="M673">
        <v>684</v>
      </c>
    </row>
    <row r="674" spans="1:13" x14ac:dyDescent="0.3">
      <c r="A674">
        <v>41643.536805555559</v>
      </c>
      <c r="B674">
        <v>2460</v>
      </c>
      <c r="C674" s="7">
        <v>41640.036111111112</v>
      </c>
      <c r="D674" t="s">
        <v>257</v>
      </c>
      <c r="E674" t="s">
        <v>143</v>
      </c>
      <c r="F674" t="s">
        <v>138</v>
      </c>
      <c r="G674" s="9" t="s">
        <v>138</v>
      </c>
      <c r="J674">
        <v>0</v>
      </c>
      <c r="K674">
        <v>0</v>
      </c>
      <c r="M674">
        <v>661</v>
      </c>
    </row>
    <row r="675" spans="1:13" x14ac:dyDescent="0.3">
      <c r="A675">
        <v>41643.538194444445</v>
      </c>
      <c r="B675">
        <v>2160</v>
      </c>
      <c r="C675" s="7">
        <v>41640.030555555553</v>
      </c>
      <c r="D675" t="s">
        <v>8</v>
      </c>
      <c r="E675" t="s">
        <v>155</v>
      </c>
      <c r="F675" t="s">
        <v>138</v>
      </c>
      <c r="G675" s="9" t="s">
        <v>138</v>
      </c>
      <c r="J675">
        <v>0</v>
      </c>
      <c r="K675">
        <v>0</v>
      </c>
      <c r="M675">
        <v>665</v>
      </c>
    </row>
    <row r="676" spans="1:13" x14ac:dyDescent="0.3">
      <c r="A676">
        <v>41643.547222222223</v>
      </c>
      <c r="B676">
        <v>1620</v>
      </c>
      <c r="C676" s="7">
        <v>41640.02847222222</v>
      </c>
      <c r="D676" t="s">
        <v>87</v>
      </c>
      <c r="E676" t="s">
        <v>65</v>
      </c>
      <c r="F676" t="s">
        <v>138</v>
      </c>
      <c r="G676" s="9" t="s">
        <v>138</v>
      </c>
      <c r="J676">
        <v>0</v>
      </c>
      <c r="K676">
        <v>0</v>
      </c>
      <c r="M676">
        <v>667</v>
      </c>
    </row>
    <row r="677" spans="1:13" x14ac:dyDescent="0.3">
      <c r="A677">
        <v>41643.551388888889</v>
      </c>
      <c r="B677">
        <v>1080</v>
      </c>
      <c r="C677" s="7">
        <v>41640.013194444444</v>
      </c>
      <c r="D677" t="s">
        <v>8</v>
      </c>
      <c r="E677" t="s">
        <v>73</v>
      </c>
      <c r="F677" t="s">
        <v>138</v>
      </c>
      <c r="G677" s="9" t="s">
        <v>138</v>
      </c>
      <c r="J677">
        <v>0</v>
      </c>
      <c r="K677">
        <v>0</v>
      </c>
      <c r="M677">
        <v>708</v>
      </c>
    </row>
    <row r="678" spans="1:13" x14ac:dyDescent="0.3">
      <c r="A678">
        <v>41643.555555555555</v>
      </c>
      <c r="B678">
        <v>960</v>
      </c>
      <c r="C678" s="7">
        <v>41640.013194444444</v>
      </c>
      <c r="D678" t="s">
        <v>85</v>
      </c>
      <c r="E678" t="s">
        <v>8</v>
      </c>
      <c r="F678" t="s">
        <v>138</v>
      </c>
      <c r="G678" s="9" t="s">
        <v>138</v>
      </c>
      <c r="J678">
        <v>0</v>
      </c>
      <c r="K678">
        <v>0</v>
      </c>
      <c r="M678">
        <v>732</v>
      </c>
    </row>
    <row r="679" spans="1:13" x14ac:dyDescent="0.3">
      <c r="A679">
        <v>41643.555555555555</v>
      </c>
      <c r="B679">
        <v>2160</v>
      </c>
      <c r="C679" s="7">
        <v>41640.025694444441</v>
      </c>
      <c r="D679" t="s">
        <v>164</v>
      </c>
      <c r="E679" t="s">
        <v>22</v>
      </c>
      <c r="F679" t="s">
        <v>138</v>
      </c>
      <c r="G679" s="9" t="s">
        <v>138</v>
      </c>
      <c r="J679">
        <v>0</v>
      </c>
      <c r="K679">
        <v>0</v>
      </c>
      <c r="M679">
        <v>695</v>
      </c>
    </row>
    <row r="680" spans="1:13" x14ac:dyDescent="0.3">
      <c r="A680">
        <v>41643.555555555555</v>
      </c>
      <c r="B680">
        <v>1140</v>
      </c>
      <c r="C680" s="7">
        <v>41640.017361111109</v>
      </c>
      <c r="D680" t="s">
        <v>269</v>
      </c>
      <c r="E680" t="s">
        <v>22</v>
      </c>
      <c r="F680" t="s">
        <v>138</v>
      </c>
      <c r="G680" s="9" t="s">
        <v>138</v>
      </c>
      <c r="J680">
        <v>0</v>
      </c>
      <c r="K680">
        <v>0</v>
      </c>
      <c r="M680">
        <v>681</v>
      </c>
    </row>
    <row r="681" spans="1:13" x14ac:dyDescent="0.3">
      <c r="A681">
        <v>41643.555555555555</v>
      </c>
      <c r="B681">
        <v>960</v>
      </c>
      <c r="C681" s="7">
        <v>41640.015277777777</v>
      </c>
      <c r="D681" t="s">
        <v>331</v>
      </c>
      <c r="E681" t="s">
        <v>10</v>
      </c>
      <c r="F681" t="s">
        <v>138</v>
      </c>
      <c r="G681" s="9" t="s">
        <v>138</v>
      </c>
      <c r="J681">
        <v>0</v>
      </c>
      <c r="K681">
        <v>0</v>
      </c>
      <c r="M681">
        <v>674</v>
      </c>
    </row>
    <row r="682" spans="1:13" x14ac:dyDescent="0.3">
      <c r="A682">
        <v>41643.555555555555</v>
      </c>
      <c r="B682">
        <v>2220</v>
      </c>
      <c r="C682" s="7">
        <v>41640.034722222219</v>
      </c>
      <c r="D682" t="s">
        <v>45</v>
      </c>
      <c r="E682" t="s">
        <v>22</v>
      </c>
      <c r="F682" t="s">
        <v>138</v>
      </c>
      <c r="G682" s="9" t="s">
        <v>138</v>
      </c>
      <c r="J682">
        <v>0</v>
      </c>
      <c r="K682">
        <v>0</v>
      </c>
      <c r="M682">
        <v>663</v>
      </c>
    </row>
    <row r="683" spans="1:13" x14ac:dyDescent="0.3">
      <c r="A683">
        <v>41643.555555555555</v>
      </c>
      <c r="B683">
        <v>1080</v>
      </c>
      <c r="C683" s="7">
        <v>41640.020833333336</v>
      </c>
      <c r="D683" t="s">
        <v>203</v>
      </c>
      <c r="E683" t="s">
        <v>15</v>
      </c>
      <c r="F683" t="s">
        <v>138</v>
      </c>
      <c r="G683" s="9" t="s">
        <v>138</v>
      </c>
      <c r="J683">
        <v>0</v>
      </c>
      <c r="K683">
        <v>0</v>
      </c>
      <c r="M683">
        <v>653</v>
      </c>
    </row>
    <row r="684" spans="1:13" x14ac:dyDescent="0.3">
      <c r="A684">
        <v>41643.559027777781</v>
      </c>
      <c r="B684">
        <v>2040</v>
      </c>
      <c r="C684" s="7">
        <v>41640.025000000001</v>
      </c>
      <c r="D684" t="s">
        <v>208</v>
      </c>
      <c r="E684" t="s">
        <v>13</v>
      </c>
      <c r="F684" t="s">
        <v>138</v>
      </c>
      <c r="G684" s="9" t="s">
        <v>138</v>
      </c>
      <c r="J684">
        <v>0</v>
      </c>
      <c r="K684">
        <v>0</v>
      </c>
      <c r="M684">
        <v>685</v>
      </c>
    </row>
    <row r="685" spans="1:13" x14ac:dyDescent="0.3">
      <c r="A685">
        <v>41643.55972222222</v>
      </c>
      <c r="B685">
        <v>2640</v>
      </c>
      <c r="C685" s="7">
        <v>41640.038194444445</v>
      </c>
      <c r="D685" t="s">
        <v>332</v>
      </c>
      <c r="E685" t="s">
        <v>13</v>
      </c>
      <c r="F685" t="s">
        <v>138</v>
      </c>
      <c r="G685" s="9" t="s">
        <v>138</v>
      </c>
      <c r="J685">
        <v>0</v>
      </c>
      <c r="K685">
        <v>0</v>
      </c>
      <c r="M685">
        <v>668</v>
      </c>
    </row>
    <row r="686" spans="1:13" x14ac:dyDescent="0.3">
      <c r="A686">
        <v>41643.560416666667</v>
      </c>
      <c r="B686">
        <v>1380</v>
      </c>
      <c r="C686" s="7">
        <v>41640.025694444441</v>
      </c>
      <c r="D686" t="s">
        <v>95</v>
      </c>
      <c r="E686" t="s">
        <v>77</v>
      </c>
      <c r="F686" t="s">
        <v>138</v>
      </c>
      <c r="G686" s="9" t="s">
        <v>138</v>
      </c>
      <c r="J686">
        <v>0</v>
      </c>
      <c r="K686">
        <v>0</v>
      </c>
      <c r="M686">
        <v>703</v>
      </c>
    </row>
    <row r="687" spans="1:13" x14ac:dyDescent="0.3">
      <c r="A687">
        <v>41643.561805555553</v>
      </c>
      <c r="B687">
        <v>2820</v>
      </c>
      <c r="C687" s="7">
        <v>41640.042361111111</v>
      </c>
      <c r="D687" t="s">
        <v>150</v>
      </c>
      <c r="E687" t="s">
        <v>13</v>
      </c>
      <c r="F687" t="s">
        <v>138</v>
      </c>
      <c r="G687" s="9" t="s">
        <v>138</v>
      </c>
      <c r="J687">
        <v>0</v>
      </c>
      <c r="K687">
        <v>0</v>
      </c>
      <c r="M687">
        <v>659</v>
      </c>
    </row>
    <row r="688" spans="1:13" x14ac:dyDescent="0.3">
      <c r="A688">
        <v>41643.563194444447</v>
      </c>
      <c r="B688">
        <v>780</v>
      </c>
      <c r="C688" s="7">
        <v>41640.011805555558</v>
      </c>
      <c r="D688" t="s">
        <v>8</v>
      </c>
      <c r="E688" t="s">
        <v>274</v>
      </c>
      <c r="F688" t="s">
        <v>138</v>
      </c>
      <c r="G688" s="9" t="s">
        <v>138</v>
      </c>
      <c r="J688">
        <v>0</v>
      </c>
      <c r="K688">
        <v>0</v>
      </c>
      <c r="M688">
        <v>728</v>
      </c>
    </row>
    <row r="689" spans="1:13" x14ac:dyDescent="0.3">
      <c r="A689">
        <v>41643.56527777778</v>
      </c>
      <c r="B689">
        <v>2580</v>
      </c>
      <c r="C689" s="7">
        <v>41640.029861111114</v>
      </c>
      <c r="D689" t="s">
        <v>30</v>
      </c>
      <c r="E689" t="s">
        <v>333</v>
      </c>
      <c r="F689" t="s">
        <v>138</v>
      </c>
      <c r="G689" s="9" t="s">
        <v>138</v>
      </c>
      <c r="J689">
        <v>0</v>
      </c>
      <c r="K689">
        <v>0</v>
      </c>
      <c r="M689">
        <v>712</v>
      </c>
    </row>
    <row r="690" spans="1:13" x14ac:dyDescent="0.3">
      <c r="A690">
        <v>41643.56527777778</v>
      </c>
      <c r="B690">
        <v>1320</v>
      </c>
      <c r="C690" s="7">
        <v>41640.019444444442</v>
      </c>
      <c r="D690" t="s">
        <v>10</v>
      </c>
      <c r="E690" t="s">
        <v>58</v>
      </c>
      <c r="F690" t="s">
        <v>138</v>
      </c>
      <c r="G690" s="9" t="s">
        <v>138</v>
      </c>
      <c r="J690">
        <v>0</v>
      </c>
      <c r="K690">
        <v>0</v>
      </c>
      <c r="M690">
        <v>673</v>
      </c>
    </row>
    <row r="691" spans="1:13" x14ac:dyDescent="0.3">
      <c r="A691">
        <v>41643.569444444445</v>
      </c>
      <c r="B691">
        <v>1140</v>
      </c>
      <c r="C691" s="7">
        <v>41640.013888888891</v>
      </c>
      <c r="D691" t="s">
        <v>334</v>
      </c>
      <c r="E691" t="s">
        <v>13</v>
      </c>
      <c r="F691" t="s">
        <v>138</v>
      </c>
      <c r="G691" s="9" t="s">
        <v>138</v>
      </c>
      <c r="J691">
        <v>0</v>
      </c>
      <c r="K691">
        <v>0</v>
      </c>
      <c r="M691">
        <v>726</v>
      </c>
    </row>
    <row r="692" spans="1:13" x14ac:dyDescent="0.3">
      <c r="A692">
        <v>41643.569444444445</v>
      </c>
      <c r="B692">
        <v>2100</v>
      </c>
      <c r="C692" s="7">
        <v>41640.034722222219</v>
      </c>
      <c r="D692" t="s">
        <v>15</v>
      </c>
      <c r="E692" t="s">
        <v>215</v>
      </c>
      <c r="F692" t="s">
        <v>138</v>
      </c>
      <c r="G692" s="9" t="s">
        <v>138</v>
      </c>
      <c r="J692">
        <v>0</v>
      </c>
      <c r="K692">
        <v>0</v>
      </c>
      <c r="M692">
        <v>698</v>
      </c>
    </row>
    <row r="693" spans="1:13" x14ac:dyDescent="0.3">
      <c r="A693">
        <v>41643.570833333331</v>
      </c>
      <c r="B693">
        <v>540</v>
      </c>
      <c r="C693" s="7">
        <v>41640.015277777777</v>
      </c>
      <c r="D693" t="s">
        <v>22</v>
      </c>
      <c r="E693" t="s">
        <v>96</v>
      </c>
      <c r="F693" t="s">
        <v>138</v>
      </c>
      <c r="G693" s="9" t="s">
        <v>138</v>
      </c>
      <c r="J693">
        <v>0</v>
      </c>
      <c r="K693">
        <v>0</v>
      </c>
      <c r="M693">
        <v>679</v>
      </c>
    </row>
    <row r="694" spans="1:13" x14ac:dyDescent="0.3">
      <c r="A694">
        <v>41643.576388888891</v>
      </c>
      <c r="B694">
        <v>1200</v>
      </c>
      <c r="C694" s="7">
        <v>41640.015277777777</v>
      </c>
      <c r="D694" t="s">
        <v>335</v>
      </c>
      <c r="E694" t="s">
        <v>22</v>
      </c>
      <c r="F694" t="s">
        <v>138</v>
      </c>
      <c r="G694" s="9" t="s">
        <v>138</v>
      </c>
      <c r="J694">
        <v>0</v>
      </c>
      <c r="K694">
        <v>0</v>
      </c>
      <c r="M694">
        <v>735</v>
      </c>
    </row>
    <row r="695" spans="1:13" x14ac:dyDescent="0.3">
      <c r="A695">
        <v>41643.576388888891</v>
      </c>
      <c r="B695">
        <v>1800</v>
      </c>
      <c r="C695" s="7">
        <v>41640.020833333336</v>
      </c>
      <c r="D695" t="s">
        <v>38</v>
      </c>
      <c r="E695" t="s">
        <v>151</v>
      </c>
      <c r="F695" t="s">
        <v>138</v>
      </c>
      <c r="G695" s="9" t="s">
        <v>138</v>
      </c>
      <c r="J695">
        <v>0</v>
      </c>
      <c r="K695">
        <v>0</v>
      </c>
      <c r="M695">
        <v>693</v>
      </c>
    </row>
    <row r="696" spans="1:13" x14ac:dyDescent="0.3">
      <c r="A696">
        <v>41643.583333333336</v>
      </c>
      <c r="B696">
        <v>3600</v>
      </c>
      <c r="C696" s="7">
        <v>41640.047222222223</v>
      </c>
      <c r="D696" t="s">
        <v>320</v>
      </c>
      <c r="E696" t="s">
        <v>13</v>
      </c>
      <c r="F696" t="s">
        <v>138</v>
      </c>
      <c r="G696" s="9" t="s">
        <v>138</v>
      </c>
      <c r="J696">
        <v>0</v>
      </c>
      <c r="K696">
        <v>0</v>
      </c>
      <c r="M696">
        <v>725</v>
      </c>
    </row>
    <row r="697" spans="1:13" x14ac:dyDescent="0.3">
      <c r="A697">
        <v>41643.586805555555</v>
      </c>
      <c r="B697">
        <v>2580</v>
      </c>
      <c r="C697" s="7">
        <v>41640.030555555553</v>
      </c>
      <c r="D697" t="s">
        <v>193</v>
      </c>
      <c r="E697" t="s">
        <v>43</v>
      </c>
      <c r="F697" t="s">
        <v>138</v>
      </c>
      <c r="G697" s="9" t="s">
        <v>138</v>
      </c>
      <c r="J697">
        <v>0</v>
      </c>
      <c r="K697">
        <v>0</v>
      </c>
      <c r="M697">
        <v>713</v>
      </c>
    </row>
    <row r="698" spans="1:13" x14ac:dyDescent="0.3">
      <c r="A698">
        <v>41643.588194444441</v>
      </c>
      <c r="B698">
        <v>1800</v>
      </c>
      <c r="C698" s="7">
        <v>41640.027777777781</v>
      </c>
      <c r="D698" t="s">
        <v>8</v>
      </c>
      <c r="E698" t="s">
        <v>85</v>
      </c>
      <c r="F698" t="s">
        <v>138</v>
      </c>
      <c r="G698" s="9" t="s">
        <v>138</v>
      </c>
      <c r="J698">
        <v>0</v>
      </c>
      <c r="K698">
        <v>0</v>
      </c>
      <c r="M698">
        <v>717</v>
      </c>
    </row>
    <row r="699" spans="1:13" x14ac:dyDescent="0.3">
      <c r="A699">
        <v>41643.588194444441</v>
      </c>
      <c r="B699">
        <v>1380</v>
      </c>
      <c r="C699" s="7">
        <v>41640.018055555556</v>
      </c>
      <c r="D699" t="s">
        <v>22</v>
      </c>
      <c r="E699" t="s">
        <v>139</v>
      </c>
      <c r="F699" t="s">
        <v>138</v>
      </c>
      <c r="G699" s="9" t="s">
        <v>138</v>
      </c>
      <c r="J699">
        <v>0</v>
      </c>
      <c r="K699">
        <v>0</v>
      </c>
      <c r="M699">
        <v>682</v>
      </c>
    </row>
    <row r="700" spans="1:13" x14ac:dyDescent="0.3">
      <c r="A700">
        <v>41643.589583333334</v>
      </c>
      <c r="B700">
        <v>240</v>
      </c>
      <c r="C700" s="7">
        <v>41640.008333333331</v>
      </c>
      <c r="D700" t="s">
        <v>22</v>
      </c>
      <c r="E700" t="s">
        <v>26</v>
      </c>
      <c r="F700" t="s">
        <v>138</v>
      </c>
      <c r="G700" s="9" t="s">
        <v>138</v>
      </c>
      <c r="J700">
        <v>0</v>
      </c>
      <c r="K700">
        <v>0</v>
      </c>
      <c r="M700">
        <v>729</v>
      </c>
    </row>
    <row r="701" spans="1:13" x14ac:dyDescent="0.3">
      <c r="A701">
        <v>41643.589583333334</v>
      </c>
      <c r="B701">
        <v>900</v>
      </c>
      <c r="C701" s="7">
        <v>41640.012499999997</v>
      </c>
      <c r="D701" t="s">
        <v>30</v>
      </c>
      <c r="E701" t="s">
        <v>329</v>
      </c>
      <c r="F701" t="s">
        <v>138</v>
      </c>
      <c r="G701" s="9" t="s">
        <v>138</v>
      </c>
      <c r="J701">
        <v>0</v>
      </c>
      <c r="K701">
        <v>0</v>
      </c>
      <c r="M701">
        <v>709</v>
      </c>
    </row>
    <row r="702" spans="1:13" x14ac:dyDescent="0.3">
      <c r="A702">
        <v>41643.590277777781</v>
      </c>
      <c r="B702">
        <v>1140</v>
      </c>
      <c r="C702" s="7">
        <v>41640.017361111109</v>
      </c>
      <c r="D702" t="s">
        <v>290</v>
      </c>
      <c r="E702" t="s">
        <v>151</v>
      </c>
      <c r="F702" t="s">
        <v>138</v>
      </c>
      <c r="G702" s="9" t="s">
        <v>138</v>
      </c>
      <c r="J702">
        <v>0</v>
      </c>
      <c r="K702">
        <v>0</v>
      </c>
      <c r="M702">
        <v>671</v>
      </c>
    </row>
    <row r="703" spans="1:13" x14ac:dyDescent="0.3">
      <c r="A703">
        <v>41643.592361111114</v>
      </c>
      <c r="B703">
        <v>1200</v>
      </c>
      <c r="C703" s="7">
        <v>41640.027777777781</v>
      </c>
      <c r="D703" t="s">
        <v>22</v>
      </c>
      <c r="E703" t="s">
        <v>202</v>
      </c>
      <c r="F703" t="s">
        <v>138</v>
      </c>
      <c r="G703" s="9" t="s">
        <v>138</v>
      </c>
      <c r="J703">
        <v>0</v>
      </c>
      <c r="K703">
        <v>0</v>
      </c>
      <c r="M703">
        <v>678</v>
      </c>
    </row>
    <row r="704" spans="1:13" x14ac:dyDescent="0.3">
      <c r="A704">
        <v>41643.595138888886</v>
      </c>
      <c r="B704">
        <v>840</v>
      </c>
      <c r="C704" s="7">
        <v>41640.011805555558</v>
      </c>
      <c r="D704" t="s">
        <v>10</v>
      </c>
      <c r="E704" t="s">
        <v>331</v>
      </c>
      <c r="F704" t="s">
        <v>138</v>
      </c>
      <c r="G704" s="9" t="s">
        <v>138</v>
      </c>
      <c r="J704">
        <v>0</v>
      </c>
      <c r="K704">
        <v>0</v>
      </c>
      <c r="M704">
        <v>707</v>
      </c>
    </row>
    <row r="705" spans="1:13" x14ac:dyDescent="0.3">
      <c r="A705">
        <v>41643.597916666666</v>
      </c>
      <c r="B705">
        <v>1140</v>
      </c>
      <c r="C705" s="7">
        <v>41640.02847222222</v>
      </c>
      <c r="D705" t="s">
        <v>151</v>
      </c>
      <c r="E705" t="s">
        <v>38</v>
      </c>
      <c r="F705" t="s">
        <v>138</v>
      </c>
      <c r="G705" s="9" t="s">
        <v>138</v>
      </c>
      <c r="J705">
        <v>0</v>
      </c>
      <c r="K705">
        <v>0</v>
      </c>
      <c r="M705">
        <v>669</v>
      </c>
    </row>
    <row r="706" spans="1:13" x14ac:dyDescent="0.3">
      <c r="A706">
        <v>41643.599305555559</v>
      </c>
      <c r="B706">
        <v>420</v>
      </c>
      <c r="C706" s="7">
        <v>41640.010416666664</v>
      </c>
      <c r="D706" t="s">
        <v>22</v>
      </c>
      <c r="E706" t="s">
        <v>269</v>
      </c>
      <c r="F706" t="s">
        <v>138</v>
      </c>
      <c r="G706" s="9" t="s">
        <v>138</v>
      </c>
      <c r="J706">
        <v>0</v>
      </c>
      <c r="K706">
        <v>0</v>
      </c>
      <c r="M706">
        <v>657</v>
      </c>
    </row>
    <row r="707" spans="1:13" x14ac:dyDescent="0.3">
      <c r="A707">
        <v>41643.599999999999</v>
      </c>
      <c r="B707">
        <v>1380</v>
      </c>
      <c r="C707" s="7">
        <v>41640.01666666667</v>
      </c>
      <c r="D707" t="s">
        <v>88</v>
      </c>
      <c r="E707" t="s">
        <v>37</v>
      </c>
      <c r="F707" t="s">
        <v>138</v>
      </c>
      <c r="G707" s="9" t="s">
        <v>138</v>
      </c>
      <c r="J707">
        <v>0</v>
      </c>
      <c r="K707">
        <v>0</v>
      </c>
      <c r="M707">
        <v>711</v>
      </c>
    </row>
    <row r="708" spans="1:13" x14ac:dyDescent="0.3">
      <c r="A708">
        <v>41643.601388888892</v>
      </c>
      <c r="B708">
        <v>480</v>
      </c>
      <c r="C708" s="7">
        <v>41640.009722222225</v>
      </c>
      <c r="D708" t="s">
        <v>13</v>
      </c>
      <c r="E708" t="s">
        <v>334</v>
      </c>
      <c r="F708" t="s">
        <v>138</v>
      </c>
      <c r="G708" s="9" t="s">
        <v>138</v>
      </c>
      <c r="J708">
        <v>0</v>
      </c>
      <c r="K708">
        <v>0</v>
      </c>
      <c r="M708">
        <v>727</v>
      </c>
    </row>
    <row r="709" spans="1:13" x14ac:dyDescent="0.3">
      <c r="A709">
        <v>41643.607638888891</v>
      </c>
      <c r="B709">
        <v>1260</v>
      </c>
      <c r="C709" s="7">
        <v>41640.015277777777</v>
      </c>
      <c r="D709" t="s">
        <v>336</v>
      </c>
      <c r="E709" t="s">
        <v>8</v>
      </c>
      <c r="F709" t="s">
        <v>138</v>
      </c>
      <c r="G709" s="9" t="s">
        <v>138</v>
      </c>
      <c r="J709">
        <v>0</v>
      </c>
      <c r="K709">
        <v>0</v>
      </c>
      <c r="M709">
        <v>733</v>
      </c>
    </row>
    <row r="710" spans="1:13" x14ac:dyDescent="0.3">
      <c r="A710">
        <v>41643.607638888891</v>
      </c>
      <c r="B710">
        <v>2100</v>
      </c>
      <c r="C710" s="7">
        <v>41640.025000000001</v>
      </c>
      <c r="D710" t="s">
        <v>13</v>
      </c>
      <c r="E710" t="s">
        <v>60</v>
      </c>
      <c r="F710" t="s">
        <v>138</v>
      </c>
      <c r="G710" s="9" t="s">
        <v>138</v>
      </c>
      <c r="J710">
        <v>0</v>
      </c>
      <c r="K710">
        <v>0</v>
      </c>
      <c r="M710">
        <v>692</v>
      </c>
    </row>
    <row r="711" spans="1:13" x14ac:dyDescent="0.3">
      <c r="A711">
        <v>41643.607638888891</v>
      </c>
      <c r="B711">
        <v>1260</v>
      </c>
      <c r="C711" s="7">
        <v>41640.01458333333</v>
      </c>
      <c r="D711" t="s">
        <v>327</v>
      </c>
      <c r="E711" t="s">
        <v>30</v>
      </c>
      <c r="F711" t="s">
        <v>138</v>
      </c>
      <c r="G711" s="9" t="s">
        <v>138</v>
      </c>
      <c r="J711">
        <v>0</v>
      </c>
      <c r="K711">
        <v>0</v>
      </c>
      <c r="M711">
        <v>658</v>
      </c>
    </row>
    <row r="712" spans="1:13" x14ac:dyDescent="0.3">
      <c r="A712">
        <v>41643.609027777777</v>
      </c>
      <c r="B712">
        <v>1020</v>
      </c>
      <c r="C712" s="7">
        <v>41640.018055555556</v>
      </c>
      <c r="D712" t="s">
        <v>15</v>
      </c>
      <c r="E712" t="s">
        <v>330</v>
      </c>
      <c r="F712" t="s">
        <v>138</v>
      </c>
      <c r="G712" s="9" t="s">
        <v>138</v>
      </c>
      <c r="J712">
        <v>0</v>
      </c>
      <c r="K712">
        <v>0</v>
      </c>
      <c r="M712">
        <v>666</v>
      </c>
    </row>
    <row r="713" spans="1:13" x14ac:dyDescent="0.3">
      <c r="A713">
        <v>41643.611111111109</v>
      </c>
      <c r="B713">
        <v>840</v>
      </c>
      <c r="C713" s="7">
        <v>41640.013194444444</v>
      </c>
      <c r="D713" t="s">
        <v>13</v>
      </c>
      <c r="E713" t="s">
        <v>208</v>
      </c>
      <c r="F713" t="s">
        <v>138</v>
      </c>
      <c r="G713" s="9" t="s">
        <v>138</v>
      </c>
      <c r="J713">
        <v>0</v>
      </c>
      <c r="K713">
        <v>0</v>
      </c>
      <c r="M713">
        <v>686</v>
      </c>
    </row>
    <row r="714" spans="1:13" x14ac:dyDescent="0.3">
      <c r="A714">
        <v>41643.612500000003</v>
      </c>
      <c r="B714">
        <v>1380</v>
      </c>
      <c r="C714" s="7">
        <v>41640.030555555553</v>
      </c>
      <c r="D714" t="s">
        <v>13</v>
      </c>
      <c r="E714" t="s">
        <v>332</v>
      </c>
      <c r="F714" t="s">
        <v>138</v>
      </c>
      <c r="G714" s="9" t="s">
        <v>138</v>
      </c>
      <c r="J714">
        <v>0</v>
      </c>
      <c r="K714">
        <v>0</v>
      </c>
      <c r="M714">
        <v>715</v>
      </c>
    </row>
    <row r="715" spans="1:13" x14ac:dyDescent="0.3">
      <c r="A715">
        <v>41643.613194444442</v>
      </c>
      <c r="B715">
        <v>1740</v>
      </c>
      <c r="C715" s="7">
        <v>41640.033333333333</v>
      </c>
      <c r="D715" t="s">
        <v>13</v>
      </c>
      <c r="E715" t="s">
        <v>150</v>
      </c>
      <c r="F715" t="s">
        <v>138</v>
      </c>
      <c r="G715" s="9" t="s">
        <v>138</v>
      </c>
      <c r="J715">
        <v>0</v>
      </c>
      <c r="K715">
        <v>0</v>
      </c>
      <c r="M715">
        <v>704</v>
      </c>
    </row>
    <row r="716" spans="1:13" x14ac:dyDescent="0.3">
      <c r="A716">
        <v>41643.615277777775</v>
      </c>
      <c r="B716">
        <v>1440</v>
      </c>
      <c r="C716" s="7">
        <v>41640.018750000003</v>
      </c>
      <c r="D716" t="s">
        <v>151</v>
      </c>
      <c r="E716" t="s">
        <v>290</v>
      </c>
      <c r="F716" t="s">
        <v>138</v>
      </c>
      <c r="G716" s="9" t="s">
        <v>138</v>
      </c>
      <c r="J716">
        <v>0</v>
      </c>
      <c r="K716">
        <v>0</v>
      </c>
      <c r="M716">
        <v>691</v>
      </c>
    </row>
    <row r="717" spans="1:13" x14ac:dyDescent="0.3">
      <c r="A717">
        <v>41643.618055555555</v>
      </c>
      <c r="B717">
        <v>1620</v>
      </c>
      <c r="C717" s="7">
        <v>41640.02847222222</v>
      </c>
      <c r="D717" t="s">
        <v>28</v>
      </c>
      <c r="E717" t="s">
        <v>30</v>
      </c>
      <c r="F717" t="s">
        <v>138</v>
      </c>
      <c r="G717" s="9" t="s">
        <v>138</v>
      </c>
      <c r="J717">
        <v>0</v>
      </c>
      <c r="K717">
        <v>0</v>
      </c>
      <c r="M717">
        <v>701</v>
      </c>
    </row>
    <row r="718" spans="1:13" x14ac:dyDescent="0.3">
      <c r="A718">
        <v>41643.618055555555</v>
      </c>
      <c r="B718">
        <v>1680</v>
      </c>
      <c r="C718" s="7">
        <v>41640.025000000001</v>
      </c>
      <c r="D718" t="s">
        <v>337</v>
      </c>
      <c r="E718" t="s">
        <v>8</v>
      </c>
      <c r="F718" t="s">
        <v>138</v>
      </c>
      <c r="G718" s="9" t="s">
        <v>138</v>
      </c>
      <c r="J718">
        <v>0</v>
      </c>
      <c r="K718">
        <v>0</v>
      </c>
      <c r="M718">
        <v>680</v>
      </c>
    </row>
    <row r="719" spans="1:13" x14ac:dyDescent="0.3">
      <c r="A719">
        <v>41643.620833333334</v>
      </c>
      <c r="B719">
        <v>180</v>
      </c>
      <c r="C719" s="7">
        <v>41640.010416666664</v>
      </c>
      <c r="D719" t="s">
        <v>22</v>
      </c>
      <c r="E719" t="s">
        <v>164</v>
      </c>
      <c r="F719" t="s">
        <v>138</v>
      </c>
      <c r="G719" s="9" t="s">
        <v>138</v>
      </c>
      <c r="J719">
        <v>0</v>
      </c>
      <c r="K719">
        <v>0</v>
      </c>
      <c r="M719">
        <v>730</v>
      </c>
    </row>
    <row r="720" spans="1:13" x14ac:dyDescent="0.3">
      <c r="A720">
        <v>41643.620833333334</v>
      </c>
      <c r="B720">
        <v>1260</v>
      </c>
      <c r="C720" s="7">
        <v>41640.015277777777</v>
      </c>
      <c r="D720" t="s">
        <v>22</v>
      </c>
      <c r="E720" t="s">
        <v>335</v>
      </c>
      <c r="F720" t="s">
        <v>138</v>
      </c>
      <c r="G720" s="9" t="s">
        <v>138</v>
      </c>
      <c r="J720">
        <v>0</v>
      </c>
      <c r="K720">
        <v>0</v>
      </c>
      <c r="M720">
        <v>655</v>
      </c>
    </row>
    <row r="721" spans="1:13" x14ac:dyDescent="0.3">
      <c r="A721">
        <v>41643.624305555553</v>
      </c>
      <c r="B721">
        <v>600</v>
      </c>
      <c r="C721" s="7">
        <v>41640.025000000001</v>
      </c>
      <c r="D721" t="s">
        <v>338</v>
      </c>
      <c r="E721" t="s">
        <v>194</v>
      </c>
      <c r="F721" t="s">
        <v>138</v>
      </c>
      <c r="G721" s="9" t="s">
        <v>138</v>
      </c>
      <c r="J721">
        <v>0</v>
      </c>
      <c r="K721">
        <v>0</v>
      </c>
      <c r="M721">
        <v>670</v>
      </c>
    </row>
    <row r="722" spans="1:13" x14ac:dyDescent="0.3">
      <c r="A722">
        <v>41643.625694444447</v>
      </c>
      <c r="B722">
        <v>1380</v>
      </c>
      <c r="C722" s="7">
        <v>41640.01666666667</v>
      </c>
      <c r="D722" t="s">
        <v>208</v>
      </c>
      <c r="E722" t="s">
        <v>10</v>
      </c>
      <c r="F722" t="s">
        <v>138</v>
      </c>
      <c r="G722" s="9" t="s">
        <v>138</v>
      </c>
      <c r="J722">
        <v>0</v>
      </c>
      <c r="K722">
        <v>0</v>
      </c>
      <c r="M722">
        <v>697</v>
      </c>
    </row>
    <row r="723" spans="1:13" x14ac:dyDescent="0.3">
      <c r="A723">
        <v>41643.62777777778</v>
      </c>
      <c r="B723">
        <v>1320</v>
      </c>
      <c r="C723" s="7">
        <v>41640.015277777777</v>
      </c>
      <c r="D723" t="s">
        <v>13</v>
      </c>
      <c r="E723" t="s">
        <v>88</v>
      </c>
      <c r="F723" t="s">
        <v>138</v>
      </c>
      <c r="G723" s="9" t="s">
        <v>138</v>
      </c>
      <c r="J723">
        <v>0</v>
      </c>
      <c r="K723">
        <v>0</v>
      </c>
      <c r="M723">
        <v>723</v>
      </c>
    </row>
    <row r="724" spans="1:13" x14ac:dyDescent="0.3">
      <c r="A724">
        <v>41643.62777777778</v>
      </c>
      <c r="B724">
        <v>1260</v>
      </c>
      <c r="C724" s="7">
        <v>41640.02847222222</v>
      </c>
      <c r="D724" t="s">
        <v>15</v>
      </c>
      <c r="E724" t="s">
        <v>40</v>
      </c>
      <c r="F724" t="s">
        <v>138</v>
      </c>
      <c r="G724" s="9" t="s">
        <v>138</v>
      </c>
      <c r="J724">
        <v>0</v>
      </c>
      <c r="K724">
        <v>0</v>
      </c>
      <c r="M724">
        <v>660</v>
      </c>
    </row>
    <row r="725" spans="1:13" x14ac:dyDescent="0.3">
      <c r="A725">
        <v>41643.628472222219</v>
      </c>
      <c r="B725">
        <v>660</v>
      </c>
      <c r="C725" s="7">
        <v>41640.012499999997</v>
      </c>
      <c r="D725" t="s">
        <v>73</v>
      </c>
      <c r="E725" t="s">
        <v>8</v>
      </c>
      <c r="F725" t="s">
        <v>138</v>
      </c>
      <c r="G725" s="9" t="s">
        <v>138</v>
      </c>
      <c r="J725">
        <v>0</v>
      </c>
      <c r="K725">
        <v>0</v>
      </c>
      <c r="M725">
        <v>736</v>
      </c>
    </row>
    <row r="726" spans="1:13" x14ac:dyDescent="0.3">
      <c r="A726">
        <v>41643.629861111112</v>
      </c>
      <c r="B726">
        <v>1440</v>
      </c>
      <c r="C726" s="7">
        <v>41640.01666666667</v>
      </c>
      <c r="D726" t="s">
        <v>30</v>
      </c>
      <c r="E726" t="s">
        <v>327</v>
      </c>
      <c r="F726" t="s">
        <v>138</v>
      </c>
      <c r="G726" s="9" t="s">
        <v>138</v>
      </c>
      <c r="J726">
        <v>0</v>
      </c>
      <c r="K726">
        <v>0</v>
      </c>
      <c r="M726">
        <v>672</v>
      </c>
    </row>
    <row r="727" spans="1:13" x14ac:dyDescent="0.3">
      <c r="A727">
        <v>41643.634722222225</v>
      </c>
      <c r="B727">
        <v>660</v>
      </c>
      <c r="C727" s="7">
        <v>41640.013888888891</v>
      </c>
      <c r="D727" t="s">
        <v>36</v>
      </c>
      <c r="E727" t="s">
        <v>30</v>
      </c>
      <c r="F727" t="s">
        <v>138</v>
      </c>
      <c r="G727" s="9" t="s">
        <v>138</v>
      </c>
      <c r="J727">
        <v>0</v>
      </c>
      <c r="K727">
        <v>0</v>
      </c>
      <c r="M727">
        <v>690</v>
      </c>
    </row>
    <row r="728" spans="1:13" x14ac:dyDescent="0.3">
      <c r="A728">
        <v>41643.63958333333</v>
      </c>
      <c r="B728">
        <v>180</v>
      </c>
      <c r="C728" s="7">
        <v>41640.017361111109</v>
      </c>
      <c r="D728" t="s">
        <v>15</v>
      </c>
      <c r="E728" t="s">
        <v>203</v>
      </c>
      <c r="F728" t="s">
        <v>138</v>
      </c>
      <c r="G728" s="9" t="s">
        <v>138</v>
      </c>
      <c r="J728">
        <v>0</v>
      </c>
      <c r="K728">
        <v>0</v>
      </c>
      <c r="M728">
        <v>734</v>
      </c>
    </row>
    <row r="729" spans="1:13" x14ac:dyDescent="0.3">
      <c r="A729">
        <v>41643.643055555556</v>
      </c>
      <c r="B729">
        <v>660</v>
      </c>
      <c r="C729" s="7">
        <v>41640.007638888892</v>
      </c>
      <c r="D729" t="s">
        <v>22</v>
      </c>
      <c r="E729" t="s">
        <v>45</v>
      </c>
      <c r="F729" t="s">
        <v>138</v>
      </c>
      <c r="G729" s="9" t="s">
        <v>138</v>
      </c>
      <c r="J729">
        <v>0</v>
      </c>
      <c r="K729">
        <v>0</v>
      </c>
      <c r="M729">
        <v>724</v>
      </c>
    </row>
    <row r="730" spans="1:13" x14ac:dyDescent="0.3">
      <c r="A730">
        <v>41643.643750000003</v>
      </c>
      <c r="B730">
        <v>780</v>
      </c>
      <c r="C730" s="7">
        <v>41640.021527777775</v>
      </c>
      <c r="D730" t="s">
        <v>13</v>
      </c>
      <c r="E730" t="s">
        <v>320</v>
      </c>
      <c r="F730" t="s">
        <v>138</v>
      </c>
      <c r="G730" s="9" t="s">
        <v>138</v>
      </c>
      <c r="J730">
        <v>0</v>
      </c>
      <c r="K730">
        <v>0</v>
      </c>
      <c r="M730">
        <v>702</v>
      </c>
    </row>
    <row r="731" spans="1:13" x14ac:dyDescent="0.3">
      <c r="A731">
        <v>41643.644444444442</v>
      </c>
      <c r="B731">
        <v>2160</v>
      </c>
      <c r="C731" s="7">
        <v>41640.025000000001</v>
      </c>
      <c r="D731" t="s">
        <v>8</v>
      </c>
      <c r="E731" t="s">
        <v>336</v>
      </c>
      <c r="F731" t="s">
        <v>138</v>
      </c>
      <c r="G731" s="9" t="s">
        <v>138</v>
      </c>
      <c r="J731">
        <v>0</v>
      </c>
      <c r="K731">
        <v>0</v>
      </c>
      <c r="M731">
        <v>718</v>
      </c>
    </row>
    <row r="732" spans="1:13" x14ac:dyDescent="0.3">
      <c r="A732">
        <v>41643.645138888889</v>
      </c>
      <c r="B732">
        <v>780</v>
      </c>
      <c r="C732" s="7">
        <v>41640.013194444444</v>
      </c>
      <c r="D732" t="s">
        <v>22</v>
      </c>
      <c r="E732" t="s">
        <v>240</v>
      </c>
      <c r="F732" t="s">
        <v>138</v>
      </c>
      <c r="G732" s="9" t="s">
        <v>138</v>
      </c>
      <c r="J732">
        <v>0</v>
      </c>
      <c r="K732">
        <v>0</v>
      </c>
      <c r="M732">
        <v>705</v>
      </c>
    </row>
    <row r="733" spans="1:13" x14ac:dyDescent="0.3">
      <c r="A733">
        <v>41643.647916666669</v>
      </c>
      <c r="B733">
        <v>240</v>
      </c>
      <c r="C733" s="7">
        <v>41640.019444444442</v>
      </c>
      <c r="D733" t="s">
        <v>43</v>
      </c>
      <c r="E733" t="s">
        <v>17</v>
      </c>
      <c r="F733" t="s">
        <v>138</v>
      </c>
      <c r="G733" s="9" t="s">
        <v>138</v>
      </c>
      <c r="J733">
        <v>0</v>
      </c>
      <c r="K733">
        <v>0</v>
      </c>
      <c r="M733">
        <v>689</v>
      </c>
    </row>
    <row r="734" spans="1:13" x14ac:dyDescent="0.3">
      <c r="A734">
        <v>41643.648611111108</v>
      </c>
      <c r="B734">
        <v>1560</v>
      </c>
      <c r="C734" s="7">
        <v>41640.03402777778</v>
      </c>
      <c r="D734" t="s">
        <v>8</v>
      </c>
      <c r="E734" t="s">
        <v>337</v>
      </c>
      <c r="F734" t="s">
        <v>138</v>
      </c>
      <c r="G734" s="9" t="s">
        <v>138</v>
      </c>
      <c r="J734">
        <v>0</v>
      </c>
      <c r="K734">
        <v>0</v>
      </c>
      <c r="M734">
        <v>656</v>
      </c>
    </row>
    <row r="735" spans="1:13" x14ac:dyDescent="0.3">
      <c r="A735">
        <v>41643.650694444441</v>
      </c>
      <c r="B735">
        <v>3120</v>
      </c>
      <c r="C735" s="7">
        <v>41640.038194444445</v>
      </c>
      <c r="D735" t="s">
        <v>95</v>
      </c>
      <c r="E735" t="s">
        <v>69</v>
      </c>
      <c r="F735" t="s">
        <v>138</v>
      </c>
      <c r="G735" s="9" t="s">
        <v>138</v>
      </c>
      <c r="J735">
        <v>0</v>
      </c>
      <c r="K735">
        <v>0</v>
      </c>
      <c r="M735">
        <v>722</v>
      </c>
    </row>
    <row r="736" spans="1:13" x14ac:dyDescent="0.3">
      <c r="A736">
        <v>41643.65625</v>
      </c>
      <c r="B736">
        <v>1020</v>
      </c>
      <c r="C736" s="7">
        <v>41640.011805555558</v>
      </c>
      <c r="D736" t="s">
        <v>10</v>
      </c>
      <c r="E736" t="s">
        <v>208</v>
      </c>
      <c r="F736" t="s">
        <v>138</v>
      </c>
      <c r="G736" s="9" t="s">
        <v>138</v>
      </c>
      <c r="J736">
        <v>0</v>
      </c>
      <c r="K736">
        <v>0</v>
      </c>
      <c r="M736">
        <v>677</v>
      </c>
    </row>
    <row r="737" spans="1:13" x14ac:dyDescent="0.3">
      <c r="A737">
        <v>41643.657638888886</v>
      </c>
      <c r="B737">
        <v>2460</v>
      </c>
      <c r="C737" s="7">
        <v>41640.038194444445</v>
      </c>
      <c r="D737" t="s">
        <v>237</v>
      </c>
      <c r="E737" t="s">
        <v>187</v>
      </c>
      <c r="F737" t="s">
        <v>138</v>
      </c>
      <c r="G737" s="9" t="s">
        <v>138</v>
      </c>
      <c r="J737">
        <v>0</v>
      </c>
      <c r="K737">
        <v>0</v>
      </c>
      <c r="M737">
        <v>700</v>
      </c>
    </row>
    <row r="738" spans="1:13" x14ac:dyDescent="0.3">
      <c r="A738">
        <v>41643.663888888892</v>
      </c>
      <c r="B738">
        <v>1140</v>
      </c>
      <c r="C738" s="7">
        <v>41640.013194444444</v>
      </c>
      <c r="D738" t="s">
        <v>22</v>
      </c>
      <c r="E738" t="s">
        <v>45</v>
      </c>
      <c r="F738" t="s">
        <v>138</v>
      </c>
      <c r="G738" s="9" t="s">
        <v>138</v>
      </c>
      <c r="J738">
        <v>0</v>
      </c>
      <c r="K738">
        <v>0</v>
      </c>
      <c r="M738">
        <v>688</v>
      </c>
    </row>
    <row r="739" spans="1:13" x14ac:dyDescent="0.3">
      <c r="A739">
        <v>41643.666666666664</v>
      </c>
      <c r="B739">
        <v>1140</v>
      </c>
      <c r="C739" s="7">
        <v>41640.037499999999</v>
      </c>
      <c r="D739" t="s">
        <v>13</v>
      </c>
      <c r="E739" t="s">
        <v>241</v>
      </c>
      <c r="F739" t="s">
        <v>138</v>
      </c>
      <c r="G739" s="9" t="s">
        <v>138</v>
      </c>
      <c r="J739">
        <v>0</v>
      </c>
      <c r="K739">
        <v>0</v>
      </c>
      <c r="M739">
        <v>737</v>
      </c>
    </row>
    <row r="740" spans="1:13" x14ac:dyDescent="0.3">
      <c r="A740">
        <v>41643.668749999997</v>
      </c>
      <c r="B740">
        <v>1200</v>
      </c>
      <c r="C740" s="7">
        <v>41640.025000000001</v>
      </c>
      <c r="D740" t="s">
        <v>40</v>
      </c>
      <c r="E740" t="s">
        <v>17</v>
      </c>
      <c r="F740" t="s">
        <v>138</v>
      </c>
      <c r="G740" s="9" t="s">
        <v>138</v>
      </c>
      <c r="J740">
        <v>0</v>
      </c>
      <c r="K740">
        <v>0</v>
      </c>
      <c r="M740">
        <v>750</v>
      </c>
    </row>
    <row r="741" spans="1:13" x14ac:dyDescent="0.3">
      <c r="A741">
        <v>41643.672222222223</v>
      </c>
      <c r="B741">
        <v>1380</v>
      </c>
      <c r="C741" s="7">
        <v>41640.030555555553</v>
      </c>
      <c r="D741" t="s">
        <v>147</v>
      </c>
      <c r="E741" t="s">
        <v>314</v>
      </c>
      <c r="F741" t="s">
        <v>138</v>
      </c>
      <c r="G741" s="9" t="s">
        <v>138</v>
      </c>
      <c r="J741">
        <v>0</v>
      </c>
      <c r="K741">
        <v>0</v>
      </c>
      <c r="M741">
        <v>749</v>
      </c>
    </row>
    <row r="742" spans="1:13" x14ac:dyDescent="0.3">
      <c r="A742">
        <v>41643.679166666669</v>
      </c>
      <c r="B742">
        <v>1320</v>
      </c>
      <c r="C742" s="7">
        <v>41640.015277777777</v>
      </c>
      <c r="D742" t="s">
        <v>13</v>
      </c>
      <c r="E742" t="s">
        <v>339</v>
      </c>
      <c r="F742" t="s">
        <v>138</v>
      </c>
      <c r="G742" s="9" t="s">
        <v>138</v>
      </c>
      <c r="J742">
        <v>0</v>
      </c>
      <c r="K742">
        <v>0</v>
      </c>
      <c r="M742">
        <v>743</v>
      </c>
    </row>
    <row r="743" spans="1:13" x14ac:dyDescent="0.3">
      <c r="A743">
        <v>41643.681250000001</v>
      </c>
      <c r="B743">
        <v>1620</v>
      </c>
      <c r="C743" s="7">
        <v>41640.018750000003</v>
      </c>
      <c r="D743" t="s">
        <v>98</v>
      </c>
      <c r="E743" t="s">
        <v>15</v>
      </c>
      <c r="F743" t="s">
        <v>138</v>
      </c>
      <c r="G743" s="9" t="s">
        <v>138</v>
      </c>
      <c r="J743">
        <v>0</v>
      </c>
      <c r="K743">
        <v>0</v>
      </c>
      <c r="M743">
        <v>742</v>
      </c>
    </row>
    <row r="744" spans="1:13" x14ac:dyDescent="0.3">
      <c r="A744">
        <v>41643.68472222222</v>
      </c>
      <c r="B744">
        <v>1740</v>
      </c>
      <c r="C744" s="7">
        <v>41640.020138888889</v>
      </c>
      <c r="D744" t="s">
        <v>336</v>
      </c>
      <c r="E744" t="s">
        <v>15</v>
      </c>
      <c r="F744" t="s">
        <v>138</v>
      </c>
      <c r="G744" s="9" t="s">
        <v>138</v>
      </c>
      <c r="J744">
        <v>0</v>
      </c>
      <c r="K744">
        <v>0</v>
      </c>
      <c r="M744">
        <v>761</v>
      </c>
    </row>
    <row r="745" spans="1:13" x14ac:dyDescent="0.3">
      <c r="A745">
        <v>41643.692361111112</v>
      </c>
      <c r="B745">
        <v>1920</v>
      </c>
      <c r="C745" s="7">
        <v>41640.043055555558</v>
      </c>
      <c r="D745" t="s">
        <v>340</v>
      </c>
      <c r="E745" t="s">
        <v>39</v>
      </c>
      <c r="F745" t="s">
        <v>138</v>
      </c>
      <c r="G745" s="9" t="s">
        <v>138</v>
      </c>
      <c r="J745">
        <v>0</v>
      </c>
      <c r="K745">
        <v>0</v>
      </c>
      <c r="M745">
        <v>751</v>
      </c>
    </row>
    <row r="746" spans="1:13" x14ac:dyDescent="0.3">
      <c r="A746">
        <v>41643.692361111112</v>
      </c>
      <c r="B746">
        <v>1020</v>
      </c>
      <c r="C746" s="7">
        <v>41640.01666666667</v>
      </c>
      <c r="D746" t="s">
        <v>15</v>
      </c>
      <c r="E746" t="s">
        <v>335</v>
      </c>
      <c r="F746" t="s">
        <v>138</v>
      </c>
      <c r="G746" s="9" t="s">
        <v>138</v>
      </c>
      <c r="J746">
        <v>0</v>
      </c>
      <c r="K746">
        <v>0</v>
      </c>
      <c r="M746">
        <v>738</v>
      </c>
    </row>
    <row r="747" spans="1:13" x14ac:dyDescent="0.3">
      <c r="A747">
        <v>41643.694444444445</v>
      </c>
      <c r="B747">
        <v>1620</v>
      </c>
      <c r="C747" s="7">
        <v>41640.018750000003</v>
      </c>
      <c r="D747" t="s">
        <v>41</v>
      </c>
      <c r="E747" t="s">
        <v>46</v>
      </c>
      <c r="F747" t="s">
        <v>138</v>
      </c>
      <c r="G747" s="9" t="s">
        <v>138</v>
      </c>
      <c r="J747">
        <v>0</v>
      </c>
      <c r="K747">
        <v>0</v>
      </c>
      <c r="M747">
        <v>744</v>
      </c>
    </row>
    <row r="748" spans="1:13" x14ac:dyDescent="0.3">
      <c r="A748">
        <v>41643.695138888892</v>
      </c>
      <c r="B748">
        <v>1680</v>
      </c>
      <c r="C748" s="7">
        <v>41640.019444444442</v>
      </c>
      <c r="D748" t="s">
        <v>311</v>
      </c>
      <c r="E748" t="s">
        <v>256</v>
      </c>
      <c r="F748" t="s">
        <v>138</v>
      </c>
      <c r="G748" s="9" t="s">
        <v>138</v>
      </c>
      <c r="J748">
        <v>0</v>
      </c>
      <c r="K748">
        <v>0</v>
      </c>
      <c r="M748">
        <v>759</v>
      </c>
    </row>
    <row r="749" spans="1:13" x14ac:dyDescent="0.3">
      <c r="A749">
        <v>41643.700694444444</v>
      </c>
      <c r="B749">
        <v>3720</v>
      </c>
      <c r="C749" s="7">
        <v>41640.043055555558</v>
      </c>
      <c r="D749" t="s">
        <v>278</v>
      </c>
      <c r="E749" t="s">
        <v>46</v>
      </c>
      <c r="F749" t="s">
        <v>138</v>
      </c>
      <c r="G749" s="9" t="s">
        <v>138</v>
      </c>
      <c r="J749">
        <v>0</v>
      </c>
      <c r="K749">
        <v>0</v>
      </c>
      <c r="M749">
        <v>760</v>
      </c>
    </row>
    <row r="750" spans="1:13" x14ac:dyDescent="0.3">
      <c r="A750">
        <v>41643.701388888891</v>
      </c>
      <c r="B750">
        <v>2400</v>
      </c>
      <c r="C750" s="7">
        <v>41640.027777777781</v>
      </c>
      <c r="D750" t="s">
        <v>15</v>
      </c>
      <c r="E750" t="s">
        <v>234</v>
      </c>
      <c r="F750" t="s">
        <v>138</v>
      </c>
      <c r="G750" s="9" t="s">
        <v>138</v>
      </c>
      <c r="J750">
        <v>0</v>
      </c>
      <c r="K750">
        <v>0</v>
      </c>
      <c r="M750">
        <v>741</v>
      </c>
    </row>
    <row r="751" spans="1:13" x14ac:dyDescent="0.3">
      <c r="A751">
        <v>41643.709027777775</v>
      </c>
      <c r="B751">
        <v>1020</v>
      </c>
      <c r="C751" s="7">
        <v>41640.011805555558</v>
      </c>
      <c r="D751" t="s">
        <v>98</v>
      </c>
      <c r="E751" t="s">
        <v>63</v>
      </c>
      <c r="F751" t="s">
        <v>138</v>
      </c>
      <c r="G751" s="9" t="s">
        <v>138</v>
      </c>
      <c r="J751">
        <v>0</v>
      </c>
      <c r="K751">
        <v>0</v>
      </c>
      <c r="M751">
        <v>745</v>
      </c>
    </row>
    <row r="752" spans="1:13" x14ac:dyDescent="0.3">
      <c r="A752">
        <v>41643.713888888888</v>
      </c>
      <c r="B752">
        <v>1680</v>
      </c>
      <c r="C752" s="7">
        <v>41640.019444444442</v>
      </c>
      <c r="D752" t="s">
        <v>341</v>
      </c>
      <c r="E752" t="s">
        <v>13</v>
      </c>
      <c r="F752" t="s">
        <v>138</v>
      </c>
      <c r="G752" s="9" t="s">
        <v>138</v>
      </c>
      <c r="J752">
        <v>0</v>
      </c>
      <c r="K752">
        <v>0</v>
      </c>
      <c r="M752">
        <v>746</v>
      </c>
    </row>
    <row r="753" spans="1:13" x14ac:dyDescent="0.3">
      <c r="A753">
        <v>41643.722222222219</v>
      </c>
      <c r="B753">
        <v>900</v>
      </c>
      <c r="C753" s="7">
        <v>41640.013888888891</v>
      </c>
      <c r="D753" t="s">
        <v>15</v>
      </c>
      <c r="E753" t="s">
        <v>33</v>
      </c>
      <c r="F753" t="s">
        <v>138</v>
      </c>
      <c r="G753" s="9" t="s">
        <v>138</v>
      </c>
      <c r="J753">
        <v>0</v>
      </c>
      <c r="K753">
        <v>0</v>
      </c>
      <c r="M753">
        <v>740</v>
      </c>
    </row>
    <row r="754" spans="1:13" x14ac:dyDescent="0.3">
      <c r="A754">
        <v>41643.727083333331</v>
      </c>
      <c r="B754">
        <v>2640</v>
      </c>
      <c r="C754" s="7">
        <v>41640.03125</v>
      </c>
      <c r="D754" t="s">
        <v>137</v>
      </c>
      <c r="E754" t="s">
        <v>194</v>
      </c>
      <c r="F754" t="s">
        <v>138</v>
      </c>
      <c r="G754" s="9" t="s">
        <v>138</v>
      </c>
      <c r="J754">
        <v>0</v>
      </c>
      <c r="K754">
        <v>0</v>
      </c>
      <c r="M754">
        <v>747</v>
      </c>
    </row>
    <row r="755" spans="1:13" x14ac:dyDescent="0.3">
      <c r="A755">
        <v>41643.729166666664</v>
      </c>
      <c r="B755">
        <v>1800</v>
      </c>
      <c r="C755" s="7">
        <v>41640.036111111112</v>
      </c>
      <c r="D755" t="s">
        <v>15</v>
      </c>
      <c r="E755" t="s">
        <v>336</v>
      </c>
      <c r="F755" t="s">
        <v>138</v>
      </c>
      <c r="G755" s="9" t="s">
        <v>138</v>
      </c>
      <c r="J755">
        <v>0</v>
      </c>
      <c r="K755">
        <v>0</v>
      </c>
      <c r="M755">
        <v>752</v>
      </c>
    </row>
    <row r="756" spans="1:13" x14ac:dyDescent="0.3">
      <c r="A756">
        <v>41643.73541666667</v>
      </c>
      <c r="B756">
        <v>1020</v>
      </c>
      <c r="C756" s="7">
        <v>41640.015277777777</v>
      </c>
      <c r="D756" t="s">
        <v>13</v>
      </c>
      <c r="E756" t="s">
        <v>341</v>
      </c>
      <c r="F756" t="s">
        <v>138</v>
      </c>
      <c r="G756" s="9" t="s">
        <v>138</v>
      </c>
      <c r="J756">
        <v>0</v>
      </c>
      <c r="K756">
        <v>0</v>
      </c>
      <c r="M756">
        <v>739</v>
      </c>
    </row>
    <row r="757" spans="1:13" x14ac:dyDescent="0.3">
      <c r="A757">
        <v>41643.736805555556</v>
      </c>
      <c r="B757">
        <v>2460</v>
      </c>
      <c r="C757" s="7">
        <v>41640.031944444447</v>
      </c>
      <c r="D757" t="s">
        <v>1</v>
      </c>
      <c r="E757" t="s">
        <v>46</v>
      </c>
      <c r="F757" t="s">
        <v>138</v>
      </c>
      <c r="G757" s="9" t="s">
        <v>138</v>
      </c>
      <c r="J757">
        <v>0</v>
      </c>
      <c r="K757">
        <v>0</v>
      </c>
      <c r="M757">
        <v>758</v>
      </c>
    </row>
    <row r="758" spans="1:13" x14ac:dyDescent="0.3">
      <c r="A758">
        <v>41643.756249999999</v>
      </c>
      <c r="B758">
        <v>2700</v>
      </c>
      <c r="C758" s="7">
        <v>41640.034722222219</v>
      </c>
      <c r="D758" t="s">
        <v>342</v>
      </c>
      <c r="E758" t="s">
        <v>46</v>
      </c>
      <c r="F758" t="s">
        <v>138</v>
      </c>
      <c r="G758" s="9" t="s">
        <v>138</v>
      </c>
      <c r="J758">
        <v>0</v>
      </c>
      <c r="K758">
        <v>0</v>
      </c>
      <c r="M758">
        <v>753</v>
      </c>
    </row>
    <row r="759" spans="1:13" x14ac:dyDescent="0.3">
      <c r="A759">
        <v>41643.768750000003</v>
      </c>
      <c r="B759">
        <v>1860</v>
      </c>
      <c r="C759" s="7">
        <v>41640.021527777775</v>
      </c>
      <c r="D759" t="s">
        <v>291</v>
      </c>
      <c r="E759" t="s">
        <v>81</v>
      </c>
      <c r="F759" t="s">
        <v>138</v>
      </c>
      <c r="G759" s="9" t="s">
        <v>138</v>
      </c>
      <c r="J759">
        <v>0</v>
      </c>
      <c r="K759">
        <v>0</v>
      </c>
      <c r="M759">
        <v>748</v>
      </c>
    </row>
    <row r="760" spans="1:13" x14ac:dyDescent="0.3">
      <c r="A760">
        <v>41643.770138888889</v>
      </c>
      <c r="B760">
        <v>4380</v>
      </c>
      <c r="C760" s="7">
        <v>41640.056250000001</v>
      </c>
      <c r="D760" t="s">
        <v>263</v>
      </c>
      <c r="E760" t="s">
        <v>17</v>
      </c>
      <c r="F760" t="s">
        <v>138</v>
      </c>
      <c r="G760" s="9" t="s">
        <v>138</v>
      </c>
      <c r="J760">
        <v>0</v>
      </c>
      <c r="K760">
        <v>0</v>
      </c>
      <c r="M760">
        <v>754</v>
      </c>
    </row>
    <row r="761" spans="1:13" x14ac:dyDescent="0.3">
      <c r="A761">
        <v>41643.772916666669</v>
      </c>
      <c r="B761">
        <v>2940</v>
      </c>
      <c r="C761" s="7">
        <v>41640.03402777778</v>
      </c>
      <c r="D761" t="s">
        <v>282</v>
      </c>
      <c r="E761" t="s">
        <v>181</v>
      </c>
      <c r="F761" t="s">
        <v>138</v>
      </c>
      <c r="G761" s="9" t="s">
        <v>138</v>
      </c>
      <c r="J761">
        <v>0</v>
      </c>
      <c r="K761">
        <v>0</v>
      </c>
      <c r="M761">
        <v>757</v>
      </c>
    </row>
    <row r="762" spans="1:13" x14ac:dyDescent="0.3">
      <c r="A762">
        <v>41643.822916666664</v>
      </c>
      <c r="B762">
        <v>1980</v>
      </c>
      <c r="C762" s="7">
        <v>41640.022916666669</v>
      </c>
      <c r="D762" t="s">
        <v>95</v>
      </c>
      <c r="E762" t="s">
        <v>2</v>
      </c>
      <c r="F762" t="s">
        <v>138</v>
      </c>
      <c r="G762" s="9" t="s">
        <v>138</v>
      </c>
      <c r="J762">
        <v>0</v>
      </c>
      <c r="K762">
        <v>0</v>
      </c>
      <c r="M762">
        <v>756</v>
      </c>
    </row>
    <row r="763" spans="1:13" x14ac:dyDescent="0.3">
      <c r="A763">
        <v>41643.823611111111</v>
      </c>
      <c r="B763">
        <v>660</v>
      </c>
      <c r="C763" s="7">
        <v>41640.012499999997</v>
      </c>
      <c r="D763" t="s">
        <v>95</v>
      </c>
      <c r="E763" t="s">
        <v>39</v>
      </c>
      <c r="F763" t="s">
        <v>138</v>
      </c>
      <c r="G763" s="9" t="s">
        <v>138</v>
      </c>
      <c r="J763">
        <v>0</v>
      </c>
      <c r="K763">
        <v>0</v>
      </c>
      <c r="M763">
        <v>755</v>
      </c>
    </row>
    <row r="764" spans="1:13" x14ac:dyDescent="0.3">
      <c r="A764">
        <v>41643.834027777775</v>
      </c>
      <c r="B764">
        <v>540</v>
      </c>
      <c r="C764" s="7">
        <v>41640.018055555556</v>
      </c>
      <c r="D764" t="s">
        <v>98</v>
      </c>
      <c r="E764" t="s">
        <v>343</v>
      </c>
      <c r="F764" t="s">
        <v>138</v>
      </c>
      <c r="G764" s="9" t="s">
        <v>138</v>
      </c>
      <c r="J764">
        <v>0</v>
      </c>
      <c r="K764">
        <v>0</v>
      </c>
      <c r="M764">
        <v>769</v>
      </c>
    </row>
    <row r="765" spans="1:13" x14ac:dyDescent="0.3">
      <c r="A765">
        <v>41643.838888888888</v>
      </c>
      <c r="B765">
        <v>2340</v>
      </c>
      <c r="C765" s="7">
        <v>41640.027083333334</v>
      </c>
      <c r="D765" t="s">
        <v>339</v>
      </c>
      <c r="E765" t="s">
        <v>13</v>
      </c>
      <c r="F765" t="s">
        <v>138</v>
      </c>
      <c r="G765" s="9" t="s">
        <v>138</v>
      </c>
      <c r="J765">
        <v>0</v>
      </c>
      <c r="K765">
        <v>0</v>
      </c>
      <c r="M765">
        <v>764</v>
      </c>
    </row>
    <row r="766" spans="1:13" x14ac:dyDescent="0.3">
      <c r="A766">
        <v>41643.865972222222</v>
      </c>
      <c r="B766">
        <v>2640</v>
      </c>
      <c r="C766" s="7">
        <v>41640.030555555553</v>
      </c>
      <c r="D766" t="s">
        <v>344</v>
      </c>
      <c r="E766" t="s">
        <v>46</v>
      </c>
      <c r="F766" t="s">
        <v>138</v>
      </c>
      <c r="G766" s="9" t="s">
        <v>138</v>
      </c>
      <c r="J766">
        <v>0</v>
      </c>
      <c r="K766">
        <v>0</v>
      </c>
      <c r="M766">
        <v>762</v>
      </c>
    </row>
    <row r="767" spans="1:13" x14ac:dyDescent="0.3">
      <c r="A767">
        <v>41643.870138888888</v>
      </c>
      <c r="B767">
        <v>1020</v>
      </c>
      <c r="C767" s="7">
        <v>41640.018750000003</v>
      </c>
      <c r="D767" t="s">
        <v>13</v>
      </c>
      <c r="E767" t="s">
        <v>339</v>
      </c>
      <c r="F767" t="s">
        <v>138</v>
      </c>
      <c r="G767" s="9" t="s">
        <v>138</v>
      </c>
      <c r="J767">
        <v>0</v>
      </c>
      <c r="K767">
        <v>0</v>
      </c>
      <c r="M767">
        <v>770</v>
      </c>
    </row>
    <row r="768" spans="1:13" x14ac:dyDescent="0.3">
      <c r="A768">
        <v>41643.892361111109</v>
      </c>
      <c r="B768">
        <v>1680</v>
      </c>
      <c r="C768" s="7">
        <v>41640.019444444442</v>
      </c>
      <c r="D768" t="s">
        <v>41</v>
      </c>
      <c r="E768" t="s">
        <v>143</v>
      </c>
      <c r="F768" t="s">
        <v>138</v>
      </c>
      <c r="G768" s="9" t="s">
        <v>138</v>
      </c>
      <c r="J768">
        <v>0</v>
      </c>
      <c r="K768">
        <v>0</v>
      </c>
      <c r="M768">
        <v>763</v>
      </c>
    </row>
    <row r="769" spans="1:13" x14ac:dyDescent="0.3">
      <c r="A769">
        <v>41643.896527777775</v>
      </c>
      <c r="B769">
        <v>660</v>
      </c>
      <c r="C769" s="7">
        <v>41640.020833333336</v>
      </c>
      <c r="D769" t="s">
        <v>98</v>
      </c>
      <c r="E769" t="s">
        <v>26</v>
      </c>
      <c r="F769" t="s">
        <v>138</v>
      </c>
      <c r="G769" s="9" t="s">
        <v>138</v>
      </c>
      <c r="J769">
        <v>0</v>
      </c>
      <c r="K769">
        <v>0</v>
      </c>
      <c r="M769">
        <v>768</v>
      </c>
    </row>
    <row r="770" spans="1:13" x14ac:dyDescent="0.3">
      <c r="A770">
        <v>41643.917361111111</v>
      </c>
      <c r="B770">
        <v>2160</v>
      </c>
      <c r="C770" s="7">
        <v>41640.025000000001</v>
      </c>
      <c r="D770" t="s">
        <v>137</v>
      </c>
      <c r="E770" t="s">
        <v>17</v>
      </c>
      <c r="F770" t="s">
        <v>138</v>
      </c>
      <c r="G770" s="9" t="s">
        <v>138</v>
      </c>
      <c r="J770">
        <v>0</v>
      </c>
      <c r="K770">
        <v>0</v>
      </c>
      <c r="M770">
        <v>765</v>
      </c>
    </row>
    <row r="771" spans="1:13" x14ac:dyDescent="0.3">
      <c r="A771">
        <v>41643.919444444444</v>
      </c>
      <c r="B771">
        <v>1140</v>
      </c>
      <c r="C771" s="7">
        <v>41640.041666666664</v>
      </c>
      <c r="D771" t="s">
        <v>38</v>
      </c>
      <c r="E771" t="s">
        <v>46</v>
      </c>
      <c r="F771" t="s">
        <v>138</v>
      </c>
      <c r="G771" s="9" t="s">
        <v>138</v>
      </c>
      <c r="J771">
        <v>0</v>
      </c>
      <c r="K771">
        <v>0</v>
      </c>
      <c r="M771">
        <v>766</v>
      </c>
    </row>
    <row r="772" spans="1:13" x14ac:dyDescent="0.3">
      <c r="A772">
        <v>41643.930555555555</v>
      </c>
      <c r="B772">
        <v>660</v>
      </c>
      <c r="C772" s="7">
        <v>41640.027083333334</v>
      </c>
      <c r="D772" t="s">
        <v>212</v>
      </c>
      <c r="E772" t="s">
        <v>46</v>
      </c>
      <c r="F772" t="s">
        <v>138</v>
      </c>
      <c r="G772" s="9" t="s">
        <v>138</v>
      </c>
      <c r="J772">
        <v>0</v>
      </c>
      <c r="K772">
        <v>0</v>
      </c>
      <c r="M772">
        <v>767</v>
      </c>
    </row>
    <row r="773" spans="1:13" x14ac:dyDescent="0.3">
      <c r="A773">
        <v>41644.067361111112</v>
      </c>
      <c r="B773">
        <v>1440</v>
      </c>
      <c r="C773" s="7">
        <v>41640.01666666667</v>
      </c>
      <c r="D773" t="s">
        <v>98</v>
      </c>
      <c r="E773" t="s">
        <v>245</v>
      </c>
      <c r="F773" t="s">
        <v>138</v>
      </c>
      <c r="G773" s="9" t="s">
        <v>138</v>
      </c>
      <c r="J773">
        <v>0</v>
      </c>
      <c r="K773">
        <v>0</v>
      </c>
      <c r="M773">
        <v>772</v>
      </c>
    </row>
    <row r="774" spans="1:13" x14ac:dyDescent="0.3">
      <c r="A774">
        <v>41644.068055555559</v>
      </c>
      <c r="B774">
        <v>2880</v>
      </c>
      <c r="C774" s="7">
        <v>41640.033333333333</v>
      </c>
      <c r="D774" t="s">
        <v>266</v>
      </c>
      <c r="E774" t="s">
        <v>7</v>
      </c>
      <c r="F774" t="s">
        <v>138</v>
      </c>
      <c r="G774" s="9" t="s">
        <v>138</v>
      </c>
      <c r="J774">
        <v>0</v>
      </c>
      <c r="K774">
        <v>0</v>
      </c>
      <c r="M774">
        <v>773</v>
      </c>
    </row>
    <row r="775" spans="1:13" x14ac:dyDescent="0.3">
      <c r="A775">
        <v>41644.135416666664</v>
      </c>
      <c r="B775">
        <v>420</v>
      </c>
      <c r="C775" s="7">
        <v>41640.013194444444</v>
      </c>
      <c r="D775" t="s">
        <v>137</v>
      </c>
      <c r="E775" t="s">
        <v>39</v>
      </c>
      <c r="F775" t="s">
        <v>138</v>
      </c>
      <c r="G775" s="9" t="s">
        <v>138</v>
      </c>
      <c r="J775">
        <v>0</v>
      </c>
      <c r="K775">
        <v>0</v>
      </c>
      <c r="M775">
        <v>771</v>
      </c>
    </row>
    <row r="776" spans="1:13" x14ac:dyDescent="0.3">
      <c r="A776">
        <v>41644.253472222219</v>
      </c>
      <c r="B776">
        <v>1380</v>
      </c>
      <c r="C776" s="7">
        <v>41640.018750000003</v>
      </c>
      <c r="D776" t="s">
        <v>168</v>
      </c>
      <c r="E776" t="s">
        <v>8</v>
      </c>
      <c r="F776" t="s">
        <v>138</v>
      </c>
      <c r="G776" s="9" t="s">
        <v>138</v>
      </c>
      <c r="J776">
        <v>0</v>
      </c>
      <c r="K776">
        <v>0</v>
      </c>
      <c r="M776">
        <v>778</v>
      </c>
    </row>
    <row r="777" spans="1:13" x14ac:dyDescent="0.3">
      <c r="A777">
        <v>41644.260416666664</v>
      </c>
      <c r="B777">
        <v>1620</v>
      </c>
      <c r="C777" s="7">
        <v>41640.020833333336</v>
      </c>
      <c r="D777" t="s">
        <v>345</v>
      </c>
      <c r="E777" t="s">
        <v>14</v>
      </c>
      <c r="F777" t="s">
        <v>138</v>
      </c>
      <c r="G777" s="9" t="s">
        <v>138</v>
      </c>
      <c r="J777">
        <v>0</v>
      </c>
      <c r="K777">
        <v>0</v>
      </c>
      <c r="M777">
        <v>790</v>
      </c>
    </row>
    <row r="778" spans="1:13" x14ac:dyDescent="0.3">
      <c r="A778">
        <v>41644.28402777778</v>
      </c>
      <c r="B778">
        <v>1440</v>
      </c>
      <c r="C778" s="7">
        <v>41640.01666666667</v>
      </c>
      <c r="D778" t="s">
        <v>62</v>
      </c>
      <c r="E778" t="s">
        <v>10</v>
      </c>
      <c r="F778" t="s">
        <v>138</v>
      </c>
      <c r="G778" s="9" t="s">
        <v>138</v>
      </c>
      <c r="J778">
        <v>0</v>
      </c>
      <c r="K778">
        <v>0</v>
      </c>
      <c r="M778">
        <v>798</v>
      </c>
    </row>
    <row r="779" spans="1:13" x14ac:dyDescent="0.3">
      <c r="A779">
        <v>41644.284722222219</v>
      </c>
      <c r="B779">
        <v>2580</v>
      </c>
      <c r="C779" s="7">
        <v>41640.029861111114</v>
      </c>
      <c r="D779" t="s">
        <v>203</v>
      </c>
      <c r="E779" t="s">
        <v>8</v>
      </c>
      <c r="F779" t="s">
        <v>138</v>
      </c>
      <c r="G779" s="9" t="s">
        <v>138</v>
      </c>
      <c r="J779">
        <v>0</v>
      </c>
      <c r="K779">
        <v>0</v>
      </c>
      <c r="M779">
        <v>793</v>
      </c>
    </row>
    <row r="780" spans="1:13" x14ac:dyDescent="0.3">
      <c r="A780">
        <v>41644.284722222219</v>
      </c>
      <c r="B780">
        <v>2400</v>
      </c>
      <c r="C780" s="7">
        <v>41640.029861111114</v>
      </c>
      <c r="D780" t="s">
        <v>268</v>
      </c>
      <c r="E780" t="s">
        <v>22</v>
      </c>
      <c r="F780" t="s">
        <v>138</v>
      </c>
      <c r="G780" s="9" t="s">
        <v>138</v>
      </c>
      <c r="J780">
        <v>0</v>
      </c>
      <c r="K780">
        <v>0</v>
      </c>
      <c r="M780">
        <v>788</v>
      </c>
    </row>
    <row r="781" spans="1:13" x14ac:dyDescent="0.3">
      <c r="A781">
        <v>41644.284722222219</v>
      </c>
      <c r="B781">
        <v>660</v>
      </c>
      <c r="C781" s="7">
        <v>41640.011111111111</v>
      </c>
      <c r="D781" t="s">
        <v>57</v>
      </c>
      <c r="E781" t="s">
        <v>13</v>
      </c>
      <c r="F781" t="s">
        <v>138</v>
      </c>
      <c r="G781" s="9" t="s">
        <v>138</v>
      </c>
      <c r="J781">
        <v>0</v>
      </c>
      <c r="K781">
        <v>0</v>
      </c>
      <c r="M781">
        <v>781</v>
      </c>
    </row>
    <row r="782" spans="1:13" x14ac:dyDescent="0.3">
      <c r="A782">
        <v>41644.285416666666</v>
      </c>
      <c r="B782">
        <v>1920</v>
      </c>
      <c r="C782" s="7">
        <v>41640.022916666669</v>
      </c>
      <c r="D782" t="s">
        <v>68</v>
      </c>
      <c r="E782" t="s">
        <v>10</v>
      </c>
      <c r="F782" t="s">
        <v>138</v>
      </c>
      <c r="G782" s="9" t="s">
        <v>138</v>
      </c>
      <c r="J782">
        <v>0</v>
      </c>
      <c r="K782">
        <v>0</v>
      </c>
      <c r="M782">
        <v>779</v>
      </c>
    </row>
    <row r="783" spans="1:13" x14ac:dyDescent="0.3">
      <c r="A783">
        <v>41644.287499999999</v>
      </c>
      <c r="B783">
        <v>2280</v>
      </c>
      <c r="C783" s="7">
        <v>41640.026388888888</v>
      </c>
      <c r="D783" t="s">
        <v>38</v>
      </c>
      <c r="E783" t="s">
        <v>10</v>
      </c>
      <c r="F783" t="s">
        <v>138</v>
      </c>
      <c r="G783" s="9" t="s">
        <v>138</v>
      </c>
      <c r="J783">
        <v>0</v>
      </c>
      <c r="K783">
        <v>0</v>
      </c>
      <c r="M783">
        <v>797</v>
      </c>
    </row>
    <row r="784" spans="1:13" x14ac:dyDescent="0.3">
      <c r="A784">
        <v>41644.287499999999</v>
      </c>
      <c r="B784">
        <v>1320</v>
      </c>
      <c r="C784" s="7">
        <v>41640.015972222223</v>
      </c>
      <c r="D784" t="s">
        <v>22</v>
      </c>
      <c r="E784" t="s">
        <v>3</v>
      </c>
      <c r="F784" t="s">
        <v>138</v>
      </c>
      <c r="G784" s="9" t="s">
        <v>138</v>
      </c>
      <c r="J784">
        <v>0</v>
      </c>
      <c r="K784">
        <v>0</v>
      </c>
      <c r="M784">
        <v>796</v>
      </c>
    </row>
    <row r="785" spans="1:13" x14ac:dyDescent="0.3">
      <c r="A785">
        <v>41644.29791666667</v>
      </c>
      <c r="B785">
        <v>1200</v>
      </c>
      <c r="C785" s="7">
        <v>41640.01458333333</v>
      </c>
      <c r="D785" t="s">
        <v>22</v>
      </c>
      <c r="E785" t="s">
        <v>41</v>
      </c>
      <c r="F785" t="s">
        <v>138</v>
      </c>
      <c r="G785" s="9" t="s">
        <v>138</v>
      </c>
      <c r="J785">
        <v>0</v>
      </c>
      <c r="K785">
        <v>0</v>
      </c>
      <c r="M785">
        <v>783</v>
      </c>
    </row>
    <row r="786" spans="1:13" x14ac:dyDescent="0.3">
      <c r="A786">
        <v>41644.298611111109</v>
      </c>
      <c r="B786">
        <v>1920</v>
      </c>
      <c r="C786" s="7">
        <v>41640.022222222222</v>
      </c>
      <c r="D786" t="s">
        <v>182</v>
      </c>
      <c r="E786" t="s">
        <v>13</v>
      </c>
      <c r="F786" t="s">
        <v>138</v>
      </c>
      <c r="G786" s="9" t="s">
        <v>138</v>
      </c>
      <c r="J786">
        <v>0</v>
      </c>
      <c r="K786">
        <v>0</v>
      </c>
      <c r="M786">
        <v>785</v>
      </c>
    </row>
    <row r="787" spans="1:13" x14ac:dyDescent="0.3">
      <c r="A787">
        <v>41644.301388888889</v>
      </c>
      <c r="B787">
        <v>2400</v>
      </c>
      <c r="C787" s="7">
        <v>41640.038194444445</v>
      </c>
      <c r="D787" t="s">
        <v>152</v>
      </c>
      <c r="E787" t="s">
        <v>22</v>
      </c>
      <c r="F787" t="s">
        <v>138</v>
      </c>
      <c r="G787" s="9" t="s">
        <v>138</v>
      </c>
      <c r="J787">
        <v>0</v>
      </c>
      <c r="K787">
        <v>0</v>
      </c>
      <c r="M787">
        <v>775</v>
      </c>
    </row>
    <row r="788" spans="1:13" x14ac:dyDescent="0.3">
      <c r="A788">
        <v>41644.302083333336</v>
      </c>
      <c r="B788">
        <v>1920</v>
      </c>
      <c r="C788" s="7">
        <v>41640.022916666669</v>
      </c>
      <c r="D788" t="s">
        <v>170</v>
      </c>
      <c r="E788" t="s">
        <v>214</v>
      </c>
      <c r="F788" t="s">
        <v>138</v>
      </c>
      <c r="G788" s="9" t="s">
        <v>138</v>
      </c>
      <c r="J788">
        <v>0</v>
      </c>
      <c r="K788">
        <v>0</v>
      </c>
      <c r="M788">
        <v>795</v>
      </c>
    </row>
    <row r="789" spans="1:13" x14ac:dyDescent="0.3">
      <c r="A789">
        <v>41644.304166666669</v>
      </c>
      <c r="B789">
        <v>1320</v>
      </c>
      <c r="C789" s="7">
        <v>41640.030555555553</v>
      </c>
      <c r="D789" t="s">
        <v>13</v>
      </c>
      <c r="E789" t="s">
        <v>57</v>
      </c>
      <c r="F789" t="s">
        <v>138</v>
      </c>
      <c r="G789" s="9" t="s">
        <v>138</v>
      </c>
      <c r="J789">
        <v>0</v>
      </c>
      <c r="K789">
        <v>0</v>
      </c>
      <c r="M789">
        <v>782</v>
      </c>
    </row>
    <row r="790" spans="1:13" x14ac:dyDescent="0.3">
      <c r="A790">
        <v>41644.305555555555</v>
      </c>
      <c r="B790">
        <v>1380</v>
      </c>
      <c r="C790" s="7">
        <v>41640.019444444442</v>
      </c>
      <c r="D790" t="s">
        <v>321</v>
      </c>
      <c r="E790" t="s">
        <v>15</v>
      </c>
      <c r="F790" t="s">
        <v>138</v>
      </c>
      <c r="G790" s="9" t="s">
        <v>138</v>
      </c>
      <c r="J790">
        <v>0</v>
      </c>
      <c r="K790">
        <v>0</v>
      </c>
      <c r="M790">
        <v>789</v>
      </c>
    </row>
    <row r="791" spans="1:13" x14ac:dyDescent="0.3">
      <c r="A791">
        <v>41644.305555555555</v>
      </c>
      <c r="B791">
        <v>2340</v>
      </c>
      <c r="C791" s="7">
        <v>41640.033333333333</v>
      </c>
      <c r="D791" t="s">
        <v>246</v>
      </c>
      <c r="E791" t="s">
        <v>8</v>
      </c>
      <c r="F791" t="s">
        <v>138</v>
      </c>
      <c r="G791" s="9" t="s">
        <v>138</v>
      </c>
      <c r="J791">
        <v>0</v>
      </c>
      <c r="K791">
        <v>0</v>
      </c>
      <c r="M791">
        <v>784</v>
      </c>
    </row>
    <row r="792" spans="1:13" x14ac:dyDescent="0.3">
      <c r="A792">
        <v>41644.306944444441</v>
      </c>
      <c r="B792">
        <v>1140</v>
      </c>
      <c r="C792" s="7">
        <v>41640.01666666667</v>
      </c>
      <c r="D792" t="s">
        <v>17</v>
      </c>
      <c r="E792" t="s">
        <v>214</v>
      </c>
      <c r="F792" t="s">
        <v>138</v>
      </c>
      <c r="G792" s="9" t="s">
        <v>138</v>
      </c>
      <c r="J792">
        <v>0</v>
      </c>
      <c r="K792">
        <v>0</v>
      </c>
      <c r="M792">
        <v>794</v>
      </c>
    </row>
    <row r="793" spans="1:13" x14ac:dyDescent="0.3">
      <c r="A793">
        <v>41644.3125</v>
      </c>
      <c r="B793">
        <v>2340</v>
      </c>
      <c r="C793" s="7">
        <v>41640.027083333334</v>
      </c>
      <c r="D793" t="s">
        <v>48</v>
      </c>
      <c r="E793" t="s">
        <v>13</v>
      </c>
      <c r="F793" t="s">
        <v>138</v>
      </c>
      <c r="G793" s="9" t="s">
        <v>138</v>
      </c>
      <c r="J793">
        <v>0</v>
      </c>
      <c r="K793">
        <v>0</v>
      </c>
      <c r="M793">
        <v>792</v>
      </c>
    </row>
    <row r="794" spans="1:13" x14ac:dyDescent="0.3">
      <c r="A794">
        <v>41644.315972222219</v>
      </c>
      <c r="B794">
        <v>1680</v>
      </c>
      <c r="C794" s="7">
        <v>41640.019444444442</v>
      </c>
      <c r="D794" t="s">
        <v>150</v>
      </c>
      <c r="E794" t="s">
        <v>10</v>
      </c>
      <c r="F794" t="s">
        <v>138</v>
      </c>
      <c r="G794" s="9" t="s">
        <v>138</v>
      </c>
      <c r="J794">
        <v>0</v>
      </c>
      <c r="K794">
        <v>0</v>
      </c>
      <c r="M794">
        <v>799</v>
      </c>
    </row>
    <row r="795" spans="1:13" x14ac:dyDescent="0.3">
      <c r="A795">
        <v>41644.315972222219</v>
      </c>
      <c r="B795">
        <v>2460</v>
      </c>
      <c r="C795" s="7">
        <v>41640.029861111114</v>
      </c>
      <c r="D795" t="s">
        <v>346</v>
      </c>
      <c r="E795" t="s">
        <v>10</v>
      </c>
      <c r="F795" t="s">
        <v>138</v>
      </c>
      <c r="G795" s="9" t="s">
        <v>138</v>
      </c>
      <c r="J795">
        <v>0</v>
      </c>
      <c r="K795">
        <v>0</v>
      </c>
      <c r="M795">
        <v>791</v>
      </c>
    </row>
    <row r="796" spans="1:13" x14ac:dyDescent="0.3">
      <c r="A796">
        <v>41644.315972222219</v>
      </c>
      <c r="B796">
        <v>2400</v>
      </c>
      <c r="C796" s="7">
        <v>41640.038888888892</v>
      </c>
      <c r="D796" t="s">
        <v>209</v>
      </c>
      <c r="E796" t="s">
        <v>10</v>
      </c>
      <c r="F796" t="s">
        <v>138</v>
      </c>
      <c r="G796" s="9" t="s">
        <v>138</v>
      </c>
      <c r="J796">
        <v>0</v>
      </c>
      <c r="K796">
        <v>0</v>
      </c>
      <c r="M796">
        <v>787</v>
      </c>
    </row>
    <row r="797" spans="1:13" x14ac:dyDescent="0.3">
      <c r="A797">
        <v>41644.320833333331</v>
      </c>
      <c r="B797">
        <v>1860</v>
      </c>
      <c r="C797" s="7">
        <v>41640.024305555555</v>
      </c>
      <c r="D797" t="s">
        <v>10</v>
      </c>
      <c r="E797" t="s">
        <v>68</v>
      </c>
      <c r="F797" t="s">
        <v>138</v>
      </c>
      <c r="G797" s="9" t="s">
        <v>138</v>
      </c>
      <c r="J797">
        <v>0</v>
      </c>
      <c r="K797">
        <v>0</v>
      </c>
      <c r="M797">
        <v>776</v>
      </c>
    </row>
    <row r="798" spans="1:13" x14ac:dyDescent="0.3">
      <c r="A798">
        <v>41644.324305555558</v>
      </c>
      <c r="B798">
        <v>1440</v>
      </c>
      <c r="C798" s="7">
        <v>41640.022222222222</v>
      </c>
      <c r="D798" t="s">
        <v>13</v>
      </c>
      <c r="E798" t="s">
        <v>182</v>
      </c>
      <c r="F798" t="s">
        <v>138</v>
      </c>
      <c r="G798" s="9" t="s">
        <v>138</v>
      </c>
      <c r="J798">
        <v>0</v>
      </c>
      <c r="K798">
        <v>0</v>
      </c>
      <c r="M798">
        <v>780</v>
      </c>
    </row>
    <row r="799" spans="1:13" x14ac:dyDescent="0.3">
      <c r="A799">
        <v>41644.324305555558</v>
      </c>
      <c r="B799">
        <v>1320</v>
      </c>
      <c r="C799" s="7">
        <v>41640.018750000003</v>
      </c>
      <c r="D799" t="s">
        <v>10</v>
      </c>
      <c r="E799" t="s">
        <v>62</v>
      </c>
      <c r="F799" t="s">
        <v>138</v>
      </c>
      <c r="G799" s="9" t="s">
        <v>138</v>
      </c>
      <c r="J799">
        <v>0</v>
      </c>
      <c r="K799">
        <v>0</v>
      </c>
      <c r="M799">
        <v>777</v>
      </c>
    </row>
    <row r="800" spans="1:13" x14ac:dyDescent="0.3">
      <c r="A800">
        <v>41644.326388888891</v>
      </c>
      <c r="B800">
        <v>1920</v>
      </c>
      <c r="C800" s="7">
        <v>41640.022222222222</v>
      </c>
      <c r="D800" t="s">
        <v>223</v>
      </c>
      <c r="E800" t="s">
        <v>13</v>
      </c>
      <c r="F800" t="s">
        <v>138</v>
      </c>
      <c r="G800" s="9" t="s">
        <v>138</v>
      </c>
      <c r="J800">
        <v>0</v>
      </c>
      <c r="K800">
        <v>0</v>
      </c>
      <c r="M800">
        <v>774</v>
      </c>
    </row>
    <row r="801" spans="1:13" x14ac:dyDescent="0.3">
      <c r="A801">
        <v>41644.331250000003</v>
      </c>
      <c r="B801">
        <v>540</v>
      </c>
      <c r="C801" s="7">
        <v>41640.006249999999</v>
      </c>
      <c r="D801" t="s">
        <v>10</v>
      </c>
      <c r="E801" t="s">
        <v>22</v>
      </c>
      <c r="F801" t="s">
        <v>138</v>
      </c>
      <c r="G801" s="9" t="s">
        <v>138</v>
      </c>
      <c r="J801">
        <v>0</v>
      </c>
      <c r="K801">
        <v>0</v>
      </c>
      <c r="M801">
        <v>800</v>
      </c>
    </row>
    <row r="802" spans="1:13" x14ac:dyDescent="0.3">
      <c r="A802">
        <v>41644.331944444442</v>
      </c>
      <c r="B802">
        <v>1440</v>
      </c>
      <c r="C802" s="7">
        <v>41640.023611111108</v>
      </c>
      <c r="D802" t="s">
        <v>214</v>
      </c>
      <c r="E802" t="s">
        <v>170</v>
      </c>
      <c r="F802" t="s">
        <v>138</v>
      </c>
      <c r="G802" s="9" t="s">
        <v>138</v>
      </c>
      <c r="J802">
        <v>0</v>
      </c>
      <c r="K802">
        <v>0</v>
      </c>
      <c r="M802">
        <v>786</v>
      </c>
    </row>
    <row r="803" spans="1:13" x14ac:dyDescent="0.3">
      <c r="A803">
        <v>41644.337500000001</v>
      </c>
      <c r="B803">
        <v>1980</v>
      </c>
      <c r="C803" s="7">
        <v>41640.022916666669</v>
      </c>
      <c r="D803" t="s">
        <v>13</v>
      </c>
      <c r="E803" t="s">
        <v>277</v>
      </c>
      <c r="F803" t="s">
        <v>138</v>
      </c>
      <c r="G803" s="9" t="s">
        <v>138</v>
      </c>
      <c r="J803">
        <v>0</v>
      </c>
      <c r="K803">
        <v>0</v>
      </c>
      <c r="M803">
        <v>853</v>
      </c>
    </row>
    <row r="804" spans="1:13" x14ac:dyDescent="0.3">
      <c r="A804">
        <v>41644.340277777781</v>
      </c>
      <c r="B804">
        <v>1680</v>
      </c>
      <c r="C804" s="7">
        <v>41640.022222222222</v>
      </c>
      <c r="D804" t="s">
        <v>28</v>
      </c>
      <c r="E804" t="s">
        <v>13</v>
      </c>
      <c r="F804" t="s">
        <v>138</v>
      </c>
      <c r="G804" s="9" t="s">
        <v>138</v>
      </c>
      <c r="J804">
        <v>0</v>
      </c>
      <c r="K804">
        <v>0</v>
      </c>
      <c r="M804">
        <v>829</v>
      </c>
    </row>
    <row r="805" spans="1:13" x14ac:dyDescent="0.3">
      <c r="A805">
        <v>41644.34652777778</v>
      </c>
      <c r="B805">
        <v>2640</v>
      </c>
      <c r="C805" s="7">
        <v>41640.068749999999</v>
      </c>
      <c r="D805" t="s">
        <v>151</v>
      </c>
      <c r="E805" t="s">
        <v>290</v>
      </c>
      <c r="F805" t="s">
        <v>138</v>
      </c>
      <c r="G805" s="9" t="s">
        <v>138</v>
      </c>
      <c r="J805">
        <v>0</v>
      </c>
      <c r="K805">
        <v>0</v>
      </c>
      <c r="M805">
        <v>804</v>
      </c>
    </row>
    <row r="806" spans="1:13" x14ac:dyDescent="0.3">
      <c r="A806">
        <v>41644.347222222219</v>
      </c>
      <c r="B806">
        <v>1440</v>
      </c>
      <c r="C806" s="7">
        <v>41640.023611111108</v>
      </c>
      <c r="D806" t="s">
        <v>204</v>
      </c>
      <c r="E806" t="s">
        <v>347</v>
      </c>
      <c r="F806" t="s">
        <v>138</v>
      </c>
      <c r="G806" s="9" t="s">
        <v>138</v>
      </c>
      <c r="J806">
        <v>0</v>
      </c>
      <c r="K806">
        <v>0</v>
      </c>
      <c r="M806">
        <v>873</v>
      </c>
    </row>
    <row r="807" spans="1:13" x14ac:dyDescent="0.3">
      <c r="A807">
        <v>41644.347222222219</v>
      </c>
      <c r="B807">
        <v>2280</v>
      </c>
      <c r="C807" s="7">
        <v>41640.034722222219</v>
      </c>
      <c r="D807" t="s">
        <v>215</v>
      </c>
      <c r="E807" t="s">
        <v>79</v>
      </c>
      <c r="F807" t="s">
        <v>138</v>
      </c>
      <c r="G807" s="9" t="s">
        <v>138</v>
      </c>
      <c r="J807">
        <v>0</v>
      </c>
      <c r="K807">
        <v>0</v>
      </c>
      <c r="M807">
        <v>844</v>
      </c>
    </row>
    <row r="808" spans="1:13" x14ac:dyDescent="0.3">
      <c r="A808">
        <v>41644.347222222219</v>
      </c>
      <c r="B808">
        <v>2040</v>
      </c>
      <c r="C808" s="7">
        <v>41640.027777777781</v>
      </c>
      <c r="D808" t="s">
        <v>217</v>
      </c>
      <c r="E808" t="s">
        <v>22</v>
      </c>
      <c r="F808" t="s">
        <v>138</v>
      </c>
      <c r="G808" s="9" t="s">
        <v>138</v>
      </c>
      <c r="J808">
        <v>0</v>
      </c>
      <c r="K808">
        <v>0</v>
      </c>
      <c r="M808">
        <v>821</v>
      </c>
    </row>
    <row r="809" spans="1:13" x14ac:dyDescent="0.3">
      <c r="A809">
        <v>41644.348611111112</v>
      </c>
      <c r="B809">
        <v>2820</v>
      </c>
      <c r="C809" s="7">
        <v>41640.035416666666</v>
      </c>
      <c r="D809" t="s">
        <v>172</v>
      </c>
      <c r="E809" t="s">
        <v>22</v>
      </c>
      <c r="F809" t="s">
        <v>138</v>
      </c>
      <c r="G809" s="9" t="s">
        <v>138</v>
      </c>
      <c r="J809">
        <v>0</v>
      </c>
      <c r="K809">
        <v>0</v>
      </c>
      <c r="M809">
        <v>875</v>
      </c>
    </row>
    <row r="810" spans="1:13" x14ac:dyDescent="0.3">
      <c r="A810">
        <v>41644.354166666664</v>
      </c>
      <c r="B810">
        <v>3480</v>
      </c>
      <c r="C810" s="7">
        <v>41640.040277777778</v>
      </c>
      <c r="D810" t="s">
        <v>348</v>
      </c>
      <c r="E810" t="s">
        <v>13</v>
      </c>
      <c r="F810" t="s">
        <v>138</v>
      </c>
      <c r="G810" s="9" t="s">
        <v>138</v>
      </c>
      <c r="J810">
        <v>0</v>
      </c>
      <c r="K810">
        <v>0</v>
      </c>
      <c r="M810">
        <v>854</v>
      </c>
    </row>
    <row r="811" spans="1:13" x14ac:dyDescent="0.3">
      <c r="A811">
        <v>41644.357638888891</v>
      </c>
      <c r="B811">
        <v>1980</v>
      </c>
      <c r="C811" s="7">
        <v>41640.025694444441</v>
      </c>
      <c r="D811" t="s">
        <v>344</v>
      </c>
      <c r="E811" t="s">
        <v>10</v>
      </c>
      <c r="F811" t="s">
        <v>138</v>
      </c>
      <c r="G811" s="9" t="s">
        <v>138</v>
      </c>
      <c r="J811">
        <v>0</v>
      </c>
      <c r="K811">
        <v>0</v>
      </c>
      <c r="M811">
        <v>867</v>
      </c>
    </row>
    <row r="812" spans="1:13" x14ac:dyDescent="0.3">
      <c r="A812">
        <v>41644.357638888891</v>
      </c>
      <c r="B812">
        <v>2760</v>
      </c>
      <c r="C812" s="7">
        <v>41640.041666666664</v>
      </c>
      <c r="D812" t="s">
        <v>231</v>
      </c>
      <c r="E812" t="s">
        <v>10</v>
      </c>
      <c r="F812" t="s">
        <v>138</v>
      </c>
      <c r="G812" s="9" t="s">
        <v>138</v>
      </c>
      <c r="J812">
        <v>0</v>
      </c>
      <c r="K812">
        <v>0</v>
      </c>
      <c r="M812">
        <v>819</v>
      </c>
    </row>
    <row r="813" spans="1:13" x14ac:dyDescent="0.3">
      <c r="A813">
        <v>41644.361111111109</v>
      </c>
      <c r="B813">
        <v>840</v>
      </c>
      <c r="C813" s="7">
        <v>41640.011111111111</v>
      </c>
      <c r="D813" t="s">
        <v>96</v>
      </c>
      <c r="E813" t="s">
        <v>40</v>
      </c>
      <c r="F813" t="s">
        <v>138</v>
      </c>
      <c r="G813" s="9" t="s">
        <v>138</v>
      </c>
      <c r="J813">
        <v>0</v>
      </c>
      <c r="K813">
        <v>0</v>
      </c>
      <c r="M813">
        <v>832</v>
      </c>
    </row>
    <row r="814" spans="1:13" x14ac:dyDescent="0.3">
      <c r="A814">
        <v>41644.362500000003</v>
      </c>
      <c r="B814">
        <v>2160</v>
      </c>
      <c r="C814" s="7">
        <v>41640.046527777777</v>
      </c>
      <c r="D814" t="s">
        <v>13</v>
      </c>
      <c r="E814" t="s">
        <v>78</v>
      </c>
      <c r="F814" t="s">
        <v>138</v>
      </c>
      <c r="G814" s="9" t="s">
        <v>138</v>
      </c>
      <c r="J814">
        <v>0</v>
      </c>
      <c r="K814">
        <v>0</v>
      </c>
      <c r="M814">
        <v>828</v>
      </c>
    </row>
    <row r="815" spans="1:13" x14ac:dyDescent="0.3">
      <c r="A815">
        <v>41644.362500000003</v>
      </c>
      <c r="B815">
        <v>2460</v>
      </c>
      <c r="C815" s="7">
        <v>41640.043749999997</v>
      </c>
      <c r="D815" t="s">
        <v>14</v>
      </c>
      <c r="E815" t="s">
        <v>175</v>
      </c>
      <c r="F815" t="s">
        <v>138</v>
      </c>
      <c r="G815" s="9" t="s">
        <v>138</v>
      </c>
      <c r="J815">
        <v>0</v>
      </c>
      <c r="K815">
        <v>0</v>
      </c>
      <c r="M815">
        <v>816</v>
      </c>
    </row>
    <row r="816" spans="1:13" x14ac:dyDescent="0.3">
      <c r="A816">
        <v>41644.368055555555</v>
      </c>
      <c r="B816">
        <v>1800</v>
      </c>
      <c r="C816" s="7">
        <v>41640.022916666669</v>
      </c>
      <c r="D816" t="s">
        <v>47</v>
      </c>
      <c r="E816" t="s">
        <v>13</v>
      </c>
      <c r="F816" t="s">
        <v>138</v>
      </c>
      <c r="G816" s="9" t="s">
        <v>138</v>
      </c>
      <c r="J816">
        <v>0</v>
      </c>
      <c r="K816">
        <v>0</v>
      </c>
      <c r="M816">
        <v>861</v>
      </c>
    </row>
    <row r="817" spans="1:13" x14ac:dyDescent="0.3">
      <c r="A817">
        <v>41644.371527777781</v>
      </c>
      <c r="B817">
        <v>1860</v>
      </c>
      <c r="C817" s="7">
        <v>41640.022916666669</v>
      </c>
      <c r="D817" t="s">
        <v>13</v>
      </c>
      <c r="E817" t="s">
        <v>28</v>
      </c>
      <c r="F817" t="s">
        <v>138</v>
      </c>
      <c r="G817" s="9" t="s">
        <v>138</v>
      </c>
      <c r="J817">
        <v>0</v>
      </c>
      <c r="K817">
        <v>0</v>
      </c>
      <c r="M817">
        <v>874</v>
      </c>
    </row>
    <row r="818" spans="1:13" x14ac:dyDescent="0.3">
      <c r="A818">
        <v>41644.372916666667</v>
      </c>
      <c r="B818">
        <v>2160</v>
      </c>
      <c r="C818" s="7">
        <v>41640.041666666664</v>
      </c>
      <c r="D818" t="s">
        <v>10</v>
      </c>
      <c r="E818" t="s">
        <v>193</v>
      </c>
      <c r="F818" t="s">
        <v>138</v>
      </c>
      <c r="G818" s="9" t="s">
        <v>138</v>
      </c>
      <c r="J818">
        <v>0</v>
      </c>
      <c r="K818">
        <v>0</v>
      </c>
      <c r="M818">
        <v>866</v>
      </c>
    </row>
    <row r="819" spans="1:13" x14ac:dyDescent="0.3">
      <c r="A819">
        <v>41644.379861111112</v>
      </c>
      <c r="B819">
        <v>1140</v>
      </c>
      <c r="C819" s="7">
        <v>41640.01458333333</v>
      </c>
      <c r="D819" t="s">
        <v>40</v>
      </c>
      <c r="E819" t="s">
        <v>349</v>
      </c>
      <c r="F819" t="s">
        <v>138</v>
      </c>
      <c r="G819" s="9" t="s">
        <v>138</v>
      </c>
      <c r="J819">
        <v>0</v>
      </c>
      <c r="K819">
        <v>0</v>
      </c>
      <c r="M819">
        <v>835</v>
      </c>
    </row>
    <row r="820" spans="1:13" x14ac:dyDescent="0.3">
      <c r="A820">
        <v>41644.380555555559</v>
      </c>
      <c r="B820">
        <v>1320</v>
      </c>
      <c r="C820" s="7">
        <v>41640.020138888889</v>
      </c>
      <c r="D820" t="s">
        <v>212</v>
      </c>
      <c r="E820" t="s">
        <v>40</v>
      </c>
      <c r="F820" t="s">
        <v>138</v>
      </c>
      <c r="G820" s="9" t="s">
        <v>138</v>
      </c>
      <c r="J820">
        <v>0</v>
      </c>
      <c r="K820">
        <v>0</v>
      </c>
      <c r="M820">
        <v>809</v>
      </c>
    </row>
    <row r="821" spans="1:13" x14ac:dyDescent="0.3">
      <c r="A821">
        <v>41644.382638888892</v>
      </c>
      <c r="B821">
        <v>1380</v>
      </c>
      <c r="C821" s="7">
        <v>41640.02847222222</v>
      </c>
      <c r="D821" t="s">
        <v>350</v>
      </c>
      <c r="E821" t="s">
        <v>216</v>
      </c>
      <c r="F821" t="s">
        <v>138</v>
      </c>
      <c r="G821" s="9" t="s">
        <v>138</v>
      </c>
      <c r="J821">
        <v>0</v>
      </c>
      <c r="K821">
        <v>0</v>
      </c>
      <c r="M821">
        <v>859</v>
      </c>
    </row>
    <row r="822" spans="1:13" x14ac:dyDescent="0.3">
      <c r="A822">
        <v>41644.39166666667</v>
      </c>
      <c r="B822">
        <v>2220</v>
      </c>
      <c r="C822" s="7">
        <v>41640.026388888888</v>
      </c>
      <c r="D822" t="s">
        <v>282</v>
      </c>
      <c r="E822" t="s">
        <v>30</v>
      </c>
      <c r="F822" t="s">
        <v>138</v>
      </c>
      <c r="G822" s="9" t="s">
        <v>138</v>
      </c>
      <c r="J822">
        <v>0</v>
      </c>
      <c r="K822">
        <v>0</v>
      </c>
      <c r="M822">
        <v>847</v>
      </c>
    </row>
    <row r="823" spans="1:13" x14ac:dyDescent="0.3">
      <c r="A823">
        <v>41644.398611111108</v>
      </c>
      <c r="B823">
        <v>1020</v>
      </c>
      <c r="C823" s="7">
        <v>41640.018055555556</v>
      </c>
      <c r="D823" t="s">
        <v>13</v>
      </c>
      <c r="E823" t="s">
        <v>47</v>
      </c>
      <c r="F823" t="s">
        <v>138</v>
      </c>
      <c r="G823" s="9" t="s">
        <v>138</v>
      </c>
      <c r="J823">
        <v>0</v>
      </c>
      <c r="K823">
        <v>0</v>
      </c>
      <c r="M823">
        <v>822</v>
      </c>
    </row>
    <row r="824" spans="1:13" x14ac:dyDescent="0.3">
      <c r="A824">
        <v>41644.399305555555</v>
      </c>
      <c r="B824">
        <v>1320</v>
      </c>
      <c r="C824" s="7">
        <v>41640.015277777777</v>
      </c>
      <c r="D824" t="s">
        <v>239</v>
      </c>
      <c r="E824" t="s">
        <v>10</v>
      </c>
      <c r="F824" t="s">
        <v>138</v>
      </c>
      <c r="G824" s="9" t="s">
        <v>138</v>
      </c>
      <c r="J824">
        <v>0</v>
      </c>
      <c r="K824">
        <v>0</v>
      </c>
      <c r="M824">
        <v>811</v>
      </c>
    </row>
    <row r="825" spans="1:13" x14ac:dyDescent="0.3">
      <c r="A825">
        <v>41644.400000000001</v>
      </c>
      <c r="B825">
        <v>600</v>
      </c>
      <c r="C825" s="7">
        <v>41640.007638888892</v>
      </c>
      <c r="D825" t="s">
        <v>10</v>
      </c>
      <c r="E825" t="s">
        <v>344</v>
      </c>
      <c r="F825" t="s">
        <v>138</v>
      </c>
      <c r="G825" s="9" t="s">
        <v>138</v>
      </c>
      <c r="J825">
        <v>0</v>
      </c>
      <c r="K825">
        <v>0</v>
      </c>
      <c r="M825">
        <v>831</v>
      </c>
    </row>
    <row r="826" spans="1:13" x14ac:dyDescent="0.3">
      <c r="A826">
        <v>41644.402083333334</v>
      </c>
      <c r="B826">
        <v>1260</v>
      </c>
      <c r="C826" s="7">
        <v>41640.01458333333</v>
      </c>
      <c r="D826" t="s">
        <v>15</v>
      </c>
      <c r="E826" t="s">
        <v>33</v>
      </c>
      <c r="F826" t="s">
        <v>138</v>
      </c>
      <c r="G826" s="9" t="s">
        <v>138</v>
      </c>
      <c r="J826">
        <v>0</v>
      </c>
      <c r="K826">
        <v>0</v>
      </c>
      <c r="M826">
        <v>841</v>
      </c>
    </row>
    <row r="827" spans="1:13" x14ac:dyDescent="0.3">
      <c r="A827">
        <v>41644.404166666667</v>
      </c>
      <c r="B827">
        <v>900</v>
      </c>
      <c r="C827" s="7">
        <v>41640.027083333334</v>
      </c>
      <c r="D827" t="s">
        <v>79</v>
      </c>
      <c r="E827" t="s">
        <v>215</v>
      </c>
      <c r="F827" t="s">
        <v>138</v>
      </c>
      <c r="G827" s="9" t="s">
        <v>138</v>
      </c>
      <c r="J827">
        <v>0</v>
      </c>
      <c r="K827">
        <v>0</v>
      </c>
      <c r="M827">
        <v>826</v>
      </c>
    </row>
    <row r="828" spans="1:13" x14ac:dyDescent="0.3">
      <c r="A828">
        <v>41644.405555555553</v>
      </c>
      <c r="B828">
        <v>1140</v>
      </c>
      <c r="C828" s="7">
        <v>41640.015277777777</v>
      </c>
      <c r="D828" t="s">
        <v>22</v>
      </c>
      <c r="E828" t="s">
        <v>172</v>
      </c>
      <c r="F828" t="s">
        <v>138</v>
      </c>
      <c r="G828" s="9" t="s">
        <v>138</v>
      </c>
      <c r="J828">
        <v>0</v>
      </c>
      <c r="K828">
        <v>0</v>
      </c>
      <c r="M828">
        <v>834</v>
      </c>
    </row>
    <row r="829" spans="1:13" x14ac:dyDescent="0.3">
      <c r="A829">
        <v>41644.409722222219</v>
      </c>
      <c r="B829">
        <v>1680</v>
      </c>
      <c r="C829" s="7">
        <v>41640.027083333334</v>
      </c>
      <c r="D829" t="s">
        <v>351</v>
      </c>
      <c r="E829" t="s">
        <v>22</v>
      </c>
      <c r="F829" t="s">
        <v>138</v>
      </c>
      <c r="G829" s="9" t="s">
        <v>138</v>
      </c>
      <c r="J829">
        <v>0</v>
      </c>
      <c r="K829">
        <v>0</v>
      </c>
      <c r="M829">
        <v>845</v>
      </c>
    </row>
    <row r="830" spans="1:13" x14ac:dyDescent="0.3">
      <c r="A830">
        <v>41644.409722222219</v>
      </c>
      <c r="B830">
        <v>1500</v>
      </c>
      <c r="C830" s="7">
        <v>41640.026388888888</v>
      </c>
      <c r="D830" t="s">
        <v>44</v>
      </c>
      <c r="E830" t="s">
        <v>22</v>
      </c>
      <c r="F830" t="s">
        <v>138</v>
      </c>
      <c r="G830" s="9" t="s">
        <v>138</v>
      </c>
      <c r="J830">
        <v>0</v>
      </c>
      <c r="K830">
        <v>0</v>
      </c>
      <c r="M830">
        <v>820</v>
      </c>
    </row>
    <row r="831" spans="1:13" x14ac:dyDescent="0.3">
      <c r="A831">
        <v>41644.410416666666</v>
      </c>
      <c r="B831">
        <v>660</v>
      </c>
      <c r="C831" s="7">
        <v>41640.01666666667</v>
      </c>
      <c r="D831" t="s">
        <v>347</v>
      </c>
      <c r="E831" t="s">
        <v>204</v>
      </c>
      <c r="F831" t="s">
        <v>138</v>
      </c>
      <c r="G831" s="9" t="s">
        <v>138</v>
      </c>
      <c r="J831">
        <v>0</v>
      </c>
      <c r="K831">
        <v>0</v>
      </c>
      <c r="M831">
        <v>858</v>
      </c>
    </row>
    <row r="832" spans="1:13" x14ac:dyDescent="0.3">
      <c r="A832">
        <v>41644.413888888892</v>
      </c>
      <c r="B832">
        <v>1620</v>
      </c>
      <c r="C832" s="7">
        <v>41640.02847222222</v>
      </c>
      <c r="D832" t="s">
        <v>200</v>
      </c>
      <c r="E832" t="s">
        <v>13</v>
      </c>
      <c r="F832" t="s">
        <v>138</v>
      </c>
      <c r="G832" s="9" t="s">
        <v>138</v>
      </c>
      <c r="J832">
        <v>0</v>
      </c>
      <c r="K832">
        <v>0</v>
      </c>
      <c r="M832">
        <v>870</v>
      </c>
    </row>
    <row r="833" spans="1:13" x14ac:dyDescent="0.3">
      <c r="A833">
        <v>41644.413888888892</v>
      </c>
      <c r="B833">
        <v>480</v>
      </c>
      <c r="C833" s="7">
        <v>41640.006249999999</v>
      </c>
      <c r="D833" t="s">
        <v>22</v>
      </c>
      <c r="E833" t="s">
        <v>217</v>
      </c>
      <c r="F833" t="s">
        <v>138</v>
      </c>
      <c r="G833" s="9" t="s">
        <v>138</v>
      </c>
      <c r="J833">
        <v>0</v>
      </c>
      <c r="K833">
        <v>0</v>
      </c>
      <c r="M833">
        <v>810</v>
      </c>
    </row>
    <row r="834" spans="1:13" x14ac:dyDescent="0.3">
      <c r="A834">
        <v>41644.414583333331</v>
      </c>
      <c r="B834">
        <v>1680</v>
      </c>
      <c r="C834" s="7">
        <v>41640.020138888889</v>
      </c>
      <c r="D834" t="s">
        <v>1</v>
      </c>
      <c r="E834" t="s">
        <v>14</v>
      </c>
      <c r="F834" t="s">
        <v>138</v>
      </c>
      <c r="G834" s="9" t="s">
        <v>138</v>
      </c>
      <c r="J834">
        <v>0</v>
      </c>
      <c r="K834">
        <v>0</v>
      </c>
      <c r="M834">
        <v>850</v>
      </c>
    </row>
    <row r="835" spans="1:13" x14ac:dyDescent="0.3">
      <c r="A835">
        <v>41644.414583333331</v>
      </c>
      <c r="B835">
        <v>1860</v>
      </c>
      <c r="C835" s="7">
        <v>41640.021527777775</v>
      </c>
      <c r="D835" t="s">
        <v>128</v>
      </c>
      <c r="E835" t="s">
        <v>216</v>
      </c>
      <c r="F835" t="s">
        <v>138</v>
      </c>
      <c r="G835" s="9" t="s">
        <v>138</v>
      </c>
      <c r="J835">
        <v>0</v>
      </c>
      <c r="K835">
        <v>0</v>
      </c>
      <c r="M835">
        <v>848</v>
      </c>
    </row>
    <row r="836" spans="1:13" x14ac:dyDescent="0.3">
      <c r="A836">
        <v>41644.414583333331</v>
      </c>
      <c r="B836">
        <v>1860</v>
      </c>
      <c r="C836" s="7">
        <v>41640.022222222222</v>
      </c>
      <c r="D836" t="s">
        <v>23</v>
      </c>
      <c r="E836" t="s">
        <v>13</v>
      </c>
      <c r="F836" t="s">
        <v>138</v>
      </c>
      <c r="G836" s="9" t="s">
        <v>138</v>
      </c>
      <c r="J836">
        <v>0</v>
      </c>
      <c r="K836">
        <v>0</v>
      </c>
      <c r="M836">
        <v>805</v>
      </c>
    </row>
    <row r="837" spans="1:13" x14ac:dyDescent="0.3">
      <c r="A837">
        <v>41644.418055555558</v>
      </c>
      <c r="B837">
        <v>2100</v>
      </c>
      <c r="C837" s="7">
        <v>41640.024305555555</v>
      </c>
      <c r="D837" t="s">
        <v>13</v>
      </c>
      <c r="E837" t="s">
        <v>348</v>
      </c>
      <c r="F837" t="s">
        <v>138</v>
      </c>
      <c r="G837" s="9" t="s">
        <v>138</v>
      </c>
      <c r="J837">
        <v>0</v>
      </c>
      <c r="K837">
        <v>0</v>
      </c>
      <c r="M837">
        <v>812</v>
      </c>
    </row>
    <row r="838" spans="1:13" x14ac:dyDescent="0.3">
      <c r="A838">
        <v>41644.421527777777</v>
      </c>
      <c r="B838">
        <v>1140</v>
      </c>
      <c r="C838" s="7">
        <v>41640.015277777777</v>
      </c>
      <c r="D838" t="s">
        <v>10</v>
      </c>
      <c r="E838" t="s">
        <v>231</v>
      </c>
      <c r="F838" t="s">
        <v>138</v>
      </c>
      <c r="G838" s="9" t="s">
        <v>138</v>
      </c>
      <c r="J838">
        <v>0</v>
      </c>
      <c r="K838">
        <v>0</v>
      </c>
      <c r="M838">
        <v>830</v>
      </c>
    </row>
    <row r="839" spans="1:13" x14ac:dyDescent="0.3">
      <c r="A839">
        <v>41644.421527777777</v>
      </c>
      <c r="B839">
        <v>1200</v>
      </c>
      <c r="C839" s="7">
        <v>41640.027777777781</v>
      </c>
      <c r="D839" t="s">
        <v>41</v>
      </c>
      <c r="E839" t="s">
        <v>14</v>
      </c>
      <c r="F839" t="s">
        <v>138</v>
      </c>
      <c r="G839" s="9" t="s">
        <v>138</v>
      </c>
      <c r="J839">
        <v>0</v>
      </c>
      <c r="K839">
        <v>0</v>
      </c>
      <c r="M839">
        <v>815</v>
      </c>
    </row>
    <row r="840" spans="1:13" x14ac:dyDescent="0.3">
      <c r="A840">
        <v>41644.423611111109</v>
      </c>
      <c r="B840">
        <v>1140</v>
      </c>
      <c r="C840" s="7">
        <v>41640.013888888891</v>
      </c>
      <c r="D840" t="s">
        <v>217</v>
      </c>
      <c r="E840" t="s">
        <v>22</v>
      </c>
      <c r="F840" t="s">
        <v>138</v>
      </c>
      <c r="G840" s="9" t="s">
        <v>138</v>
      </c>
      <c r="J840">
        <v>0</v>
      </c>
      <c r="K840">
        <v>0</v>
      </c>
      <c r="M840">
        <v>838</v>
      </c>
    </row>
    <row r="841" spans="1:13" x14ac:dyDescent="0.3">
      <c r="A841">
        <v>41644.425000000003</v>
      </c>
      <c r="B841">
        <v>900</v>
      </c>
      <c r="C841" s="7">
        <v>41640.017361111109</v>
      </c>
      <c r="D841" t="s">
        <v>352</v>
      </c>
      <c r="E841" t="s">
        <v>13</v>
      </c>
      <c r="F841" t="s">
        <v>138</v>
      </c>
      <c r="G841" s="9" t="s">
        <v>138</v>
      </c>
      <c r="J841">
        <v>0</v>
      </c>
      <c r="K841">
        <v>0</v>
      </c>
      <c r="M841">
        <v>857</v>
      </c>
    </row>
    <row r="842" spans="1:13" x14ac:dyDescent="0.3">
      <c r="A842">
        <v>41644.430555555555</v>
      </c>
      <c r="B842">
        <v>3060</v>
      </c>
      <c r="C842" s="7">
        <v>41640.035416666666</v>
      </c>
      <c r="D842" t="s">
        <v>48</v>
      </c>
      <c r="E842" t="s">
        <v>22</v>
      </c>
      <c r="F842" t="s">
        <v>138</v>
      </c>
      <c r="G842" s="9" t="s">
        <v>138</v>
      </c>
      <c r="J842">
        <v>0</v>
      </c>
      <c r="K842">
        <v>0</v>
      </c>
      <c r="M842">
        <v>855</v>
      </c>
    </row>
    <row r="843" spans="1:13" x14ac:dyDescent="0.3">
      <c r="A843">
        <v>41644.430555555555</v>
      </c>
      <c r="B843">
        <v>1500</v>
      </c>
      <c r="C843" s="7">
        <v>41640.031944444447</v>
      </c>
      <c r="D843" t="s">
        <v>229</v>
      </c>
      <c r="E843" t="s">
        <v>8</v>
      </c>
      <c r="F843" t="s">
        <v>138</v>
      </c>
      <c r="G843" s="9" t="s">
        <v>138</v>
      </c>
      <c r="J843">
        <v>0</v>
      </c>
      <c r="K843">
        <v>0</v>
      </c>
      <c r="M843">
        <v>827</v>
      </c>
    </row>
    <row r="844" spans="1:13" x14ac:dyDescent="0.3">
      <c r="A844">
        <v>41644.436805555553</v>
      </c>
      <c r="B844">
        <v>660</v>
      </c>
      <c r="C844" s="7">
        <v>41640.010416666664</v>
      </c>
      <c r="D844" t="s">
        <v>30</v>
      </c>
      <c r="E844" t="s">
        <v>282</v>
      </c>
      <c r="F844" t="s">
        <v>138</v>
      </c>
      <c r="G844" s="9" t="s">
        <v>138</v>
      </c>
      <c r="J844">
        <v>0</v>
      </c>
      <c r="K844">
        <v>0</v>
      </c>
      <c r="M844">
        <v>836</v>
      </c>
    </row>
    <row r="845" spans="1:13" x14ac:dyDescent="0.3">
      <c r="A845">
        <v>41644.439583333333</v>
      </c>
      <c r="B845">
        <v>480</v>
      </c>
      <c r="C845" s="7">
        <v>41640.017361111109</v>
      </c>
      <c r="D845" t="s">
        <v>10</v>
      </c>
      <c r="E845" t="s">
        <v>239</v>
      </c>
      <c r="F845" t="s">
        <v>138</v>
      </c>
      <c r="G845" s="9" t="s">
        <v>138</v>
      </c>
      <c r="J845">
        <v>0</v>
      </c>
      <c r="K845">
        <v>0</v>
      </c>
      <c r="M845">
        <v>862</v>
      </c>
    </row>
    <row r="846" spans="1:13" x14ac:dyDescent="0.3">
      <c r="A846">
        <v>41644.441666666666</v>
      </c>
      <c r="B846">
        <v>780</v>
      </c>
      <c r="C846" s="7">
        <v>41640.032638888886</v>
      </c>
      <c r="D846" t="s">
        <v>22</v>
      </c>
      <c r="E846" t="s">
        <v>351</v>
      </c>
      <c r="F846" t="s">
        <v>138</v>
      </c>
      <c r="G846" s="9" t="s">
        <v>138</v>
      </c>
      <c r="J846">
        <v>0</v>
      </c>
      <c r="K846">
        <v>0</v>
      </c>
      <c r="M846">
        <v>868</v>
      </c>
    </row>
    <row r="847" spans="1:13" x14ac:dyDescent="0.3">
      <c r="A847">
        <v>41644.443055555559</v>
      </c>
      <c r="B847">
        <v>1380</v>
      </c>
      <c r="C847" s="7">
        <v>41640.01666666667</v>
      </c>
      <c r="D847" t="s">
        <v>13</v>
      </c>
      <c r="E847" t="s">
        <v>200</v>
      </c>
      <c r="F847" t="s">
        <v>138</v>
      </c>
      <c r="G847" s="9" t="s">
        <v>138</v>
      </c>
      <c r="J847">
        <v>0</v>
      </c>
      <c r="K847">
        <v>0</v>
      </c>
      <c r="M847">
        <v>842</v>
      </c>
    </row>
    <row r="848" spans="1:13" x14ac:dyDescent="0.3">
      <c r="A848">
        <v>41644.446527777778</v>
      </c>
      <c r="B848">
        <v>300</v>
      </c>
      <c r="C848" s="7">
        <v>41640.013194444444</v>
      </c>
      <c r="D848" t="s">
        <v>13</v>
      </c>
      <c r="E848" t="s">
        <v>352</v>
      </c>
      <c r="F848" t="s">
        <v>138</v>
      </c>
      <c r="G848" s="9" t="s">
        <v>138</v>
      </c>
      <c r="J848">
        <v>0</v>
      </c>
      <c r="K848">
        <v>0</v>
      </c>
      <c r="M848">
        <v>837</v>
      </c>
    </row>
    <row r="849" spans="1:13" x14ac:dyDescent="0.3">
      <c r="A849">
        <v>41644.447916666664</v>
      </c>
      <c r="B849">
        <v>780</v>
      </c>
      <c r="C849" s="7">
        <v>41640.026388888888</v>
      </c>
      <c r="D849" t="s">
        <v>22</v>
      </c>
      <c r="E849" t="s">
        <v>44</v>
      </c>
      <c r="F849" t="s">
        <v>138</v>
      </c>
      <c r="G849" s="9" t="s">
        <v>138</v>
      </c>
      <c r="J849">
        <v>0</v>
      </c>
      <c r="K849">
        <v>0</v>
      </c>
      <c r="M849">
        <v>813</v>
      </c>
    </row>
    <row r="850" spans="1:13" x14ac:dyDescent="0.3">
      <c r="A850">
        <v>41644.450694444444</v>
      </c>
      <c r="B850">
        <v>720</v>
      </c>
      <c r="C850" s="7">
        <v>41640.012499999997</v>
      </c>
      <c r="D850" t="s">
        <v>13</v>
      </c>
      <c r="E850" t="s">
        <v>23</v>
      </c>
      <c r="F850" t="s">
        <v>138</v>
      </c>
      <c r="G850" s="9" t="s">
        <v>138</v>
      </c>
      <c r="J850">
        <v>0</v>
      </c>
      <c r="K850">
        <v>0</v>
      </c>
      <c r="M850">
        <v>817</v>
      </c>
    </row>
    <row r="851" spans="1:13" x14ac:dyDescent="0.3">
      <c r="A851">
        <v>41644.451388888891</v>
      </c>
      <c r="B851">
        <v>720</v>
      </c>
      <c r="C851" s="7">
        <v>41640.010416666664</v>
      </c>
      <c r="D851" t="s">
        <v>15</v>
      </c>
      <c r="E851" t="s">
        <v>33</v>
      </c>
      <c r="F851" t="s">
        <v>138</v>
      </c>
      <c r="G851" s="9" t="s">
        <v>138</v>
      </c>
      <c r="J851">
        <v>0</v>
      </c>
      <c r="K851">
        <v>0</v>
      </c>
      <c r="M851">
        <v>871</v>
      </c>
    </row>
    <row r="852" spans="1:13" x14ac:dyDescent="0.3">
      <c r="A852">
        <v>41644.451388888891</v>
      </c>
      <c r="B852">
        <v>2460</v>
      </c>
      <c r="C852" s="7">
        <v>41640.037499999999</v>
      </c>
      <c r="D852" t="s">
        <v>326</v>
      </c>
      <c r="E852" t="s">
        <v>22</v>
      </c>
      <c r="F852" t="s">
        <v>138</v>
      </c>
      <c r="G852" s="9" t="s">
        <v>138</v>
      </c>
      <c r="J852">
        <v>0</v>
      </c>
      <c r="K852">
        <v>0</v>
      </c>
      <c r="M852">
        <v>806</v>
      </c>
    </row>
    <row r="853" spans="1:13" x14ac:dyDescent="0.3">
      <c r="A853">
        <v>41644.45208333333</v>
      </c>
      <c r="B853">
        <v>1680</v>
      </c>
      <c r="C853" s="7">
        <v>41640.019444444442</v>
      </c>
      <c r="D853" t="s">
        <v>353</v>
      </c>
      <c r="E853" t="s">
        <v>216</v>
      </c>
      <c r="F853" t="s">
        <v>138</v>
      </c>
      <c r="G853" s="9" t="s">
        <v>138</v>
      </c>
      <c r="J853">
        <v>0</v>
      </c>
      <c r="K853">
        <v>0</v>
      </c>
      <c r="M853">
        <v>846</v>
      </c>
    </row>
    <row r="854" spans="1:13" x14ac:dyDescent="0.3">
      <c r="A854">
        <v>41644.453472222223</v>
      </c>
      <c r="B854">
        <v>2820</v>
      </c>
      <c r="C854" s="7">
        <v>41640.032638888886</v>
      </c>
      <c r="D854" t="s">
        <v>286</v>
      </c>
      <c r="E854" t="s">
        <v>143</v>
      </c>
      <c r="F854" t="s">
        <v>138</v>
      </c>
      <c r="G854" s="9" t="s">
        <v>138</v>
      </c>
      <c r="J854">
        <v>0</v>
      </c>
      <c r="K854">
        <v>0</v>
      </c>
      <c r="M854">
        <v>864</v>
      </c>
    </row>
    <row r="855" spans="1:13" x14ac:dyDescent="0.3">
      <c r="A855">
        <v>41644.45416666667</v>
      </c>
      <c r="B855">
        <v>1800</v>
      </c>
      <c r="C855" s="7">
        <v>41640.027083333334</v>
      </c>
      <c r="D855" t="s">
        <v>204</v>
      </c>
      <c r="E855" t="s">
        <v>50</v>
      </c>
      <c r="F855" t="s">
        <v>138</v>
      </c>
      <c r="G855" s="9" t="s">
        <v>138</v>
      </c>
      <c r="J855">
        <v>0</v>
      </c>
      <c r="K855">
        <v>0</v>
      </c>
      <c r="M855">
        <v>840</v>
      </c>
    </row>
    <row r="856" spans="1:13" x14ac:dyDescent="0.3">
      <c r="A856">
        <v>41644.456250000003</v>
      </c>
      <c r="B856">
        <v>780</v>
      </c>
      <c r="C856" s="7">
        <v>41640.015972222223</v>
      </c>
      <c r="D856" t="s">
        <v>40</v>
      </c>
      <c r="E856" t="s">
        <v>32</v>
      </c>
      <c r="F856" t="s">
        <v>138</v>
      </c>
      <c r="G856" s="9" t="s">
        <v>138</v>
      </c>
      <c r="J856">
        <v>0</v>
      </c>
      <c r="K856">
        <v>0</v>
      </c>
      <c r="M856">
        <v>856</v>
      </c>
    </row>
    <row r="857" spans="1:13" x14ac:dyDescent="0.3">
      <c r="A857">
        <v>41644.457638888889</v>
      </c>
      <c r="B857">
        <v>780</v>
      </c>
      <c r="C857" s="7">
        <v>41640.017361111109</v>
      </c>
      <c r="D857" t="s">
        <v>22</v>
      </c>
      <c r="E857" t="s">
        <v>217</v>
      </c>
      <c r="F857" t="s">
        <v>138</v>
      </c>
      <c r="G857" s="9" t="s">
        <v>138</v>
      </c>
      <c r="J857">
        <v>0</v>
      </c>
      <c r="K857">
        <v>0</v>
      </c>
      <c r="M857">
        <v>802</v>
      </c>
    </row>
    <row r="858" spans="1:13" x14ac:dyDescent="0.3">
      <c r="A858">
        <v>41644.458333333336</v>
      </c>
      <c r="B858">
        <v>1200</v>
      </c>
      <c r="C858" s="7">
        <v>41640.020138888889</v>
      </c>
      <c r="D858" t="s">
        <v>354</v>
      </c>
      <c r="E858" t="s">
        <v>15</v>
      </c>
      <c r="F858" t="s">
        <v>138</v>
      </c>
      <c r="G858" s="9" t="s">
        <v>138</v>
      </c>
      <c r="J858">
        <v>0</v>
      </c>
      <c r="K858">
        <v>0</v>
      </c>
      <c r="M858">
        <v>833</v>
      </c>
    </row>
    <row r="859" spans="1:13" x14ac:dyDescent="0.3">
      <c r="A859">
        <v>41644.459722222222</v>
      </c>
      <c r="B859">
        <v>1440</v>
      </c>
      <c r="C859" s="7">
        <v>41640.020833333336</v>
      </c>
      <c r="D859" t="s">
        <v>130</v>
      </c>
      <c r="E859" t="s">
        <v>15</v>
      </c>
      <c r="F859" t="s">
        <v>138</v>
      </c>
      <c r="G859" s="9" t="s">
        <v>138</v>
      </c>
      <c r="J859">
        <v>0</v>
      </c>
      <c r="K859">
        <v>0</v>
      </c>
      <c r="M859">
        <v>872</v>
      </c>
    </row>
    <row r="860" spans="1:13" x14ac:dyDescent="0.3">
      <c r="A860">
        <v>41644.461805555555</v>
      </c>
      <c r="B860">
        <v>1260</v>
      </c>
      <c r="C860" s="7">
        <v>41640.021527777775</v>
      </c>
      <c r="D860" t="s">
        <v>263</v>
      </c>
      <c r="E860" t="s">
        <v>30</v>
      </c>
      <c r="F860" t="s">
        <v>138</v>
      </c>
      <c r="G860" s="9" t="s">
        <v>138</v>
      </c>
      <c r="J860">
        <v>0</v>
      </c>
      <c r="K860">
        <v>0</v>
      </c>
      <c r="M860">
        <v>823</v>
      </c>
    </row>
    <row r="861" spans="1:13" x14ac:dyDescent="0.3">
      <c r="A861">
        <v>41644.464583333334</v>
      </c>
      <c r="B861">
        <v>4200</v>
      </c>
      <c r="C861" s="7">
        <v>41640.049305555556</v>
      </c>
      <c r="D861" t="s">
        <v>135</v>
      </c>
      <c r="E861" t="s">
        <v>216</v>
      </c>
      <c r="F861" t="s">
        <v>138</v>
      </c>
      <c r="G861" s="9" t="s">
        <v>138</v>
      </c>
      <c r="J861">
        <v>0</v>
      </c>
      <c r="K861">
        <v>0</v>
      </c>
      <c r="M861">
        <v>852</v>
      </c>
    </row>
    <row r="862" spans="1:13" x14ac:dyDescent="0.3">
      <c r="A862">
        <v>41644.464583333334</v>
      </c>
      <c r="B862">
        <v>1320</v>
      </c>
      <c r="C862" s="7">
        <v>41640.015972222223</v>
      </c>
      <c r="D862" t="s">
        <v>349</v>
      </c>
      <c r="E862" t="s">
        <v>40</v>
      </c>
      <c r="F862" t="s">
        <v>138</v>
      </c>
      <c r="G862" s="9" t="s">
        <v>138</v>
      </c>
      <c r="J862">
        <v>0</v>
      </c>
      <c r="K862">
        <v>0</v>
      </c>
      <c r="M862">
        <v>851</v>
      </c>
    </row>
    <row r="863" spans="1:13" x14ac:dyDescent="0.3">
      <c r="A863">
        <v>41644.464583333334</v>
      </c>
      <c r="B863">
        <v>1260</v>
      </c>
      <c r="C863" s="7">
        <v>41640.020138888889</v>
      </c>
      <c r="D863" t="s">
        <v>272</v>
      </c>
      <c r="E863" t="s">
        <v>14</v>
      </c>
      <c r="F863" t="s">
        <v>138</v>
      </c>
      <c r="G863" s="9" t="s">
        <v>138</v>
      </c>
      <c r="J863">
        <v>0</v>
      </c>
      <c r="K863">
        <v>0</v>
      </c>
      <c r="M863">
        <v>843</v>
      </c>
    </row>
    <row r="864" spans="1:13" x14ac:dyDescent="0.3">
      <c r="A864">
        <v>41644.466666666667</v>
      </c>
      <c r="B864">
        <v>1380</v>
      </c>
      <c r="C864" s="7">
        <v>41640.015972222223</v>
      </c>
      <c r="D864" t="s">
        <v>15</v>
      </c>
      <c r="E864" t="s">
        <v>355</v>
      </c>
      <c r="F864" t="s">
        <v>138</v>
      </c>
      <c r="G864" s="9" t="s">
        <v>138</v>
      </c>
      <c r="J864">
        <v>0</v>
      </c>
      <c r="K864">
        <v>0</v>
      </c>
      <c r="M864">
        <v>860</v>
      </c>
    </row>
    <row r="865" spans="1:13" x14ac:dyDescent="0.3">
      <c r="A865">
        <v>41644.46875</v>
      </c>
      <c r="B865">
        <v>1200</v>
      </c>
      <c r="C865" s="7">
        <v>41640.038888888892</v>
      </c>
      <c r="D865" t="s">
        <v>61</v>
      </c>
      <c r="E865" t="s">
        <v>11</v>
      </c>
      <c r="F865" t="s">
        <v>138</v>
      </c>
      <c r="G865" s="9" t="s">
        <v>138</v>
      </c>
      <c r="J865">
        <v>0</v>
      </c>
      <c r="K865">
        <v>0</v>
      </c>
      <c r="M865">
        <v>825</v>
      </c>
    </row>
    <row r="866" spans="1:13" x14ac:dyDescent="0.3">
      <c r="A866">
        <v>41644.470138888886</v>
      </c>
      <c r="B866">
        <v>2460</v>
      </c>
      <c r="C866" s="7">
        <v>41640.029166666667</v>
      </c>
      <c r="D866" t="s">
        <v>356</v>
      </c>
      <c r="E866" t="s">
        <v>13</v>
      </c>
      <c r="F866" t="s">
        <v>138</v>
      </c>
      <c r="G866" s="9" t="s">
        <v>138</v>
      </c>
      <c r="J866">
        <v>0</v>
      </c>
      <c r="K866">
        <v>0</v>
      </c>
      <c r="M866">
        <v>818</v>
      </c>
    </row>
    <row r="867" spans="1:13" x14ac:dyDescent="0.3">
      <c r="A867">
        <v>41644.470833333333</v>
      </c>
      <c r="B867">
        <v>2460</v>
      </c>
      <c r="C867" s="7">
        <v>41640.039583333331</v>
      </c>
      <c r="D867" t="s">
        <v>232</v>
      </c>
      <c r="E867" t="s">
        <v>13</v>
      </c>
      <c r="F867" t="s">
        <v>138</v>
      </c>
      <c r="G867" s="9" t="s">
        <v>138</v>
      </c>
      <c r="J867">
        <v>0</v>
      </c>
      <c r="K867">
        <v>0</v>
      </c>
      <c r="M867">
        <v>839</v>
      </c>
    </row>
    <row r="868" spans="1:13" x14ac:dyDescent="0.3">
      <c r="A868">
        <v>41644.472222222219</v>
      </c>
      <c r="B868">
        <v>3720</v>
      </c>
      <c r="C868" s="7">
        <v>41640.043749999997</v>
      </c>
      <c r="D868" t="s">
        <v>202</v>
      </c>
      <c r="E868" t="s">
        <v>59</v>
      </c>
      <c r="F868" t="s">
        <v>138</v>
      </c>
      <c r="G868" s="9" t="s">
        <v>138</v>
      </c>
      <c r="J868">
        <v>0</v>
      </c>
      <c r="K868">
        <v>0</v>
      </c>
      <c r="M868">
        <v>808</v>
      </c>
    </row>
    <row r="869" spans="1:13" x14ac:dyDescent="0.3">
      <c r="A869">
        <v>41644.472222222219</v>
      </c>
      <c r="B869">
        <v>1020</v>
      </c>
      <c r="C869" s="7">
        <v>41640.020138888889</v>
      </c>
      <c r="D869" t="s">
        <v>54</v>
      </c>
      <c r="E869" t="s">
        <v>30</v>
      </c>
      <c r="F869" t="s">
        <v>138</v>
      </c>
      <c r="G869" s="9" t="s">
        <v>138</v>
      </c>
      <c r="J869">
        <v>0</v>
      </c>
      <c r="K869">
        <v>0</v>
      </c>
      <c r="M869">
        <v>803</v>
      </c>
    </row>
    <row r="870" spans="1:13" x14ac:dyDescent="0.3">
      <c r="A870">
        <v>41644.482638888891</v>
      </c>
      <c r="B870">
        <v>1440</v>
      </c>
      <c r="C870" s="7">
        <v>41640.027777777781</v>
      </c>
      <c r="D870" t="s">
        <v>14</v>
      </c>
      <c r="E870" t="s">
        <v>1</v>
      </c>
      <c r="F870" t="s">
        <v>138</v>
      </c>
      <c r="G870" s="9" t="s">
        <v>138</v>
      </c>
      <c r="J870">
        <v>0</v>
      </c>
      <c r="K870">
        <v>0</v>
      </c>
      <c r="M870">
        <v>869</v>
      </c>
    </row>
    <row r="871" spans="1:13" x14ac:dyDescent="0.3">
      <c r="A871">
        <v>41644.482638888891</v>
      </c>
      <c r="B871">
        <v>660</v>
      </c>
      <c r="C871" s="7">
        <v>41640.013888888891</v>
      </c>
      <c r="D871" t="s">
        <v>40</v>
      </c>
      <c r="E871" t="s">
        <v>41</v>
      </c>
      <c r="F871" t="s">
        <v>138</v>
      </c>
      <c r="G871" s="9" t="s">
        <v>138</v>
      </c>
      <c r="J871">
        <v>0</v>
      </c>
      <c r="K871">
        <v>0</v>
      </c>
      <c r="M871">
        <v>824</v>
      </c>
    </row>
    <row r="872" spans="1:13" x14ac:dyDescent="0.3">
      <c r="A872">
        <v>41644.484027777777</v>
      </c>
      <c r="B872">
        <v>660</v>
      </c>
      <c r="C872" s="7">
        <v>41640.007638888892</v>
      </c>
      <c r="D872" t="s">
        <v>22</v>
      </c>
      <c r="E872" t="s">
        <v>41</v>
      </c>
      <c r="F872" t="s">
        <v>138</v>
      </c>
      <c r="G872" s="9" t="s">
        <v>138</v>
      </c>
      <c r="J872">
        <v>0</v>
      </c>
      <c r="K872">
        <v>0</v>
      </c>
      <c r="M872">
        <v>865</v>
      </c>
    </row>
    <row r="873" spans="1:13" x14ac:dyDescent="0.3">
      <c r="A873">
        <v>41644.486805555556</v>
      </c>
      <c r="B873">
        <v>1020</v>
      </c>
      <c r="C873" s="7">
        <v>41640.021527777775</v>
      </c>
      <c r="D873" t="s">
        <v>15</v>
      </c>
      <c r="E873" t="s">
        <v>130</v>
      </c>
      <c r="F873" t="s">
        <v>138</v>
      </c>
      <c r="G873" s="9" t="s">
        <v>138</v>
      </c>
      <c r="J873">
        <v>0</v>
      </c>
      <c r="K873">
        <v>0</v>
      </c>
      <c r="M873">
        <v>814</v>
      </c>
    </row>
    <row r="874" spans="1:13" x14ac:dyDescent="0.3">
      <c r="A874">
        <v>41644.487500000003</v>
      </c>
      <c r="B874">
        <v>2160</v>
      </c>
      <c r="C874" s="7">
        <v>41640.025000000001</v>
      </c>
      <c r="D874" t="s">
        <v>50</v>
      </c>
      <c r="E874" t="s">
        <v>204</v>
      </c>
      <c r="F874" t="s">
        <v>138</v>
      </c>
      <c r="G874" s="9" t="s">
        <v>138</v>
      </c>
      <c r="J874">
        <v>0</v>
      </c>
      <c r="K874">
        <v>0</v>
      </c>
      <c r="M874">
        <v>863</v>
      </c>
    </row>
    <row r="875" spans="1:13" x14ac:dyDescent="0.3">
      <c r="A875">
        <v>41644.487500000003</v>
      </c>
      <c r="B875">
        <v>1680</v>
      </c>
      <c r="C875" s="7">
        <v>41640.025694444441</v>
      </c>
      <c r="D875" t="s">
        <v>22</v>
      </c>
      <c r="E875" t="s">
        <v>48</v>
      </c>
      <c r="F875" t="s">
        <v>138</v>
      </c>
      <c r="G875" s="9" t="s">
        <v>138</v>
      </c>
      <c r="J875">
        <v>0</v>
      </c>
      <c r="K875">
        <v>0</v>
      </c>
      <c r="M875">
        <v>807</v>
      </c>
    </row>
    <row r="876" spans="1:13" x14ac:dyDescent="0.3">
      <c r="A876">
        <v>41644.492361111108</v>
      </c>
      <c r="B876">
        <v>1500</v>
      </c>
      <c r="C876" s="7">
        <v>41640.027777777781</v>
      </c>
      <c r="D876" t="s">
        <v>351</v>
      </c>
      <c r="E876" t="s">
        <v>216</v>
      </c>
      <c r="F876" t="s">
        <v>138</v>
      </c>
      <c r="G876" s="9" t="s">
        <v>138</v>
      </c>
      <c r="J876">
        <v>0</v>
      </c>
      <c r="K876">
        <v>0</v>
      </c>
      <c r="M876">
        <v>801</v>
      </c>
    </row>
    <row r="877" spans="1:13" x14ac:dyDescent="0.3">
      <c r="A877">
        <v>41644.495138888888</v>
      </c>
      <c r="B877">
        <v>1740</v>
      </c>
      <c r="C877" s="7">
        <v>41640.020138888889</v>
      </c>
      <c r="D877" t="s">
        <v>134</v>
      </c>
      <c r="E877" t="s">
        <v>30</v>
      </c>
      <c r="F877" t="s">
        <v>138</v>
      </c>
      <c r="G877" s="9" t="s">
        <v>138</v>
      </c>
      <c r="J877">
        <v>0</v>
      </c>
      <c r="K877">
        <v>0</v>
      </c>
      <c r="M877">
        <v>849</v>
      </c>
    </row>
    <row r="878" spans="1:13" x14ac:dyDescent="0.3">
      <c r="A878">
        <v>41644.5</v>
      </c>
      <c r="B878">
        <v>2100</v>
      </c>
      <c r="C878" s="7">
        <v>41640.029166666667</v>
      </c>
      <c r="D878" t="s">
        <v>278</v>
      </c>
      <c r="E878" t="s">
        <v>14</v>
      </c>
      <c r="F878" t="s">
        <v>138</v>
      </c>
      <c r="G878" s="9" t="s">
        <v>138</v>
      </c>
      <c r="J878">
        <v>0</v>
      </c>
      <c r="K878">
        <v>0</v>
      </c>
      <c r="M878">
        <v>877</v>
      </c>
    </row>
    <row r="879" spans="1:13" x14ac:dyDescent="0.3">
      <c r="A879">
        <v>41644.503472222219</v>
      </c>
      <c r="B879">
        <v>1320</v>
      </c>
      <c r="C879" s="7">
        <v>41640.015972222223</v>
      </c>
      <c r="D879" t="s">
        <v>324</v>
      </c>
      <c r="E879" t="s">
        <v>30</v>
      </c>
      <c r="F879" t="s">
        <v>138</v>
      </c>
      <c r="G879" s="9" t="s">
        <v>138</v>
      </c>
      <c r="J879">
        <v>0</v>
      </c>
      <c r="K879">
        <v>0</v>
      </c>
      <c r="M879">
        <v>945</v>
      </c>
    </row>
    <row r="880" spans="1:13" x14ac:dyDescent="0.3">
      <c r="A880">
        <v>41644.505555555559</v>
      </c>
      <c r="B880">
        <v>900</v>
      </c>
      <c r="C880" s="7">
        <v>41640.01458333333</v>
      </c>
      <c r="D880" t="s">
        <v>30</v>
      </c>
      <c r="E880" t="s">
        <v>160</v>
      </c>
      <c r="F880" t="s">
        <v>138</v>
      </c>
      <c r="G880" s="9" t="s">
        <v>138</v>
      </c>
      <c r="J880">
        <v>0</v>
      </c>
      <c r="K880">
        <v>0</v>
      </c>
      <c r="M880">
        <v>959</v>
      </c>
    </row>
    <row r="881" spans="1:13" x14ac:dyDescent="0.3">
      <c r="A881">
        <v>41644.507638888892</v>
      </c>
      <c r="B881">
        <v>1140</v>
      </c>
      <c r="C881" s="7">
        <v>41640.015277777777</v>
      </c>
      <c r="D881" t="s">
        <v>50</v>
      </c>
      <c r="E881" t="s">
        <v>178</v>
      </c>
      <c r="F881" t="s">
        <v>138</v>
      </c>
      <c r="G881" s="9" t="s">
        <v>138</v>
      </c>
      <c r="J881">
        <v>0</v>
      </c>
      <c r="K881">
        <v>0</v>
      </c>
      <c r="M881">
        <v>910</v>
      </c>
    </row>
    <row r="882" spans="1:13" x14ac:dyDescent="0.3">
      <c r="A882">
        <v>41644.510416666664</v>
      </c>
      <c r="B882">
        <v>1920</v>
      </c>
      <c r="C882" s="7">
        <v>41640.025694444441</v>
      </c>
      <c r="D882" t="s">
        <v>236</v>
      </c>
      <c r="E882" t="s">
        <v>14</v>
      </c>
      <c r="F882" t="s">
        <v>138</v>
      </c>
      <c r="G882" s="9" t="s">
        <v>138</v>
      </c>
      <c r="J882">
        <v>0</v>
      </c>
      <c r="K882">
        <v>0</v>
      </c>
      <c r="M882">
        <v>950</v>
      </c>
    </row>
    <row r="883" spans="1:13" x14ac:dyDescent="0.3">
      <c r="A883">
        <v>41644.512499999997</v>
      </c>
      <c r="B883">
        <v>660</v>
      </c>
      <c r="C883" s="7">
        <v>41640.021527777775</v>
      </c>
      <c r="D883" t="s">
        <v>30</v>
      </c>
      <c r="E883" t="s">
        <v>86</v>
      </c>
      <c r="F883" t="s">
        <v>138</v>
      </c>
      <c r="G883" s="9" t="s">
        <v>138</v>
      </c>
      <c r="J883">
        <v>0</v>
      </c>
      <c r="K883">
        <v>0</v>
      </c>
      <c r="M883">
        <v>883</v>
      </c>
    </row>
    <row r="884" spans="1:13" x14ac:dyDescent="0.3">
      <c r="A884">
        <v>41644.513194444444</v>
      </c>
      <c r="B884">
        <v>1560</v>
      </c>
      <c r="C884" s="7">
        <v>41640.027777777781</v>
      </c>
      <c r="D884" t="s">
        <v>155</v>
      </c>
      <c r="E884" t="s">
        <v>22</v>
      </c>
      <c r="F884" t="s">
        <v>138</v>
      </c>
      <c r="G884" s="9" t="s">
        <v>138</v>
      </c>
      <c r="J884">
        <v>0</v>
      </c>
      <c r="K884">
        <v>0</v>
      </c>
      <c r="M884">
        <v>923</v>
      </c>
    </row>
    <row r="885" spans="1:13" x14ac:dyDescent="0.3">
      <c r="A885">
        <v>41644.513888888891</v>
      </c>
      <c r="B885">
        <v>1440</v>
      </c>
      <c r="C885" s="7">
        <v>41640.017361111109</v>
      </c>
      <c r="D885" t="s">
        <v>162</v>
      </c>
      <c r="E885" t="s">
        <v>22</v>
      </c>
      <c r="F885" t="s">
        <v>138</v>
      </c>
      <c r="G885" s="9" t="s">
        <v>138</v>
      </c>
      <c r="J885">
        <v>0</v>
      </c>
      <c r="K885">
        <v>0</v>
      </c>
      <c r="M885">
        <v>942</v>
      </c>
    </row>
    <row r="886" spans="1:13" x14ac:dyDescent="0.3">
      <c r="A886">
        <v>41644.513888888891</v>
      </c>
      <c r="B886">
        <v>1020</v>
      </c>
      <c r="C886" s="7">
        <v>41640.01458333333</v>
      </c>
      <c r="D886" t="s">
        <v>40</v>
      </c>
      <c r="E886" t="s">
        <v>22</v>
      </c>
      <c r="F886" t="s">
        <v>138</v>
      </c>
      <c r="G886" s="9" t="s">
        <v>138</v>
      </c>
      <c r="J886">
        <v>0</v>
      </c>
      <c r="K886">
        <v>0</v>
      </c>
      <c r="M886">
        <v>889</v>
      </c>
    </row>
    <row r="887" spans="1:13" x14ac:dyDescent="0.3">
      <c r="A887">
        <v>41644.523611111108</v>
      </c>
      <c r="B887">
        <v>1260</v>
      </c>
      <c r="C887" s="7">
        <v>41640.022916666669</v>
      </c>
      <c r="D887" t="s">
        <v>15</v>
      </c>
      <c r="E887" t="s">
        <v>175</v>
      </c>
      <c r="F887" t="s">
        <v>138</v>
      </c>
      <c r="G887" s="9" t="s">
        <v>138</v>
      </c>
      <c r="J887">
        <v>0</v>
      </c>
      <c r="K887">
        <v>0</v>
      </c>
      <c r="M887">
        <v>920</v>
      </c>
    </row>
    <row r="888" spans="1:13" x14ac:dyDescent="0.3">
      <c r="A888">
        <v>41644.524305555555</v>
      </c>
      <c r="B888">
        <v>960</v>
      </c>
      <c r="C888" s="7">
        <v>41640.011111111111</v>
      </c>
      <c r="D888" t="s">
        <v>147</v>
      </c>
      <c r="E888" t="s">
        <v>10</v>
      </c>
      <c r="F888" t="s">
        <v>138</v>
      </c>
      <c r="G888" s="9" t="s">
        <v>138</v>
      </c>
      <c r="J888">
        <v>0</v>
      </c>
      <c r="K888">
        <v>0</v>
      </c>
      <c r="M888">
        <v>963</v>
      </c>
    </row>
    <row r="889" spans="1:13" x14ac:dyDescent="0.3">
      <c r="A889">
        <v>41644.524305555555</v>
      </c>
      <c r="B889">
        <v>1680</v>
      </c>
      <c r="C889" s="7">
        <v>41640.019444444442</v>
      </c>
      <c r="D889" t="s">
        <v>357</v>
      </c>
      <c r="E889" t="s">
        <v>10</v>
      </c>
      <c r="F889" t="s">
        <v>138</v>
      </c>
      <c r="G889" s="9" t="s">
        <v>138</v>
      </c>
      <c r="J889">
        <v>0</v>
      </c>
      <c r="K889">
        <v>0</v>
      </c>
      <c r="M889">
        <v>947</v>
      </c>
    </row>
    <row r="890" spans="1:13" x14ac:dyDescent="0.3">
      <c r="A890">
        <v>41644.524305555555</v>
      </c>
      <c r="B890">
        <v>2220</v>
      </c>
      <c r="C890" s="7">
        <v>41640.025694444441</v>
      </c>
      <c r="D890" t="s">
        <v>198</v>
      </c>
      <c r="E890" t="s">
        <v>27</v>
      </c>
      <c r="F890" t="s">
        <v>138</v>
      </c>
      <c r="G890" s="9" t="s">
        <v>138</v>
      </c>
      <c r="J890">
        <v>0</v>
      </c>
      <c r="K890">
        <v>0</v>
      </c>
      <c r="M890">
        <v>933</v>
      </c>
    </row>
    <row r="891" spans="1:13" x14ac:dyDescent="0.3">
      <c r="A891">
        <v>41644.529166666667</v>
      </c>
      <c r="B891">
        <v>2100</v>
      </c>
      <c r="C891" s="7">
        <v>41640.024305555555</v>
      </c>
      <c r="D891" t="s">
        <v>72</v>
      </c>
      <c r="E891" t="s">
        <v>9</v>
      </c>
      <c r="F891" t="s">
        <v>138</v>
      </c>
      <c r="G891" s="9" t="s">
        <v>138</v>
      </c>
      <c r="J891">
        <v>0</v>
      </c>
      <c r="K891">
        <v>0</v>
      </c>
      <c r="M891">
        <v>944</v>
      </c>
    </row>
    <row r="892" spans="1:13" x14ac:dyDescent="0.3">
      <c r="A892">
        <v>41644.53125</v>
      </c>
      <c r="B892">
        <v>1440</v>
      </c>
      <c r="C892" s="7">
        <v>41640.021527777775</v>
      </c>
      <c r="D892" t="s">
        <v>358</v>
      </c>
      <c r="E892" t="s">
        <v>30</v>
      </c>
      <c r="F892" t="s">
        <v>138</v>
      </c>
      <c r="G892" s="9" t="s">
        <v>138</v>
      </c>
      <c r="J892">
        <v>0</v>
      </c>
      <c r="K892">
        <v>0</v>
      </c>
      <c r="M892">
        <v>928</v>
      </c>
    </row>
    <row r="893" spans="1:13" x14ac:dyDescent="0.3">
      <c r="A893">
        <v>41644.53402777778</v>
      </c>
      <c r="B893">
        <v>1620</v>
      </c>
      <c r="C893" s="7">
        <v>41640.022916666669</v>
      </c>
      <c r="D893" t="s">
        <v>297</v>
      </c>
      <c r="E893" t="s">
        <v>15</v>
      </c>
      <c r="F893" t="s">
        <v>138</v>
      </c>
      <c r="G893" s="9" t="s">
        <v>138</v>
      </c>
      <c r="J893">
        <v>0</v>
      </c>
      <c r="K893">
        <v>0</v>
      </c>
      <c r="M893">
        <v>881</v>
      </c>
    </row>
    <row r="894" spans="1:13" x14ac:dyDescent="0.3">
      <c r="A894">
        <v>41644.534722222219</v>
      </c>
      <c r="B894">
        <v>780</v>
      </c>
      <c r="C894" s="7">
        <v>41640.009722222225</v>
      </c>
      <c r="D894" t="s">
        <v>178</v>
      </c>
      <c r="E894" t="s">
        <v>294</v>
      </c>
      <c r="F894" t="s">
        <v>138</v>
      </c>
      <c r="G894" s="9" t="s">
        <v>138</v>
      </c>
      <c r="J894">
        <v>0</v>
      </c>
      <c r="K894">
        <v>0</v>
      </c>
      <c r="M894">
        <v>965</v>
      </c>
    </row>
    <row r="895" spans="1:13" x14ac:dyDescent="0.3">
      <c r="A895">
        <v>41644.534722222219</v>
      </c>
      <c r="B895">
        <v>1440</v>
      </c>
      <c r="C895" s="7">
        <v>41640.020138888889</v>
      </c>
      <c r="D895" t="s">
        <v>184</v>
      </c>
      <c r="E895" t="s">
        <v>22</v>
      </c>
      <c r="F895" t="s">
        <v>138</v>
      </c>
      <c r="G895" s="9" t="s">
        <v>138</v>
      </c>
      <c r="J895">
        <v>0</v>
      </c>
      <c r="K895">
        <v>0</v>
      </c>
      <c r="M895">
        <v>958</v>
      </c>
    </row>
    <row r="896" spans="1:13" x14ac:dyDescent="0.3">
      <c r="A896">
        <v>41644.534722222219</v>
      </c>
      <c r="B896">
        <v>1620</v>
      </c>
      <c r="C896" s="7">
        <v>41640.018750000003</v>
      </c>
      <c r="D896" t="s">
        <v>164</v>
      </c>
      <c r="E896" t="s">
        <v>22</v>
      </c>
      <c r="F896" t="s">
        <v>138</v>
      </c>
      <c r="G896" s="9" t="s">
        <v>138</v>
      </c>
      <c r="J896">
        <v>0</v>
      </c>
      <c r="K896">
        <v>0</v>
      </c>
      <c r="M896">
        <v>913</v>
      </c>
    </row>
    <row r="897" spans="1:13" x14ac:dyDescent="0.3">
      <c r="A897">
        <v>41644.534722222219</v>
      </c>
      <c r="B897">
        <v>840</v>
      </c>
      <c r="C897" s="7">
        <v>41640.015972222223</v>
      </c>
      <c r="D897" t="s">
        <v>13</v>
      </c>
      <c r="E897" t="s">
        <v>40</v>
      </c>
      <c r="F897" t="s">
        <v>138</v>
      </c>
      <c r="G897" s="9" t="s">
        <v>138</v>
      </c>
      <c r="J897">
        <v>0</v>
      </c>
      <c r="K897">
        <v>0</v>
      </c>
      <c r="M897">
        <v>890</v>
      </c>
    </row>
    <row r="898" spans="1:13" x14ac:dyDescent="0.3">
      <c r="A898">
        <v>41644.534722222219</v>
      </c>
      <c r="B898">
        <v>1200</v>
      </c>
      <c r="C898" s="7">
        <v>41640.020138888889</v>
      </c>
      <c r="D898" t="s">
        <v>231</v>
      </c>
      <c r="E898" t="s">
        <v>30</v>
      </c>
      <c r="F898" t="s">
        <v>138</v>
      </c>
      <c r="G898" s="9" t="s">
        <v>138</v>
      </c>
      <c r="J898">
        <v>0</v>
      </c>
      <c r="K898">
        <v>0</v>
      </c>
      <c r="M898">
        <v>876</v>
      </c>
    </row>
    <row r="899" spans="1:13" x14ac:dyDescent="0.3">
      <c r="A899">
        <v>41644.536111111112</v>
      </c>
      <c r="B899">
        <v>1380</v>
      </c>
      <c r="C899" s="7">
        <v>41640.025000000001</v>
      </c>
      <c r="D899" t="s">
        <v>30</v>
      </c>
      <c r="E899" t="s">
        <v>359</v>
      </c>
      <c r="F899" t="s">
        <v>138</v>
      </c>
      <c r="G899" s="9" t="s">
        <v>138</v>
      </c>
      <c r="J899">
        <v>0</v>
      </c>
      <c r="K899">
        <v>0</v>
      </c>
      <c r="M899">
        <v>896</v>
      </c>
    </row>
    <row r="900" spans="1:13" x14ac:dyDescent="0.3">
      <c r="A900">
        <v>41644.545138888891</v>
      </c>
      <c r="B900">
        <v>2520</v>
      </c>
      <c r="C900" s="7">
        <v>41640.033333333333</v>
      </c>
      <c r="D900" t="s">
        <v>233</v>
      </c>
      <c r="E900" t="s">
        <v>8</v>
      </c>
      <c r="F900" t="s">
        <v>138</v>
      </c>
      <c r="G900" s="9" t="s">
        <v>138</v>
      </c>
      <c r="J900">
        <v>0</v>
      </c>
      <c r="K900">
        <v>0</v>
      </c>
      <c r="M900">
        <v>891</v>
      </c>
    </row>
    <row r="901" spans="1:13" x14ac:dyDescent="0.3">
      <c r="A901">
        <v>41644.546527777777</v>
      </c>
      <c r="B901">
        <v>3480</v>
      </c>
      <c r="C901" s="7">
        <v>41640.040972222225</v>
      </c>
      <c r="D901" t="s">
        <v>360</v>
      </c>
      <c r="E901" t="s">
        <v>14</v>
      </c>
      <c r="F901" t="s">
        <v>138</v>
      </c>
      <c r="G901" s="9" t="s">
        <v>138</v>
      </c>
      <c r="J901">
        <v>0</v>
      </c>
      <c r="K901">
        <v>0</v>
      </c>
      <c r="M901">
        <v>934</v>
      </c>
    </row>
    <row r="902" spans="1:13" x14ac:dyDescent="0.3">
      <c r="A902">
        <v>41644.551388888889</v>
      </c>
      <c r="B902">
        <v>360</v>
      </c>
      <c r="C902" s="7">
        <v>41640.010416666664</v>
      </c>
      <c r="D902" t="s">
        <v>22</v>
      </c>
      <c r="E902" t="s">
        <v>361</v>
      </c>
      <c r="F902" t="s">
        <v>138</v>
      </c>
      <c r="G902" s="9" t="s">
        <v>138</v>
      </c>
      <c r="J902">
        <v>0</v>
      </c>
      <c r="K902">
        <v>0</v>
      </c>
      <c r="M902">
        <v>952</v>
      </c>
    </row>
    <row r="903" spans="1:13" x14ac:dyDescent="0.3">
      <c r="A903">
        <v>41644.555555555555</v>
      </c>
      <c r="B903">
        <v>1800</v>
      </c>
      <c r="C903" s="7">
        <v>41640.022916666669</v>
      </c>
      <c r="D903" t="s">
        <v>261</v>
      </c>
      <c r="E903" t="s">
        <v>22</v>
      </c>
      <c r="F903" t="s">
        <v>138</v>
      </c>
      <c r="G903" s="9" t="s">
        <v>138</v>
      </c>
      <c r="J903">
        <v>0</v>
      </c>
      <c r="K903">
        <v>0</v>
      </c>
      <c r="M903">
        <v>954</v>
      </c>
    </row>
    <row r="904" spans="1:13" x14ac:dyDescent="0.3">
      <c r="A904">
        <v>41644.555555555555</v>
      </c>
      <c r="B904">
        <v>2100</v>
      </c>
      <c r="C904" s="7">
        <v>41640.02847222222</v>
      </c>
      <c r="D904" t="s">
        <v>259</v>
      </c>
      <c r="E904" t="s">
        <v>22</v>
      </c>
      <c r="F904" t="s">
        <v>138</v>
      </c>
      <c r="G904" s="9" t="s">
        <v>138</v>
      </c>
      <c r="J904">
        <v>0</v>
      </c>
      <c r="K904">
        <v>0</v>
      </c>
      <c r="M904">
        <v>941</v>
      </c>
    </row>
    <row r="905" spans="1:13" x14ac:dyDescent="0.3">
      <c r="A905">
        <v>41644.555555555555</v>
      </c>
      <c r="B905">
        <v>1320</v>
      </c>
      <c r="C905" s="7">
        <v>41640.015972222223</v>
      </c>
      <c r="D905" t="s">
        <v>291</v>
      </c>
      <c r="E905" t="s">
        <v>10</v>
      </c>
      <c r="F905" t="s">
        <v>138</v>
      </c>
      <c r="G905" s="9" t="s">
        <v>138</v>
      </c>
      <c r="J905">
        <v>0</v>
      </c>
      <c r="K905">
        <v>0</v>
      </c>
      <c r="M905">
        <v>929</v>
      </c>
    </row>
    <row r="906" spans="1:13" x14ac:dyDescent="0.3">
      <c r="A906">
        <v>41644.555555555555</v>
      </c>
      <c r="B906">
        <v>1440</v>
      </c>
      <c r="C906" s="7">
        <v>41640.027777777781</v>
      </c>
      <c r="D906" t="s">
        <v>248</v>
      </c>
      <c r="E906" t="s">
        <v>15</v>
      </c>
      <c r="F906" t="s">
        <v>138</v>
      </c>
      <c r="G906" s="9" t="s">
        <v>138</v>
      </c>
      <c r="J906">
        <v>0</v>
      </c>
      <c r="K906">
        <v>0</v>
      </c>
      <c r="M906">
        <v>902</v>
      </c>
    </row>
    <row r="907" spans="1:13" x14ac:dyDescent="0.3">
      <c r="A907">
        <v>41644.555555555555</v>
      </c>
      <c r="B907">
        <v>600</v>
      </c>
      <c r="C907" s="7">
        <v>41640.011805555558</v>
      </c>
      <c r="D907" t="s">
        <v>15</v>
      </c>
      <c r="E907" t="s">
        <v>33</v>
      </c>
      <c r="F907" t="s">
        <v>138</v>
      </c>
      <c r="G907" s="9" t="s">
        <v>138</v>
      </c>
      <c r="J907">
        <v>0</v>
      </c>
      <c r="K907">
        <v>0</v>
      </c>
      <c r="M907">
        <v>882</v>
      </c>
    </row>
    <row r="908" spans="1:13" x14ac:dyDescent="0.3">
      <c r="A908">
        <v>41644.556250000001</v>
      </c>
      <c r="B908">
        <v>720</v>
      </c>
      <c r="C908" s="7">
        <v>41640.010416666664</v>
      </c>
      <c r="D908" t="s">
        <v>10</v>
      </c>
      <c r="E908" t="s">
        <v>147</v>
      </c>
      <c r="F908" t="s">
        <v>138</v>
      </c>
      <c r="G908" s="9" t="s">
        <v>138</v>
      </c>
      <c r="J908">
        <v>0</v>
      </c>
      <c r="K908">
        <v>0</v>
      </c>
      <c r="M908">
        <v>909</v>
      </c>
    </row>
    <row r="909" spans="1:13" x14ac:dyDescent="0.3">
      <c r="A909">
        <v>41644.558333333334</v>
      </c>
      <c r="B909">
        <v>1740</v>
      </c>
      <c r="C909" s="7">
        <v>41640.022916666669</v>
      </c>
      <c r="D909" t="s">
        <v>14</v>
      </c>
      <c r="E909" t="s">
        <v>278</v>
      </c>
      <c r="F909" t="s">
        <v>138</v>
      </c>
      <c r="G909" s="9" t="s">
        <v>138</v>
      </c>
      <c r="J909">
        <v>0</v>
      </c>
      <c r="K909">
        <v>0</v>
      </c>
      <c r="M909">
        <v>949</v>
      </c>
    </row>
    <row r="910" spans="1:13" x14ac:dyDescent="0.3">
      <c r="A910">
        <v>41644.558333333334</v>
      </c>
      <c r="B910">
        <v>2100</v>
      </c>
      <c r="C910" s="7">
        <v>41640.032638888886</v>
      </c>
      <c r="D910" t="s">
        <v>160</v>
      </c>
      <c r="E910" t="s">
        <v>198</v>
      </c>
      <c r="F910" t="s">
        <v>138</v>
      </c>
      <c r="G910" s="9" t="s">
        <v>138</v>
      </c>
      <c r="J910">
        <v>0</v>
      </c>
      <c r="K910">
        <v>0</v>
      </c>
      <c r="M910">
        <v>898</v>
      </c>
    </row>
    <row r="911" spans="1:13" x14ac:dyDescent="0.3">
      <c r="A911">
        <v>41644.561111111114</v>
      </c>
      <c r="B911">
        <v>1080</v>
      </c>
      <c r="C911" s="7">
        <v>41640.012499999997</v>
      </c>
      <c r="D911" t="s">
        <v>30</v>
      </c>
      <c r="E911" t="s">
        <v>324</v>
      </c>
      <c r="F911" t="s">
        <v>138</v>
      </c>
      <c r="G911" s="9" t="s">
        <v>138</v>
      </c>
      <c r="J911">
        <v>0</v>
      </c>
      <c r="K911">
        <v>0</v>
      </c>
      <c r="M911">
        <v>946</v>
      </c>
    </row>
    <row r="912" spans="1:13" x14ac:dyDescent="0.3">
      <c r="A912">
        <v>41644.563194444447</v>
      </c>
      <c r="B912">
        <v>1140</v>
      </c>
      <c r="C912" s="7">
        <v>41640.013194444444</v>
      </c>
      <c r="D912" t="s">
        <v>22</v>
      </c>
      <c r="E912" t="s">
        <v>162</v>
      </c>
      <c r="F912" t="s">
        <v>138</v>
      </c>
      <c r="G912" s="9" t="s">
        <v>138</v>
      </c>
      <c r="J912">
        <v>0</v>
      </c>
      <c r="K912">
        <v>0</v>
      </c>
      <c r="M912">
        <v>912</v>
      </c>
    </row>
    <row r="913" spans="1:13" x14ac:dyDescent="0.3">
      <c r="A913">
        <v>41644.565972222219</v>
      </c>
      <c r="B913">
        <v>1980</v>
      </c>
      <c r="C913" s="7">
        <v>41640.022916666669</v>
      </c>
      <c r="D913" t="s">
        <v>234</v>
      </c>
      <c r="E913" t="s">
        <v>30</v>
      </c>
      <c r="F913" t="s">
        <v>138</v>
      </c>
      <c r="G913" s="9" t="s">
        <v>138</v>
      </c>
      <c r="J913">
        <v>0</v>
      </c>
      <c r="K913">
        <v>0</v>
      </c>
      <c r="M913">
        <v>879</v>
      </c>
    </row>
    <row r="914" spans="1:13" x14ac:dyDescent="0.3">
      <c r="A914">
        <v>41644.566666666666</v>
      </c>
      <c r="B914">
        <v>2340</v>
      </c>
      <c r="C914" s="7">
        <v>41640.027777777781</v>
      </c>
      <c r="D914" t="s">
        <v>14</v>
      </c>
      <c r="E914" t="s">
        <v>202</v>
      </c>
      <c r="F914" t="s">
        <v>138</v>
      </c>
      <c r="G914" s="9" t="s">
        <v>138</v>
      </c>
      <c r="J914">
        <v>0</v>
      </c>
      <c r="K914">
        <v>0</v>
      </c>
      <c r="M914">
        <v>880</v>
      </c>
    </row>
    <row r="915" spans="1:13" x14ac:dyDescent="0.3">
      <c r="A915">
        <v>41644.567361111112</v>
      </c>
      <c r="B915">
        <v>480</v>
      </c>
      <c r="C915" s="7">
        <v>41640.017361111109</v>
      </c>
      <c r="D915" t="s">
        <v>10</v>
      </c>
      <c r="E915" t="s">
        <v>357</v>
      </c>
      <c r="F915" t="s">
        <v>138</v>
      </c>
      <c r="G915" s="9" t="s">
        <v>138</v>
      </c>
      <c r="J915">
        <v>0</v>
      </c>
      <c r="K915">
        <v>0</v>
      </c>
      <c r="M915">
        <v>922</v>
      </c>
    </row>
    <row r="916" spans="1:13" x14ac:dyDescent="0.3">
      <c r="A916">
        <v>41644.568055555559</v>
      </c>
      <c r="B916">
        <v>1680</v>
      </c>
      <c r="C916" s="7">
        <v>41640.024305555555</v>
      </c>
      <c r="D916" t="s">
        <v>362</v>
      </c>
      <c r="E916" t="s">
        <v>22</v>
      </c>
      <c r="F916" t="s">
        <v>138</v>
      </c>
      <c r="G916" s="9" t="s">
        <v>138</v>
      </c>
      <c r="J916">
        <v>0</v>
      </c>
      <c r="K916">
        <v>0</v>
      </c>
      <c r="M916">
        <v>967</v>
      </c>
    </row>
    <row r="917" spans="1:13" x14ac:dyDescent="0.3">
      <c r="A917">
        <v>41644.570833333331</v>
      </c>
      <c r="B917">
        <v>1440</v>
      </c>
      <c r="C917" s="7">
        <v>41640.018750000003</v>
      </c>
      <c r="D917" t="s">
        <v>323</v>
      </c>
      <c r="E917" t="s">
        <v>14</v>
      </c>
      <c r="F917" t="s">
        <v>138</v>
      </c>
      <c r="G917" s="9" t="s">
        <v>138</v>
      </c>
      <c r="J917">
        <v>0</v>
      </c>
      <c r="K917">
        <v>0</v>
      </c>
      <c r="M917">
        <v>927</v>
      </c>
    </row>
    <row r="918" spans="1:13" x14ac:dyDescent="0.3">
      <c r="A918">
        <v>41644.574305555558</v>
      </c>
      <c r="B918">
        <v>540</v>
      </c>
      <c r="C918" s="7">
        <v>41640.013888888891</v>
      </c>
      <c r="D918" t="s">
        <v>22</v>
      </c>
      <c r="E918" t="s">
        <v>184</v>
      </c>
      <c r="F918" t="s">
        <v>138</v>
      </c>
      <c r="G918" s="9" t="s">
        <v>138</v>
      </c>
      <c r="J918">
        <v>0</v>
      </c>
      <c r="K918">
        <v>0</v>
      </c>
      <c r="M918">
        <v>931</v>
      </c>
    </row>
    <row r="919" spans="1:13" x14ac:dyDescent="0.3">
      <c r="A919">
        <v>41644.576388888891</v>
      </c>
      <c r="B919">
        <v>1380</v>
      </c>
      <c r="C919" s="7">
        <v>41640.01666666667</v>
      </c>
      <c r="D919" t="s">
        <v>325</v>
      </c>
      <c r="E919" t="s">
        <v>22</v>
      </c>
      <c r="F919" t="s">
        <v>138</v>
      </c>
      <c r="G919" s="9" t="s">
        <v>138</v>
      </c>
      <c r="J919">
        <v>0</v>
      </c>
      <c r="K919">
        <v>0</v>
      </c>
      <c r="M919">
        <v>948</v>
      </c>
    </row>
    <row r="920" spans="1:13" x14ac:dyDescent="0.3">
      <c r="A920">
        <v>41644.576388888891</v>
      </c>
      <c r="B920">
        <v>900</v>
      </c>
      <c r="C920" s="7">
        <v>41640.017361111109</v>
      </c>
      <c r="D920" t="s">
        <v>315</v>
      </c>
      <c r="E920" t="s">
        <v>30</v>
      </c>
      <c r="F920" t="s">
        <v>138</v>
      </c>
      <c r="G920" s="9" t="s">
        <v>138</v>
      </c>
      <c r="J920">
        <v>0</v>
      </c>
      <c r="K920">
        <v>0</v>
      </c>
      <c r="M920">
        <v>911</v>
      </c>
    </row>
    <row r="921" spans="1:13" x14ac:dyDescent="0.3">
      <c r="A921">
        <v>41644.57916666667</v>
      </c>
      <c r="B921">
        <v>1980</v>
      </c>
      <c r="C921" s="7">
        <v>41640.03125</v>
      </c>
      <c r="D921" t="s">
        <v>363</v>
      </c>
      <c r="E921" t="s">
        <v>13</v>
      </c>
      <c r="F921" t="s">
        <v>138</v>
      </c>
      <c r="G921" s="9" t="s">
        <v>138</v>
      </c>
      <c r="J921">
        <v>0</v>
      </c>
      <c r="K921">
        <v>0</v>
      </c>
      <c r="M921">
        <v>894</v>
      </c>
    </row>
    <row r="922" spans="1:13" x14ac:dyDescent="0.3">
      <c r="A922">
        <v>41644.580555555556</v>
      </c>
      <c r="B922">
        <v>2040</v>
      </c>
      <c r="C922" s="7">
        <v>41640.024305555555</v>
      </c>
      <c r="D922" t="s">
        <v>318</v>
      </c>
      <c r="E922" t="s">
        <v>69</v>
      </c>
      <c r="F922" t="s">
        <v>138</v>
      </c>
      <c r="G922" s="9" t="s">
        <v>138</v>
      </c>
      <c r="J922">
        <v>0</v>
      </c>
      <c r="K922">
        <v>0</v>
      </c>
      <c r="M922">
        <v>943</v>
      </c>
    </row>
    <row r="923" spans="1:13" x14ac:dyDescent="0.3">
      <c r="A923">
        <v>41644.581250000003</v>
      </c>
      <c r="B923">
        <v>780</v>
      </c>
      <c r="C923" s="7">
        <v>41640.020138888889</v>
      </c>
      <c r="D923" t="s">
        <v>10</v>
      </c>
      <c r="E923" t="s">
        <v>291</v>
      </c>
      <c r="F923" t="s">
        <v>138</v>
      </c>
      <c r="G923" s="9" t="s">
        <v>138</v>
      </c>
      <c r="J923">
        <v>0</v>
      </c>
      <c r="K923">
        <v>0</v>
      </c>
      <c r="M923">
        <v>903</v>
      </c>
    </row>
    <row r="924" spans="1:13" x14ac:dyDescent="0.3">
      <c r="A924">
        <v>41644.583333333336</v>
      </c>
      <c r="B924">
        <v>900</v>
      </c>
      <c r="C924" s="7">
        <v>41640.011111111111</v>
      </c>
      <c r="D924" t="s">
        <v>58</v>
      </c>
      <c r="E924" t="s">
        <v>8</v>
      </c>
      <c r="F924" t="s">
        <v>138</v>
      </c>
      <c r="G924" s="9" t="s">
        <v>138</v>
      </c>
      <c r="J924">
        <v>0</v>
      </c>
      <c r="K924">
        <v>0</v>
      </c>
      <c r="M924">
        <v>921</v>
      </c>
    </row>
    <row r="925" spans="1:13" x14ac:dyDescent="0.3">
      <c r="A925">
        <v>41644.584027777775</v>
      </c>
      <c r="B925">
        <v>1800</v>
      </c>
      <c r="C925" s="7">
        <v>41640.020833333336</v>
      </c>
      <c r="D925" t="s">
        <v>83</v>
      </c>
      <c r="E925" t="s">
        <v>13</v>
      </c>
      <c r="F925" t="s">
        <v>138</v>
      </c>
      <c r="G925" s="9" t="s">
        <v>138</v>
      </c>
      <c r="J925">
        <v>0</v>
      </c>
      <c r="K925">
        <v>0</v>
      </c>
      <c r="M925">
        <v>900</v>
      </c>
    </row>
    <row r="926" spans="1:13" x14ac:dyDescent="0.3">
      <c r="A926">
        <v>41644.587500000001</v>
      </c>
      <c r="B926">
        <v>1080</v>
      </c>
      <c r="C926" s="7">
        <v>41640.013194444444</v>
      </c>
      <c r="D926" t="s">
        <v>364</v>
      </c>
      <c r="E926" t="s">
        <v>10</v>
      </c>
      <c r="F926" t="s">
        <v>138</v>
      </c>
      <c r="G926" s="9" t="s">
        <v>138</v>
      </c>
      <c r="J926">
        <v>0</v>
      </c>
      <c r="K926">
        <v>0</v>
      </c>
      <c r="M926">
        <v>936</v>
      </c>
    </row>
    <row r="927" spans="1:13" x14ac:dyDescent="0.3">
      <c r="A927">
        <v>41644.590277777781</v>
      </c>
      <c r="B927">
        <v>1740</v>
      </c>
      <c r="C927" s="7">
        <v>41640.023611111108</v>
      </c>
      <c r="D927" t="s">
        <v>290</v>
      </c>
      <c r="E927" t="s">
        <v>151</v>
      </c>
      <c r="F927" t="s">
        <v>138</v>
      </c>
      <c r="G927" s="9" t="s">
        <v>138</v>
      </c>
      <c r="J927">
        <v>0</v>
      </c>
      <c r="K927">
        <v>0</v>
      </c>
      <c r="M927">
        <v>926</v>
      </c>
    </row>
    <row r="928" spans="1:13" x14ac:dyDescent="0.3">
      <c r="A928">
        <v>41644.593055555553</v>
      </c>
      <c r="B928">
        <v>2400</v>
      </c>
      <c r="C928" s="7">
        <v>41640.03402777778</v>
      </c>
      <c r="D928" t="s">
        <v>238</v>
      </c>
      <c r="E928" t="s">
        <v>7</v>
      </c>
      <c r="F928" t="s">
        <v>138</v>
      </c>
      <c r="G928" s="9" t="s">
        <v>138</v>
      </c>
      <c r="J928">
        <v>0</v>
      </c>
      <c r="K928">
        <v>0</v>
      </c>
      <c r="M928">
        <v>968</v>
      </c>
    </row>
    <row r="929" spans="1:13" x14ac:dyDescent="0.3">
      <c r="A929">
        <v>41644.59375</v>
      </c>
      <c r="B929">
        <v>300</v>
      </c>
      <c r="C929" s="7">
        <v>41640.017361111109</v>
      </c>
      <c r="D929" t="s">
        <v>22</v>
      </c>
      <c r="E929" t="s">
        <v>155</v>
      </c>
      <c r="F929" t="s">
        <v>138</v>
      </c>
      <c r="G929" s="9" t="s">
        <v>138</v>
      </c>
      <c r="J929">
        <v>0</v>
      </c>
      <c r="K929">
        <v>0</v>
      </c>
      <c r="M929">
        <v>917</v>
      </c>
    </row>
    <row r="930" spans="1:13" x14ac:dyDescent="0.3">
      <c r="A930">
        <v>41644.59652777778</v>
      </c>
      <c r="B930">
        <v>1320</v>
      </c>
      <c r="C930" s="7">
        <v>41640.022222222222</v>
      </c>
      <c r="D930" t="s">
        <v>23</v>
      </c>
      <c r="E930" t="s">
        <v>194</v>
      </c>
      <c r="F930" t="s">
        <v>138</v>
      </c>
      <c r="G930" s="9" t="s">
        <v>138</v>
      </c>
      <c r="J930">
        <v>0</v>
      </c>
      <c r="K930">
        <v>0</v>
      </c>
      <c r="M930">
        <v>955</v>
      </c>
    </row>
    <row r="931" spans="1:13" x14ac:dyDescent="0.3">
      <c r="A931">
        <v>41644.597222222219</v>
      </c>
      <c r="B931">
        <v>1620</v>
      </c>
      <c r="C931" s="7">
        <v>41640.018750000003</v>
      </c>
      <c r="D931" t="s">
        <v>319</v>
      </c>
      <c r="E931" t="s">
        <v>22</v>
      </c>
      <c r="F931" t="s">
        <v>138</v>
      </c>
      <c r="G931" s="9" t="s">
        <v>138</v>
      </c>
      <c r="J931">
        <v>0</v>
      </c>
      <c r="K931">
        <v>0</v>
      </c>
      <c r="M931">
        <v>964</v>
      </c>
    </row>
    <row r="932" spans="1:13" x14ac:dyDescent="0.3">
      <c r="A932">
        <v>41644.597222222219</v>
      </c>
      <c r="B932">
        <v>1560</v>
      </c>
      <c r="C932" s="7">
        <v>41640.023611111108</v>
      </c>
      <c r="D932" t="s">
        <v>365</v>
      </c>
      <c r="E932" t="s">
        <v>15</v>
      </c>
      <c r="F932" t="s">
        <v>138</v>
      </c>
      <c r="G932" s="9" t="s">
        <v>138</v>
      </c>
      <c r="J932">
        <v>0</v>
      </c>
      <c r="K932">
        <v>0</v>
      </c>
      <c r="M932">
        <v>951</v>
      </c>
    </row>
    <row r="933" spans="1:13" x14ac:dyDescent="0.3">
      <c r="A933">
        <v>41644.597916666666</v>
      </c>
      <c r="B933">
        <v>1800</v>
      </c>
      <c r="C933" s="7">
        <v>41640.021527777775</v>
      </c>
      <c r="D933" t="s">
        <v>235</v>
      </c>
      <c r="E933" t="s">
        <v>15</v>
      </c>
      <c r="F933" t="s">
        <v>138</v>
      </c>
      <c r="G933" s="9" t="s">
        <v>138</v>
      </c>
      <c r="J933">
        <v>0</v>
      </c>
      <c r="K933">
        <v>0</v>
      </c>
      <c r="M933">
        <v>935</v>
      </c>
    </row>
    <row r="934" spans="1:13" x14ac:dyDescent="0.3">
      <c r="A934">
        <v>41644.599305555559</v>
      </c>
      <c r="B934">
        <v>1500</v>
      </c>
      <c r="C934" s="7">
        <v>41640.020138888889</v>
      </c>
      <c r="D934" t="s">
        <v>30</v>
      </c>
      <c r="E934" t="s">
        <v>358</v>
      </c>
      <c r="F934" t="s">
        <v>138</v>
      </c>
      <c r="G934" s="9" t="s">
        <v>138</v>
      </c>
      <c r="J934">
        <v>0</v>
      </c>
      <c r="K934">
        <v>0</v>
      </c>
      <c r="M934">
        <v>899</v>
      </c>
    </row>
    <row r="935" spans="1:13" x14ac:dyDescent="0.3">
      <c r="A935">
        <v>41644.603472222225</v>
      </c>
      <c r="B935">
        <v>900</v>
      </c>
      <c r="C935" s="7">
        <v>41640.022222222222</v>
      </c>
      <c r="D935" t="s">
        <v>30</v>
      </c>
      <c r="E935" t="s">
        <v>315</v>
      </c>
      <c r="F935" t="s">
        <v>138</v>
      </c>
      <c r="G935" s="9" t="s">
        <v>138</v>
      </c>
      <c r="J935">
        <v>0</v>
      </c>
      <c r="K935">
        <v>0</v>
      </c>
      <c r="M935">
        <v>901</v>
      </c>
    </row>
    <row r="936" spans="1:13" x14ac:dyDescent="0.3">
      <c r="A936">
        <v>41644.606249999997</v>
      </c>
      <c r="B936">
        <v>2220</v>
      </c>
      <c r="C936" s="7">
        <v>41640.032638888886</v>
      </c>
      <c r="D936" t="s">
        <v>366</v>
      </c>
      <c r="E936" t="s">
        <v>13</v>
      </c>
      <c r="F936" t="s">
        <v>138</v>
      </c>
      <c r="G936" s="9" t="s">
        <v>138</v>
      </c>
      <c r="J936">
        <v>0</v>
      </c>
      <c r="K936">
        <v>0</v>
      </c>
      <c r="M936">
        <v>940</v>
      </c>
    </row>
    <row r="937" spans="1:13" x14ac:dyDescent="0.3">
      <c r="A937">
        <v>41644.606249999997</v>
      </c>
      <c r="B937">
        <v>1380</v>
      </c>
      <c r="C937" s="7">
        <v>41640.017361111109</v>
      </c>
      <c r="D937" t="s">
        <v>91</v>
      </c>
      <c r="E937" t="s">
        <v>13</v>
      </c>
      <c r="F937" t="s">
        <v>138</v>
      </c>
      <c r="G937" s="9" t="s">
        <v>138</v>
      </c>
      <c r="J937">
        <v>0</v>
      </c>
      <c r="K937">
        <v>0</v>
      </c>
      <c r="M937">
        <v>916</v>
      </c>
    </row>
    <row r="938" spans="1:13" x14ac:dyDescent="0.3">
      <c r="A938">
        <v>41644.606944444444</v>
      </c>
      <c r="B938">
        <v>1140</v>
      </c>
      <c r="C938" s="7">
        <v>41640.025694444441</v>
      </c>
      <c r="D938" t="s">
        <v>22</v>
      </c>
      <c r="E938" t="s">
        <v>259</v>
      </c>
      <c r="F938" t="s">
        <v>138</v>
      </c>
      <c r="G938" s="9" t="s">
        <v>138</v>
      </c>
      <c r="J938">
        <v>0</v>
      </c>
      <c r="K938">
        <v>0</v>
      </c>
      <c r="M938">
        <v>904</v>
      </c>
    </row>
    <row r="939" spans="1:13" x14ac:dyDescent="0.3">
      <c r="A939">
        <v>41644.606944444444</v>
      </c>
      <c r="B939">
        <v>720</v>
      </c>
      <c r="C939" s="7">
        <v>41640.018055555556</v>
      </c>
      <c r="D939" t="s">
        <v>14</v>
      </c>
      <c r="E939" t="s">
        <v>236</v>
      </c>
      <c r="F939" t="s">
        <v>138</v>
      </c>
      <c r="G939" s="9" t="s">
        <v>138</v>
      </c>
      <c r="J939">
        <v>0</v>
      </c>
      <c r="K939">
        <v>0</v>
      </c>
      <c r="M939">
        <v>878</v>
      </c>
    </row>
    <row r="940" spans="1:13" x14ac:dyDescent="0.3">
      <c r="A940">
        <v>41644.607638888891</v>
      </c>
      <c r="B940">
        <v>2220</v>
      </c>
      <c r="C940" s="7">
        <v>41640.036805555559</v>
      </c>
      <c r="D940" t="s">
        <v>14</v>
      </c>
      <c r="E940" t="s">
        <v>360</v>
      </c>
      <c r="F940" t="s">
        <v>138</v>
      </c>
      <c r="G940" s="9" t="s">
        <v>138</v>
      </c>
      <c r="J940">
        <v>0</v>
      </c>
      <c r="K940">
        <v>0</v>
      </c>
      <c r="M940">
        <v>897</v>
      </c>
    </row>
    <row r="941" spans="1:13" x14ac:dyDescent="0.3">
      <c r="A941">
        <v>41644.60833333333</v>
      </c>
      <c r="B941">
        <v>1080</v>
      </c>
      <c r="C941" s="7">
        <v>41640.03125</v>
      </c>
      <c r="D941" t="s">
        <v>8</v>
      </c>
      <c r="E941" t="s">
        <v>233</v>
      </c>
      <c r="F941" t="s">
        <v>138</v>
      </c>
      <c r="G941" s="9" t="s">
        <v>138</v>
      </c>
      <c r="J941">
        <v>0</v>
      </c>
      <c r="K941">
        <v>0</v>
      </c>
      <c r="M941">
        <v>925</v>
      </c>
    </row>
    <row r="942" spans="1:13" x14ac:dyDescent="0.3">
      <c r="A942">
        <v>41644.611111111109</v>
      </c>
      <c r="B942">
        <v>1800</v>
      </c>
      <c r="C942" s="7">
        <v>41640.020833333336</v>
      </c>
      <c r="D942" t="s">
        <v>22</v>
      </c>
      <c r="E942" t="s">
        <v>261</v>
      </c>
      <c r="F942" t="s">
        <v>138</v>
      </c>
      <c r="G942" s="9" t="s">
        <v>138</v>
      </c>
      <c r="J942">
        <v>0</v>
      </c>
      <c r="K942">
        <v>0</v>
      </c>
      <c r="M942">
        <v>962</v>
      </c>
    </row>
    <row r="943" spans="1:13" x14ac:dyDescent="0.3">
      <c r="A943">
        <v>41644.611111111109</v>
      </c>
      <c r="B943">
        <v>1080</v>
      </c>
      <c r="C943" s="7">
        <v>41640.027083333334</v>
      </c>
      <c r="D943" t="s">
        <v>13</v>
      </c>
      <c r="E943" t="s">
        <v>83</v>
      </c>
      <c r="F943" t="s">
        <v>138</v>
      </c>
      <c r="G943" s="9" t="s">
        <v>138</v>
      </c>
      <c r="J943">
        <v>0</v>
      </c>
      <c r="K943">
        <v>0</v>
      </c>
      <c r="M943">
        <v>884</v>
      </c>
    </row>
    <row r="944" spans="1:13" x14ac:dyDescent="0.3">
      <c r="A944">
        <v>41644.614583333336</v>
      </c>
      <c r="B944">
        <v>720</v>
      </c>
      <c r="C944" s="7">
        <v>41640.012499999997</v>
      </c>
      <c r="D944" t="s">
        <v>30</v>
      </c>
      <c r="E944" t="s">
        <v>231</v>
      </c>
      <c r="F944" t="s">
        <v>138</v>
      </c>
      <c r="G944" s="9" t="s">
        <v>138</v>
      </c>
      <c r="J944">
        <v>0</v>
      </c>
      <c r="K944">
        <v>0</v>
      </c>
      <c r="M944">
        <v>953</v>
      </c>
    </row>
    <row r="945" spans="1:13" x14ac:dyDescent="0.3">
      <c r="A945">
        <v>41644.615277777775</v>
      </c>
      <c r="B945">
        <v>1200</v>
      </c>
      <c r="C945" s="7">
        <v>41640.029861111114</v>
      </c>
      <c r="D945" t="s">
        <v>198</v>
      </c>
      <c r="E945" t="s">
        <v>160</v>
      </c>
      <c r="F945" t="s">
        <v>138</v>
      </c>
      <c r="G945" s="9" t="s">
        <v>138</v>
      </c>
      <c r="J945">
        <v>0</v>
      </c>
      <c r="K945">
        <v>0</v>
      </c>
      <c r="M945">
        <v>937</v>
      </c>
    </row>
    <row r="946" spans="1:13" x14ac:dyDescent="0.3">
      <c r="A946">
        <v>41644.618055555555</v>
      </c>
      <c r="B946">
        <v>2340</v>
      </c>
      <c r="C946" s="7">
        <v>41640.029166666667</v>
      </c>
      <c r="D946" t="s">
        <v>10</v>
      </c>
      <c r="E946" t="s">
        <v>364</v>
      </c>
      <c r="F946" t="s">
        <v>138</v>
      </c>
      <c r="G946" s="9" t="s">
        <v>138</v>
      </c>
      <c r="J946">
        <v>0</v>
      </c>
      <c r="K946">
        <v>0</v>
      </c>
      <c r="M946">
        <v>908</v>
      </c>
    </row>
    <row r="947" spans="1:13" x14ac:dyDescent="0.3">
      <c r="A947">
        <v>41644.620833333334</v>
      </c>
      <c r="B947">
        <v>1140</v>
      </c>
      <c r="C947" s="7">
        <v>41640.015277777777</v>
      </c>
      <c r="D947" t="s">
        <v>78</v>
      </c>
      <c r="E947" t="s">
        <v>22</v>
      </c>
      <c r="F947" t="s">
        <v>138</v>
      </c>
      <c r="G947" s="9" t="s">
        <v>138</v>
      </c>
      <c r="J947">
        <v>0</v>
      </c>
      <c r="K947">
        <v>0</v>
      </c>
      <c r="M947">
        <v>956</v>
      </c>
    </row>
    <row r="948" spans="1:13" x14ac:dyDescent="0.3">
      <c r="A948">
        <v>41644.622916666667</v>
      </c>
      <c r="B948">
        <v>2160</v>
      </c>
      <c r="C948" s="7">
        <v>41640.033333333333</v>
      </c>
      <c r="D948" t="s">
        <v>151</v>
      </c>
      <c r="E948" t="s">
        <v>290</v>
      </c>
      <c r="F948" t="s">
        <v>138</v>
      </c>
      <c r="G948" s="9" t="s">
        <v>138</v>
      </c>
      <c r="J948">
        <v>0</v>
      </c>
      <c r="K948">
        <v>0</v>
      </c>
      <c r="M948">
        <v>924</v>
      </c>
    </row>
    <row r="949" spans="1:13" x14ac:dyDescent="0.3">
      <c r="A949">
        <v>41644.622916666667</v>
      </c>
      <c r="B949">
        <v>1500</v>
      </c>
      <c r="C949" s="7">
        <v>41640.025000000001</v>
      </c>
      <c r="D949" t="s">
        <v>22</v>
      </c>
      <c r="E949" t="s">
        <v>164</v>
      </c>
      <c r="F949" t="s">
        <v>138</v>
      </c>
      <c r="G949" s="9" t="s">
        <v>138</v>
      </c>
      <c r="J949">
        <v>0</v>
      </c>
      <c r="K949">
        <v>0</v>
      </c>
      <c r="M949">
        <v>887</v>
      </c>
    </row>
    <row r="950" spans="1:13" x14ac:dyDescent="0.3">
      <c r="A950">
        <v>41644.624305555553</v>
      </c>
      <c r="B950">
        <v>2040</v>
      </c>
      <c r="C950" s="7">
        <v>41640.03125</v>
      </c>
      <c r="D950" t="s">
        <v>207</v>
      </c>
      <c r="E950" t="s">
        <v>30</v>
      </c>
      <c r="F950" t="s">
        <v>138</v>
      </c>
      <c r="G950" s="9" t="s">
        <v>138</v>
      </c>
      <c r="J950">
        <v>0</v>
      </c>
      <c r="K950">
        <v>0</v>
      </c>
      <c r="M950">
        <v>969</v>
      </c>
    </row>
    <row r="951" spans="1:13" x14ac:dyDescent="0.3">
      <c r="A951">
        <v>41644.625</v>
      </c>
      <c r="B951">
        <v>1500</v>
      </c>
      <c r="C951" s="7">
        <v>41640.03125</v>
      </c>
      <c r="D951" t="s">
        <v>40</v>
      </c>
      <c r="E951" t="s">
        <v>17</v>
      </c>
      <c r="F951" t="s">
        <v>138</v>
      </c>
      <c r="G951" s="9" t="s">
        <v>138</v>
      </c>
      <c r="J951">
        <v>0</v>
      </c>
      <c r="K951">
        <v>0</v>
      </c>
      <c r="M951">
        <v>957</v>
      </c>
    </row>
    <row r="952" spans="1:13" x14ac:dyDescent="0.3">
      <c r="A952">
        <v>41644.625</v>
      </c>
      <c r="B952">
        <v>2100</v>
      </c>
      <c r="C952" s="7">
        <v>41640.027777777781</v>
      </c>
      <c r="D952" t="s">
        <v>287</v>
      </c>
      <c r="E952" t="s">
        <v>13</v>
      </c>
      <c r="F952" t="s">
        <v>138</v>
      </c>
      <c r="G952" s="9" t="s">
        <v>138</v>
      </c>
      <c r="J952">
        <v>0</v>
      </c>
      <c r="K952">
        <v>0</v>
      </c>
      <c r="M952">
        <v>885</v>
      </c>
    </row>
    <row r="953" spans="1:13" x14ac:dyDescent="0.3">
      <c r="A953">
        <v>41644.630555555559</v>
      </c>
      <c r="B953">
        <v>1560</v>
      </c>
      <c r="C953" s="7">
        <v>41640.018055555556</v>
      </c>
      <c r="D953" t="s">
        <v>22</v>
      </c>
      <c r="E953" t="s">
        <v>367</v>
      </c>
      <c r="F953" t="s">
        <v>138</v>
      </c>
      <c r="G953" s="9" t="s">
        <v>138</v>
      </c>
      <c r="J953">
        <v>0</v>
      </c>
      <c r="K953">
        <v>0</v>
      </c>
      <c r="M953">
        <v>961</v>
      </c>
    </row>
    <row r="954" spans="1:13" x14ac:dyDescent="0.3">
      <c r="A954">
        <v>41644.631944444445</v>
      </c>
      <c r="B954">
        <v>2820</v>
      </c>
      <c r="C954" s="7">
        <v>41640.033333333333</v>
      </c>
      <c r="D954" t="s">
        <v>8</v>
      </c>
      <c r="E954" t="s">
        <v>58</v>
      </c>
      <c r="F954" t="s">
        <v>138</v>
      </c>
      <c r="G954" s="9" t="s">
        <v>138</v>
      </c>
      <c r="J954">
        <v>0</v>
      </c>
      <c r="K954">
        <v>0</v>
      </c>
      <c r="M954">
        <v>938</v>
      </c>
    </row>
    <row r="955" spans="1:13" x14ac:dyDescent="0.3">
      <c r="A955">
        <v>41644.631944444445</v>
      </c>
      <c r="B955">
        <v>420</v>
      </c>
      <c r="C955" s="7">
        <v>41640.018055555556</v>
      </c>
      <c r="D955" t="s">
        <v>15</v>
      </c>
      <c r="E955" t="s">
        <v>14</v>
      </c>
      <c r="F955" t="s">
        <v>138</v>
      </c>
      <c r="G955" s="9" t="s">
        <v>138</v>
      </c>
      <c r="J955">
        <v>0</v>
      </c>
      <c r="K955">
        <v>0</v>
      </c>
      <c r="M955">
        <v>892</v>
      </c>
    </row>
    <row r="956" spans="1:13" x14ac:dyDescent="0.3">
      <c r="A956">
        <v>41644.633333333331</v>
      </c>
      <c r="B956">
        <v>1920</v>
      </c>
      <c r="C956" s="7">
        <v>41640.027083333334</v>
      </c>
      <c r="D956" t="s">
        <v>304</v>
      </c>
      <c r="E956" t="s">
        <v>30</v>
      </c>
      <c r="F956" t="s">
        <v>138</v>
      </c>
      <c r="G956" s="9" t="s">
        <v>138</v>
      </c>
      <c r="J956">
        <v>0</v>
      </c>
      <c r="K956">
        <v>0</v>
      </c>
      <c r="M956">
        <v>907</v>
      </c>
    </row>
    <row r="957" spans="1:13" x14ac:dyDescent="0.3">
      <c r="A957">
        <v>41644.636111111111</v>
      </c>
      <c r="B957">
        <v>2520</v>
      </c>
      <c r="C957" s="7">
        <v>41640.029166666667</v>
      </c>
      <c r="D957" t="s">
        <v>13</v>
      </c>
      <c r="E957" t="s">
        <v>91</v>
      </c>
      <c r="F957" t="s">
        <v>138</v>
      </c>
      <c r="G957" s="9" t="s">
        <v>138</v>
      </c>
      <c r="J957">
        <v>0</v>
      </c>
      <c r="K957">
        <v>0</v>
      </c>
      <c r="M957">
        <v>914</v>
      </c>
    </row>
    <row r="958" spans="1:13" x14ac:dyDescent="0.3">
      <c r="A958">
        <v>41644.643055555556</v>
      </c>
      <c r="B958">
        <v>1920</v>
      </c>
      <c r="C958" s="7">
        <v>41640.025694444441</v>
      </c>
      <c r="D958" t="s">
        <v>13</v>
      </c>
      <c r="E958" t="s">
        <v>366</v>
      </c>
      <c r="F958" t="s">
        <v>138</v>
      </c>
      <c r="G958" s="9" t="s">
        <v>138</v>
      </c>
      <c r="J958">
        <v>0</v>
      </c>
      <c r="K958">
        <v>0</v>
      </c>
      <c r="M958">
        <v>895</v>
      </c>
    </row>
    <row r="959" spans="1:13" x14ac:dyDescent="0.3">
      <c r="A959">
        <v>41644.644444444442</v>
      </c>
      <c r="B959">
        <v>1620</v>
      </c>
      <c r="C959" s="7">
        <v>41640.018750000003</v>
      </c>
      <c r="D959" t="s">
        <v>217</v>
      </c>
      <c r="E959" t="s">
        <v>156</v>
      </c>
      <c r="F959" t="s">
        <v>138</v>
      </c>
      <c r="G959" s="9" t="s">
        <v>138</v>
      </c>
      <c r="J959">
        <v>0</v>
      </c>
      <c r="K959">
        <v>0</v>
      </c>
      <c r="M959">
        <v>960</v>
      </c>
    </row>
    <row r="960" spans="1:13" x14ac:dyDescent="0.3">
      <c r="A960">
        <v>41644.645833333336</v>
      </c>
      <c r="B960">
        <v>2520</v>
      </c>
      <c r="C960" s="7">
        <v>41640.033333333333</v>
      </c>
      <c r="D960" t="s">
        <v>29</v>
      </c>
      <c r="E960" t="s">
        <v>146</v>
      </c>
      <c r="F960" t="s">
        <v>138</v>
      </c>
      <c r="G960" s="9" t="s">
        <v>138</v>
      </c>
      <c r="J960">
        <v>0</v>
      </c>
      <c r="K960">
        <v>0</v>
      </c>
      <c r="M960">
        <v>893</v>
      </c>
    </row>
    <row r="961" spans="1:13" x14ac:dyDescent="0.3">
      <c r="A961">
        <v>41644.646527777775</v>
      </c>
      <c r="B961">
        <v>1680</v>
      </c>
      <c r="C961" s="7">
        <v>41640.020833333336</v>
      </c>
      <c r="D961" t="s">
        <v>169</v>
      </c>
      <c r="E961" t="s">
        <v>15</v>
      </c>
      <c r="F961" t="s">
        <v>138</v>
      </c>
      <c r="G961" s="9" t="s">
        <v>138</v>
      </c>
      <c r="J961">
        <v>0</v>
      </c>
      <c r="K961">
        <v>0</v>
      </c>
      <c r="M961">
        <v>886</v>
      </c>
    </row>
    <row r="962" spans="1:13" x14ac:dyDescent="0.3">
      <c r="A962">
        <v>41644.647916666669</v>
      </c>
      <c r="B962">
        <v>2280</v>
      </c>
      <c r="C962" s="7">
        <v>41640.026388888888</v>
      </c>
      <c r="D962" t="s">
        <v>22</v>
      </c>
      <c r="E962" t="s">
        <v>363</v>
      </c>
      <c r="F962" t="s">
        <v>138</v>
      </c>
      <c r="G962" s="9" t="s">
        <v>138</v>
      </c>
      <c r="J962">
        <v>0</v>
      </c>
      <c r="K962">
        <v>0</v>
      </c>
      <c r="M962">
        <v>939</v>
      </c>
    </row>
    <row r="963" spans="1:13" x14ac:dyDescent="0.3">
      <c r="A963">
        <v>41644.647916666669</v>
      </c>
      <c r="B963">
        <v>1260</v>
      </c>
      <c r="C963" s="7">
        <v>41640.020833333336</v>
      </c>
      <c r="D963" t="s">
        <v>15</v>
      </c>
      <c r="E963" t="s">
        <v>235</v>
      </c>
      <c r="F963" t="s">
        <v>138</v>
      </c>
      <c r="G963" s="9" t="s">
        <v>138</v>
      </c>
      <c r="J963">
        <v>0</v>
      </c>
      <c r="K963">
        <v>0</v>
      </c>
      <c r="M963">
        <v>918</v>
      </c>
    </row>
    <row r="964" spans="1:13" x14ac:dyDescent="0.3">
      <c r="A964">
        <v>41644.647916666669</v>
      </c>
      <c r="B964">
        <v>1500</v>
      </c>
      <c r="C964" s="7">
        <v>41640.038888888892</v>
      </c>
      <c r="D964" t="s">
        <v>22</v>
      </c>
      <c r="E964" t="s">
        <v>325</v>
      </c>
      <c r="F964" t="s">
        <v>138</v>
      </c>
      <c r="G964" s="9" t="s">
        <v>138</v>
      </c>
      <c r="J964">
        <v>0</v>
      </c>
      <c r="K964">
        <v>0</v>
      </c>
      <c r="M964">
        <v>905</v>
      </c>
    </row>
    <row r="965" spans="1:13" x14ac:dyDescent="0.3">
      <c r="A965">
        <v>41644.649305555555</v>
      </c>
      <c r="B965">
        <v>1980</v>
      </c>
      <c r="C965" s="7">
        <v>41640.022916666669</v>
      </c>
      <c r="D965" t="s">
        <v>22</v>
      </c>
      <c r="E965" t="s">
        <v>362</v>
      </c>
      <c r="F965" t="s">
        <v>138</v>
      </c>
      <c r="G965" s="9" t="s">
        <v>138</v>
      </c>
      <c r="J965">
        <v>0</v>
      </c>
      <c r="K965">
        <v>0</v>
      </c>
      <c r="M965">
        <v>906</v>
      </c>
    </row>
    <row r="966" spans="1:13" x14ac:dyDescent="0.3">
      <c r="A966">
        <v>41644.650694444441</v>
      </c>
      <c r="B966">
        <v>2100</v>
      </c>
      <c r="C966" s="7">
        <v>41640.024305555555</v>
      </c>
      <c r="D966" t="s">
        <v>14</v>
      </c>
      <c r="E966" t="s">
        <v>323</v>
      </c>
      <c r="F966" t="s">
        <v>138</v>
      </c>
      <c r="G966" s="9" t="s">
        <v>138</v>
      </c>
      <c r="J966">
        <v>0</v>
      </c>
      <c r="K966">
        <v>0</v>
      </c>
      <c r="M966">
        <v>966</v>
      </c>
    </row>
    <row r="967" spans="1:13" x14ac:dyDescent="0.3">
      <c r="A967">
        <v>41644.650694444441</v>
      </c>
      <c r="B967">
        <v>2100</v>
      </c>
      <c r="C967" s="7">
        <v>41640.024305555555</v>
      </c>
      <c r="D967" t="s">
        <v>22</v>
      </c>
      <c r="E967" t="s">
        <v>78</v>
      </c>
      <c r="F967" t="s">
        <v>138</v>
      </c>
      <c r="G967" s="9" t="s">
        <v>138</v>
      </c>
      <c r="J967">
        <v>0</v>
      </c>
      <c r="K967">
        <v>0</v>
      </c>
      <c r="M967">
        <v>915</v>
      </c>
    </row>
    <row r="968" spans="1:13" x14ac:dyDescent="0.3">
      <c r="A968">
        <v>41644.65625</v>
      </c>
      <c r="B968">
        <v>2880</v>
      </c>
      <c r="C968" s="7">
        <v>41640.033333333333</v>
      </c>
      <c r="D968" t="s">
        <v>293</v>
      </c>
      <c r="E968" t="s">
        <v>46</v>
      </c>
      <c r="F968" t="s">
        <v>138</v>
      </c>
      <c r="G968" s="9" t="s">
        <v>138</v>
      </c>
      <c r="J968">
        <v>0</v>
      </c>
      <c r="K968">
        <v>0</v>
      </c>
      <c r="M968">
        <v>932</v>
      </c>
    </row>
    <row r="969" spans="1:13" x14ac:dyDescent="0.3">
      <c r="A969">
        <v>41644.657638888886</v>
      </c>
      <c r="B969">
        <v>1680</v>
      </c>
      <c r="C969" s="7">
        <v>41640.02847222222</v>
      </c>
      <c r="D969" t="s">
        <v>30</v>
      </c>
      <c r="E969" t="s">
        <v>234</v>
      </c>
      <c r="F969" t="s">
        <v>138</v>
      </c>
      <c r="G969" s="9" t="s">
        <v>138</v>
      </c>
      <c r="J969">
        <v>0</v>
      </c>
      <c r="K969">
        <v>0</v>
      </c>
      <c r="M969">
        <v>888</v>
      </c>
    </row>
    <row r="970" spans="1:13" x14ac:dyDescent="0.3">
      <c r="A970">
        <v>41644.661111111112</v>
      </c>
      <c r="B970">
        <v>960</v>
      </c>
      <c r="C970" s="7">
        <v>41640.02847222222</v>
      </c>
      <c r="D970" t="s">
        <v>13</v>
      </c>
      <c r="E970" t="s">
        <v>287</v>
      </c>
      <c r="F970" t="s">
        <v>138</v>
      </c>
      <c r="G970" s="9" t="s">
        <v>138</v>
      </c>
      <c r="J970">
        <v>0</v>
      </c>
      <c r="K970">
        <v>0</v>
      </c>
      <c r="M970">
        <v>919</v>
      </c>
    </row>
    <row r="971" spans="1:13" x14ac:dyDescent="0.3">
      <c r="A971">
        <v>41644.663888888892</v>
      </c>
      <c r="B971">
        <v>1560</v>
      </c>
      <c r="C971" s="7">
        <v>41640.027083333334</v>
      </c>
      <c r="D971" t="s">
        <v>15</v>
      </c>
      <c r="E971" t="s">
        <v>297</v>
      </c>
      <c r="F971" t="s">
        <v>138</v>
      </c>
      <c r="G971" s="9" t="s">
        <v>138</v>
      </c>
      <c r="J971">
        <v>0</v>
      </c>
      <c r="K971">
        <v>0</v>
      </c>
      <c r="M971">
        <v>930</v>
      </c>
    </row>
    <row r="972" spans="1:13" x14ac:dyDescent="0.3">
      <c r="A972">
        <v>41644.668055555558</v>
      </c>
      <c r="B972">
        <v>2760</v>
      </c>
      <c r="C972" s="7">
        <v>41640.036805555559</v>
      </c>
      <c r="D972" t="s">
        <v>87</v>
      </c>
      <c r="E972" t="s">
        <v>130</v>
      </c>
      <c r="F972" t="s">
        <v>138</v>
      </c>
      <c r="G972" s="9" t="s">
        <v>138</v>
      </c>
      <c r="J972">
        <v>0</v>
      </c>
      <c r="K972">
        <v>0</v>
      </c>
      <c r="M972">
        <v>971</v>
      </c>
    </row>
    <row r="973" spans="1:13" x14ac:dyDescent="0.3">
      <c r="A973">
        <v>41644.672222222223</v>
      </c>
      <c r="B973">
        <v>3600</v>
      </c>
      <c r="C973" s="7">
        <v>41640.04583333333</v>
      </c>
      <c r="D973" t="s">
        <v>313</v>
      </c>
      <c r="E973" t="s">
        <v>36</v>
      </c>
      <c r="F973" t="s">
        <v>138</v>
      </c>
      <c r="G973" s="9" t="s">
        <v>138</v>
      </c>
      <c r="J973">
        <v>0</v>
      </c>
      <c r="K973">
        <v>0</v>
      </c>
      <c r="M973">
        <v>995</v>
      </c>
    </row>
    <row r="974" spans="1:13" x14ac:dyDescent="0.3">
      <c r="A974">
        <v>41644.673611111109</v>
      </c>
      <c r="B974">
        <v>1680</v>
      </c>
      <c r="C974" s="7">
        <v>41640.025694444441</v>
      </c>
      <c r="D974" t="s">
        <v>40</v>
      </c>
      <c r="E974" t="s">
        <v>41</v>
      </c>
      <c r="F974" t="s">
        <v>138</v>
      </c>
      <c r="G974" s="9" t="s">
        <v>138</v>
      </c>
      <c r="J974">
        <v>0</v>
      </c>
      <c r="K974">
        <v>0</v>
      </c>
      <c r="M974">
        <v>993</v>
      </c>
    </row>
    <row r="975" spans="1:13" x14ac:dyDescent="0.3">
      <c r="A975">
        <v>41644.684027777781</v>
      </c>
      <c r="B975">
        <v>3180</v>
      </c>
      <c r="C975" s="7">
        <v>41640.047222222223</v>
      </c>
      <c r="D975" t="s">
        <v>179</v>
      </c>
      <c r="E975" t="s">
        <v>175</v>
      </c>
      <c r="F975" t="s">
        <v>138</v>
      </c>
      <c r="G975" s="9" t="s">
        <v>138</v>
      </c>
      <c r="J975">
        <v>0</v>
      </c>
      <c r="K975">
        <v>0</v>
      </c>
      <c r="M975">
        <v>975</v>
      </c>
    </row>
    <row r="976" spans="1:13" x14ac:dyDescent="0.3">
      <c r="A976">
        <v>41644.68472222222</v>
      </c>
      <c r="B976">
        <v>2220</v>
      </c>
      <c r="C976" s="7">
        <v>41640.031944444447</v>
      </c>
      <c r="D976" t="s">
        <v>45</v>
      </c>
      <c r="E976" t="s">
        <v>22</v>
      </c>
      <c r="F976" t="s">
        <v>138</v>
      </c>
      <c r="G976" s="9" t="s">
        <v>138</v>
      </c>
      <c r="J976">
        <v>0</v>
      </c>
      <c r="K976">
        <v>0</v>
      </c>
      <c r="M976">
        <v>976</v>
      </c>
    </row>
    <row r="977" spans="1:13" x14ac:dyDescent="0.3">
      <c r="A977">
        <v>41644.686111111114</v>
      </c>
      <c r="B977">
        <v>1800</v>
      </c>
      <c r="C977" s="7">
        <v>41640.022916666669</v>
      </c>
      <c r="D977" t="s">
        <v>22</v>
      </c>
      <c r="E977" t="s">
        <v>368</v>
      </c>
      <c r="F977" t="s">
        <v>138</v>
      </c>
      <c r="G977" s="9" t="s">
        <v>138</v>
      </c>
      <c r="J977">
        <v>0</v>
      </c>
      <c r="K977">
        <v>0</v>
      </c>
      <c r="M977">
        <v>991</v>
      </c>
    </row>
    <row r="978" spans="1:13" x14ac:dyDescent="0.3">
      <c r="A978">
        <v>41644.6875</v>
      </c>
      <c r="B978">
        <v>2460</v>
      </c>
      <c r="C978" s="7">
        <v>41640.036805555559</v>
      </c>
      <c r="D978" t="s">
        <v>22</v>
      </c>
      <c r="E978" t="s">
        <v>369</v>
      </c>
      <c r="F978" t="s">
        <v>138</v>
      </c>
      <c r="G978" s="9" t="s">
        <v>138</v>
      </c>
      <c r="J978">
        <v>0</v>
      </c>
      <c r="K978">
        <v>0</v>
      </c>
      <c r="M978">
        <v>990</v>
      </c>
    </row>
    <row r="979" spans="1:13" x14ac:dyDescent="0.3">
      <c r="A979">
        <v>41644.697222222225</v>
      </c>
      <c r="B979">
        <v>2940</v>
      </c>
      <c r="C979" s="7">
        <v>41640.036805555559</v>
      </c>
      <c r="D979" t="s">
        <v>370</v>
      </c>
      <c r="E979" t="s">
        <v>13</v>
      </c>
      <c r="F979" t="s">
        <v>138</v>
      </c>
      <c r="G979" s="9" t="s">
        <v>138</v>
      </c>
      <c r="J979">
        <v>0</v>
      </c>
      <c r="K979">
        <v>0</v>
      </c>
      <c r="M979">
        <v>972</v>
      </c>
    </row>
    <row r="980" spans="1:13" x14ac:dyDescent="0.3">
      <c r="A980">
        <v>41644.704861111109</v>
      </c>
      <c r="B980">
        <v>1920</v>
      </c>
      <c r="C980" s="7">
        <v>41640.023611111108</v>
      </c>
      <c r="D980" t="s">
        <v>326</v>
      </c>
      <c r="E980" t="s">
        <v>13</v>
      </c>
      <c r="F980" t="s">
        <v>138</v>
      </c>
      <c r="G980" s="9" t="s">
        <v>138</v>
      </c>
      <c r="J980">
        <v>0</v>
      </c>
      <c r="K980">
        <v>0</v>
      </c>
      <c r="M980">
        <v>982</v>
      </c>
    </row>
    <row r="981" spans="1:13" x14ac:dyDescent="0.3">
      <c r="A981">
        <v>41644.709722222222</v>
      </c>
      <c r="B981">
        <v>3780</v>
      </c>
      <c r="C981" s="7">
        <v>41640.059027777781</v>
      </c>
      <c r="D981" t="s">
        <v>79</v>
      </c>
      <c r="E981" t="s">
        <v>160</v>
      </c>
      <c r="F981" t="s">
        <v>138</v>
      </c>
      <c r="G981" s="9" t="s">
        <v>138</v>
      </c>
      <c r="J981">
        <v>0</v>
      </c>
      <c r="K981">
        <v>0</v>
      </c>
      <c r="M981">
        <v>978</v>
      </c>
    </row>
    <row r="982" spans="1:13" x14ac:dyDescent="0.3">
      <c r="A982">
        <v>41644.711111111108</v>
      </c>
      <c r="B982">
        <v>1860</v>
      </c>
      <c r="C982" s="7">
        <v>41640.02847222222</v>
      </c>
      <c r="D982" t="s">
        <v>15</v>
      </c>
      <c r="E982" t="s">
        <v>193</v>
      </c>
      <c r="F982" t="s">
        <v>138</v>
      </c>
      <c r="G982" s="9" t="s">
        <v>138</v>
      </c>
      <c r="J982">
        <v>0</v>
      </c>
      <c r="K982">
        <v>0</v>
      </c>
      <c r="M982">
        <v>981</v>
      </c>
    </row>
    <row r="983" spans="1:13" x14ac:dyDescent="0.3">
      <c r="A983">
        <v>41644.712500000001</v>
      </c>
      <c r="B983">
        <v>3180</v>
      </c>
      <c r="C983" s="7">
        <v>41640.038888888892</v>
      </c>
      <c r="D983" t="s">
        <v>225</v>
      </c>
      <c r="E983" t="s">
        <v>2</v>
      </c>
      <c r="F983" t="s">
        <v>138</v>
      </c>
      <c r="G983" s="9" t="s">
        <v>138</v>
      </c>
      <c r="J983">
        <v>0</v>
      </c>
      <c r="K983">
        <v>0</v>
      </c>
      <c r="M983">
        <v>997</v>
      </c>
    </row>
    <row r="984" spans="1:13" x14ac:dyDescent="0.3">
      <c r="A984">
        <v>41644.724999999999</v>
      </c>
      <c r="B984">
        <v>3420</v>
      </c>
      <c r="C984" s="7">
        <v>41640.039583333331</v>
      </c>
      <c r="D984" t="s">
        <v>52</v>
      </c>
      <c r="E984" t="s">
        <v>46</v>
      </c>
      <c r="F984" t="s">
        <v>138</v>
      </c>
      <c r="G984" s="9" t="s">
        <v>138</v>
      </c>
      <c r="J984">
        <v>0</v>
      </c>
      <c r="K984">
        <v>0</v>
      </c>
      <c r="M984">
        <v>974</v>
      </c>
    </row>
    <row r="985" spans="1:13" x14ac:dyDescent="0.3">
      <c r="A985">
        <v>41644.724999999999</v>
      </c>
      <c r="B985">
        <v>2520</v>
      </c>
      <c r="C985" s="7">
        <v>41640.03402777778</v>
      </c>
      <c r="D985" t="s">
        <v>187</v>
      </c>
      <c r="E985" t="s">
        <v>151</v>
      </c>
      <c r="F985" t="s">
        <v>138</v>
      </c>
      <c r="G985" s="9" t="s">
        <v>138</v>
      </c>
      <c r="J985">
        <v>0</v>
      </c>
      <c r="K985">
        <v>0</v>
      </c>
      <c r="M985">
        <v>973</v>
      </c>
    </row>
    <row r="986" spans="1:13" x14ac:dyDescent="0.3">
      <c r="A986">
        <v>41644.725694444445</v>
      </c>
      <c r="B986">
        <v>2580</v>
      </c>
      <c r="C986" s="7">
        <v>41640.046527777777</v>
      </c>
      <c r="D986" t="s">
        <v>215</v>
      </c>
      <c r="E986" t="s">
        <v>223</v>
      </c>
      <c r="F986" t="s">
        <v>138</v>
      </c>
      <c r="G986" s="9" t="s">
        <v>138</v>
      </c>
      <c r="J986">
        <v>0</v>
      </c>
      <c r="K986">
        <v>0</v>
      </c>
      <c r="M986">
        <v>985</v>
      </c>
    </row>
    <row r="987" spans="1:13" x14ac:dyDescent="0.3">
      <c r="A987">
        <v>41644.73333333333</v>
      </c>
      <c r="B987">
        <v>1560</v>
      </c>
      <c r="C987" s="7">
        <v>41640.025000000001</v>
      </c>
      <c r="D987" t="s">
        <v>98</v>
      </c>
      <c r="E987" t="s">
        <v>177</v>
      </c>
      <c r="F987" t="s">
        <v>138</v>
      </c>
      <c r="G987" s="9" t="s">
        <v>138</v>
      </c>
      <c r="J987">
        <v>0</v>
      </c>
      <c r="K987">
        <v>0</v>
      </c>
      <c r="M987">
        <v>970</v>
      </c>
    </row>
    <row r="988" spans="1:13" x14ac:dyDescent="0.3">
      <c r="A988">
        <v>41644.736111111109</v>
      </c>
      <c r="B988">
        <v>3360</v>
      </c>
      <c r="C988" s="7">
        <v>41640.041666666664</v>
      </c>
      <c r="D988" t="s">
        <v>13</v>
      </c>
      <c r="E988" t="s">
        <v>370</v>
      </c>
      <c r="F988" t="s">
        <v>138</v>
      </c>
      <c r="G988" s="9" t="s">
        <v>138</v>
      </c>
      <c r="J988">
        <v>0</v>
      </c>
      <c r="K988">
        <v>0</v>
      </c>
      <c r="M988">
        <v>996</v>
      </c>
    </row>
    <row r="989" spans="1:13" x14ac:dyDescent="0.3">
      <c r="A989">
        <v>41644.736111111109</v>
      </c>
      <c r="B989">
        <v>1020</v>
      </c>
      <c r="C989" s="7">
        <v>41640.021527777775</v>
      </c>
      <c r="D989" t="s">
        <v>98</v>
      </c>
      <c r="E989" t="s">
        <v>253</v>
      </c>
      <c r="F989" t="s">
        <v>138</v>
      </c>
      <c r="G989" s="9" t="s">
        <v>138</v>
      </c>
      <c r="J989">
        <v>0</v>
      </c>
      <c r="K989">
        <v>0</v>
      </c>
      <c r="M989">
        <v>986</v>
      </c>
    </row>
    <row r="990" spans="1:13" x14ac:dyDescent="0.3">
      <c r="A990">
        <v>41644.740972222222</v>
      </c>
      <c r="B990">
        <v>4320</v>
      </c>
      <c r="C990" s="7">
        <v>41640.055555555555</v>
      </c>
      <c r="D990" t="s">
        <v>338</v>
      </c>
      <c r="E990" t="s">
        <v>15</v>
      </c>
      <c r="F990" t="s">
        <v>138</v>
      </c>
      <c r="G990" s="9" t="s">
        <v>138</v>
      </c>
      <c r="J990">
        <v>0</v>
      </c>
      <c r="K990">
        <v>0</v>
      </c>
      <c r="M990">
        <v>979</v>
      </c>
    </row>
    <row r="991" spans="1:13" x14ac:dyDescent="0.3">
      <c r="A991">
        <v>41644.754861111112</v>
      </c>
      <c r="B991">
        <v>1020</v>
      </c>
      <c r="C991" s="7">
        <v>41640.021527777775</v>
      </c>
      <c r="D991" t="s">
        <v>135</v>
      </c>
      <c r="E991" t="s">
        <v>256</v>
      </c>
      <c r="F991" t="s">
        <v>138</v>
      </c>
      <c r="G991" s="9" t="s">
        <v>138</v>
      </c>
      <c r="J991">
        <v>0</v>
      </c>
      <c r="K991">
        <v>0</v>
      </c>
      <c r="M991">
        <v>989</v>
      </c>
    </row>
    <row r="992" spans="1:13" x14ac:dyDescent="0.3">
      <c r="A992">
        <v>41644.759722222225</v>
      </c>
      <c r="B992">
        <v>2280</v>
      </c>
      <c r="C992" s="7">
        <v>41640.029861111114</v>
      </c>
      <c r="D992" t="s">
        <v>30</v>
      </c>
      <c r="E992" t="s">
        <v>336</v>
      </c>
      <c r="F992" t="s">
        <v>138</v>
      </c>
      <c r="G992" s="9" t="s">
        <v>138</v>
      </c>
      <c r="J992">
        <v>0</v>
      </c>
      <c r="K992">
        <v>0</v>
      </c>
      <c r="M992">
        <v>992</v>
      </c>
    </row>
    <row r="993" spans="1:13" x14ac:dyDescent="0.3">
      <c r="A993">
        <v>41644.761111111111</v>
      </c>
      <c r="B993">
        <v>3600</v>
      </c>
      <c r="C993" s="7">
        <v>41640.048611111109</v>
      </c>
      <c r="D993" t="s">
        <v>151</v>
      </c>
      <c r="E993" t="s">
        <v>187</v>
      </c>
      <c r="F993" t="s">
        <v>138</v>
      </c>
      <c r="G993" s="9" t="s">
        <v>138</v>
      </c>
      <c r="J993">
        <v>0</v>
      </c>
      <c r="K993">
        <v>0</v>
      </c>
      <c r="M993">
        <v>988</v>
      </c>
    </row>
    <row r="994" spans="1:13" x14ac:dyDescent="0.3">
      <c r="A994">
        <v>41644.765972222223</v>
      </c>
      <c r="B994">
        <v>4800</v>
      </c>
      <c r="C994" s="7">
        <v>41640.057638888888</v>
      </c>
      <c r="D994" t="s">
        <v>263</v>
      </c>
      <c r="E994" t="s">
        <v>13</v>
      </c>
      <c r="F994" t="s">
        <v>138</v>
      </c>
      <c r="G994" s="9" t="s">
        <v>138</v>
      </c>
      <c r="J994">
        <v>0</v>
      </c>
      <c r="K994">
        <v>0</v>
      </c>
      <c r="M994">
        <v>983</v>
      </c>
    </row>
    <row r="995" spans="1:13" x14ac:dyDescent="0.3">
      <c r="A995">
        <v>41644.780555555553</v>
      </c>
      <c r="B995">
        <v>3240</v>
      </c>
      <c r="C995" s="7">
        <v>41640.037499999999</v>
      </c>
      <c r="D995" t="s">
        <v>13</v>
      </c>
      <c r="E995" t="s">
        <v>150</v>
      </c>
      <c r="F995" t="s">
        <v>138</v>
      </c>
      <c r="G995" s="9" t="s">
        <v>138</v>
      </c>
      <c r="J995">
        <v>0</v>
      </c>
      <c r="K995">
        <v>0</v>
      </c>
      <c r="M995">
        <v>980</v>
      </c>
    </row>
    <row r="996" spans="1:13" x14ac:dyDescent="0.3">
      <c r="A996">
        <v>41644.787499999999</v>
      </c>
      <c r="B996">
        <v>4980</v>
      </c>
      <c r="C996" s="7">
        <v>41640.06527777778</v>
      </c>
      <c r="D996" t="s">
        <v>359</v>
      </c>
      <c r="E996" t="s">
        <v>371</v>
      </c>
      <c r="F996" t="s">
        <v>138</v>
      </c>
      <c r="G996" s="9" t="s">
        <v>138</v>
      </c>
      <c r="J996">
        <v>0</v>
      </c>
      <c r="K996">
        <v>0</v>
      </c>
      <c r="M996">
        <v>987</v>
      </c>
    </row>
    <row r="997" spans="1:13" x14ac:dyDescent="0.3">
      <c r="A997">
        <v>41644.804166666669</v>
      </c>
      <c r="B997">
        <v>1920</v>
      </c>
      <c r="C997" s="7">
        <v>41640.025694444441</v>
      </c>
      <c r="D997" t="s">
        <v>98</v>
      </c>
      <c r="E997" t="s">
        <v>136</v>
      </c>
      <c r="F997" t="s">
        <v>138</v>
      </c>
      <c r="G997" s="9" t="s">
        <v>138</v>
      </c>
      <c r="J997">
        <v>0</v>
      </c>
      <c r="K997">
        <v>0</v>
      </c>
      <c r="M997">
        <v>994</v>
      </c>
    </row>
    <row r="998" spans="1:13" x14ac:dyDescent="0.3">
      <c r="A998">
        <v>41644.804861111108</v>
      </c>
      <c r="B998">
        <v>1620</v>
      </c>
      <c r="C998" s="7">
        <v>41640.022222222222</v>
      </c>
      <c r="D998" t="s">
        <v>98</v>
      </c>
      <c r="E998" t="s">
        <v>53</v>
      </c>
      <c r="F998" t="s">
        <v>138</v>
      </c>
      <c r="G998" s="9" t="s">
        <v>138</v>
      </c>
      <c r="J998">
        <v>0</v>
      </c>
      <c r="K998">
        <v>0</v>
      </c>
      <c r="M998">
        <v>977</v>
      </c>
    </row>
    <row r="999" spans="1:13" x14ac:dyDescent="0.3">
      <c r="A999">
        <v>41644.827777777777</v>
      </c>
      <c r="B999">
        <v>1800</v>
      </c>
      <c r="C999" s="7">
        <v>41640.029861111114</v>
      </c>
      <c r="D999" t="s">
        <v>13</v>
      </c>
      <c r="E999" t="s">
        <v>263</v>
      </c>
      <c r="F999" t="s">
        <v>138</v>
      </c>
      <c r="G999" s="9" t="s">
        <v>138</v>
      </c>
      <c r="J999">
        <v>0</v>
      </c>
      <c r="K999">
        <v>0</v>
      </c>
      <c r="M999">
        <v>984</v>
      </c>
    </row>
    <row r="1000" spans="1:13" x14ac:dyDescent="0.3">
      <c r="A1000">
        <v>41644.847916666666</v>
      </c>
      <c r="B1000">
        <v>1800</v>
      </c>
      <c r="C1000" s="7">
        <v>41640.027083333334</v>
      </c>
      <c r="D1000" t="s">
        <v>27</v>
      </c>
      <c r="E1000" t="s">
        <v>13</v>
      </c>
      <c r="F1000" t="s">
        <v>138</v>
      </c>
      <c r="G1000" s="9" t="s">
        <v>138</v>
      </c>
      <c r="J1000">
        <v>0</v>
      </c>
      <c r="K1000">
        <v>0</v>
      </c>
      <c r="M1000">
        <v>1002</v>
      </c>
    </row>
    <row r="1001" spans="1:13" x14ac:dyDescent="0.3">
      <c r="A1001">
        <v>41644.856944444444</v>
      </c>
      <c r="B1001">
        <v>1140</v>
      </c>
      <c r="C1001" s="7">
        <v>41640.017361111109</v>
      </c>
      <c r="D1001" t="s">
        <v>95</v>
      </c>
      <c r="E1001" t="s">
        <v>46</v>
      </c>
      <c r="F1001" t="s">
        <v>138</v>
      </c>
      <c r="G1001" s="9" t="s">
        <v>138</v>
      </c>
      <c r="J1001">
        <v>0</v>
      </c>
      <c r="K1001">
        <v>0</v>
      </c>
      <c r="M1001">
        <v>1007</v>
      </c>
    </row>
    <row r="1002" spans="1:13" x14ac:dyDescent="0.3">
      <c r="A1002">
        <v>41644.870833333334</v>
      </c>
      <c r="B1002">
        <v>2280</v>
      </c>
      <c r="C1002" s="7">
        <v>41640.030555555553</v>
      </c>
      <c r="D1002" t="s">
        <v>229</v>
      </c>
      <c r="E1002" t="s">
        <v>5</v>
      </c>
      <c r="F1002" t="s">
        <v>138</v>
      </c>
      <c r="G1002" s="9" t="s">
        <v>138</v>
      </c>
      <c r="J1002">
        <v>0</v>
      </c>
      <c r="K1002">
        <v>0</v>
      </c>
      <c r="M1002">
        <v>1001</v>
      </c>
    </row>
    <row r="1003" spans="1:13" x14ac:dyDescent="0.3">
      <c r="A1003">
        <v>41644.892361111109</v>
      </c>
      <c r="B1003">
        <v>1740</v>
      </c>
      <c r="C1003" s="7">
        <v>41640.021527777775</v>
      </c>
      <c r="D1003" t="s">
        <v>95</v>
      </c>
      <c r="E1003" t="s">
        <v>5</v>
      </c>
      <c r="F1003" t="s">
        <v>138</v>
      </c>
      <c r="G1003" s="9" t="s">
        <v>138</v>
      </c>
      <c r="J1003">
        <v>0</v>
      </c>
      <c r="K1003">
        <v>0</v>
      </c>
      <c r="M1003">
        <v>1008</v>
      </c>
    </row>
    <row r="1004" spans="1:13" x14ac:dyDescent="0.3">
      <c r="A1004">
        <v>41644.897916666669</v>
      </c>
      <c r="B1004">
        <v>2220</v>
      </c>
      <c r="C1004" s="7">
        <v>41640.03402777778</v>
      </c>
      <c r="D1004" t="s">
        <v>13</v>
      </c>
      <c r="E1004" t="s">
        <v>27</v>
      </c>
      <c r="F1004" t="s">
        <v>138</v>
      </c>
      <c r="G1004" s="9" t="s">
        <v>138</v>
      </c>
      <c r="J1004">
        <v>0</v>
      </c>
      <c r="K1004">
        <v>0</v>
      </c>
      <c r="M1004">
        <v>1004</v>
      </c>
    </row>
    <row r="1005" spans="1:13" x14ac:dyDescent="0.3">
      <c r="A1005">
        <v>41644.899305555555</v>
      </c>
      <c r="B1005">
        <v>4620</v>
      </c>
      <c r="C1005" s="7">
        <v>41640.059027777781</v>
      </c>
      <c r="D1005" t="s">
        <v>282</v>
      </c>
      <c r="E1005" t="s">
        <v>39</v>
      </c>
      <c r="F1005" t="s">
        <v>138</v>
      </c>
      <c r="G1005" s="9" t="s">
        <v>138</v>
      </c>
      <c r="J1005">
        <v>0</v>
      </c>
      <c r="K1005">
        <v>0</v>
      </c>
      <c r="M1005">
        <v>1003</v>
      </c>
    </row>
    <row r="1006" spans="1:13" x14ac:dyDescent="0.3">
      <c r="A1006">
        <v>41644.9</v>
      </c>
      <c r="B1006">
        <v>1680</v>
      </c>
      <c r="C1006" s="7">
        <v>41640.029861111114</v>
      </c>
      <c r="D1006" t="s">
        <v>95</v>
      </c>
      <c r="E1006" t="s">
        <v>46</v>
      </c>
      <c r="F1006" t="s">
        <v>138</v>
      </c>
      <c r="G1006" s="9" t="s">
        <v>138</v>
      </c>
      <c r="J1006">
        <v>0</v>
      </c>
      <c r="K1006">
        <v>0</v>
      </c>
      <c r="M1006">
        <v>1000</v>
      </c>
    </row>
    <row r="1007" spans="1:13" x14ac:dyDescent="0.3">
      <c r="A1007">
        <v>41644.919444444444</v>
      </c>
      <c r="B1007">
        <v>2760</v>
      </c>
      <c r="C1007" s="7">
        <v>41640.032638888886</v>
      </c>
      <c r="D1007" t="s">
        <v>56</v>
      </c>
      <c r="E1007" t="s">
        <v>13</v>
      </c>
      <c r="F1007" t="s">
        <v>138</v>
      </c>
      <c r="G1007" s="9" t="s">
        <v>138</v>
      </c>
      <c r="J1007">
        <v>0</v>
      </c>
      <c r="K1007">
        <v>0</v>
      </c>
      <c r="M1007">
        <v>999</v>
      </c>
    </row>
    <row r="1008" spans="1:13" x14ac:dyDescent="0.3">
      <c r="A1008">
        <v>41644.942361111112</v>
      </c>
      <c r="B1008">
        <v>2280</v>
      </c>
      <c r="C1008" s="7">
        <v>41640.027083333334</v>
      </c>
      <c r="D1008" t="s">
        <v>98</v>
      </c>
      <c r="E1008" t="s">
        <v>39</v>
      </c>
      <c r="F1008" t="s">
        <v>138</v>
      </c>
      <c r="G1008" s="9" t="s">
        <v>138</v>
      </c>
      <c r="J1008">
        <v>0</v>
      </c>
      <c r="K1008">
        <v>0</v>
      </c>
      <c r="M1008">
        <v>998</v>
      </c>
    </row>
    <row r="1009" spans="1:13" x14ac:dyDescent="0.3">
      <c r="A1009">
        <v>41644.952777777777</v>
      </c>
      <c r="B1009">
        <v>1320</v>
      </c>
      <c r="C1009" s="7">
        <v>41640.024305555555</v>
      </c>
      <c r="D1009" t="s">
        <v>95</v>
      </c>
      <c r="E1009" t="s">
        <v>77</v>
      </c>
      <c r="F1009" t="s">
        <v>138</v>
      </c>
      <c r="G1009" s="9" t="s">
        <v>138</v>
      </c>
      <c r="J1009">
        <v>0</v>
      </c>
      <c r="K1009">
        <v>0</v>
      </c>
      <c r="M1009">
        <v>1005</v>
      </c>
    </row>
    <row r="1010" spans="1:13" x14ac:dyDescent="0.3">
      <c r="A1010">
        <v>41644.961805555555</v>
      </c>
      <c r="B1010">
        <v>1980</v>
      </c>
      <c r="C1010" s="7">
        <v>41640.03402777778</v>
      </c>
      <c r="D1010" t="s">
        <v>13</v>
      </c>
      <c r="E1010" t="s">
        <v>56</v>
      </c>
      <c r="F1010" t="s">
        <v>138</v>
      </c>
      <c r="G1010" s="9" t="s">
        <v>138</v>
      </c>
      <c r="J1010">
        <v>0</v>
      </c>
      <c r="K1010">
        <v>0</v>
      </c>
      <c r="M1010">
        <v>1006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C32" sqref="C3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101</v>
      </c>
      <c r="B1" s="3" t="e">
        <f>DATE(YEAR(Sheet1!#REF!),MONTH(Sheet1!#REF!),DAY(Sheet1!#REF!))</f>
        <v>#REF!</v>
      </c>
    </row>
    <row r="3" spans="1:20" x14ac:dyDescent="0.3">
      <c r="C3" s="4" t="s">
        <v>102</v>
      </c>
      <c r="D3" s="5">
        <v>7</v>
      </c>
      <c r="E3" s="5">
        <v>8</v>
      </c>
      <c r="F3" s="5">
        <v>9</v>
      </c>
      <c r="G3" s="5">
        <v>10</v>
      </c>
      <c r="H3" s="5">
        <v>11</v>
      </c>
      <c r="I3" s="5">
        <v>12</v>
      </c>
      <c r="J3" s="5">
        <v>13</v>
      </c>
      <c r="K3" s="5">
        <v>14</v>
      </c>
      <c r="L3" s="5">
        <v>15</v>
      </c>
      <c r="M3" s="5">
        <v>16</v>
      </c>
      <c r="N3" s="5">
        <v>17</v>
      </c>
      <c r="O3" s="5">
        <v>18</v>
      </c>
      <c r="P3" s="5">
        <v>19</v>
      </c>
      <c r="Q3" s="5">
        <v>20</v>
      </c>
      <c r="R3" s="5">
        <v>21</v>
      </c>
      <c r="S3" s="5">
        <v>22</v>
      </c>
      <c r="T3" s="5">
        <v>23</v>
      </c>
    </row>
    <row r="4" spans="1:20" x14ac:dyDescent="0.3">
      <c r="A4" s="15" t="s">
        <v>104</v>
      </c>
      <c r="B4" t="s">
        <v>0</v>
      </c>
      <c r="C4" s="2" t="e">
        <f>$B$1+TIME(HOUR($B$1) + 0,MINUTE($B$1) + 0,SECOND($B$1) + 0)</f>
        <v>#REF!</v>
      </c>
      <c r="D4" s="2" t="e">
        <f t="shared" ref="D4:T4" si="0">$B$1+TIME(HOUR($B$1) + D3,MINUTE($B$1) + 0,SECOND($B$1) + 0)</f>
        <v>#REF!</v>
      </c>
      <c r="E4" s="2" t="e">
        <f t="shared" si="0"/>
        <v>#REF!</v>
      </c>
      <c r="F4" s="2" t="e">
        <f t="shared" si="0"/>
        <v>#REF!</v>
      </c>
      <c r="G4" s="2" t="e">
        <f t="shared" si="0"/>
        <v>#REF!</v>
      </c>
      <c r="H4" s="2" t="e">
        <f t="shared" si="0"/>
        <v>#REF!</v>
      </c>
      <c r="I4" s="2" t="e">
        <f t="shared" si="0"/>
        <v>#REF!</v>
      </c>
      <c r="J4" s="2" t="e">
        <f t="shared" si="0"/>
        <v>#REF!</v>
      </c>
      <c r="K4" s="2" t="e">
        <f t="shared" si="0"/>
        <v>#REF!</v>
      </c>
      <c r="L4" s="2" t="e">
        <f t="shared" si="0"/>
        <v>#REF!</v>
      </c>
      <c r="M4" s="2" t="e">
        <f t="shared" si="0"/>
        <v>#REF!</v>
      </c>
      <c r="N4" s="2" t="e">
        <f t="shared" si="0"/>
        <v>#REF!</v>
      </c>
      <c r="O4" s="2" t="e">
        <f t="shared" si="0"/>
        <v>#REF!</v>
      </c>
      <c r="P4" s="2" t="e">
        <f t="shared" si="0"/>
        <v>#REF!</v>
      </c>
      <c r="Q4" s="2" t="e">
        <f t="shared" si="0"/>
        <v>#REF!</v>
      </c>
      <c r="R4" s="2" t="e">
        <f t="shared" si="0"/>
        <v>#REF!</v>
      </c>
      <c r="S4" s="2" t="e">
        <f t="shared" si="0"/>
        <v>#REF!</v>
      </c>
      <c r="T4" s="2" t="e">
        <f t="shared" si="0"/>
        <v>#REF!</v>
      </c>
    </row>
    <row r="5" spans="1:20" x14ac:dyDescent="0.3">
      <c r="A5" s="15"/>
      <c r="B5" t="s">
        <v>103</v>
      </c>
      <c r="C5" s="2" t="e">
        <f>$B$1+TIME(HOUR($B$1) + 6,MINUTE($B$1) + 0,SECOND($B$1) + 0)</f>
        <v>#REF!</v>
      </c>
      <c r="D5" s="2" t="e">
        <f t="shared" ref="D5:S5" si="1">$B$1+TIME(HOUR($B$1) + E3,MINUTE($B$1) + 0,SECOND($B$1) + 0)</f>
        <v>#REF!</v>
      </c>
      <c r="E5" s="2" t="e">
        <f t="shared" si="1"/>
        <v>#REF!</v>
      </c>
      <c r="F5" s="2" t="e">
        <f t="shared" si="1"/>
        <v>#REF!</v>
      </c>
      <c r="G5" s="2" t="e">
        <f t="shared" si="1"/>
        <v>#REF!</v>
      </c>
      <c r="H5" s="2" t="e">
        <f t="shared" si="1"/>
        <v>#REF!</v>
      </c>
      <c r="I5" s="2" t="e">
        <f t="shared" si="1"/>
        <v>#REF!</v>
      </c>
      <c r="J5" s="2" t="e">
        <f t="shared" si="1"/>
        <v>#REF!</v>
      </c>
      <c r="K5" s="2" t="e">
        <f t="shared" si="1"/>
        <v>#REF!</v>
      </c>
      <c r="L5" s="2" t="e">
        <f t="shared" si="1"/>
        <v>#REF!</v>
      </c>
      <c r="M5" s="2" t="e">
        <f t="shared" si="1"/>
        <v>#REF!</v>
      </c>
      <c r="N5" s="2" t="e">
        <f t="shared" si="1"/>
        <v>#REF!</v>
      </c>
      <c r="O5" s="2" t="e">
        <f t="shared" si="1"/>
        <v>#REF!</v>
      </c>
      <c r="P5" s="2" t="e">
        <f t="shared" si="1"/>
        <v>#REF!</v>
      </c>
      <c r="Q5" s="2" t="e">
        <f t="shared" si="1"/>
        <v>#REF!</v>
      </c>
      <c r="R5" s="2" t="e">
        <f t="shared" si="1"/>
        <v>#REF!</v>
      </c>
      <c r="S5" s="2" t="e">
        <f t="shared" si="1"/>
        <v>#REF!</v>
      </c>
      <c r="T5" s="2" t="e">
        <f>$B$1+TIME(HOUR($B$1) + 23,MINUTE($B$1) + 59,SECOND($B$1) + 59)</f>
        <v>#REF!</v>
      </c>
    </row>
    <row r="6" spans="1:20" x14ac:dyDescent="0.3">
      <c r="A6" s="15" t="s">
        <v>107</v>
      </c>
      <c r="B6" t="s">
        <v>0</v>
      </c>
      <c r="C6" s="2" t="e">
        <f>DATE(YEAR($B$1),MONTH($B$1),DAY($B$1)+1) + TIME(HOUR($B$1) + 0,MINUTE($B$1) + 0,SECOND($B$1) + 0)</f>
        <v>#REF!</v>
      </c>
      <c r="D6" s="2" t="e">
        <f>DATE(YEAR($B$1),MONTH($B$1),DAY($B$1)+1) + TIME(HOUR($B$1) + D$3,MINUTE($B$1) + 0,SECOND($B$1) + 0)</f>
        <v>#REF!</v>
      </c>
      <c r="E6" s="2" t="e">
        <f t="shared" ref="E6:T6" si="2">DATE(YEAR($B$1),MONTH($B$1),DAY($B$1)+1) + TIME(HOUR($B$1) + E3,MINUTE($B$1) + 0,SECOND($B$1) + 0)</f>
        <v>#REF!</v>
      </c>
      <c r="F6" s="2" t="e">
        <f t="shared" si="2"/>
        <v>#REF!</v>
      </c>
      <c r="G6" s="2" t="e">
        <f t="shared" si="2"/>
        <v>#REF!</v>
      </c>
      <c r="H6" s="2" t="e">
        <f t="shared" si="2"/>
        <v>#REF!</v>
      </c>
      <c r="I6" s="2" t="e">
        <f t="shared" si="2"/>
        <v>#REF!</v>
      </c>
      <c r="J6" s="2" t="e">
        <f t="shared" si="2"/>
        <v>#REF!</v>
      </c>
      <c r="K6" s="2" t="e">
        <f t="shared" si="2"/>
        <v>#REF!</v>
      </c>
      <c r="L6" s="2" t="e">
        <f t="shared" si="2"/>
        <v>#REF!</v>
      </c>
      <c r="M6" s="2" t="e">
        <f t="shared" si="2"/>
        <v>#REF!</v>
      </c>
      <c r="N6" s="2" t="e">
        <f t="shared" si="2"/>
        <v>#REF!</v>
      </c>
      <c r="O6" s="2" t="e">
        <f t="shared" si="2"/>
        <v>#REF!</v>
      </c>
      <c r="P6" s="2" t="e">
        <f t="shared" si="2"/>
        <v>#REF!</v>
      </c>
      <c r="Q6" s="2" t="e">
        <f t="shared" si="2"/>
        <v>#REF!</v>
      </c>
      <c r="R6" s="2" t="e">
        <f t="shared" si="2"/>
        <v>#REF!</v>
      </c>
      <c r="S6" s="2" t="e">
        <f t="shared" si="2"/>
        <v>#REF!</v>
      </c>
      <c r="T6" s="2" t="e">
        <f t="shared" si="2"/>
        <v>#REF!</v>
      </c>
    </row>
    <row r="7" spans="1:20" x14ac:dyDescent="0.3">
      <c r="A7" s="15"/>
      <c r="B7" t="s">
        <v>103</v>
      </c>
      <c r="C7" s="2" t="e">
        <f>DATE(YEAR($B$1),MONTH($B$1),DAY($B$1)+1) + TIME(HOUR($B$1) + 6,MINUTE($B$1) + 0,SECOND($B$1) + 0)</f>
        <v>#REF!</v>
      </c>
      <c r="D7" s="2" t="e">
        <f>DATE(YEAR($B$1),MONTH($B$1),DAY($B$1)+1) + TIME(HOUR($B$1) + E$3,MINUTE($B$1) + 0,SECOND($B$1) + 0)</f>
        <v>#REF!</v>
      </c>
      <c r="E7" s="2" t="e">
        <f t="shared" ref="E7:S7" si="3">DATE(YEAR($B$1),MONTH($B$1),DAY($B$1)+1) + TIME(HOUR($B$1) + F3,MINUTE($B$1) + 0,SECOND($B$1) + 0)</f>
        <v>#REF!</v>
      </c>
      <c r="F7" s="2" t="e">
        <f t="shared" si="3"/>
        <v>#REF!</v>
      </c>
      <c r="G7" s="2" t="e">
        <f t="shared" si="3"/>
        <v>#REF!</v>
      </c>
      <c r="H7" s="2" t="e">
        <f t="shared" si="3"/>
        <v>#REF!</v>
      </c>
      <c r="I7" s="2" t="e">
        <f t="shared" si="3"/>
        <v>#REF!</v>
      </c>
      <c r="J7" s="2" t="e">
        <f t="shared" si="3"/>
        <v>#REF!</v>
      </c>
      <c r="K7" s="2" t="e">
        <f t="shared" si="3"/>
        <v>#REF!</v>
      </c>
      <c r="L7" s="2" t="e">
        <f t="shared" si="3"/>
        <v>#REF!</v>
      </c>
      <c r="M7" s="2" t="e">
        <f t="shared" si="3"/>
        <v>#REF!</v>
      </c>
      <c r="N7" s="2" t="e">
        <f t="shared" si="3"/>
        <v>#REF!</v>
      </c>
      <c r="O7" s="2" t="e">
        <f t="shared" si="3"/>
        <v>#REF!</v>
      </c>
      <c r="P7" s="2" t="e">
        <f t="shared" si="3"/>
        <v>#REF!</v>
      </c>
      <c r="Q7" s="2" t="e">
        <f t="shared" si="3"/>
        <v>#REF!</v>
      </c>
      <c r="R7" s="2" t="e">
        <f t="shared" si="3"/>
        <v>#REF!</v>
      </c>
      <c r="S7" s="2" t="e">
        <f t="shared" si="3"/>
        <v>#REF!</v>
      </c>
      <c r="T7" s="2" t="e">
        <f>DATE(YEAR($B$1),MONTH($B$1),DAY($B$1)+1) + TIME(HOUR($B$1) + 23,MINUTE($B$1) + 59,SECOND($B$1) + 59)</f>
        <v>#REF!</v>
      </c>
    </row>
    <row r="8" spans="1:20" x14ac:dyDescent="0.3">
      <c r="A8" s="15" t="s">
        <v>108</v>
      </c>
      <c r="B8" t="s">
        <v>0</v>
      </c>
      <c r="C8" s="2" t="e">
        <f>DATE(YEAR($B$1),MONTH($B$1),DAY($B$1)+2) + TIME(HOUR($B$1) + 0,MINUTE($B$1) + 0,SECOND($B$1) + 0)</f>
        <v>#REF!</v>
      </c>
      <c r="D8" s="2" t="e">
        <f>DATE(YEAR($B$1),MONTH($B$1),DAY($B$1)+2) + TIME(HOUR($B$1) + D$3,MINUTE($B$1) + 0,SECOND($B$1) + 0)</f>
        <v>#REF!</v>
      </c>
      <c r="E8" s="2" t="e">
        <f t="shared" ref="E8:T8" si="4">DATE(YEAR($B$1),MONTH($B$1),DAY($B$1)+2) + TIME(HOUR($B$1) + E$3,MINUTE($B$1) + 0,SECOND($B$1) + 0)</f>
        <v>#REF!</v>
      </c>
      <c r="F8" s="2" t="e">
        <f t="shared" si="4"/>
        <v>#REF!</v>
      </c>
      <c r="G8" s="2" t="e">
        <f t="shared" si="4"/>
        <v>#REF!</v>
      </c>
      <c r="H8" s="2" t="e">
        <f t="shared" si="4"/>
        <v>#REF!</v>
      </c>
      <c r="I8" s="2" t="e">
        <f t="shared" si="4"/>
        <v>#REF!</v>
      </c>
      <c r="J8" s="2" t="e">
        <f t="shared" si="4"/>
        <v>#REF!</v>
      </c>
      <c r="K8" s="2" t="e">
        <f t="shared" si="4"/>
        <v>#REF!</v>
      </c>
      <c r="L8" s="2" t="e">
        <f t="shared" si="4"/>
        <v>#REF!</v>
      </c>
      <c r="M8" s="2" t="e">
        <f t="shared" si="4"/>
        <v>#REF!</v>
      </c>
      <c r="N8" s="2" t="e">
        <f t="shared" si="4"/>
        <v>#REF!</v>
      </c>
      <c r="O8" s="2" t="e">
        <f t="shared" si="4"/>
        <v>#REF!</v>
      </c>
      <c r="P8" s="2" t="e">
        <f t="shared" si="4"/>
        <v>#REF!</v>
      </c>
      <c r="Q8" s="2" t="e">
        <f t="shared" si="4"/>
        <v>#REF!</v>
      </c>
      <c r="R8" s="2" t="e">
        <f t="shared" si="4"/>
        <v>#REF!</v>
      </c>
      <c r="S8" s="2" t="e">
        <f t="shared" si="4"/>
        <v>#REF!</v>
      </c>
      <c r="T8" s="2" t="e">
        <f t="shared" si="4"/>
        <v>#REF!</v>
      </c>
    </row>
    <row r="9" spans="1:20" x14ac:dyDescent="0.3">
      <c r="A9" s="15"/>
      <c r="B9" t="s">
        <v>103</v>
      </c>
      <c r="C9" s="2" t="e">
        <f>DATE(YEAR($B$1),MONTH($B$1),DAY($B$1)+2) + TIME(HOUR($B$1) + 6,MINUTE($B$1) + 0,SECOND($B$1) + 0)</f>
        <v>#REF!</v>
      </c>
      <c r="D9" s="2" t="e">
        <f>DATE(YEAR($B$1),MONTH($B$1),DAY($B$1)+2) + TIME(HOUR($B$1) + E$3,MINUTE($B$1) + 0,SECOND($B$1) + 0)</f>
        <v>#REF!</v>
      </c>
      <c r="E9" s="2" t="e">
        <f t="shared" ref="E9:S9" si="5">DATE(YEAR($B$1),MONTH($B$1),DAY($B$1)+2) + TIME(HOUR($B$1) + F$3,MINUTE($B$1) + 0,SECOND($B$1) + 0)</f>
        <v>#REF!</v>
      </c>
      <c r="F9" s="2" t="e">
        <f t="shared" si="5"/>
        <v>#REF!</v>
      </c>
      <c r="G9" s="2" t="e">
        <f t="shared" si="5"/>
        <v>#REF!</v>
      </c>
      <c r="H9" s="2" t="e">
        <f t="shared" si="5"/>
        <v>#REF!</v>
      </c>
      <c r="I9" s="2" t="e">
        <f t="shared" si="5"/>
        <v>#REF!</v>
      </c>
      <c r="J9" s="2" t="e">
        <f t="shared" si="5"/>
        <v>#REF!</v>
      </c>
      <c r="K9" s="2" t="e">
        <f t="shared" si="5"/>
        <v>#REF!</v>
      </c>
      <c r="L9" s="2" t="e">
        <f t="shared" si="5"/>
        <v>#REF!</v>
      </c>
      <c r="M9" s="2" t="e">
        <f t="shared" si="5"/>
        <v>#REF!</v>
      </c>
      <c r="N9" s="2" t="e">
        <f t="shared" si="5"/>
        <v>#REF!</v>
      </c>
      <c r="O9" s="2" t="e">
        <f t="shared" si="5"/>
        <v>#REF!</v>
      </c>
      <c r="P9" s="2" t="e">
        <f t="shared" si="5"/>
        <v>#REF!</v>
      </c>
      <c r="Q9" s="2" t="e">
        <f t="shared" si="5"/>
        <v>#REF!</v>
      </c>
      <c r="R9" s="2" t="e">
        <f t="shared" si="5"/>
        <v>#REF!</v>
      </c>
      <c r="S9" s="2" t="e">
        <f t="shared" si="5"/>
        <v>#REF!</v>
      </c>
      <c r="T9" s="2" t="e">
        <f>DATE(YEAR($B$1),MONTH($B$1),DAY($B$1)+2) + TIME(HOUR($B$1) + 23,MINUTE($B$1) + 59,SECOND($B$1) + 59)</f>
        <v>#REF!</v>
      </c>
    </row>
    <row r="10" spans="1:20" x14ac:dyDescent="0.3">
      <c r="A10" s="15" t="s">
        <v>109</v>
      </c>
      <c r="B10" t="s">
        <v>0</v>
      </c>
      <c r="C10" s="2" t="e">
        <f>DATE(YEAR($B$1),MONTH($B$1),DAY($B$1)+3) + TIME(HOUR($B$1) + 0,MINUTE($B$1) + 0,SECOND($B$1) + 0)</f>
        <v>#REF!</v>
      </c>
      <c r="D10" s="2" t="e">
        <f>DATE(YEAR($B$1),MONTH($B$1),DAY($B$1)+3) + TIME(HOUR($B$1) + D$3,MINUTE($B$1) + 0,SECOND($B$1) + 0)</f>
        <v>#REF!</v>
      </c>
      <c r="E10" s="2" t="e">
        <f t="shared" ref="E10:T10" si="6">DATE(YEAR($B$1),MONTH($B$1),DAY($B$1)+3) + TIME(HOUR($B$1) + E$3,MINUTE($B$1) + 0,SECOND($B$1) + 0)</f>
        <v>#REF!</v>
      </c>
      <c r="F10" s="2" t="e">
        <f t="shared" si="6"/>
        <v>#REF!</v>
      </c>
      <c r="G10" s="2" t="e">
        <f t="shared" si="6"/>
        <v>#REF!</v>
      </c>
      <c r="H10" s="2" t="e">
        <f t="shared" si="6"/>
        <v>#REF!</v>
      </c>
      <c r="I10" s="2" t="e">
        <f t="shared" si="6"/>
        <v>#REF!</v>
      </c>
      <c r="J10" s="2" t="e">
        <f t="shared" si="6"/>
        <v>#REF!</v>
      </c>
      <c r="K10" s="2" t="e">
        <f t="shared" si="6"/>
        <v>#REF!</v>
      </c>
      <c r="L10" s="2" t="e">
        <f t="shared" si="6"/>
        <v>#REF!</v>
      </c>
      <c r="M10" s="2" t="e">
        <f t="shared" si="6"/>
        <v>#REF!</v>
      </c>
      <c r="N10" s="2" t="e">
        <f t="shared" si="6"/>
        <v>#REF!</v>
      </c>
      <c r="O10" s="2" t="e">
        <f t="shared" si="6"/>
        <v>#REF!</v>
      </c>
      <c r="P10" s="2" t="e">
        <f t="shared" si="6"/>
        <v>#REF!</v>
      </c>
      <c r="Q10" s="2" t="e">
        <f t="shared" si="6"/>
        <v>#REF!</v>
      </c>
      <c r="R10" s="2" t="e">
        <f t="shared" si="6"/>
        <v>#REF!</v>
      </c>
      <c r="S10" s="2" t="e">
        <f t="shared" si="6"/>
        <v>#REF!</v>
      </c>
      <c r="T10" s="2" t="e">
        <f t="shared" si="6"/>
        <v>#REF!</v>
      </c>
    </row>
    <row r="11" spans="1:20" x14ac:dyDescent="0.3">
      <c r="A11" s="15"/>
      <c r="B11" t="s">
        <v>103</v>
      </c>
      <c r="C11" s="2" t="e">
        <f>DATE(YEAR($B$1),MONTH($B$1),DAY($B$1)+3) + TIME(HOUR($B$1) + 6,MINUTE($B$1) + 0,SECOND($B$1) + 0)</f>
        <v>#REF!</v>
      </c>
      <c r="D11" s="2" t="e">
        <f>DATE(YEAR($B$1),MONTH($B$1),DAY($B$1)+3) + TIME(HOUR($B$1) + E$3,MINUTE($B$1) + 0,SECOND($B$1) + 0)</f>
        <v>#REF!</v>
      </c>
      <c r="E11" s="2" t="e">
        <f t="shared" ref="E11:S11" si="7">DATE(YEAR($B$1),MONTH($B$1),DAY($B$1)+3) + TIME(HOUR($B$1) + F$3,MINUTE($B$1) + 0,SECOND($B$1) + 0)</f>
        <v>#REF!</v>
      </c>
      <c r="F11" s="2" t="e">
        <f t="shared" si="7"/>
        <v>#REF!</v>
      </c>
      <c r="G11" s="2" t="e">
        <f t="shared" si="7"/>
        <v>#REF!</v>
      </c>
      <c r="H11" s="2" t="e">
        <f t="shared" si="7"/>
        <v>#REF!</v>
      </c>
      <c r="I11" s="2" t="e">
        <f t="shared" si="7"/>
        <v>#REF!</v>
      </c>
      <c r="J11" s="2" t="e">
        <f t="shared" si="7"/>
        <v>#REF!</v>
      </c>
      <c r="K11" s="2" t="e">
        <f t="shared" si="7"/>
        <v>#REF!</v>
      </c>
      <c r="L11" s="2" t="e">
        <f t="shared" si="7"/>
        <v>#REF!</v>
      </c>
      <c r="M11" s="2" t="e">
        <f t="shared" si="7"/>
        <v>#REF!</v>
      </c>
      <c r="N11" s="2" t="e">
        <f t="shared" si="7"/>
        <v>#REF!</v>
      </c>
      <c r="O11" s="2" t="e">
        <f t="shared" si="7"/>
        <v>#REF!</v>
      </c>
      <c r="P11" s="2" t="e">
        <f t="shared" si="7"/>
        <v>#REF!</v>
      </c>
      <c r="Q11" s="2" t="e">
        <f t="shared" si="7"/>
        <v>#REF!</v>
      </c>
      <c r="R11" s="2" t="e">
        <f t="shared" si="7"/>
        <v>#REF!</v>
      </c>
      <c r="S11" s="2" t="e">
        <f t="shared" si="7"/>
        <v>#REF!</v>
      </c>
      <c r="T11" s="2" t="e">
        <f>DATE(YEAR($B$1),MONTH($B$1),DAY($B$1)+3) + TIME(HOUR($B$1) + 23,MINUTE($B$1) + 59,SECOND($B$1) + 59)</f>
        <v>#REF!</v>
      </c>
    </row>
    <row r="12" spans="1:20" x14ac:dyDescent="0.3">
      <c r="A12" s="15" t="s">
        <v>110</v>
      </c>
      <c r="B12" t="s">
        <v>0</v>
      </c>
      <c r="C12" s="2" t="e">
        <f>DATE(YEAR($B$1),MONTH($B$1),DAY($B$1)+4) + TIME(HOUR($B$1) + 0,MINUTE($B$1) + 0,SECOND($B$1) + 0)</f>
        <v>#REF!</v>
      </c>
      <c r="D12" s="2" t="e">
        <f>DATE(YEAR($B$1),MONTH($B$1),DAY($B$1)+4) + TIME(HOUR($B$1) + D$3,MINUTE($B$1) + 0,SECOND($B$1) + 0)</f>
        <v>#REF!</v>
      </c>
      <c r="E12" s="2" t="e">
        <f t="shared" ref="E12:T12" si="8">DATE(YEAR($B$1),MONTH($B$1),DAY($B$1)+4) + TIME(HOUR($B$1) + E$3,MINUTE($B$1) + 0,SECOND($B$1) + 0)</f>
        <v>#REF!</v>
      </c>
      <c r="F12" s="2" t="e">
        <f t="shared" si="8"/>
        <v>#REF!</v>
      </c>
      <c r="G12" s="2" t="e">
        <f t="shared" si="8"/>
        <v>#REF!</v>
      </c>
      <c r="H12" s="2" t="e">
        <f t="shared" si="8"/>
        <v>#REF!</v>
      </c>
      <c r="I12" s="2" t="e">
        <f t="shared" si="8"/>
        <v>#REF!</v>
      </c>
      <c r="J12" s="2" t="e">
        <f t="shared" si="8"/>
        <v>#REF!</v>
      </c>
      <c r="K12" s="2" t="e">
        <f t="shared" si="8"/>
        <v>#REF!</v>
      </c>
      <c r="L12" s="2" t="e">
        <f t="shared" si="8"/>
        <v>#REF!</v>
      </c>
      <c r="M12" s="2" t="e">
        <f t="shared" si="8"/>
        <v>#REF!</v>
      </c>
      <c r="N12" s="2" t="e">
        <f t="shared" si="8"/>
        <v>#REF!</v>
      </c>
      <c r="O12" s="2" t="e">
        <f t="shared" si="8"/>
        <v>#REF!</v>
      </c>
      <c r="P12" s="2" t="e">
        <f t="shared" si="8"/>
        <v>#REF!</v>
      </c>
      <c r="Q12" s="2" t="e">
        <f t="shared" si="8"/>
        <v>#REF!</v>
      </c>
      <c r="R12" s="2" t="e">
        <f t="shared" si="8"/>
        <v>#REF!</v>
      </c>
      <c r="S12" s="2" t="e">
        <f t="shared" si="8"/>
        <v>#REF!</v>
      </c>
      <c r="T12" s="2" t="e">
        <f t="shared" si="8"/>
        <v>#REF!</v>
      </c>
    </row>
    <row r="13" spans="1:20" x14ac:dyDescent="0.3">
      <c r="A13" s="15"/>
      <c r="B13" t="s">
        <v>103</v>
      </c>
      <c r="C13" s="2" t="e">
        <f>DATE(YEAR($B$1),MONTH($B$1),DAY($B$1)+4) + TIME(HOUR($B$1) + 6,MINUTE($B$1) + 0,SECOND($B$1) + 0)</f>
        <v>#REF!</v>
      </c>
      <c r="D13" s="2" t="e">
        <f>DATE(YEAR($B$1),MONTH($B$1),DAY($B$1)+4) + TIME(HOUR($B$1) + E$3,MINUTE($B$1) + 0,SECOND($B$1) + 0)</f>
        <v>#REF!</v>
      </c>
      <c r="E13" s="2" t="e">
        <f t="shared" ref="E13:S13" si="9">DATE(YEAR($B$1),MONTH($B$1),DAY($B$1)+4) + TIME(HOUR($B$1) + F$3,MINUTE($B$1) + 0,SECOND($B$1) + 0)</f>
        <v>#REF!</v>
      </c>
      <c r="F13" s="2" t="e">
        <f t="shared" si="9"/>
        <v>#REF!</v>
      </c>
      <c r="G13" s="2" t="e">
        <f t="shared" si="9"/>
        <v>#REF!</v>
      </c>
      <c r="H13" s="2" t="e">
        <f t="shared" si="9"/>
        <v>#REF!</v>
      </c>
      <c r="I13" s="2" t="e">
        <f t="shared" si="9"/>
        <v>#REF!</v>
      </c>
      <c r="J13" s="2" t="e">
        <f t="shared" si="9"/>
        <v>#REF!</v>
      </c>
      <c r="K13" s="2" t="e">
        <f t="shared" si="9"/>
        <v>#REF!</v>
      </c>
      <c r="L13" s="2" t="e">
        <f t="shared" si="9"/>
        <v>#REF!</v>
      </c>
      <c r="M13" s="2" t="e">
        <f t="shared" si="9"/>
        <v>#REF!</v>
      </c>
      <c r="N13" s="2" t="e">
        <f t="shared" si="9"/>
        <v>#REF!</v>
      </c>
      <c r="O13" s="2" t="e">
        <f t="shared" si="9"/>
        <v>#REF!</v>
      </c>
      <c r="P13" s="2" t="e">
        <f t="shared" si="9"/>
        <v>#REF!</v>
      </c>
      <c r="Q13" s="2" t="e">
        <f t="shared" si="9"/>
        <v>#REF!</v>
      </c>
      <c r="R13" s="2" t="e">
        <f t="shared" si="9"/>
        <v>#REF!</v>
      </c>
      <c r="S13" s="2" t="e">
        <f t="shared" si="9"/>
        <v>#REF!</v>
      </c>
      <c r="T13" s="2" t="e">
        <f>DATE(YEAR($B$1),MONTH($B$1),DAY($B$1)+3) + TIME(HOUR($B$1) + 23,MINUTE($B$1) + 59,SECOND($B$1) + 59)</f>
        <v>#REF!</v>
      </c>
    </row>
    <row r="14" spans="1:20" x14ac:dyDescent="0.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tabSelected="1" zoomScale="80" zoomScaleNormal="80" workbookViewId="0">
      <selection activeCell="D2" sqref="D2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102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111</v>
      </c>
    </row>
    <row r="2" spans="1:21" x14ac:dyDescent="0.3">
      <c r="A2" t="s">
        <v>104</v>
      </c>
      <c r="B2" s="11" t="s">
        <v>106</v>
      </c>
      <c r="C2" s="7" t="e">
        <f>averageCompletionTime(Dates!C4,Dates!C5)</f>
        <v>#VALUE!</v>
      </c>
      <c r="D2" s="7" t="e">
        <f>averageCompletionTime(Dates!D4,Dates!D5)</f>
        <v>#VALUE!</v>
      </c>
      <c r="E2" s="7" t="e">
        <f>averageCompletionTime(Dates!E4,Dates!E5)</f>
        <v>#VALUE!</v>
      </c>
      <c r="F2" s="7" t="e">
        <f>averageCompletionTime(Dates!F4,Dates!F5)</f>
        <v>#VALUE!</v>
      </c>
      <c r="G2" s="7" t="e">
        <f>averageCompletionTime(Dates!G4,Dates!G5)</f>
        <v>#VALUE!</v>
      </c>
      <c r="H2" s="7" t="e">
        <f>averageCompletionTime(Dates!H4,Dates!H5)</f>
        <v>#VALUE!</v>
      </c>
      <c r="I2" s="7" t="e">
        <f>averageCompletionTime(Dates!I4,Dates!I5)</f>
        <v>#VALUE!</v>
      </c>
      <c r="J2" s="7" t="e">
        <f>averageCompletionTime(Dates!J4,Dates!J5)</f>
        <v>#VALUE!</v>
      </c>
      <c r="K2" s="7" t="e">
        <f>averageCompletionTime(Dates!K4,Dates!K5)</f>
        <v>#VALUE!</v>
      </c>
      <c r="L2" s="7" t="e">
        <f>averageCompletionTime(Dates!L4,Dates!L5)</f>
        <v>#VALUE!</v>
      </c>
      <c r="M2" s="7" t="e">
        <f>averageCompletionTime(Dates!M4,Dates!M5)</f>
        <v>#VALUE!</v>
      </c>
      <c r="N2" s="7" t="e">
        <f>averageCompletionTime(Dates!N4,Dates!N5)</f>
        <v>#VALUE!</v>
      </c>
      <c r="O2" s="7" t="e">
        <f>averageCompletionTime(Dates!O4,Dates!O5)</f>
        <v>#VALUE!</v>
      </c>
      <c r="P2" s="7" t="e">
        <f>averageCompletionTime(Dates!P4,Dates!P5)</f>
        <v>#VALUE!</v>
      </c>
      <c r="Q2" s="7" t="e">
        <f>averageCompletionTime(Dates!Q4,Dates!Q5)</f>
        <v>#VALUE!</v>
      </c>
      <c r="R2" s="7" t="e">
        <f>averageCompletionTime(Dates!R4,Dates!R5)</f>
        <v>#VALUE!</v>
      </c>
      <c r="S2" s="7" t="e">
        <f>averageCompletionTime(Dates!S4,Dates!S5)</f>
        <v>#VALUE!</v>
      </c>
      <c r="T2" s="7" t="e">
        <f>averageCompletionTime(Dates!T4,Dates!T5)</f>
        <v>#VALUE!</v>
      </c>
      <c r="U2" s="7" t="e">
        <f>averageCompletionTime(Dates!C4,Dates!T5)</f>
        <v>#VALUE!</v>
      </c>
    </row>
    <row r="3" spans="1:21" x14ac:dyDescent="0.3">
      <c r="A3" s="10" t="s">
        <v>105</v>
      </c>
      <c r="B3" s="12"/>
      <c r="C3" s="7" t="e">
        <f>averageCompletionTimePorter(Dates!C$4,Dates!C$5,'Day1'!$B3)</f>
        <v>#VALUE!</v>
      </c>
      <c r="D3" s="7" t="e">
        <f>averageCompletionTimePorter(Dates!D$4,Dates!D$5,'Day1'!$B3)</f>
        <v>#VALUE!</v>
      </c>
      <c r="E3" s="7" t="e">
        <f>averageCompletionTimePorter(Dates!E$4,Dates!E$5,'Day1'!$B3)</f>
        <v>#VALUE!</v>
      </c>
      <c r="F3" s="7" t="e">
        <f>averageCompletionTimePorter(Dates!F$4,Dates!F$5,'Day1'!$B3)</f>
        <v>#VALUE!</v>
      </c>
      <c r="G3" s="7" t="e">
        <f>averageCompletionTimePorter(Dates!G$4,Dates!G$5,'Day1'!$B3)</f>
        <v>#VALUE!</v>
      </c>
      <c r="H3" s="7" t="e">
        <f>averageCompletionTimePorter(Dates!H$4,Dates!H$5,'Day1'!$B3)</f>
        <v>#VALUE!</v>
      </c>
      <c r="I3" s="7" t="e">
        <f>averageCompletionTimePorter(Dates!I$4,Dates!I$5,'Day1'!$B3)</f>
        <v>#VALUE!</v>
      </c>
      <c r="J3" s="7" t="e">
        <f>averageCompletionTimePorter(Dates!J$4,Dates!J$5,'Day1'!$B3)</f>
        <v>#VALUE!</v>
      </c>
      <c r="K3" s="7" t="e">
        <f>averageCompletionTimePorter(Dates!K$4,Dates!K$5,'Day1'!$B3)</f>
        <v>#VALUE!</v>
      </c>
      <c r="L3" s="7" t="e">
        <f>averageCompletionTimePorter(Dates!L$4,Dates!L$5,'Day1'!$B3)</f>
        <v>#VALUE!</v>
      </c>
      <c r="M3" s="7" t="e">
        <f>averageCompletionTimePorter(Dates!M$4,Dates!M$5,'Day1'!$B3)</f>
        <v>#VALUE!</v>
      </c>
      <c r="N3" s="7" t="e">
        <f>averageCompletionTimePorter(Dates!N$4,Dates!N$5,'Day1'!$B3)</f>
        <v>#VALUE!</v>
      </c>
      <c r="O3" s="7" t="e">
        <f>averageCompletionTimePorter(Dates!O$4,Dates!O$5,'Day1'!$B3)</f>
        <v>#VALUE!</v>
      </c>
      <c r="P3" s="7" t="e">
        <f>averageCompletionTimePorter(Dates!P$4,Dates!P$5,'Day1'!$B3)</f>
        <v>#VALUE!</v>
      </c>
      <c r="Q3" s="7" t="e">
        <f>averageCompletionTimePorter(Dates!Q$4,Dates!Q$5,'Day1'!$B3)</f>
        <v>#VALUE!</v>
      </c>
      <c r="R3" s="7" t="e">
        <f>averageCompletionTimePorter(Dates!R$4,Dates!R$5,'Day1'!$B3)</f>
        <v>#VALUE!</v>
      </c>
      <c r="S3" s="7" t="e">
        <f>averageCompletionTimePorter(Dates!S$4,Dates!S$5,'Day1'!$B3)</f>
        <v>#VALUE!</v>
      </c>
      <c r="T3" s="7" t="e">
        <f>averageCompletionTimePorter(Dates!T$4,Dates!T$5,'Day1'!$B3)</f>
        <v>#VALUE!</v>
      </c>
      <c r="U3" s="7" t="e">
        <f>averageCompletionTimePorter(Dates!$C$4,Dates!$T$5,'Day1'!$B3)</f>
        <v>#VALUE!</v>
      </c>
    </row>
    <row r="4" spans="1:21" x14ac:dyDescent="0.3">
      <c r="A4" s="10"/>
      <c r="B4" s="12" t="s">
        <v>372</v>
      </c>
      <c r="C4" s="7" t="e">
        <f>averageCompletionTimePorter(Dates!C$4,Dates!C$5,'Day1'!$B4)</f>
        <v>#VALUE!</v>
      </c>
      <c r="D4" s="7" t="e">
        <f>averageCompletionTimePorter(Dates!D$4,Dates!D$5,'Day1'!$B4)</f>
        <v>#VALUE!</v>
      </c>
      <c r="E4" s="7" t="e">
        <f>averageCompletionTimePorter(Dates!E$4,Dates!E$5,'Day1'!$B4)</f>
        <v>#VALUE!</v>
      </c>
      <c r="F4" s="7" t="e">
        <f>averageCompletionTimePorter(Dates!F$4,Dates!F$5,'Day1'!$B4)</f>
        <v>#VALUE!</v>
      </c>
      <c r="G4" s="7" t="e">
        <f>averageCompletionTimePorter(Dates!G$4,Dates!G$5,'Day1'!$B4)</f>
        <v>#VALUE!</v>
      </c>
      <c r="H4" s="7" t="e">
        <f>averageCompletionTimePorter(Dates!H$4,Dates!H$5,'Day1'!$B4)</f>
        <v>#VALUE!</v>
      </c>
      <c r="I4" s="7" t="e">
        <f>averageCompletionTimePorter(Dates!I$4,Dates!I$5,'Day1'!$B4)</f>
        <v>#VALUE!</v>
      </c>
      <c r="J4" s="7" t="e">
        <f>averageCompletionTimePorter(Dates!J$4,Dates!J$5,'Day1'!$B4)</f>
        <v>#VALUE!</v>
      </c>
      <c r="K4" s="7" t="e">
        <f>averageCompletionTimePorter(Dates!K$4,Dates!K$5,'Day1'!$B4)</f>
        <v>#VALUE!</v>
      </c>
      <c r="L4" s="7" t="e">
        <f>averageCompletionTimePorter(Dates!L$4,Dates!L$5,'Day1'!$B4)</f>
        <v>#VALUE!</v>
      </c>
      <c r="M4" s="7" t="e">
        <f>averageCompletionTimePorter(Dates!M$4,Dates!M$5,'Day1'!$B4)</f>
        <v>#VALUE!</v>
      </c>
      <c r="N4" s="7" t="e">
        <f>averageCompletionTimePorter(Dates!N$4,Dates!N$5,'Day1'!$B4)</f>
        <v>#VALUE!</v>
      </c>
      <c r="O4" s="7" t="e">
        <f>averageCompletionTimePorter(Dates!O$4,Dates!O$5,'Day1'!$B4)</f>
        <v>#VALUE!</v>
      </c>
      <c r="P4" s="7" t="e">
        <f>averageCompletionTimePorter(Dates!P$4,Dates!P$5,'Day1'!$B4)</f>
        <v>#VALUE!</v>
      </c>
      <c r="Q4" s="7" t="e">
        <f>averageCompletionTimePorter(Dates!Q$4,Dates!Q$5,'Day1'!$B4)</f>
        <v>#VALUE!</v>
      </c>
      <c r="R4" s="7" t="e">
        <f>averageCompletionTimePorter(Dates!R$4,Dates!R$5,'Day1'!$B4)</f>
        <v>#VALUE!</v>
      </c>
      <c r="S4" s="7" t="e">
        <f>averageCompletionTimePorter(Dates!S$4,Dates!S$5,'Day1'!$B4)</f>
        <v>#VALUE!</v>
      </c>
      <c r="T4" s="7" t="e">
        <f>averageCompletionTimePorter(Dates!T$4,Dates!T$5,'Day1'!$B4)</f>
        <v>#VALUE!</v>
      </c>
      <c r="U4" s="7" t="e">
        <f>averageCompletionTimePorter(Dates!$C$4,Dates!$T$5,'Day1'!$B4)</f>
        <v>#VALUE!</v>
      </c>
    </row>
    <row r="5" spans="1:21" x14ac:dyDescent="0.3">
      <c r="A5" s="10"/>
      <c r="B5" s="12" t="s">
        <v>373</v>
      </c>
      <c r="C5" s="7" t="e">
        <f>averageCompletionTimePorter(Dates!C$4,Dates!C$5,'Day1'!$B5)</f>
        <v>#VALUE!</v>
      </c>
      <c r="D5" s="7" t="e">
        <f>averageCompletionTimePorter(Dates!D$4,Dates!D$5,'Day1'!$B5)</f>
        <v>#VALUE!</v>
      </c>
      <c r="E5" s="7" t="e">
        <f>averageCompletionTimePorter(Dates!E$4,Dates!E$5,'Day1'!$B5)</f>
        <v>#VALUE!</v>
      </c>
      <c r="F5" s="7" t="e">
        <f>averageCompletionTimePorter(Dates!F$4,Dates!F$5,'Day1'!$B5)</f>
        <v>#VALUE!</v>
      </c>
      <c r="G5" s="7" t="e">
        <f>averageCompletionTimePorter(Dates!G$4,Dates!G$5,'Day1'!$B5)</f>
        <v>#VALUE!</v>
      </c>
      <c r="H5" s="7" t="e">
        <f>averageCompletionTimePorter(Dates!H$4,Dates!H$5,'Day1'!$B5)</f>
        <v>#VALUE!</v>
      </c>
      <c r="I5" s="7" t="e">
        <f>averageCompletionTimePorter(Dates!I$4,Dates!I$5,'Day1'!$B5)</f>
        <v>#VALUE!</v>
      </c>
      <c r="J5" s="7" t="e">
        <f>averageCompletionTimePorter(Dates!J$4,Dates!J$5,'Day1'!$B5)</f>
        <v>#VALUE!</v>
      </c>
      <c r="K5" s="7" t="e">
        <f>averageCompletionTimePorter(Dates!K$4,Dates!K$5,'Day1'!$B5)</f>
        <v>#VALUE!</v>
      </c>
      <c r="L5" s="7" t="e">
        <f>averageCompletionTimePorter(Dates!L$4,Dates!L$5,'Day1'!$B5)</f>
        <v>#VALUE!</v>
      </c>
      <c r="M5" s="7" t="e">
        <f>averageCompletionTimePorter(Dates!M$4,Dates!M$5,'Day1'!$B5)</f>
        <v>#VALUE!</v>
      </c>
      <c r="N5" s="7" t="e">
        <f>averageCompletionTimePorter(Dates!N$4,Dates!N$5,'Day1'!$B5)</f>
        <v>#VALUE!</v>
      </c>
      <c r="O5" s="7" t="e">
        <f>averageCompletionTimePorter(Dates!O$4,Dates!O$5,'Day1'!$B5)</f>
        <v>#VALUE!</v>
      </c>
      <c r="P5" s="7" t="e">
        <f>averageCompletionTimePorter(Dates!P$4,Dates!P$5,'Day1'!$B5)</f>
        <v>#VALUE!</v>
      </c>
      <c r="Q5" s="7" t="e">
        <f>averageCompletionTimePorter(Dates!Q$4,Dates!Q$5,'Day1'!$B5)</f>
        <v>#VALUE!</v>
      </c>
      <c r="R5" s="7" t="e">
        <f>averageCompletionTimePorter(Dates!R$4,Dates!R$5,'Day1'!$B5)</f>
        <v>#VALUE!</v>
      </c>
      <c r="S5" s="7" t="e">
        <f>averageCompletionTimePorter(Dates!S$4,Dates!S$5,'Day1'!$B5)</f>
        <v>#VALUE!</v>
      </c>
      <c r="T5" s="7" t="e">
        <f>averageCompletionTimePorter(Dates!T$4,Dates!T$5,'Day1'!$B5)</f>
        <v>#VALUE!</v>
      </c>
      <c r="U5" s="7" t="e">
        <f>averageCompletionTimePorter(Dates!$C$4,Dates!$T$5,'Day1'!$B5)</f>
        <v>#VALUE!</v>
      </c>
    </row>
    <row r="6" spans="1:21" x14ac:dyDescent="0.3">
      <c r="A6" s="10"/>
      <c r="B6" s="12" t="s">
        <v>374</v>
      </c>
      <c r="C6" s="7" t="e">
        <f>averageCompletionTimePorter(Dates!C$4,Dates!C$5,'Day1'!$B6)</f>
        <v>#VALUE!</v>
      </c>
      <c r="D6" s="7" t="e">
        <f>averageCompletionTimePorter(Dates!D$4,Dates!D$5,'Day1'!$B6)</f>
        <v>#VALUE!</v>
      </c>
      <c r="E6" s="7" t="e">
        <f>averageCompletionTimePorter(Dates!E$4,Dates!E$5,'Day1'!$B6)</f>
        <v>#VALUE!</v>
      </c>
      <c r="F6" s="7" t="e">
        <f>averageCompletionTimePorter(Dates!F$4,Dates!F$5,'Day1'!$B6)</f>
        <v>#VALUE!</v>
      </c>
      <c r="G6" s="7" t="e">
        <f>averageCompletionTimePorter(Dates!G$4,Dates!G$5,'Day1'!$B6)</f>
        <v>#VALUE!</v>
      </c>
      <c r="H6" s="7" t="e">
        <f>averageCompletionTimePorter(Dates!H$4,Dates!H$5,'Day1'!$B6)</f>
        <v>#VALUE!</v>
      </c>
      <c r="I6" s="7" t="e">
        <f>averageCompletionTimePorter(Dates!I$4,Dates!I$5,'Day1'!$B6)</f>
        <v>#VALUE!</v>
      </c>
      <c r="J6" s="7" t="e">
        <f>averageCompletionTimePorter(Dates!J$4,Dates!J$5,'Day1'!$B6)</f>
        <v>#VALUE!</v>
      </c>
      <c r="K6" s="7" t="e">
        <f>averageCompletionTimePorter(Dates!K$4,Dates!K$5,'Day1'!$B6)</f>
        <v>#VALUE!</v>
      </c>
      <c r="L6" s="7" t="e">
        <f>averageCompletionTimePorter(Dates!L$4,Dates!L$5,'Day1'!$B6)</f>
        <v>#VALUE!</v>
      </c>
      <c r="M6" s="7" t="e">
        <f>averageCompletionTimePorter(Dates!M$4,Dates!M$5,'Day1'!$B6)</f>
        <v>#VALUE!</v>
      </c>
      <c r="N6" s="7" t="e">
        <f>averageCompletionTimePorter(Dates!N$4,Dates!N$5,'Day1'!$B6)</f>
        <v>#VALUE!</v>
      </c>
      <c r="O6" s="7" t="e">
        <f>averageCompletionTimePorter(Dates!O$4,Dates!O$5,'Day1'!$B6)</f>
        <v>#VALUE!</v>
      </c>
      <c r="P6" s="7" t="e">
        <f>averageCompletionTimePorter(Dates!P$4,Dates!P$5,'Day1'!$B6)</f>
        <v>#VALUE!</v>
      </c>
      <c r="Q6" s="7" t="e">
        <f>averageCompletionTimePorter(Dates!Q$4,Dates!Q$5,'Day1'!$B6)</f>
        <v>#VALUE!</v>
      </c>
      <c r="R6" s="7" t="e">
        <f>averageCompletionTimePorter(Dates!R$4,Dates!R$5,'Day1'!$B6)</f>
        <v>#VALUE!</v>
      </c>
      <c r="S6" s="7" t="e">
        <f>averageCompletionTimePorter(Dates!S$4,Dates!S$5,'Day1'!$B6)</f>
        <v>#VALUE!</v>
      </c>
      <c r="T6" s="7" t="e">
        <f>averageCompletionTimePorter(Dates!T$4,Dates!T$5,'Day1'!$B6)</f>
        <v>#VALUE!</v>
      </c>
      <c r="U6" s="7" t="e">
        <f>averageCompletionTimePorter(Dates!$C$4,Dates!$T$5,'Day1'!$B6)</f>
        <v>#VALUE!</v>
      </c>
    </row>
    <row r="7" spans="1:21" x14ac:dyDescent="0.3">
      <c r="A7" s="10"/>
      <c r="B7" s="12" t="s">
        <v>375</v>
      </c>
      <c r="C7" s="7" t="e">
        <f>averageCompletionTimePorter(Dates!C$4,Dates!C$5,'Day1'!$B7)</f>
        <v>#VALUE!</v>
      </c>
      <c r="D7" s="7" t="e">
        <f>averageCompletionTimePorter(Dates!D$4,Dates!D$5,'Day1'!$B7)</f>
        <v>#VALUE!</v>
      </c>
      <c r="E7" s="7" t="e">
        <f>averageCompletionTimePorter(Dates!E$4,Dates!E$5,'Day1'!$B7)</f>
        <v>#VALUE!</v>
      </c>
      <c r="F7" s="7" t="e">
        <f>averageCompletionTimePorter(Dates!F$4,Dates!F$5,'Day1'!$B7)</f>
        <v>#VALUE!</v>
      </c>
      <c r="G7" s="7" t="e">
        <f>averageCompletionTimePorter(Dates!G$4,Dates!G$5,'Day1'!$B7)</f>
        <v>#VALUE!</v>
      </c>
      <c r="H7" s="7" t="e">
        <f>averageCompletionTimePorter(Dates!H$4,Dates!H$5,'Day1'!$B7)</f>
        <v>#VALUE!</v>
      </c>
      <c r="I7" s="7" t="e">
        <f>averageCompletionTimePorter(Dates!I$4,Dates!I$5,'Day1'!$B7)</f>
        <v>#VALUE!</v>
      </c>
      <c r="J7" s="7" t="e">
        <f>averageCompletionTimePorter(Dates!J$4,Dates!J$5,'Day1'!$B7)</f>
        <v>#VALUE!</v>
      </c>
      <c r="K7" s="7" t="e">
        <f>averageCompletionTimePorter(Dates!K$4,Dates!K$5,'Day1'!$B7)</f>
        <v>#VALUE!</v>
      </c>
      <c r="L7" s="7" t="e">
        <f>averageCompletionTimePorter(Dates!L$4,Dates!L$5,'Day1'!$B7)</f>
        <v>#VALUE!</v>
      </c>
      <c r="M7" s="7" t="e">
        <f>averageCompletionTimePorter(Dates!M$4,Dates!M$5,'Day1'!$B7)</f>
        <v>#VALUE!</v>
      </c>
      <c r="N7" s="7" t="e">
        <f>averageCompletionTimePorter(Dates!N$4,Dates!N$5,'Day1'!$B7)</f>
        <v>#VALUE!</v>
      </c>
      <c r="O7" s="7" t="e">
        <f>averageCompletionTimePorter(Dates!O$4,Dates!O$5,'Day1'!$B7)</f>
        <v>#VALUE!</v>
      </c>
      <c r="P7" s="7" t="e">
        <f>averageCompletionTimePorter(Dates!P$4,Dates!P$5,'Day1'!$B7)</f>
        <v>#VALUE!</v>
      </c>
      <c r="Q7" s="7" t="e">
        <f>averageCompletionTimePorter(Dates!Q$4,Dates!Q$5,'Day1'!$B7)</f>
        <v>#VALUE!</v>
      </c>
      <c r="R7" s="7" t="e">
        <f>averageCompletionTimePorter(Dates!R$4,Dates!R$5,'Day1'!$B7)</f>
        <v>#VALUE!</v>
      </c>
      <c r="S7" s="7" t="e">
        <f>averageCompletionTimePorter(Dates!S$4,Dates!S$5,'Day1'!$B7)</f>
        <v>#VALUE!</v>
      </c>
      <c r="T7" s="7" t="e">
        <f>averageCompletionTimePorter(Dates!T$4,Dates!T$5,'Day1'!$B7)</f>
        <v>#VALUE!</v>
      </c>
      <c r="U7" s="7" t="e">
        <f>averageCompletionTimePorter(Dates!$C$4,Dates!$T$5,'Day1'!$B7)</f>
        <v>#VALUE!</v>
      </c>
    </row>
    <row r="8" spans="1:21" x14ac:dyDescent="0.3">
      <c r="A8" s="10"/>
      <c r="B8" s="12" t="s">
        <v>376</v>
      </c>
      <c r="C8" s="7" t="e">
        <f>averageCompletionTimePorter(Dates!C$4,Dates!C$5,'Day1'!$B8)</f>
        <v>#VALUE!</v>
      </c>
      <c r="D8" s="7" t="e">
        <f>averageCompletionTimePorter(Dates!D$4,Dates!D$5,'Day1'!$B8)</f>
        <v>#VALUE!</v>
      </c>
      <c r="E8" s="7" t="e">
        <f>averageCompletionTimePorter(Dates!E$4,Dates!E$5,'Day1'!$B8)</f>
        <v>#VALUE!</v>
      </c>
      <c r="F8" s="7" t="e">
        <f>averageCompletionTimePorter(Dates!F$4,Dates!F$5,'Day1'!$B8)</f>
        <v>#VALUE!</v>
      </c>
      <c r="G8" s="7" t="e">
        <f>averageCompletionTimePorter(Dates!G$4,Dates!G$5,'Day1'!$B8)</f>
        <v>#VALUE!</v>
      </c>
      <c r="H8" s="7" t="e">
        <f>averageCompletionTimePorter(Dates!H$4,Dates!H$5,'Day1'!$B8)</f>
        <v>#VALUE!</v>
      </c>
      <c r="I8" s="7" t="e">
        <f>averageCompletionTimePorter(Dates!I$4,Dates!I$5,'Day1'!$B8)</f>
        <v>#VALUE!</v>
      </c>
      <c r="J8" s="7" t="e">
        <f>averageCompletionTimePorter(Dates!J$4,Dates!J$5,'Day1'!$B8)</f>
        <v>#VALUE!</v>
      </c>
      <c r="K8" s="7" t="e">
        <f>averageCompletionTimePorter(Dates!K$4,Dates!K$5,'Day1'!$B8)</f>
        <v>#VALUE!</v>
      </c>
      <c r="L8" s="7" t="e">
        <f>averageCompletionTimePorter(Dates!L$4,Dates!L$5,'Day1'!$B8)</f>
        <v>#VALUE!</v>
      </c>
      <c r="M8" s="7" t="e">
        <f>averageCompletionTimePorter(Dates!M$4,Dates!M$5,'Day1'!$B8)</f>
        <v>#VALUE!</v>
      </c>
      <c r="N8" s="7" t="e">
        <f>averageCompletionTimePorter(Dates!N$4,Dates!N$5,'Day1'!$B8)</f>
        <v>#VALUE!</v>
      </c>
      <c r="O8" s="7" t="e">
        <f>averageCompletionTimePorter(Dates!O$4,Dates!O$5,'Day1'!$B8)</f>
        <v>#VALUE!</v>
      </c>
      <c r="P8" s="7" t="e">
        <f>averageCompletionTimePorter(Dates!P$4,Dates!P$5,'Day1'!$B8)</f>
        <v>#VALUE!</v>
      </c>
      <c r="Q8" s="7" t="e">
        <f>averageCompletionTimePorter(Dates!Q$4,Dates!Q$5,'Day1'!$B8)</f>
        <v>#VALUE!</v>
      </c>
      <c r="R8" s="7" t="e">
        <f>averageCompletionTimePorter(Dates!R$4,Dates!R$5,'Day1'!$B8)</f>
        <v>#VALUE!</v>
      </c>
      <c r="S8" s="7" t="e">
        <f>averageCompletionTimePorter(Dates!S$4,Dates!S$5,'Day1'!$B8)</f>
        <v>#VALUE!</v>
      </c>
      <c r="T8" s="7" t="e">
        <f>averageCompletionTimePorter(Dates!T$4,Dates!T$5,'Day1'!$B8)</f>
        <v>#VALUE!</v>
      </c>
      <c r="U8" s="7" t="e">
        <f>averageCompletionTimePorter(Dates!$C$4,Dates!$T$5,'Day1'!$B8)</f>
        <v>#VALUE!</v>
      </c>
    </row>
    <row r="9" spans="1:21" x14ac:dyDescent="0.3">
      <c r="A9" s="10"/>
      <c r="B9" s="12" t="s">
        <v>377</v>
      </c>
      <c r="C9" s="7" t="e">
        <f>averageCompletionTimePorter(Dates!C$4,Dates!C$5,'Day1'!$B9)</f>
        <v>#VALUE!</v>
      </c>
      <c r="D9" s="7" t="e">
        <f>averageCompletionTimePorter(Dates!D$4,Dates!D$5,'Day1'!$B9)</f>
        <v>#VALUE!</v>
      </c>
      <c r="E9" s="7" t="e">
        <f>averageCompletionTimePorter(Dates!E$4,Dates!E$5,'Day1'!$B9)</f>
        <v>#VALUE!</v>
      </c>
      <c r="F9" s="7" t="e">
        <f>averageCompletionTimePorter(Dates!F$4,Dates!F$5,'Day1'!$B9)</f>
        <v>#VALUE!</v>
      </c>
      <c r="G9" s="7" t="e">
        <f>averageCompletionTimePorter(Dates!G$4,Dates!G$5,'Day1'!$B9)</f>
        <v>#VALUE!</v>
      </c>
      <c r="H9" s="7" t="e">
        <f>averageCompletionTimePorter(Dates!H$4,Dates!H$5,'Day1'!$B9)</f>
        <v>#VALUE!</v>
      </c>
      <c r="I9" s="7" t="e">
        <f>averageCompletionTimePorter(Dates!I$4,Dates!I$5,'Day1'!$B9)</f>
        <v>#VALUE!</v>
      </c>
      <c r="J9" s="7" t="e">
        <f>averageCompletionTimePorter(Dates!J$4,Dates!J$5,'Day1'!$B9)</f>
        <v>#VALUE!</v>
      </c>
      <c r="K9" s="7" t="e">
        <f>averageCompletionTimePorter(Dates!K$4,Dates!K$5,'Day1'!$B9)</f>
        <v>#VALUE!</v>
      </c>
      <c r="L9" s="7" t="e">
        <f>averageCompletionTimePorter(Dates!L$4,Dates!L$5,'Day1'!$B9)</f>
        <v>#VALUE!</v>
      </c>
      <c r="M9" s="7" t="e">
        <f>averageCompletionTimePorter(Dates!M$4,Dates!M$5,'Day1'!$B9)</f>
        <v>#VALUE!</v>
      </c>
      <c r="N9" s="7" t="e">
        <f>averageCompletionTimePorter(Dates!N$4,Dates!N$5,'Day1'!$B9)</f>
        <v>#VALUE!</v>
      </c>
      <c r="O9" s="7" t="e">
        <f>averageCompletionTimePorter(Dates!O$4,Dates!O$5,'Day1'!$B9)</f>
        <v>#VALUE!</v>
      </c>
      <c r="P9" s="7" t="e">
        <f>averageCompletionTimePorter(Dates!P$4,Dates!P$5,'Day1'!$B9)</f>
        <v>#VALUE!</v>
      </c>
      <c r="Q9" s="7" t="e">
        <f>averageCompletionTimePorter(Dates!Q$4,Dates!Q$5,'Day1'!$B9)</f>
        <v>#VALUE!</v>
      </c>
      <c r="R9" s="7" t="e">
        <f>averageCompletionTimePorter(Dates!R$4,Dates!R$5,'Day1'!$B9)</f>
        <v>#VALUE!</v>
      </c>
      <c r="S9" s="7" t="e">
        <f>averageCompletionTimePorter(Dates!S$4,Dates!S$5,'Day1'!$B9)</f>
        <v>#VALUE!</v>
      </c>
      <c r="T9" s="7" t="e">
        <f>averageCompletionTimePorter(Dates!T$4,Dates!T$5,'Day1'!$B9)</f>
        <v>#VALUE!</v>
      </c>
      <c r="U9" s="7" t="e">
        <f>averageCompletionTimePorter(Dates!$C$4,Dates!$T$5,'Day1'!$B9)</f>
        <v>#VALUE!</v>
      </c>
    </row>
    <row r="10" spans="1:21" x14ac:dyDescent="0.3">
      <c r="A10" s="10"/>
      <c r="B10" s="12" t="s">
        <v>378</v>
      </c>
      <c r="C10" s="7" t="e">
        <f>averageCompletionTimePorter(Dates!C$4,Dates!C$5,'Day1'!$B10)</f>
        <v>#VALUE!</v>
      </c>
      <c r="D10" s="7" t="e">
        <f>averageCompletionTimePorter(Dates!D$4,Dates!D$5,'Day1'!$B10)</f>
        <v>#VALUE!</v>
      </c>
      <c r="E10" s="7" t="e">
        <f>averageCompletionTimePorter(Dates!E$4,Dates!E$5,'Day1'!$B10)</f>
        <v>#VALUE!</v>
      </c>
      <c r="F10" s="7" t="e">
        <f>averageCompletionTimePorter(Dates!F$4,Dates!F$5,'Day1'!$B10)</f>
        <v>#VALUE!</v>
      </c>
      <c r="G10" s="7" t="e">
        <f>averageCompletionTimePorter(Dates!G$4,Dates!G$5,'Day1'!$B10)</f>
        <v>#VALUE!</v>
      </c>
      <c r="H10" s="7" t="e">
        <f>averageCompletionTimePorter(Dates!H$4,Dates!H$5,'Day1'!$B10)</f>
        <v>#VALUE!</v>
      </c>
      <c r="I10" s="7" t="e">
        <f>averageCompletionTimePorter(Dates!I$4,Dates!I$5,'Day1'!$B10)</f>
        <v>#VALUE!</v>
      </c>
      <c r="J10" s="7" t="e">
        <f>averageCompletionTimePorter(Dates!J$4,Dates!J$5,'Day1'!$B10)</f>
        <v>#VALUE!</v>
      </c>
      <c r="K10" s="7" t="e">
        <f>averageCompletionTimePorter(Dates!K$4,Dates!K$5,'Day1'!$B10)</f>
        <v>#VALUE!</v>
      </c>
      <c r="L10" s="7" t="e">
        <f>averageCompletionTimePorter(Dates!L$4,Dates!L$5,'Day1'!$B10)</f>
        <v>#VALUE!</v>
      </c>
      <c r="M10" s="7" t="e">
        <f>averageCompletionTimePorter(Dates!M$4,Dates!M$5,'Day1'!$B10)</f>
        <v>#VALUE!</v>
      </c>
      <c r="N10" s="7" t="e">
        <f>averageCompletionTimePorter(Dates!N$4,Dates!N$5,'Day1'!$B10)</f>
        <v>#VALUE!</v>
      </c>
      <c r="O10" s="7" t="e">
        <f>averageCompletionTimePorter(Dates!O$4,Dates!O$5,'Day1'!$B10)</f>
        <v>#VALUE!</v>
      </c>
      <c r="P10" s="7" t="e">
        <f>averageCompletionTimePorter(Dates!P$4,Dates!P$5,'Day1'!$B10)</f>
        <v>#VALUE!</v>
      </c>
      <c r="Q10" s="7" t="e">
        <f>averageCompletionTimePorter(Dates!Q$4,Dates!Q$5,'Day1'!$B10)</f>
        <v>#VALUE!</v>
      </c>
      <c r="R10" s="7" t="e">
        <f>averageCompletionTimePorter(Dates!R$4,Dates!R$5,'Day1'!$B10)</f>
        <v>#VALUE!</v>
      </c>
      <c r="S10" s="7" t="e">
        <f>averageCompletionTimePorter(Dates!S$4,Dates!S$5,'Day1'!$B10)</f>
        <v>#VALUE!</v>
      </c>
      <c r="T10" s="7" t="e">
        <f>averageCompletionTimePorter(Dates!T$4,Dates!T$5,'Day1'!$B10)</f>
        <v>#VALUE!</v>
      </c>
      <c r="U10" s="7" t="e">
        <f>averageCompletionTimePorter(Dates!$C$4,Dates!$T$5,'Day1'!$B10)</f>
        <v>#VALUE!</v>
      </c>
    </row>
    <row r="11" spans="1:21" x14ac:dyDescent="0.3">
      <c r="A11" s="10"/>
      <c r="B11" s="12" t="s">
        <v>379</v>
      </c>
      <c r="C11" s="7" t="e">
        <f>averageCompletionTimePorter(Dates!C$4,Dates!C$5,'Day1'!$B11)</f>
        <v>#VALUE!</v>
      </c>
      <c r="D11" s="7" t="e">
        <f>averageCompletionTimePorter(Dates!D$4,Dates!D$5,'Day1'!$B11)</f>
        <v>#VALUE!</v>
      </c>
      <c r="E11" s="7" t="e">
        <f>averageCompletionTimePorter(Dates!E$4,Dates!E$5,'Day1'!$B11)</f>
        <v>#VALUE!</v>
      </c>
      <c r="F11" s="7" t="e">
        <f>averageCompletionTimePorter(Dates!F$4,Dates!F$5,'Day1'!$B11)</f>
        <v>#VALUE!</v>
      </c>
      <c r="G11" s="7" t="e">
        <f>averageCompletionTimePorter(Dates!G$4,Dates!G$5,'Day1'!$B11)</f>
        <v>#VALUE!</v>
      </c>
      <c r="H11" s="7" t="e">
        <f>averageCompletionTimePorter(Dates!H$4,Dates!H$5,'Day1'!$B11)</f>
        <v>#VALUE!</v>
      </c>
      <c r="I11" s="7" t="e">
        <f>averageCompletionTimePorter(Dates!I$4,Dates!I$5,'Day1'!$B11)</f>
        <v>#VALUE!</v>
      </c>
      <c r="J11" s="7" t="e">
        <f>averageCompletionTimePorter(Dates!J$4,Dates!J$5,'Day1'!$B11)</f>
        <v>#VALUE!</v>
      </c>
      <c r="K11" s="7" t="e">
        <f>averageCompletionTimePorter(Dates!K$4,Dates!K$5,'Day1'!$B11)</f>
        <v>#VALUE!</v>
      </c>
      <c r="L11" s="7" t="e">
        <f>averageCompletionTimePorter(Dates!L$4,Dates!L$5,'Day1'!$B11)</f>
        <v>#VALUE!</v>
      </c>
      <c r="M11" s="7" t="e">
        <f>averageCompletionTimePorter(Dates!M$4,Dates!M$5,'Day1'!$B11)</f>
        <v>#VALUE!</v>
      </c>
      <c r="N11" s="7" t="e">
        <f>averageCompletionTimePorter(Dates!N$4,Dates!N$5,'Day1'!$B11)</f>
        <v>#VALUE!</v>
      </c>
      <c r="O11" s="7" t="e">
        <f>averageCompletionTimePorter(Dates!O$4,Dates!O$5,'Day1'!$B11)</f>
        <v>#VALUE!</v>
      </c>
      <c r="P11" s="7" t="e">
        <f>averageCompletionTimePorter(Dates!P$4,Dates!P$5,'Day1'!$B11)</f>
        <v>#VALUE!</v>
      </c>
      <c r="Q11" s="7" t="e">
        <f>averageCompletionTimePorter(Dates!Q$4,Dates!Q$5,'Day1'!$B11)</f>
        <v>#VALUE!</v>
      </c>
      <c r="R11" s="7" t="e">
        <f>averageCompletionTimePorter(Dates!R$4,Dates!R$5,'Day1'!$B11)</f>
        <v>#VALUE!</v>
      </c>
      <c r="S11" s="7" t="e">
        <f>averageCompletionTimePorter(Dates!S$4,Dates!S$5,'Day1'!$B11)</f>
        <v>#VALUE!</v>
      </c>
      <c r="T11" s="7" t="e">
        <f>averageCompletionTimePorter(Dates!T$4,Dates!T$5,'Day1'!$B11)</f>
        <v>#VALUE!</v>
      </c>
      <c r="U11" s="7" t="e">
        <f>averageCompletionTimePorter(Dates!$C$4,Dates!$T$5,'Day1'!$B11)</f>
        <v>#VALUE!</v>
      </c>
    </row>
    <row r="12" spans="1:21" x14ac:dyDescent="0.3">
      <c r="A12" s="10"/>
      <c r="B12" s="12" t="s">
        <v>380</v>
      </c>
      <c r="C12" s="7" t="e">
        <f>averageCompletionTimePorter(Dates!C$4,Dates!C$5,'Day1'!$B12)</f>
        <v>#VALUE!</v>
      </c>
      <c r="D12" s="7" t="e">
        <f>averageCompletionTimePorter(Dates!D$4,Dates!D$5,'Day1'!$B12)</f>
        <v>#VALUE!</v>
      </c>
      <c r="E12" s="7" t="e">
        <f>averageCompletionTimePorter(Dates!E$4,Dates!E$5,'Day1'!$B12)</f>
        <v>#VALUE!</v>
      </c>
      <c r="F12" s="7" t="e">
        <f>averageCompletionTimePorter(Dates!F$4,Dates!F$5,'Day1'!$B12)</f>
        <v>#VALUE!</v>
      </c>
      <c r="G12" s="7" t="e">
        <f>averageCompletionTimePorter(Dates!G$4,Dates!G$5,'Day1'!$B12)</f>
        <v>#VALUE!</v>
      </c>
      <c r="H12" s="7" t="e">
        <f>averageCompletionTimePorter(Dates!H$4,Dates!H$5,'Day1'!$B12)</f>
        <v>#VALUE!</v>
      </c>
      <c r="I12" s="7" t="e">
        <f>averageCompletionTimePorter(Dates!I$4,Dates!I$5,'Day1'!$B12)</f>
        <v>#VALUE!</v>
      </c>
      <c r="J12" s="7" t="e">
        <f>averageCompletionTimePorter(Dates!J$4,Dates!J$5,'Day1'!$B12)</f>
        <v>#VALUE!</v>
      </c>
      <c r="K12" s="7" t="e">
        <f>averageCompletionTimePorter(Dates!K$4,Dates!K$5,'Day1'!$B12)</f>
        <v>#VALUE!</v>
      </c>
      <c r="L12" s="7" t="e">
        <f>averageCompletionTimePorter(Dates!L$4,Dates!L$5,'Day1'!$B12)</f>
        <v>#VALUE!</v>
      </c>
      <c r="M12" s="7" t="e">
        <f>averageCompletionTimePorter(Dates!M$4,Dates!M$5,'Day1'!$B12)</f>
        <v>#VALUE!</v>
      </c>
      <c r="N12" s="7" t="e">
        <f>averageCompletionTimePorter(Dates!N$4,Dates!N$5,'Day1'!$B12)</f>
        <v>#VALUE!</v>
      </c>
      <c r="O12" s="7" t="e">
        <f>averageCompletionTimePorter(Dates!O$4,Dates!O$5,'Day1'!$B12)</f>
        <v>#VALUE!</v>
      </c>
      <c r="P12" s="7" t="e">
        <f>averageCompletionTimePorter(Dates!P$4,Dates!P$5,'Day1'!$B12)</f>
        <v>#VALUE!</v>
      </c>
      <c r="Q12" s="7" t="e">
        <f>averageCompletionTimePorter(Dates!Q$4,Dates!Q$5,'Day1'!$B12)</f>
        <v>#VALUE!</v>
      </c>
      <c r="R12" s="7" t="e">
        <f>averageCompletionTimePorter(Dates!R$4,Dates!R$5,'Day1'!$B12)</f>
        <v>#VALUE!</v>
      </c>
      <c r="S12" s="7" t="e">
        <f>averageCompletionTimePorter(Dates!S$4,Dates!S$5,'Day1'!$B12)</f>
        <v>#VALUE!</v>
      </c>
      <c r="T12" s="7" t="e">
        <f>averageCompletionTimePorter(Dates!T$4,Dates!T$5,'Day1'!$B12)</f>
        <v>#VALUE!</v>
      </c>
      <c r="U12" s="7" t="e">
        <f>averageCompletionTimePorter(Dates!$C$4,Dates!$T$5,'Day1'!$B12)</f>
        <v>#VALUE!</v>
      </c>
    </row>
    <row r="13" spans="1:21" x14ac:dyDescent="0.3">
      <c r="A13" s="10"/>
      <c r="B13" s="12" t="s">
        <v>381</v>
      </c>
      <c r="C13" s="7" t="e">
        <f>averageCompletionTimePorter(Dates!C$4,Dates!C$5,'Day1'!$B13)</f>
        <v>#VALUE!</v>
      </c>
      <c r="D13" s="7" t="e">
        <f>averageCompletionTimePorter(Dates!D$4,Dates!D$5,'Day1'!$B13)</f>
        <v>#VALUE!</v>
      </c>
      <c r="E13" s="7" t="e">
        <f>averageCompletionTimePorter(Dates!E$4,Dates!E$5,'Day1'!$B13)</f>
        <v>#VALUE!</v>
      </c>
      <c r="F13" s="7" t="e">
        <f>averageCompletionTimePorter(Dates!F$4,Dates!F$5,'Day1'!$B13)</f>
        <v>#VALUE!</v>
      </c>
      <c r="G13" s="7" t="e">
        <f>averageCompletionTimePorter(Dates!G$4,Dates!G$5,'Day1'!$B13)</f>
        <v>#VALUE!</v>
      </c>
      <c r="H13" s="7" t="e">
        <f>averageCompletionTimePorter(Dates!H$4,Dates!H$5,'Day1'!$B13)</f>
        <v>#VALUE!</v>
      </c>
      <c r="I13" s="7" t="e">
        <f>averageCompletionTimePorter(Dates!I$4,Dates!I$5,'Day1'!$B13)</f>
        <v>#VALUE!</v>
      </c>
      <c r="J13" s="7" t="e">
        <f>averageCompletionTimePorter(Dates!J$4,Dates!J$5,'Day1'!$B13)</f>
        <v>#VALUE!</v>
      </c>
      <c r="K13" s="7" t="e">
        <f>averageCompletionTimePorter(Dates!K$4,Dates!K$5,'Day1'!$B13)</f>
        <v>#VALUE!</v>
      </c>
      <c r="L13" s="7" t="e">
        <f>averageCompletionTimePorter(Dates!L$4,Dates!L$5,'Day1'!$B13)</f>
        <v>#VALUE!</v>
      </c>
      <c r="M13" s="7" t="e">
        <f>averageCompletionTimePorter(Dates!M$4,Dates!M$5,'Day1'!$B13)</f>
        <v>#VALUE!</v>
      </c>
      <c r="N13" s="7" t="e">
        <f>averageCompletionTimePorter(Dates!N$4,Dates!N$5,'Day1'!$B13)</f>
        <v>#VALUE!</v>
      </c>
      <c r="O13" s="7" t="e">
        <f>averageCompletionTimePorter(Dates!O$4,Dates!O$5,'Day1'!$B13)</f>
        <v>#VALUE!</v>
      </c>
      <c r="P13" s="7" t="e">
        <f>averageCompletionTimePorter(Dates!P$4,Dates!P$5,'Day1'!$B13)</f>
        <v>#VALUE!</v>
      </c>
      <c r="Q13" s="7" t="e">
        <f>averageCompletionTimePorter(Dates!Q$4,Dates!Q$5,'Day1'!$B13)</f>
        <v>#VALUE!</v>
      </c>
      <c r="R13" s="7" t="e">
        <f>averageCompletionTimePorter(Dates!R$4,Dates!R$5,'Day1'!$B13)</f>
        <v>#VALUE!</v>
      </c>
      <c r="S13" s="7" t="e">
        <f>averageCompletionTimePorter(Dates!S$4,Dates!S$5,'Day1'!$B13)</f>
        <v>#VALUE!</v>
      </c>
      <c r="T13" s="7" t="e">
        <f>averageCompletionTimePorter(Dates!T$4,Dates!T$5,'Day1'!$B13)</f>
        <v>#VALUE!</v>
      </c>
      <c r="U13" s="7" t="e">
        <f>averageCompletionTimePorter(Dates!$C$4,Dates!$T$5,'Day1'!$B13)</f>
        <v>#VALUE!</v>
      </c>
    </row>
    <row r="14" spans="1:21" x14ac:dyDescent="0.3">
      <c r="B14" s="12" t="s">
        <v>113</v>
      </c>
      <c r="C14" s="7" t="e">
        <f>averageCompletionTimePorter(Dates!C$4,Dates!C$5,'Day1'!$B14)</f>
        <v>#VALUE!</v>
      </c>
      <c r="D14" s="7" t="e">
        <f>averageCompletionTimePorter(Dates!D$4,Dates!D$5,'Day1'!$B14)</f>
        <v>#VALUE!</v>
      </c>
      <c r="E14" s="7" t="e">
        <f>averageCompletionTimePorter(Dates!E$4,Dates!E$5,'Day1'!$B14)</f>
        <v>#VALUE!</v>
      </c>
      <c r="F14" s="7" t="e">
        <f>averageCompletionTimePorter(Dates!F$4,Dates!F$5,'Day1'!$B14)</f>
        <v>#VALUE!</v>
      </c>
      <c r="G14" s="7" t="e">
        <f>averageCompletionTimePorter(Dates!G$4,Dates!G$5,'Day1'!$B14)</f>
        <v>#VALUE!</v>
      </c>
      <c r="H14" s="7" t="e">
        <f>averageCompletionTimePorter(Dates!H$4,Dates!H$5,'Day1'!$B14)</f>
        <v>#VALUE!</v>
      </c>
      <c r="I14" s="7" t="e">
        <f>averageCompletionTimePorter(Dates!I$4,Dates!I$5,'Day1'!$B14)</f>
        <v>#VALUE!</v>
      </c>
      <c r="J14" s="7" t="e">
        <f>averageCompletionTimePorter(Dates!J$4,Dates!J$5,'Day1'!$B14)</f>
        <v>#VALUE!</v>
      </c>
      <c r="K14" s="7" t="e">
        <f>averageCompletionTimePorter(Dates!K$4,Dates!K$5,'Day1'!$B14)</f>
        <v>#VALUE!</v>
      </c>
      <c r="L14" s="7" t="e">
        <f>averageCompletionTimePorter(Dates!L$4,Dates!L$5,'Day1'!$B14)</f>
        <v>#VALUE!</v>
      </c>
      <c r="M14" s="7" t="e">
        <f>averageCompletionTimePorter(Dates!M$4,Dates!M$5,'Day1'!$B14)</f>
        <v>#VALUE!</v>
      </c>
      <c r="N14" s="7" t="e">
        <f>averageCompletionTimePorter(Dates!N$4,Dates!N$5,'Day1'!$B14)</f>
        <v>#VALUE!</v>
      </c>
      <c r="O14" s="7" t="e">
        <f>averageCompletionTimePorter(Dates!O$4,Dates!O$5,'Day1'!$B14)</f>
        <v>#VALUE!</v>
      </c>
      <c r="P14" s="7" t="e">
        <f>averageCompletionTimePorter(Dates!P$4,Dates!P$5,'Day1'!$B14)</f>
        <v>#VALUE!</v>
      </c>
      <c r="Q14" s="7" t="e">
        <f>averageCompletionTimePorter(Dates!Q$4,Dates!Q$5,'Day1'!$B14)</f>
        <v>#VALUE!</v>
      </c>
      <c r="R14" s="7" t="e">
        <f>averageCompletionTimePorter(Dates!R$4,Dates!R$5,'Day1'!$B14)</f>
        <v>#VALUE!</v>
      </c>
      <c r="S14" s="7" t="e">
        <f>averageCompletionTimePorter(Dates!S$4,Dates!S$5,'Day1'!$B14)</f>
        <v>#VALUE!</v>
      </c>
      <c r="T14" s="7" t="e">
        <f>averageCompletionTimePorter(Dates!T$4,Dates!T$5,'Day1'!$B14)</f>
        <v>#VALUE!</v>
      </c>
      <c r="U14" s="7" t="e">
        <f>averageCompletionTimePorter(Dates!$C$4,Dates!$T$5,'Day1'!$B14)</f>
        <v>#VALUE!</v>
      </c>
    </row>
    <row r="15" spans="1:21" x14ac:dyDescent="0.3">
      <c r="B15" s="12" t="s">
        <v>114</v>
      </c>
      <c r="C15" s="7" t="e">
        <f>averageCompletionTimePorter(Dates!C$4,Dates!C$5,'Day1'!$B15)</f>
        <v>#VALUE!</v>
      </c>
      <c r="D15" s="7" t="e">
        <f>averageCompletionTimePorter(Dates!D$4,Dates!D$5,'Day1'!$B15)</f>
        <v>#VALUE!</v>
      </c>
      <c r="E15" s="7" t="e">
        <f>averageCompletionTimePorter(Dates!E$4,Dates!E$5,'Day1'!$B15)</f>
        <v>#VALUE!</v>
      </c>
      <c r="F15" s="7" t="e">
        <f>averageCompletionTimePorter(Dates!F$4,Dates!F$5,'Day1'!$B15)</f>
        <v>#VALUE!</v>
      </c>
      <c r="G15" s="7" t="e">
        <f>averageCompletionTimePorter(Dates!G$4,Dates!G$5,'Day1'!$B15)</f>
        <v>#VALUE!</v>
      </c>
      <c r="H15" s="7" t="e">
        <f>averageCompletionTimePorter(Dates!H$4,Dates!H$5,'Day1'!$B15)</f>
        <v>#VALUE!</v>
      </c>
      <c r="I15" s="7" t="e">
        <f>averageCompletionTimePorter(Dates!I$4,Dates!I$5,'Day1'!$B15)</f>
        <v>#VALUE!</v>
      </c>
      <c r="J15" s="7" t="e">
        <f>averageCompletionTimePorter(Dates!J$4,Dates!J$5,'Day1'!$B15)</f>
        <v>#VALUE!</v>
      </c>
      <c r="K15" s="7" t="e">
        <f>averageCompletionTimePorter(Dates!K$4,Dates!K$5,'Day1'!$B15)</f>
        <v>#VALUE!</v>
      </c>
      <c r="L15" s="7" t="e">
        <f>averageCompletionTimePorter(Dates!L$4,Dates!L$5,'Day1'!$B15)</f>
        <v>#VALUE!</v>
      </c>
      <c r="M15" s="7" t="e">
        <f>averageCompletionTimePorter(Dates!M$4,Dates!M$5,'Day1'!$B15)</f>
        <v>#VALUE!</v>
      </c>
      <c r="N15" s="7" t="e">
        <f>averageCompletionTimePorter(Dates!N$4,Dates!N$5,'Day1'!$B15)</f>
        <v>#VALUE!</v>
      </c>
      <c r="O15" s="7" t="e">
        <f>averageCompletionTimePorter(Dates!O$4,Dates!O$5,'Day1'!$B15)</f>
        <v>#VALUE!</v>
      </c>
      <c r="P15" s="7" t="e">
        <f>averageCompletionTimePorter(Dates!P$4,Dates!P$5,'Day1'!$B15)</f>
        <v>#VALUE!</v>
      </c>
      <c r="Q15" s="7" t="e">
        <f>averageCompletionTimePorter(Dates!Q$4,Dates!Q$5,'Day1'!$B15)</f>
        <v>#VALUE!</v>
      </c>
      <c r="R15" s="7" t="e">
        <f>averageCompletionTimePorter(Dates!R$4,Dates!R$5,'Day1'!$B15)</f>
        <v>#VALUE!</v>
      </c>
      <c r="S15" s="7" t="e">
        <f>averageCompletionTimePorter(Dates!S$4,Dates!S$5,'Day1'!$B15)</f>
        <v>#VALUE!</v>
      </c>
      <c r="T15" s="7" t="e">
        <f>averageCompletionTimePorter(Dates!T$4,Dates!T$5,'Day1'!$B15)</f>
        <v>#VALUE!</v>
      </c>
      <c r="U15" s="7" t="e">
        <f>averageCompletionTimePorter(Dates!$C$4,Dates!$T$5,'Day1'!$B15)</f>
        <v>#VALUE!</v>
      </c>
    </row>
    <row r="16" spans="1:21" x14ac:dyDescent="0.3">
      <c r="B16" s="12" t="s">
        <v>115</v>
      </c>
      <c r="C16" s="7" t="e">
        <f>averageCompletionTimePorter(Dates!C$4,Dates!C$5,'Day1'!$B16)</f>
        <v>#VALUE!</v>
      </c>
      <c r="D16" s="7" t="e">
        <f>averageCompletionTimePorter(Dates!D$4,Dates!D$5,'Day1'!$B16)</f>
        <v>#VALUE!</v>
      </c>
      <c r="E16" s="7" t="e">
        <f>averageCompletionTimePorter(Dates!E$4,Dates!E$5,'Day1'!$B16)</f>
        <v>#VALUE!</v>
      </c>
      <c r="F16" s="7" t="e">
        <f>averageCompletionTimePorter(Dates!F$4,Dates!F$5,'Day1'!$B16)</f>
        <v>#VALUE!</v>
      </c>
      <c r="G16" s="7" t="e">
        <f>averageCompletionTimePorter(Dates!G$4,Dates!G$5,'Day1'!$B16)</f>
        <v>#VALUE!</v>
      </c>
      <c r="H16" s="7" t="e">
        <f>averageCompletionTimePorter(Dates!H$4,Dates!H$5,'Day1'!$B16)</f>
        <v>#VALUE!</v>
      </c>
      <c r="I16" s="7" t="e">
        <f>averageCompletionTimePorter(Dates!I$4,Dates!I$5,'Day1'!$B16)</f>
        <v>#VALUE!</v>
      </c>
      <c r="J16" s="7" t="e">
        <f>averageCompletionTimePorter(Dates!J$4,Dates!J$5,'Day1'!$B16)</f>
        <v>#VALUE!</v>
      </c>
      <c r="K16" s="7" t="e">
        <f>averageCompletionTimePorter(Dates!K$4,Dates!K$5,'Day1'!$B16)</f>
        <v>#VALUE!</v>
      </c>
      <c r="L16" s="7" t="e">
        <f>averageCompletionTimePorter(Dates!L$4,Dates!L$5,'Day1'!$B16)</f>
        <v>#VALUE!</v>
      </c>
      <c r="M16" s="7" t="e">
        <f>averageCompletionTimePorter(Dates!M$4,Dates!M$5,'Day1'!$B16)</f>
        <v>#VALUE!</v>
      </c>
      <c r="N16" s="7" t="e">
        <f>averageCompletionTimePorter(Dates!N$4,Dates!N$5,'Day1'!$B16)</f>
        <v>#VALUE!</v>
      </c>
      <c r="O16" s="7" t="e">
        <f>averageCompletionTimePorter(Dates!O$4,Dates!O$5,'Day1'!$B16)</f>
        <v>#VALUE!</v>
      </c>
      <c r="P16" s="7" t="e">
        <f>averageCompletionTimePorter(Dates!P$4,Dates!P$5,'Day1'!$B16)</f>
        <v>#VALUE!</v>
      </c>
      <c r="Q16" s="7" t="e">
        <f>averageCompletionTimePorter(Dates!Q$4,Dates!Q$5,'Day1'!$B16)</f>
        <v>#VALUE!</v>
      </c>
      <c r="R16" s="7" t="e">
        <f>averageCompletionTimePorter(Dates!R$4,Dates!R$5,'Day1'!$B16)</f>
        <v>#VALUE!</v>
      </c>
      <c r="S16" s="7" t="e">
        <f>averageCompletionTimePorter(Dates!S$4,Dates!S$5,'Day1'!$B16)</f>
        <v>#VALUE!</v>
      </c>
      <c r="T16" s="7" t="e">
        <f>averageCompletionTimePorter(Dates!T$4,Dates!T$5,'Day1'!$B16)</f>
        <v>#VALUE!</v>
      </c>
      <c r="U16" s="7" t="e">
        <f>averageCompletionTimePorter(Dates!$C$4,Dates!$T$5,'Day1'!$B16)</f>
        <v>#VALUE!</v>
      </c>
    </row>
    <row r="17" spans="2:21" x14ac:dyDescent="0.3">
      <c r="B17" s="12" t="s">
        <v>116</v>
      </c>
      <c r="C17" s="7" t="e">
        <f>averageCompletionTimePorter(Dates!C$4,Dates!C$5,'Day1'!$B17)</f>
        <v>#VALUE!</v>
      </c>
      <c r="D17" s="7" t="e">
        <f>averageCompletionTimePorter(Dates!D$4,Dates!D$5,'Day1'!$B17)</f>
        <v>#VALUE!</v>
      </c>
      <c r="E17" s="7" t="e">
        <f>averageCompletionTimePorter(Dates!E$4,Dates!E$5,'Day1'!$B17)</f>
        <v>#VALUE!</v>
      </c>
      <c r="F17" s="7" t="e">
        <f>averageCompletionTimePorter(Dates!F$4,Dates!F$5,'Day1'!$B17)</f>
        <v>#VALUE!</v>
      </c>
      <c r="G17" s="7" t="e">
        <f>averageCompletionTimePorter(Dates!G$4,Dates!G$5,'Day1'!$B17)</f>
        <v>#VALUE!</v>
      </c>
      <c r="H17" s="7" t="e">
        <f>averageCompletionTimePorter(Dates!H$4,Dates!H$5,'Day1'!$B17)</f>
        <v>#VALUE!</v>
      </c>
      <c r="I17" s="7" t="e">
        <f>averageCompletionTimePorter(Dates!I$4,Dates!I$5,'Day1'!$B17)</f>
        <v>#VALUE!</v>
      </c>
      <c r="J17" s="7" t="e">
        <f>averageCompletionTimePorter(Dates!J$4,Dates!J$5,'Day1'!$B17)</f>
        <v>#VALUE!</v>
      </c>
      <c r="K17" s="7" t="e">
        <f>averageCompletionTimePorter(Dates!K$4,Dates!K$5,'Day1'!$B17)</f>
        <v>#VALUE!</v>
      </c>
      <c r="L17" s="7" t="e">
        <f>averageCompletionTimePorter(Dates!L$4,Dates!L$5,'Day1'!$B17)</f>
        <v>#VALUE!</v>
      </c>
      <c r="M17" s="7" t="e">
        <f>averageCompletionTimePorter(Dates!M$4,Dates!M$5,'Day1'!$B17)</f>
        <v>#VALUE!</v>
      </c>
      <c r="N17" s="7" t="e">
        <f>averageCompletionTimePorter(Dates!N$4,Dates!N$5,'Day1'!$B17)</f>
        <v>#VALUE!</v>
      </c>
      <c r="O17" s="7" t="e">
        <f>averageCompletionTimePorter(Dates!O$4,Dates!O$5,'Day1'!$B17)</f>
        <v>#VALUE!</v>
      </c>
      <c r="P17" s="7" t="e">
        <f>averageCompletionTimePorter(Dates!P$4,Dates!P$5,'Day1'!$B17)</f>
        <v>#VALUE!</v>
      </c>
      <c r="Q17" s="7" t="e">
        <f>averageCompletionTimePorter(Dates!Q$4,Dates!Q$5,'Day1'!$B17)</f>
        <v>#VALUE!</v>
      </c>
      <c r="R17" s="7" t="e">
        <f>averageCompletionTimePorter(Dates!R$4,Dates!R$5,'Day1'!$B17)</f>
        <v>#VALUE!</v>
      </c>
      <c r="S17" s="7" t="e">
        <f>averageCompletionTimePorter(Dates!S$4,Dates!S$5,'Day1'!$B17)</f>
        <v>#VALUE!</v>
      </c>
      <c r="T17" s="7" t="e">
        <f>averageCompletionTimePorter(Dates!T$4,Dates!T$5,'Day1'!$B17)</f>
        <v>#VALUE!</v>
      </c>
      <c r="U17" s="7" t="e">
        <f>averageCompletionTimePorter(Dates!$C$4,Dates!$T$5,'Day1'!$B17)</f>
        <v>#VALUE!</v>
      </c>
    </row>
    <row r="18" spans="2:21" x14ac:dyDescent="0.3">
      <c r="B18" s="12" t="s">
        <v>117</v>
      </c>
      <c r="C18" s="7" t="e">
        <f>averageCompletionTimePorter(Dates!C$4,Dates!C$5,'Day1'!$B18)</f>
        <v>#VALUE!</v>
      </c>
      <c r="D18" s="7" t="e">
        <f>averageCompletionTimePorter(Dates!D$4,Dates!D$5,'Day1'!$B18)</f>
        <v>#VALUE!</v>
      </c>
      <c r="E18" s="7" t="e">
        <f>averageCompletionTimePorter(Dates!E$4,Dates!E$5,'Day1'!$B18)</f>
        <v>#VALUE!</v>
      </c>
      <c r="F18" s="7" t="e">
        <f>averageCompletionTimePorter(Dates!F$4,Dates!F$5,'Day1'!$B18)</f>
        <v>#VALUE!</v>
      </c>
      <c r="G18" s="7" t="e">
        <f>averageCompletionTimePorter(Dates!G$4,Dates!G$5,'Day1'!$B18)</f>
        <v>#VALUE!</v>
      </c>
      <c r="H18" s="7" t="e">
        <f>averageCompletionTimePorter(Dates!H$4,Dates!H$5,'Day1'!$B18)</f>
        <v>#VALUE!</v>
      </c>
      <c r="I18" s="7" t="e">
        <f>averageCompletionTimePorter(Dates!I$4,Dates!I$5,'Day1'!$B18)</f>
        <v>#VALUE!</v>
      </c>
      <c r="J18" s="7" t="e">
        <f>averageCompletionTimePorter(Dates!J$4,Dates!J$5,'Day1'!$B18)</f>
        <v>#VALUE!</v>
      </c>
      <c r="K18" s="7" t="e">
        <f>averageCompletionTimePorter(Dates!K$4,Dates!K$5,'Day1'!$B18)</f>
        <v>#VALUE!</v>
      </c>
      <c r="L18" s="7" t="e">
        <f>averageCompletionTimePorter(Dates!L$4,Dates!L$5,'Day1'!$B18)</f>
        <v>#VALUE!</v>
      </c>
      <c r="M18" s="7" t="e">
        <f>averageCompletionTimePorter(Dates!M$4,Dates!M$5,'Day1'!$B18)</f>
        <v>#VALUE!</v>
      </c>
      <c r="N18" s="7" t="e">
        <f>averageCompletionTimePorter(Dates!N$4,Dates!N$5,'Day1'!$B18)</f>
        <v>#VALUE!</v>
      </c>
      <c r="O18" s="7" t="e">
        <f>averageCompletionTimePorter(Dates!O$4,Dates!O$5,'Day1'!$B18)</f>
        <v>#VALUE!</v>
      </c>
      <c r="P18" s="7" t="e">
        <f>averageCompletionTimePorter(Dates!P$4,Dates!P$5,'Day1'!$B18)</f>
        <v>#VALUE!</v>
      </c>
      <c r="Q18" s="7" t="e">
        <f>averageCompletionTimePorter(Dates!Q$4,Dates!Q$5,'Day1'!$B18)</f>
        <v>#VALUE!</v>
      </c>
      <c r="R18" s="7" t="e">
        <f>averageCompletionTimePorter(Dates!R$4,Dates!R$5,'Day1'!$B18)</f>
        <v>#VALUE!</v>
      </c>
      <c r="S18" s="7" t="e">
        <f>averageCompletionTimePorter(Dates!S$4,Dates!S$5,'Day1'!$B18)</f>
        <v>#VALUE!</v>
      </c>
      <c r="T18" s="7" t="e">
        <f>averageCompletionTimePorter(Dates!T$4,Dates!T$5,'Day1'!$B18)</f>
        <v>#VALUE!</v>
      </c>
      <c r="U18" s="7" t="e">
        <f>averageCompletionTimePorter(Dates!$C$4,Dates!$T$5,'Day1'!$B18)</f>
        <v>#VALUE!</v>
      </c>
    </row>
    <row r="19" spans="2:21" x14ac:dyDescent="0.3">
      <c r="B19" s="12" t="s">
        <v>118</v>
      </c>
      <c r="C19" s="7" t="e">
        <f>averageCompletionTimePorter(Dates!C$4,Dates!C$5,'Day1'!$B19)</f>
        <v>#VALUE!</v>
      </c>
      <c r="D19" s="7" t="e">
        <f>averageCompletionTimePorter(Dates!D$4,Dates!D$5,'Day1'!$B19)</f>
        <v>#VALUE!</v>
      </c>
      <c r="E19" s="7" t="e">
        <f>averageCompletionTimePorter(Dates!E$4,Dates!E$5,'Day1'!$B19)</f>
        <v>#VALUE!</v>
      </c>
      <c r="F19" s="7" t="e">
        <f>averageCompletionTimePorter(Dates!F$4,Dates!F$5,'Day1'!$B19)</f>
        <v>#VALUE!</v>
      </c>
      <c r="G19" s="7" t="e">
        <f>averageCompletionTimePorter(Dates!G$4,Dates!G$5,'Day1'!$B19)</f>
        <v>#VALUE!</v>
      </c>
      <c r="H19" s="7" t="e">
        <f>averageCompletionTimePorter(Dates!H$4,Dates!H$5,'Day1'!$B19)</f>
        <v>#VALUE!</v>
      </c>
      <c r="I19" s="7" t="e">
        <f>averageCompletionTimePorter(Dates!I$4,Dates!I$5,'Day1'!$B19)</f>
        <v>#VALUE!</v>
      </c>
      <c r="J19" s="7" t="e">
        <f>averageCompletionTimePorter(Dates!J$4,Dates!J$5,'Day1'!$B19)</f>
        <v>#VALUE!</v>
      </c>
      <c r="K19" s="7" t="e">
        <f>averageCompletionTimePorter(Dates!K$4,Dates!K$5,'Day1'!$B19)</f>
        <v>#VALUE!</v>
      </c>
      <c r="L19" s="7" t="e">
        <f>averageCompletionTimePorter(Dates!L$4,Dates!L$5,'Day1'!$B19)</f>
        <v>#VALUE!</v>
      </c>
      <c r="M19" s="7" t="e">
        <f>averageCompletionTimePorter(Dates!M$4,Dates!M$5,'Day1'!$B19)</f>
        <v>#VALUE!</v>
      </c>
      <c r="N19" s="7" t="e">
        <f>averageCompletionTimePorter(Dates!N$4,Dates!N$5,'Day1'!$B19)</f>
        <v>#VALUE!</v>
      </c>
      <c r="O19" s="7" t="e">
        <f>averageCompletionTimePorter(Dates!O$4,Dates!O$5,'Day1'!$B19)</f>
        <v>#VALUE!</v>
      </c>
      <c r="P19" s="7" t="e">
        <f>averageCompletionTimePorter(Dates!P$4,Dates!P$5,'Day1'!$B19)</f>
        <v>#VALUE!</v>
      </c>
      <c r="Q19" s="7" t="e">
        <f>averageCompletionTimePorter(Dates!Q$4,Dates!Q$5,'Day1'!$B19)</f>
        <v>#VALUE!</v>
      </c>
      <c r="R19" s="7" t="e">
        <f>averageCompletionTimePorter(Dates!R$4,Dates!R$5,'Day1'!$B19)</f>
        <v>#VALUE!</v>
      </c>
      <c r="S19" s="7" t="e">
        <f>averageCompletionTimePorter(Dates!S$4,Dates!S$5,'Day1'!$B19)</f>
        <v>#VALUE!</v>
      </c>
      <c r="T19" s="7" t="e">
        <f>averageCompletionTimePorter(Dates!T$4,Dates!T$5,'Day1'!$B19)</f>
        <v>#VALUE!</v>
      </c>
      <c r="U19" s="7" t="e">
        <f>averageCompletionTimePorter(Dates!$C$4,Dates!$T$5,'Day1'!$B19)</f>
        <v>#VALUE!</v>
      </c>
    </row>
    <row r="20" spans="2:21" x14ac:dyDescent="0.3">
      <c r="B20" s="12" t="s">
        <v>119</v>
      </c>
      <c r="C20" s="7" t="e">
        <f>averageCompletionTimePorter(Dates!C$4,Dates!C$5,'Day1'!$B20)</f>
        <v>#VALUE!</v>
      </c>
      <c r="D20" s="7" t="e">
        <f>averageCompletionTimePorter(Dates!D$4,Dates!D$5,'Day1'!$B20)</f>
        <v>#VALUE!</v>
      </c>
      <c r="E20" s="7" t="e">
        <f>averageCompletionTimePorter(Dates!E$4,Dates!E$5,'Day1'!$B20)</f>
        <v>#VALUE!</v>
      </c>
      <c r="F20" s="7" t="e">
        <f>averageCompletionTimePorter(Dates!F$4,Dates!F$5,'Day1'!$B20)</f>
        <v>#VALUE!</v>
      </c>
      <c r="G20" s="7" t="e">
        <f>averageCompletionTimePorter(Dates!G$4,Dates!G$5,'Day1'!$B20)</f>
        <v>#VALUE!</v>
      </c>
      <c r="H20" s="7" t="e">
        <f>averageCompletionTimePorter(Dates!H$4,Dates!H$5,'Day1'!$B20)</f>
        <v>#VALUE!</v>
      </c>
      <c r="I20" s="7" t="e">
        <f>averageCompletionTimePorter(Dates!I$4,Dates!I$5,'Day1'!$B20)</f>
        <v>#VALUE!</v>
      </c>
      <c r="J20" s="7" t="e">
        <f>averageCompletionTimePorter(Dates!J$4,Dates!J$5,'Day1'!$B20)</f>
        <v>#VALUE!</v>
      </c>
      <c r="K20" s="7" t="e">
        <f>averageCompletionTimePorter(Dates!K$4,Dates!K$5,'Day1'!$B20)</f>
        <v>#VALUE!</v>
      </c>
      <c r="L20" s="7" t="e">
        <f>averageCompletionTimePorter(Dates!L$4,Dates!L$5,'Day1'!$B20)</f>
        <v>#VALUE!</v>
      </c>
      <c r="M20" s="7" t="e">
        <f>averageCompletionTimePorter(Dates!M$4,Dates!M$5,'Day1'!$B20)</f>
        <v>#VALUE!</v>
      </c>
      <c r="N20" s="7" t="e">
        <f>averageCompletionTimePorter(Dates!N$4,Dates!N$5,'Day1'!$B20)</f>
        <v>#VALUE!</v>
      </c>
      <c r="O20" s="7" t="e">
        <f>averageCompletionTimePorter(Dates!O$4,Dates!O$5,'Day1'!$B20)</f>
        <v>#VALUE!</v>
      </c>
      <c r="P20" s="7" t="e">
        <f>averageCompletionTimePorter(Dates!P$4,Dates!P$5,'Day1'!$B20)</f>
        <v>#VALUE!</v>
      </c>
      <c r="Q20" s="7" t="e">
        <f>averageCompletionTimePorter(Dates!Q$4,Dates!Q$5,'Day1'!$B20)</f>
        <v>#VALUE!</v>
      </c>
      <c r="R20" s="7" t="e">
        <f>averageCompletionTimePorter(Dates!R$4,Dates!R$5,'Day1'!$B20)</f>
        <v>#VALUE!</v>
      </c>
      <c r="S20" s="7" t="e">
        <f>averageCompletionTimePorter(Dates!S$4,Dates!S$5,'Day1'!$B20)</f>
        <v>#VALUE!</v>
      </c>
      <c r="T20" s="7" t="e">
        <f>averageCompletionTimePorter(Dates!T$4,Dates!T$5,'Day1'!$B20)</f>
        <v>#VALUE!</v>
      </c>
      <c r="U20" s="7" t="e">
        <f>averageCompletionTimePorter(Dates!$C$4,Dates!$T$5,'Day1'!$B20)</f>
        <v>#VALUE!</v>
      </c>
    </row>
    <row r="21" spans="2:21" x14ac:dyDescent="0.3">
      <c r="B21" s="12" t="s">
        <v>120</v>
      </c>
      <c r="C21" s="7" t="e">
        <f>averageCompletionTimePorter(Dates!C$4,Dates!C$5,'Day1'!$B21)</f>
        <v>#VALUE!</v>
      </c>
      <c r="D21" s="7" t="e">
        <f>averageCompletionTimePorter(Dates!D$4,Dates!D$5,'Day1'!$B21)</f>
        <v>#VALUE!</v>
      </c>
      <c r="E21" s="7" t="e">
        <f>averageCompletionTimePorter(Dates!E$4,Dates!E$5,'Day1'!$B21)</f>
        <v>#VALUE!</v>
      </c>
      <c r="F21" s="7" t="e">
        <f>averageCompletionTimePorter(Dates!F$4,Dates!F$5,'Day1'!$B21)</f>
        <v>#VALUE!</v>
      </c>
      <c r="G21" s="7" t="e">
        <f>averageCompletionTimePorter(Dates!G$4,Dates!G$5,'Day1'!$B21)</f>
        <v>#VALUE!</v>
      </c>
      <c r="H21" s="7" t="e">
        <f>averageCompletionTimePorter(Dates!H$4,Dates!H$5,'Day1'!$B21)</f>
        <v>#VALUE!</v>
      </c>
      <c r="I21" s="7" t="e">
        <f>averageCompletionTimePorter(Dates!I$4,Dates!I$5,'Day1'!$B21)</f>
        <v>#VALUE!</v>
      </c>
      <c r="J21" s="7" t="e">
        <f>averageCompletionTimePorter(Dates!J$4,Dates!J$5,'Day1'!$B21)</f>
        <v>#VALUE!</v>
      </c>
      <c r="K21" s="7" t="e">
        <f>averageCompletionTimePorter(Dates!K$4,Dates!K$5,'Day1'!$B21)</f>
        <v>#VALUE!</v>
      </c>
      <c r="L21" s="7" t="e">
        <f>averageCompletionTimePorter(Dates!L$4,Dates!L$5,'Day1'!$B21)</f>
        <v>#VALUE!</v>
      </c>
      <c r="M21" s="7" t="e">
        <f>averageCompletionTimePorter(Dates!M$4,Dates!M$5,'Day1'!$B21)</f>
        <v>#VALUE!</v>
      </c>
      <c r="N21" s="7" t="e">
        <f>averageCompletionTimePorter(Dates!N$4,Dates!N$5,'Day1'!$B21)</f>
        <v>#VALUE!</v>
      </c>
      <c r="O21" s="7" t="e">
        <f>averageCompletionTimePorter(Dates!O$4,Dates!O$5,'Day1'!$B21)</f>
        <v>#VALUE!</v>
      </c>
      <c r="P21" s="7" t="e">
        <f>averageCompletionTimePorter(Dates!P$4,Dates!P$5,'Day1'!$B21)</f>
        <v>#VALUE!</v>
      </c>
      <c r="Q21" s="7" t="e">
        <f>averageCompletionTimePorter(Dates!Q$4,Dates!Q$5,'Day1'!$B21)</f>
        <v>#VALUE!</v>
      </c>
      <c r="R21" s="7" t="e">
        <f>averageCompletionTimePorter(Dates!R$4,Dates!R$5,'Day1'!$B21)</f>
        <v>#VALUE!</v>
      </c>
      <c r="S21" s="7" t="e">
        <f>averageCompletionTimePorter(Dates!S$4,Dates!S$5,'Day1'!$B21)</f>
        <v>#VALUE!</v>
      </c>
      <c r="T21" s="7" t="e">
        <f>averageCompletionTimePorter(Dates!T$4,Dates!T$5,'Day1'!$B21)</f>
        <v>#VALUE!</v>
      </c>
      <c r="U21" s="7" t="e">
        <f>averageCompletionTimePorter(Dates!$C$4,Dates!$T$5,'Day1'!$B21)</f>
        <v>#VALUE!</v>
      </c>
    </row>
    <row r="22" spans="2:21" x14ac:dyDescent="0.3">
      <c r="B22" s="12" t="s">
        <v>121</v>
      </c>
      <c r="C22" s="7" t="e">
        <f>averageCompletionTimePorter(Dates!C$4,Dates!C$5,'Day1'!$B22)</f>
        <v>#VALUE!</v>
      </c>
      <c r="D22" s="7" t="e">
        <f>averageCompletionTimePorter(Dates!D$4,Dates!D$5,'Day1'!$B22)</f>
        <v>#VALUE!</v>
      </c>
      <c r="E22" s="7" t="e">
        <f>averageCompletionTimePorter(Dates!E$4,Dates!E$5,'Day1'!$B22)</f>
        <v>#VALUE!</v>
      </c>
      <c r="F22" s="7" t="e">
        <f>averageCompletionTimePorter(Dates!F$4,Dates!F$5,'Day1'!$B22)</f>
        <v>#VALUE!</v>
      </c>
      <c r="G22" s="7" t="e">
        <f>averageCompletionTimePorter(Dates!G$4,Dates!G$5,'Day1'!$B22)</f>
        <v>#VALUE!</v>
      </c>
      <c r="H22" s="7" t="e">
        <f>averageCompletionTimePorter(Dates!H$4,Dates!H$5,'Day1'!$B22)</f>
        <v>#VALUE!</v>
      </c>
      <c r="I22" s="7" t="e">
        <f>averageCompletionTimePorter(Dates!I$4,Dates!I$5,'Day1'!$B22)</f>
        <v>#VALUE!</v>
      </c>
      <c r="J22" s="7" t="e">
        <f>averageCompletionTimePorter(Dates!J$4,Dates!J$5,'Day1'!$B22)</f>
        <v>#VALUE!</v>
      </c>
      <c r="K22" s="7" t="e">
        <f>averageCompletionTimePorter(Dates!K$4,Dates!K$5,'Day1'!$B22)</f>
        <v>#VALUE!</v>
      </c>
      <c r="L22" s="7" t="e">
        <f>averageCompletionTimePorter(Dates!L$4,Dates!L$5,'Day1'!$B22)</f>
        <v>#VALUE!</v>
      </c>
      <c r="M22" s="7" t="e">
        <f>averageCompletionTimePorter(Dates!M$4,Dates!M$5,'Day1'!$B22)</f>
        <v>#VALUE!</v>
      </c>
      <c r="N22" s="7" t="e">
        <f>averageCompletionTimePorter(Dates!N$4,Dates!N$5,'Day1'!$B22)</f>
        <v>#VALUE!</v>
      </c>
      <c r="O22" s="7" t="e">
        <f>averageCompletionTimePorter(Dates!O$4,Dates!O$5,'Day1'!$B22)</f>
        <v>#VALUE!</v>
      </c>
      <c r="P22" s="7" t="e">
        <f>averageCompletionTimePorter(Dates!P$4,Dates!P$5,'Day1'!$B22)</f>
        <v>#VALUE!</v>
      </c>
      <c r="Q22" s="7" t="e">
        <f>averageCompletionTimePorter(Dates!Q$4,Dates!Q$5,'Day1'!$B22)</f>
        <v>#VALUE!</v>
      </c>
      <c r="R22" s="7" t="e">
        <f>averageCompletionTimePorter(Dates!R$4,Dates!R$5,'Day1'!$B22)</f>
        <v>#VALUE!</v>
      </c>
      <c r="S22" s="7" t="e">
        <f>averageCompletionTimePorter(Dates!S$4,Dates!S$5,'Day1'!$B22)</f>
        <v>#VALUE!</v>
      </c>
      <c r="T22" s="7" t="e">
        <f>averageCompletionTimePorter(Dates!T$4,Dates!T$5,'Day1'!$B22)</f>
        <v>#VALUE!</v>
      </c>
      <c r="U22" s="7" t="e">
        <f>averageCompletionTimePorter(Dates!$C$4,Dates!$T$5,'Day1'!$B22)</f>
        <v>#VALUE!</v>
      </c>
    </row>
    <row r="23" spans="2:21" x14ac:dyDescent="0.3">
      <c r="B23" s="12" t="s">
        <v>122</v>
      </c>
      <c r="C23" s="7" t="e">
        <f>averageCompletionTimePorter(Dates!C$4,Dates!C$5,'Day1'!$B23)</f>
        <v>#VALUE!</v>
      </c>
      <c r="D23" s="7" t="e">
        <f>averageCompletionTimePorter(Dates!D$4,Dates!D$5,'Day1'!$B23)</f>
        <v>#VALUE!</v>
      </c>
      <c r="E23" s="7" t="e">
        <f>averageCompletionTimePorter(Dates!E$4,Dates!E$5,'Day1'!$B23)</f>
        <v>#VALUE!</v>
      </c>
      <c r="F23" s="7" t="e">
        <f>averageCompletionTimePorter(Dates!F$4,Dates!F$5,'Day1'!$B23)</f>
        <v>#VALUE!</v>
      </c>
      <c r="G23" s="7" t="e">
        <f>averageCompletionTimePorter(Dates!G$4,Dates!G$5,'Day1'!$B23)</f>
        <v>#VALUE!</v>
      </c>
      <c r="H23" s="7" t="e">
        <f>averageCompletionTimePorter(Dates!H$4,Dates!H$5,'Day1'!$B23)</f>
        <v>#VALUE!</v>
      </c>
      <c r="I23" s="7" t="e">
        <f>averageCompletionTimePorter(Dates!I$4,Dates!I$5,'Day1'!$B23)</f>
        <v>#VALUE!</v>
      </c>
      <c r="J23" s="7" t="e">
        <f>averageCompletionTimePorter(Dates!J$4,Dates!J$5,'Day1'!$B23)</f>
        <v>#VALUE!</v>
      </c>
      <c r="K23" s="7" t="e">
        <f>averageCompletionTimePorter(Dates!K$4,Dates!K$5,'Day1'!$B23)</f>
        <v>#VALUE!</v>
      </c>
      <c r="L23" s="7" t="e">
        <f>averageCompletionTimePorter(Dates!L$4,Dates!L$5,'Day1'!$B23)</f>
        <v>#VALUE!</v>
      </c>
      <c r="M23" s="7" t="e">
        <f>averageCompletionTimePorter(Dates!M$4,Dates!M$5,'Day1'!$B23)</f>
        <v>#VALUE!</v>
      </c>
      <c r="N23" s="7" t="e">
        <f>averageCompletionTimePorter(Dates!N$4,Dates!N$5,'Day1'!$B23)</f>
        <v>#VALUE!</v>
      </c>
      <c r="O23" s="7" t="e">
        <f>averageCompletionTimePorter(Dates!O$4,Dates!O$5,'Day1'!$B23)</f>
        <v>#VALUE!</v>
      </c>
      <c r="P23" s="7" t="e">
        <f>averageCompletionTimePorter(Dates!P$4,Dates!P$5,'Day1'!$B23)</f>
        <v>#VALUE!</v>
      </c>
      <c r="Q23" s="7" t="e">
        <f>averageCompletionTimePorter(Dates!Q$4,Dates!Q$5,'Day1'!$B23)</f>
        <v>#VALUE!</v>
      </c>
      <c r="R23" s="7" t="e">
        <f>averageCompletionTimePorter(Dates!R$4,Dates!R$5,'Day1'!$B23)</f>
        <v>#VALUE!</v>
      </c>
      <c r="S23" s="7" t="e">
        <f>averageCompletionTimePorter(Dates!S$4,Dates!S$5,'Day1'!$B23)</f>
        <v>#VALUE!</v>
      </c>
      <c r="T23" s="7" t="e">
        <f>averageCompletionTimePorter(Dates!T$4,Dates!T$5,'Day1'!$B23)</f>
        <v>#VALUE!</v>
      </c>
      <c r="U23" s="7" t="e">
        <f>averageCompletionTimePorter(Dates!$C$4,Dates!$T$5,'Day1'!$B23)</f>
        <v>#VALUE!</v>
      </c>
    </row>
    <row r="25" spans="2:21" x14ac:dyDescent="0.3">
      <c r="B25" s="11" t="s">
        <v>112</v>
      </c>
      <c r="C25" s="7" t="e">
        <f>averageResponseTime(Dates!C4,Dates!C5)</f>
        <v>#VALUE!</v>
      </c>
      <c r="D25" s="7" t="e">
        <f>averageResponseTime(Dates!D4,Dates!D5)</f>
        <v>#VALUE!</v>
      </c>
      <c r="E25" s="7" t="e">
        <f>averageResponseTime(Dates!E4,Dates!E5)</f>
        <v>#VALUE!</v>
      </c>
      <c r="F25" s="7" t="e">
        <f>averageResponseTime(Dates!F4,Dates!F5)</f>
        <v>#VALUE!</v>
      </c>
      <c r="G25" s="7" t="e">
        <f>averageResponseTime(Dates!G4,Dates!G5)</f>
        <v>#VALUE!</v>
      </c>
      <c r="H25" s="7" t="e">
        <f>averageResponseTime(Dates!H4,Dates!H5)</f>
        <v>#VALUE!</v>
      </c>
      <c r="I25" s="7" t="e">
        <f>averageResponseTime(Dates!I4,Dates!I5)</f>
        <v>#VALUE!</v>
      </c>
      <c r="J25" s="7" t="e">
        <f>averageResponseTime(Dates!J4,Dates!J5)</f>
        <v>#VALUE!</v>
      </c>
      <c r="K25" s="7" t="e">
        <f>averageResponseTime(Dates!K4,Dates!K5)</f>
        <v>#VALUE!</v>
      </c>
      <c r="L25" s="7" t="e">
        <f>averageResponseTime(Dates!L4,Dates!L5)</f>
        <v>#VALUE!</v>
      </c>
      <c r="M25" s="7" t="e">
        <f>averageResponseTime(Dates!M4,Dates!M5)</f>
        <v>#VALUE!</v>
      </c>
      <c r="N25" s="7" t="e">
        <f>averageResponseTime(Dates!N4,Dates!N5)</f>
        <v>#VALUE!</v>
      </c>
      <c r="O25" s="7" t="e">
        <f>averageResponseTime(Dates!O4,Dates!O5)</f>
        <v>#VALUE!</v>
      </c>
      <c r="P25" s="7" t="e">
        <f>averageResponseTime(Dates!P4,Dates!P5)</f>
        <v>#VALUE!</v>
      </c>
      <c r="Q25" s="7" t="e">
        <f>averageResponseTime(Dates!Q4,Dates!Q5)</f>
        <v>#VALUE!</v>
      </c>
      <c r="R25" s="7" t="e">
        <f>averageResponseTime(Dates!R4,Dates!R5)</f>
        <v>#VALUE!</v>
      </c>
      <c r="S25" s="7" t="e">
        <f>averageResponseTime(Dates!S4,Dates!S5)</f>
        <v>#VALUE!</v>
      </c>
      <c r="T25" s="7" t="e">
        <f>averageResponseTime(Dates!T4,Dates!T5)</f>
        <v>#VALUE!</v>
      </c>
      <c r="U25" s="7" t="e">
        <f>averageResponseTime(Dates!C4,Dates!T5)</f>
        <v>#VALUE!</v>
      </c>
    </row>
    <row r="26" spans="2:21" x14ac:dyDescent="0.3">
      <c r="B26" s="11">
        <f t="shared" ref="B26:B36" si="0">B3</f>
        <v>0</v>
      </c>
      <c r="C26" s="7" t="e">
        <f>averageResponseTimePorter(Dates!C$4,Dates!C$5,'Day1'!$B26)</f>
        <v>#VALUE!</v>
      </c>
      <c r="D26" s="7" t="e">
        <f>averageResponseTimePorter(Dates!D$4,Dates!D$5,'Day1'!$B26)</f>
        <v>#VALUE!</v>
      </c>
      <c r="E26" s="7" t="e">
        <f>averageResponseTimePorter(Dates!E$4,Dates!E$5,'Day1'!$B26)</f>
        <v>#VALUE!</v>
      </c>
      <c r="F26" s="7" t="e">
        <f>averageResponseTimePorter(Dates!F$4,Dates!F$5,'Day1'!$B26)</f>
        <v>#VALUE!</v>
      </c>
      <c r="G26" s="7" t="e">
        <f>averageResponseTimePorter(Dates!G$4,Dates!G$5,'Day1'!$B26)</f>
        <v>#VALUE!</v>
      </c>
      <c r="H26" s="7" t="e">
        <f>averageResponseTimePorter(Dates!H$4,Dates!H$5,'Day1'!$B26)</f>
        <v>#VALUE!</v>
      </c>
      <c r="I26" s="7" t="e">
        <f>averageResponseTimePorter(Dates!I$4,Dates!I$5,'Day1'!$B26)</f>
        <v>#VALUE!</v>
      </c>
      <c r="J26" s="7" t="e">
        <f>averageResponseTimePorter(Dates!J$4,Dates!J$5,'Day1'!$B26)</f>
        <v>#VALUE!</v>
      </c>
      <c r="K26" s="7" t="e">
        <f>averageResponseTimePorter(Dates!K$4,Dates!K$5,'Day1'!$B26)</f>
        <v>#VALUE!</v>
      </c>
      <c r="L26" s="7" t="e">
        <f>averageResponseTimePorter(Dates!L$4,Dates!L$5,'Day1'!$B26)</f>
        <v>#VALUE!</v>
      </c>
      <c r="M26" s="7" t="e">
        <f>averageResponseTimePorter(Dates!M$4,Dates!M$5,'Day1'!$B26)</f>
        <v>#VALUE!</v>
      </c>
      <c r="N26" s="7" t="e">
        <f>averageResponseTimePorter(Dates!N$4,Dates!N$5,'Day1'!$B26)</f>
        <v>#VALUE!</v>
      </c>
      <c r="O26" s="7" t="e">
        <f>averageResponseTimePorter(Dates!O$4,Dates!O$5,'Day1'!$B26)</f>
        <v>#VALUE!</v>
      </c>
      <c r="P26" s="7" t="e">
        <f>averageResponseTimePorter(Dates!P$4,Dates!P$5,'Day1'!$B26)</f>
        <v>#VALUE!</v>
      </c>
      <c r="Q26" s="7" t="e">
        <f>averageResponseTimePorter(Dates!Q$4,Dates!Q$5,'Day1'!$B26)</f>
        <v>#VALUE!</v>
      </c>
      <c r="R26" s="7" t="e">
        <f>averageResponseTimePorter(Dates!R$4,Dates!R$5,'Day1'!$B26)</f>
        <v>#VALUE!</v>
      </c>
      <c r="S26" s="7" t="e">
        <f>averageResponseTimePorter(Dates!S$4,Dates!S$5,'Day1'!$B26)</f>
        <v>#VALUE!</v>
      </c>
      <c r="T26" s="7" t="e">
        <f>averageResponseTimePorter(Dates!T$4,Dates!T$5,'Day1'!$B26)</f>
        <v>#VALUE!</v>
      </c>
      <c r="U26" s="7" t="e">
        <f>averageResponseTimePorter(Dates!$C$4,Dates!$T$5,'Day1'!$B3)</f>
        <v>#VALUE!</v>
      </c>
    </row>
    <row r="27" spans="2:21" x14ac:dyDescent="0.3">
      <c r="B27" s="11" t="str">
        <f t="shared" si="0"/>
        <v>NA4</v>
      </c>
      <c r="C27" s="7" t="e">
        <f>averageResponseTimePorter(Dates!C$4,Dates!C$5,'Day1'!$B27)</f>
        <v>#VALUE!</v>
      </c>
      <c r="D27" s="7" t="e">
        <f>averageResponseTimePorter(Dates!D$4,Dates!D$5,'Day1'!$B27)</f>
        <v>#VALUE!</v>
      </c>
      <c r="E27" s="7" t="e">
        <f>averageResponseTimePorter(Dates!E$4,Dates!E$5,'Day1'!$B27)</f>
        <v>#VALUE!</v>
      </c>
      <c r="F27" s="7" t="e">
        <f>averageResponseTimePorter(Dates!F$4,Dates!F$5,'Day1'!$B27)</f>
        <v>#VALUE!</v>
      </c>
      <c r="G27" s="7" t="e">
        <f>averageResponseTimePorter(Dates!G$4,Dates!G$5,'Day1'!$B27)</f>
        <v>#VALUE!</v>
      </c>
      <c r="H27" s="7" t="e">
        <f>averageResponseTimePorter(Dates!H$4,Dates!H$5,'Day1'!$B27)</f>
        <v>#VALUE!</v>
      </c>
      <c r="I27" s="7" t="e">
        <f>averageResponseTimePorter(Dates!I$4,Dates!I$5,'Day1'!$B27)</f>
        <v>#VALUE!</v>
      </c>
      <c r="J27" s="7" t="e">
        <f>averageResponseTimePorter(Dates!J$4,Dates!J$5,'Day1'!$B27)</f>
        <v>#VALUE!</v>
      </c>
      <c r="K27" s="7" t="e">
        <f>averageResponseTimePorter(Dates!K$4,Dates!K$5,'Day1'!$B27)</f>
        <v>#VALUE!</v>
      </c>
      <c r="L27" s="7" t="e">
        <f>averageResponseTimePorter(Dates!L$4,Dates!L$5,'Day1'!$B27)</f>
        <v>#VALUE!</v>
      </c>
      <c r="M27" s="7" t="e">
        <f>averageResponseTimePorter(Dates!M$4,Dates!M$5,'Day1'!$B27)</f>
        <v>#VALUE!</v>
      </c>
      <c r="N27" s="7" t="e">
        <f>averageResponseTimePorter(Dates!N$4,Dates!N$5,'Day1'!$B27)</f>
        <v>#VALUE!</v>
      </c>
      <c r="O27" s="7" t="e">
        <f>averageResponseTimePorter(Dates!O$4,Dates!O$5,'Day1'!$B27)</f>
        <v>#VALUE!</v>
      </c>
      <c r="P27" s="7" t="e">
        <f>averageResponseTimePorter(Dates!P$4,Dates!P$5,'Day1'!$B27)</f>
        <v>#VALUE!</v>
      </c>
      <c r="Q27" s="7" t="e">
        <f>averageResponseTimePorter(Dates!Q$4,Dates!Q$5,'Day1'!$B27)</f>
        <v>#VALUE!</v>
      </c>
      <c r="R27" s="7" t="e">
        <f>averageResponseTimePorter(Dates!R$4,Dates!R$5,'Day1'!$B27)</f>
        <v>#VALUE!</v>
      </c>
      <c r="S27" s="7" t="e">
        <f>averageResponseTimePorter(Dates!S$4,Dates!S$5,'Day1'!$B27)</f>
        <v>#VALUE!</v>
      </c>
      <c r="T27" s="7" t="e">
        <f>averageResponseTimePorter(Dates!T$4,Dates!T$5,'Day1'!$B27)</f>
        <v>#VALUE!</v>
      </c>
      <c r="U27" s="7" t="e">
        <f>averageResponseTimePorter(Dates!$C$4,Dates!$T$5,'Day1'!$B4)</f>
        <v>#VALUE!</v>
      </c>
    </row>
    <row r="28" spans="2:21" x14ac:dyDescent="0.3">
      <c r="B28" s="11" t="str">
        <f t="shared" si="0"/>
        <v>NA5</v>
      </c>
      <c r="C28" s="7" t="e">
        <f>averageResponseTimePorter(Dates!C$4,Dates!C$5,'Day1'!$B28)</f>
        <v>#VALUE!</v>
      </c>
      <c r="D28" s="7" t="e">
        <f>averageResponseTimePorter(Dates!D$4,Dates!D$5,'Day1'!$B28)</f>
        <v>#VALUE!</v>
      </c>
      <c r="E28" s="7" t="e">
        <f>averageResponseTimePorter(Dates!E$4,Dates!E$5,'Day1'!$B28)</f>
        <v>#VALUE!</v>
      </c>
      <c r="F28" s="7" t="e">
        <f>averageResponseTimePorter(Dates!F$4,Dates!F$5,'Day1'!$B28)</f>
        <v>#VALUE!</v>
      </c>
      <c r="G28" s="7" t="e">
        <f>averageResponseTimePorter(Dates!G$4,Dates!G$5,'Day1'!$B28)</f>
        <v>#VALUE!</v>
      </c>
      <c r="H28" s="7" t="e">
        <f>averageResponseTimePorter(Dates!H$4,Dates!H$5,'Day1'!$B28)</f>
        <v>#VALUE!</v>
      </c>
      <c r="I28" s="7" t="e">
        <f>averageResponseTimePorter(Dates!I$4,Dates!I$5,'Day1'!$B28)</f>
        <v>#VALUE!</v>
      </c>
      <c r="J28" s="7" t="e">
        <f>averageResponseTimePorter(Dates!J$4,Dates!J$5,'Day1'!$B28)</f>
        <v>#VALUE!</v>
      </c>
      <c r="K28" s="7" t="e">
        <f>averageResponseTimePorter(Dates!K$4,Dates!K$5,'Day1'!$B28)</f>
        <v>#VALUE!</v>
      </c>
      <c r="L28" s="7" t="e">
        <f>averageResponseTimePorter(Dates!L$4,Dates!L$5,'Day1'!$B28)</f>
        <v>#VALUE!</v>
      </c>
      <c r="M28" s="7" t="e">
        <f>averageResponseTimePorter(Dates!M$4,Dates!M$5,'Day1'!$B28)</f>
        <v>#VALUE!</v>
      </c>
      <c r="N28" s="7" t="e">
        <f>averageResponseTimePorter(Dates!N$4,Dates!N$5,'Day1'!$B28)</f>
        <v>#VALUE!</v>
      </c>
      <c r="O28" s="7" t="e">
        <f>averageResponseTimePorter(Dates!O$4,Dates!O$5,'Day1'!$B28)</f>
        <v>#VALUE!</v>
      </c>
      <c r="P28" s="7" t="e">
        <f>averageResponseTimePorter(Dates!P$4,Dates!P$5,'Day1'!$B28)</f>
        <v>#VALUE!</v>
      </c>
      <c r="Q28" s="7" t="e">
        <f>averageResponseTimePorter(Dates!Q$4,Dates!Q$5,'Day1'!$B28)</f>
        <v>#VALUE!</v>
      </c>
      <c r="R28" s="7" t="e">
        <f>averageResponseTimePorter(Dates!R$4,Dates!R$5,'Day1'!$B28)</f>
        <v>#VALUE!</v>
      </c>
      <c r="S28" s="7" t="e">
        <f>averageResponseTimePorter(Dates!S$4,Dates!S$5,'Day1'!$B28)</f>
        <v>#VALUE!</v>
      </c>
      <c r="T28" s="7" t="e">
        <f>averageResponseTimePorter(Dates!T$4,Dates!T$5,'Day1'!$B28)</f>
        <v>#VALUE!</v>
      </c>
      <c r="U28" s="7" t="e">
        <f>averageResponseTimePorter(Dates!$C$4,Dates!$T$5,'Day1'!$B5)</f>
        <v>#VALUE!</v>
      </c>
    </row>
    <row r="29" spans="2:21" x14ac:dyDescent="0.3">
      <c r="B29" s="11" t="str">
        <f t="shared" si="0"/>
        <v>NA6</v>
      </c>
      <c r="C29" s="7" t="e">
        <f>averageResponseTimePorter(Dates!C$4,Dates!C$5,'Day1'!$B29)</f>
        <v>#VALUE!</v>
      </c>
      <c r="D29" s="7" t="e">
        <f>averageResponseTimePorter(Dates!D$4,Dates!D$5,'Day1'!$B29)</f>
        <v>#VALUE!</v>
      </c>
      <c r="E29" s="7" t="e">
        <f>averageResponseTimePorter(Dates!E$4,Dates!E$5,'Day1'!$B29)</f>
        <v>#VALUE!</v>
      </c>
      <c r="F29" s="7" t="e">
        <f>averageResponseTimePorter(Dates!F$4,Dates!F$5,'Day1'!$B29)</f>
        <v>#VALUE!</v>
      </c>
      <c r="G29" s="7" t="e">
        <f>averageResponseTimePorter(Dates!G$4,Dates!G$5,'Day1'!$B29)</f>
        <v>#VALUE!</v>
      </c>
      <c r="H29" s="7" t="e">
        <f>averageResponseTimePorter(Dates!H$4,Dates!H$5,'Day1'!$B29)</f>
        <v>#VALUE!</v>
      </c>
      <c r="I29" s="7" t="e">
        <f>averageResponseTimePorter(Dates!I$4,Dates!I$5,'Day1'!$B29)</f>
        <v>#VALUE!</v>
      </c>
      <c r="J29" s="7" t="e">
        <f>averageResponseTimePorter(Dates!J$4,Dates!J$5,'Day1'!$B29)</f>
        <v>#VALUE!</v>
      </c>
      <c r="K29" s="7" t="e">
        <f>averageResponseTimePorter(Dates!K$4,Dates!K$5,'Day1'!$B29)</f>
        <v>#VALUE!</v>
      </c>
      <c r="L29" s="7" t="e">
        <f>averageResponseTimePorter(Dates!L$4,Dates!L$5,'Day1'!$B29)</f>
        <v>#VALUE!</v>
      </c>
      <c r="M29" s="7" t="e">
        <f>averageResponseTimePorter(Dates!M$4,Dates!M$5,'Day1'!$B29)</f>
        <v>#VALUE!</v>
      </c>
      <c r="N29" s="7" t="e">
        <f>averageResponseTimePorter(Dates!N$4,Dates!N$5,'Day1'!$B29)</f>
        <v>#VALUE!</v>
      </c>
      <c r="O29" s="7" t="e">
        <f>averageResponseTimePorter(Dates!O$4,Dates!O$5,'Day1'!$B29)</f>
        <v>#VALUE!</v>
      </c>
      <c r="P29" s="7" t="e">
        <f>averageResponseTimePorter(Dates!P$4,Dates!P$5,'Day1'!$B29)</f>
        <v>#VALUE!</v>
      </c>
      <c r="Q29" s="7" t="e">
        <f>averageResponseTimePorter(Dates!Q$4,Dates!Q$5,'Day1'!$B29)</f>
        <v>#VALUE!</v>
      </c>
      <c r="R29" s="7" t="e">
        <f>averageResponseTimePorter(Dates!R$4,Dates!R$5,'Day1'!$B29)</f>
        <v>#VALUE!</v>
      </c>
      <c r="S29" s="7" t="e">
        <f>averageResponseTimePorter(Dates!S$4,Dates!S$5,'Day1'!$B29)</f>
        <v>#VALUE!</v>
      </c>
      <c r="T29" s="7" t="e">
        <f>averageResponseTimePorter(Dates!T$4,Dates!T$5,'Day1'!$B29)</f>
        <v>#VALUE!</v>
      </c>
      <c r="U29" s="7" t="e">
        <f>averageResponseTimePorter(Dates!$C$4,Dates!$T$5,'Day1'!$B6)</f>
        <v>#VALUE!</v>
      </c>
    </row>
    <row r="30" spans="2:21" x14ac:dyDescent="0.3">
      <c r="B30" s="11" t="str">
        <f t="shared" si="0"/>
        <v>NA7</v>
      </c>
      <c r="C30" s="7" t="e">
        <f>averageResponseTimePorter(Dates!C$4,Dates!C$5,'Day1'!$B30)</f>
        <v>#VALUE!</v>
      </c>
      <c r="D30" s="7" t="e">
        <f>averageResponseTimePorter(Dates!D$4,Dates!D$5,'Day1'!$B30)</f>
        <v>#VALUE!</v>
      </c>
      <c r="E30" s="7" t="e">
        <f>averageResponseTimePorter(Dates!E$4,Dates!E$5,'Day1'!$B30)</f>
        <v>#VALUE!</v>
      </c>
      <c r="F30" s="7" t="e">
        <f>averageResponseTimePorter(Dates!F$4,Dates!F$5,'Day1'!$B30)</f>
        <v>#VALUE!</v>
      </c>
      <c r="G30" s="7" t="e">
        <f>averageResponseTimePorter(Dates!G$4,Dates!G$5,'Day1'!$B30)</f>
        <v>#VALUE!</v>
      </c>
      <c r="H30" s="7" t="e">
        <f>averageResponseTimePorter(Dates!H$4,Dates!H$5,'Day1'!$B30)</f>
        <v>#VALUE!</v>
      </c>
      <c r="I30" s="7" t="e">
        <f>averageResponseTimePorter(Dates!I$4,Dates!I$5,'Day1'!$B30)</f>
        <v>#VALUE!</v>
      </c>
      <c r="J30" s="7" t="e">
        <f>averageResponseTimePorter(Dates!J$4,Dates!J$5,'Day1'!$B30)</f>
        <v>#VALUE!</v>
      </c>
      <c r="K30" s="7" t="e">
        <f>averageResponseTimePorter(Dates!K$4,Dates!K$5,'Day1'!$B30)</f>
        <v>#VALUE!</v>
      </c>
      <c r="L30" s="7" t="e">
        <f>averageResponseTimePorter(Dates!L$4,Dates!L$5,'Day1'!$B30)</f>
        <v>#VALUE!</v>
      </c>
      <c r="M30" s="7" t="e">
        <f>averageResponseTimePorter(Dates!M$4,Dates!M$5,'Day1'!$B30)</f>
        <v>#VALUE!</v>
      </c>
      <c r="N30" s="7" t="e">
        <f>averageResponseTimePorter(Dates!N$4,Dates!N$5,'Day1'!$B30)</f>
        <v>#VALUE!</v>
      </c>
      <c r="O30" s="7" t="e">
        <f>averageResponseTimePorter(Dates!O$4,Dates!O$5,'Day1'!$B30)</f>
        <v>#VALUE!</v>
      </c>
      <c r="P30" s="7" t="e">
        <f>averageResponseTimePorter(Dates!P$4,Dates!P$5,'Day1'!$B30)</f>
        <v>#VALUE!</v>
      </c>
      <c r="Q30" s="7" t="e">
        <f>averageResponseTimePorter(Dates!Q$4,Dates!Q$5,'Day1'!$B30)</f>
        <v>#VALUE!</v>
      </c>
      <c r="R30" s="7" t="e">
        <f>averageResponseTimePorter(Dates!R$4,Dates!R$5,'Day1'!$B30)</f>
        <v>#VALUE!</v>
      </c>
      <c r="S30" s="7" t="e">
        <f>averageResponseTimePorter(Dates!S$4,Dates!S$5,'Day1'!$B30)</f>
        <v>#VALUE!</v>
      </c>
      <c r="T30" s="7" t="e">
        <f>averageResponseTimePorter(Dates!T$4,Dates!T$5,'Day1'!$B30)</f>
        <v>#VALUE!</v>
      </c>
      <c r="U30" s="7" t="e">
        <f>averageResponseTimePorter(Dates!$C$4,Dates!$T$5,'Day1'!$B7)</f>
        <v>#VALUE!</v>
      </c>
    </row>
    <row r="31" spans="2:21" x14ac:dyDescent="0.3">
      <c r="B31" s="11" t="str">
        <f t="shared" si="0"/>
        <v>NA8</v>
      </c>
      <c r="C31" s="7" t="e">
        <f>averageResponseTimePorter(Dates!C$4,Dates!C$5,'Day1'!$B31)</f>
        <v>#VALUE!</v>
      </c>
      <c r="D31" s="7" t="e">
        <f>averageResponseTimePorter(Dates!D$4,Dates!D$5,'Day1'!$B31)</f>
        <v>#VALUE!</v>
      </c>
      <c r="E31" s="7" t="e">
        <f>averageResponseTimePorter(Dates!E$4,Dates!E$5,'Day1'!$B31)</f>
        <v>#VALUE!</v>
      </c>
      <c r="F31" s="7" t="e">
        <f>averageResponseTimePorter(Dates!F$4,Dates!F$5,'Day1'!$B31)</f>
        <v>#VALUE!</v>
      </c>
      <c r="G31" s="7" t="e">
        <f>averageResponseTimePorter(Dates!G$4,Dates!G$5,'Day1'!$B31)</f>
        <v>#VALUE!</v>
      </c>
      <c r="H31" s="7" t="e">
        <f>averageResponseTimePorter(Dates!H$4,Dates!H$5,'Day1'!$B31)</f>
        <v>#VALUE!</v>
      </c>
      <c r="I31" s="7" t="e">
        <f>averageResponseTimePorter(Dates!I$4,Dates!I$5,'Day1'!$B31)</f>
        <v>#VALUE!</v>
      </c>
      <c r="J31" s="7" t="e">
        <f>averageResponseTimePorter(Dates!J$4,Dates!J$5,'Day1'!$B31)</f>
        <v>#VALUE!</v>
      </c>
      <c r="K31" s="7" t="e">
        <f>averageResponseTimePorter(Dates!K$4,Dates!K$5,'Day1'!$B31)</f>
        <v>#VALUE!</v>
      </c>
      <c r="L31" s="7" t="e">
        <f>averageResponseTimePorter(Dates!L$4,Dates!L$5,'Day1'!$B31)</f>
        <v>#VALUE!</v>
      </c>
      <c r="M31" s="7" t="e">
        <f>averageResponseTimePorter(Dates!M$4,Dates!M$5,'Day1'!$B31)</f>
        <v>#VALUE!</v>
      </c>
      <c r="N31" s="7" t="e">
        <f>averageResponseTimePorter(Dates!N$4,Dates!N$5,'Day1'!$B31)</f>
        <v>#VALUE!</v>
      </c>
      <c r="O31" s="7" t="e">
        <f>averageResponseTimePorter(Dates!O$4,Dates!O$5,'Day1'!$B31)</f>
        <v>#VALUE!</v>
      </c>
      <c r="P31" s="7" t="e">
        <f>averageResponseTimePorter(Dates!P$4,Dates!P$5,'Day1'!$B31)</f>
        <v>#VALUE!</v>
      </c>
      <c r="Q31" s="7" t="e">
        <f>averageResponseTimePorter(Dates!Q$4,Dates!Q$5,'Day1'!$B31)</f>
        <v>#VALUE!</v>
      </c>
      <c r="R31" s="7" t="e">
        <f>averageResponseTimePorter(Dates!R$4,Dates!R$5,'Day1'!$B31)</f>
        <v>#VALUE!</v>
      </c>
      <c r="S31" s="7" t="e">
        <f>averageResponseTimePorter(Dates!S$4,Dates!S$5,'Day1'!$B31)</f>
        <v>#VALUE!</v>
      </c>
      <c r="T31" s="7" t="e">
        <f>averageResponseTimePorter(Dates!T$4,Dates!T$5,'Day1'!$B31)</f>
        <v>#VALUE!</v>
      </c>
      <c r="U31" s="7" t="e">
        <f>averageResponseTimePorter(Dates!$C$4,Dates!$T$5,'Day1'!$B8)</f>
        <v>#VALUE!</v>
      </c>
    </row>
    <row r="32" spans="2:21" x14ac:dyDescent="0.3">
      <c r="B32" s="11" t="str">
        <f t="shared" si="0"/>
        <v>NA9</v>
      </c>
      <c r="C32" s="7" t="e">
        <f>averageResponseTimePorter(Dates!C$4,Dates!C$5,'Day1'!$B32)</f>
        <v>#VALUE!</v>
      </c>
      <c r="D32" s="7" t="e">
        <f>averageResponseTimePorter(Dates!D$4,Dates!D$5,'Day1'!$B32)</f>
        <v>#VALUE!</v>
      </c>
      <c r="E32" s="7" t="e">
        <f>averageResponseTimePorter(Dates!E$4,Dates!E$5,'Day1'!$B32)</f>
        <v>#VALUE!</v>
      </c>
      <c r="F32" s="7" t="e">
        <f>averageResponseTimePorter(Dates!F$4,Dates!F$5,'Day1'!$B32)</f>
        <v>#VALUE!</v>
      </c>
      <c r="G32" s="7" t="e">
        <f>averageResponseTimePorter(Dates!G$4,Dates!G$5,'Day1'!$B32)</f>
        <v>#VALUE!</v>
      </c>
      <c r="H32" s="7" t="e">
        <f>averageResponseTimePorter(Dates!H$4,Dates!H$5,'Day1'!$B32)</f>
        <v>#VALUE!</v>
      </c>
      <c r="I32" s="7" t="e">
        <f>averageResponseTimePorter(Dates!I$4,Dates!I$5,'Day1'!$B32)</f>
        <v>#VALUE!</v>
      </c>
      <c r="J32" s="7" t="e">
        <f>averageResponseTimePorter(Dates!J$4,Dates!J$5,'Day1'!$B32)</f>
        <v>#VALUE!</v>
      </c>
      <c r="K32" s="7" t="e">
        <f>averageResponseTimePorter(Dates!K$4,Dates!K$5,'Day1'!$B32)</f>
        <v>#VALUE!</v>
      </c>
      <c r="L32" s="7" t="e">
        <f>averageResponseTimePorter(Dates!L$4,Dates!L$5,'Day1'!$B32)</f>
        <v>#VALUE!</v>
      </c>
      <c r="M32" s="7" t="e">
        <f>averageResponseTimePorter(Dates!M$4,Dates!M$5,'Day1'!$B32)</f>
        <v>#VALUE!</v>
      </c>
      <c r="N32" s="7" t="e">
        <f>averageResponseTimePorter(Dates!N$4,Dates!N$5,'Day1'!$B32)</f>
        <v>#VALUE!</v>
      </c>
      <c r="O32" s="7" t="e">
        <f>averageResponseTimePorter(Dates!O$4,Dates!O$5,'Day1'!$B32)</f>
        <v>#VALUE!</v>
      </c>
      <c r="P32" s="7" t="e">
        <f>averageResponseTimePorter(Dates!P$4,Dates!P$5,'Day1'!$B32)</f>
        <v>#VALUE!</v>
      </c>
      <c r="Q32" s="7" t="e">
        <f>averageResponseTimePorter(Dates!Q$4,Dates!Q$5,'Day1'!$B32)</f>
        <v>#VALUE!</v>
      </c>
      <c r="R32" s="7" t="e">
        <f>averageResponseTimePorter(Dates!R$4,Dates!R$5,'Day1'!$B32)</f>
        <v>#VALUE!</v>
      </c>
      <c r="S32" s="7" t="e">
        <f>averageResponseTimePorter(Dates!S$4,Dates!S$5,'Day1'!$B32)</f>
        <v>#VALUE!</v>
      </c>
      <c r="T32" s="7" t="e">
        <f>averageResponseTimePorter(Dates!T$4,Dates!T$5,'Day1'!$B32)</f>
        <v>#VALUE!</v>
      </c>
      <c r="U32" s="7" t="e">
        <f>averageResponseTimePorter(Dates!$C$4,Dates!$T$5,'Day1'!$B9)</f>
        <v>#VALUE!</v>
      </c>
    </row>
    <row r="33" spans="2:21" x14ac:dyDescent="0.3">
      <c r="B33" s="11" t="str">
        <f t="shared" si="0"/>
        <v>NA10</v>
      </c>
      <c r="C33" s="7" t="e">
        <f>averageResponseTimePorter(Dates!C$4,Dates!C$5,'Day1'!$B33)</f>
        <v>#VALUE!</v>
      </c>
      <c r="D33" s="7" t="e">
        <f>averageResponseTimePorter(Dates!D$4,Dates!D$5,'Day1'!$B33)</f>
        <v>#VALUE!</v>
      </c>
      <c r="E33" s="7" t="e">
        <f>averageResponseTimePorter(Dates!E$4,Dates!E$5,'Day1'!$B33)</f>
        <v>#VALUE!</v>
      </c>
      <c r="F33" s="7" t="e">
        <f>averageResponseTimePorter(Dates!F$4,Dates!F$5,'Day1'!$B33)</f>
        <v>#VALUE!</v>
      </c>
      <c r="G33" s="7" t="e">
        <f>averageResponseTimePorter(Dates!G$4,Dates!G$5,'Day1'!$B33)</f>
        <v>#VALUE!</v>
      </c>
      <c r="H33" s="7" t="e">
        <f>averageResponseTimePorter(Dates!H$4,Dates!H$5,'Day1'!$B33)</f>
        <v>#VALUE!</v>
      </c>
      <c r="I33" s="7" t="e">
        <f>averageResponseTimePorter(Dates!I$4,Dates!I$5,'Day1'!$B33)</f>
        <v>#VALUE!</v>
      </c>
      <c r="J33" s="7" t="e">
        <f>averageResponseTimePorter(Dates!J$4,Dates!J$5,'Day1'!$B33)</f>
        <v>#VALUE!</v>
      </c>
      <c r="K33" s="7" t="e">
        <f>averageResponseTimePorter(Dates!K$4,Dates!K$5,'Day1'!$B33)</f>
        <v>#VALUE!</v>
      </c>
      <c r="L33" s="7" t="e">
        <f>averageResponseTimePorter(Dates!L$4,Dates!L$5,'Day1'!$B33)</f>
        <v>#VALUE!</v>
      </c>
      <c r="M33" s="7" t="e">
        <f>averageResponseTimePorter(Dates!M$4,Dates!M$5,'Day1'!$B33)</f>
        <v>#VALUE!</v>
      </c>
      <c r="N33" s="7" t="e">
        <f>averageResponseTimePorter(Dates!N$4,Dates!N$5,'Day1'!$B33)</f>
        <v>#VALUE!</v>
      </c>
      <c r="O33" s="7" t="e">
        <f>averageResponseTimePorter(Dates!O$4,Dates!O$5,'Day1'!$B33)</f>
        <v>#VALUE!</v>
      </c>
      <c r="P33" s="7" t="e">
        <f>averageResponseTimePorter(Dates!P$4,Dates!P$5,'Day1'!$B33)</f>
        <v>#VALUE!</v>
      </c>
      <c r="Q33" s="7" t="e">
        <f>averageResponseTimePorter(Dates!Q$4,Dates!Q$5,'Day1'!$B33)</f>
        <v>#VALUE!</v>
      </c>
      <c r="R33" s="7" t="e">
        <f>averageResponseTimePorter(Dates!R$4,Dates!R$5,'Day1'!$B33)</f>
        <v>#VALUE!</v>
      </c>
      <c r="S33" s="7" t="e">
        <f>averageResponseTimePorter(Dates!S$4,Dates!S$5,'Day1'!$B33)</f>
        <v>#VALUE!</v>
      </c>
      <c r="T33" s="7" t="e">
        <f>averageResponseTimePorter(Dates!T$4,Dates!T$5,'Day1'!$B33)</f>
        <v>#VALUE!</v>
      </c>
      <c r="U33" s="7" t="e">
        <f>averageResponseTimePorter(Dates!$C$4,Dates!$T$5,'Day1'!$B10)</f>
        <v>#VALUE!</v>
      </c>
    </row>
    <row r="34" spans="2:21" x14ac:dyDescent="0.3">
      <c r="B34" s="11" t="str">
        <f t="shared" si="0"/>
        <v>NA11</v>
      </c>
      <c r="C34" s="7" t="e">
        <f>averageResponseTimePorter(Dates!C$4,Dates!C$5,'Day1'!$B34)</f>
        <v>#VALUE!</v>
      </c>
      <c r="D34" s="7" t="e">
        <f>averageResponseTimePorter(Dates!D$4,Dates!D$5,'Day1'!$B34)</f>
        <v>#VALUE!</v>
      </c>
      <c r="E34" s="7" t="e">
        <f>averageResponseTimePorter(Dates!E$4,Dates!E$5,'Day1'!$B34)</f>
        <v>#VALUE!</v>
      </c>
      <c r="F34" s="7" t="e">
        <f>averageResponseTimePorter(Dates!F$4,Dates!F$5,'Day1'!$B34)</f>
        <v>#VALUE!</v>
      </c>
      <c r="G34" s="7" t="e">
        <f>averageResponseTimePorter(Dates!G$4,Dates!G$5,'Day1'!$B34)</f>
        <v>#VALUE!</v>
      </c>
      <c r="H34" s="7" t="e">
        <f>averageResponseTimePorter(Dates!H$4,Dates!H$5,'Day1'!$B34)</f>
        <v>#VALUE!</v>
      </c>
      <c r="I34" s="7" t="e">
        <f>averageResponseTimePorter(Dates!I$4,Dates!I$5,'Day1'!$B34)</f>
        <v>#VALUE!</v>
      </c>
      <c r="J34" s="7" t="e">
        <f>averageResponseTimePorter(Dates!J$4,Dates!J$5,'Day1'!$B34)</f>
        <v>#VALUE!</v>
      </c>
      <c r="K34" s="7" t="e">
        <f>averageResponseTimePorter(Dates!K$4,Dates!K$5,'Day1'!$B34)</f>
        <v>#VALUE!</v>
      </c>
      <c r="L34" s="7" t="e">
        <f>averageResponseTimePorter(Dates!L$4,Dates!L$5,'Day1'!$B34)</f>
        <v>#VALUE!</v>
      </c>
      <c r="M34" s="7" t="e">
        <f>averageResponseTimePorter(Dates!M$4,Dates!M$5,'Day1'!$B34)</f>
        <v>#VALUE!</v>
      </c>
      <c r="N34" s="7" t="e">
        <f>averageResponseTimePorter(Dates!N$4,Dates!N$5,'Day1'!$B34)</f>
        <v>#VALUE!</v>
      </c>
      <c r="O34" s="7" t="e">
        <f>averageResponseTimePorter(Dates!O$4,Dates!O$5,'Day1'!$B34)</f>
        <v>#VALUE!</v>
      </c>
      <c r="P34" s="7" t="e">
        <f>averageResponseTimePorter(Dates!P$4,Dates!P$5,'Day1'!$B34)</f>
        <v>#VALUE!</v>
      </c>
      <c r="Q34" s="7" t="e">
        <f>averageResponseTimePorter(Dates!Q$4,Dates!Q$5,'Day1'!$B34)</f>
        <v>#VALUE!</v>
      </c>
      <c r="R34" s="7" t="e">
        <f>averageResponseTimePorter(Dates!R$4,Dates!R$5,'Day1'!$B34)</f>
        <v>#VALUE!</v>
      </c>
      <c r="S34" s="7" t="e">
        <f>averageResponseTimePorter(Dates!S$4,Dates!S$5,'Day1'!$B34)</f>
        <v>#VALUE!</v>
      </c>
      <c r="T34" s="7" t="e">
        <f>averageResponseTimePorter(Dates!T$4,Dates!T$5,'Day1'!$B34)</f>
        <v>#VALUE!</v>
      </c>
      <c r="U34" s="7" t="e">
        <f>averageResponseTimePorter(Dates!$C$4,Dates!$T$5,'Day1'!$B11)</f>
        <v>#VALUE!</v>
      </c>
    </row>
    <row r="35" spans="2:21" x14ac:dyDescent="0.3">
      <c r="B35" s="11" t="str">
        <f t="shared" si="0"/>
        <v>NA12</v>
      </c>
      <c r="C35" s="7" t="e">
        <f>averageResponseTimePorter(Dates!C$4,Dates!C$5,'Day1'!$B35)</f>
        <v>#VALUE!</v>
      </c>
      <c r="D35" s="7" t="e">
        <f>averageResponseTimePorter(Dates!D$4,Dates!D$5,'Day1'!$B35)</f>
        <v>#VALUE!</v>
      </c>
      <c r="E35" s="7" t="e">
        <f>averageResponseTimePorter(Dates!E$4,Dates!E$5,'Day1'!$B35)</f>
        <v>#VALUE!</v>
      </c>
      <c r="F35" s="7" t="e">
        <f>averageResponseTimePorter(Dates!F$4,Dates!F$5,'Day1'!$B35)</f>
        <v>#VALUE!</v>
      </c>
      <c r="G35" s="7" t="e">
        <f>averageResponseTimePorter(Dates!G$4,Dates!G$5,'Day1'!$B35)</f>
        <v>#VALUE!</v>
      </c>
      <c r="H35" s="7" t="e">
        <f>averageResponseTimePorter(Dates!H$4,Dates!H$5,'Day1'!$B35)</f>
        <v>#VALUE!</v>
      </c>
      <c r="I35" s="7" t="e">
        <f>averageResponseTimePorter(Dates!I$4,Dates!I$5,'Day1'!$B35)</f>
        <v>#VALUE!</v>
      </c>
      <c r="J35" s="7" t="e">
        <f>averageResponseTimePorter(Dates!J$4,Dates!J$5,'Day1'!$B35)</f>
        <v>#VALUE!</v>
      </c>
      <c r="K35" s="7" t="e">
        <f>averageResponseTimePorter(Dates!K$4,Dates!K$5,'Day1'!$B35)</f>
        <v>#VALUE!</v>
      </c>
      <c r="L35" s="7" t="e">
        <f>averageResponseTimePorter(Dates!L$4,Dates!L$5,'Day1'!$B35)</f>
        <v>#VALUE!</v>
      </c>
      <c r="M35" s="7" t="e">
        <f>averageResponseTimePorter(Dates!M$4,Dates!M$5,'Day1'!$B35)</f>
        <v>#VALUE!</v>
      </c>
      <c r="N35" s="7" t="e">
        <f>averageResponseTimePorter(Dates!N$4,Dates!N$5,'Day1'!$B35)</f>
        <v>#VALUE!</v>
      </c>
      <c r="O35" s="7" t="e">
        <f>averageResponseTimePorter(Dates!O$4,Dates!O$5,'Day1'!$B35)</f>
        <v>#VALUE!</v>
      </c>
      <c r="P35" s="7" t="e">
        <f>averageResponseTimePorter(Dates!P$4,Dates!P$5,'Day1'!$B35)</f>
        <v>#VALUE!</v>
      </c>
      <c r="Q35" s="7" t="e">
        <f>averageResponseTimePorter(Dates!Q$4,Dates!Q$5,'Day1'!$B35)</f>
        <v>#VALUE!</v>
      </c>
      <c r="R35" s="7" t="e">
        <f>averageResponseTimePorter(Dates!R$4,Dates!R$5,'Day1'!$B35)</f>
        <v>#VALUE!</v>
      </c>
      <c r="S35" s="7" t="e">
        <f>averageResponseTimePorter(Dates!S$4,Dates!S$5,'Day1'!$B35)</f>
        <v>#VALUE!</v>
      </c>
      <c r="T35" s="7" t="e">
        <f>averageResponseTimePorter(Dates!T$4,Dates!T$5,'Day1'!$B35)</f>
        <v>#VALUE!</v>
      </c>
      <c r="U35" s="7" t="e">
        <f>averageResponseTimePorter(Dates!$C$4,Dates!$T$5,'Day1'!$B12)</f>
        <v>#VALUE!</v>
      </c>
    </row>
    <row r="36" spans="2:21" x14ac:dyDescent="0.3">
      <c r="B36" s="11" t="str">
        <f t="shared" si="0"/>
        <v>NA13</v>
      </c>
      <c r="C36" s="7" t="e">
        <f>averageResponseTimePorter(Dates!C$4,Dates!C$5,'Day1'!$B36)</f>
        <v>#VALUE!</v>
      </c>
      <c r="D36" s="7" t="e">
        <f>averageResponseTimePorter(Dates!D$4,Dates!D$5,'Day1'!$B36)</f>
        <v>#VALUE!</v>
      </c>
      <c r="E36" s="7" t="e">
        <f>averageResponseTimePorter(Dates!E$4,Dates!E$5,'Day1'!$B36)</f>
        <v>#VALUE!</v>
      </c>
      <c r="F36" s="7" t="e">
        <f>averageResponseTimePorter(Dates!F$4,Dates!F$5,'Day1'!$B36)</f>
        <v>#VALUE!</v>
      </c>
      <c r="G36" s="7" t="e">
        <f>averageResponseTimePorter(Dates!G$4,Dates!G$5,'Day1'!$B36)</f>
        <v>#VALUE!</v>
      </c>
      <c r="H36" s="7" t="e">
        <f>averageResponseTimePorter(Dates!H$4,Dates!H$5,'Day1'!$B36)</f>
        <v>#VALUE!</v>
      </c>
      <c r="I36" s="7" t="e">
        <f>averageResponseTimePorter(Dates!I$4,Dates!I$5,'Day1'!$B36)</f>
        <v>#VALUE!</v>
      </c>
      <c r="J36" s="7" t="e">
        <f>averageResponseTimePorter(Dates!J$4,Dates!J$5,'Day1'!$B36)</f>
        <v>#VALUE!</v>
      </c>
      <c r="K36" s="7" t="e">
        <f>averageResponseTimePorter(Dates!K$4,Dates!K$5,'Day1'!$B36)</f>
        <v>#VALUE!</v>
      </c>
      <c r="L36" s="7" t="e">
        <f>averageResponseTimePorter(Dates!L$4,Dates!L$5,'Day1'!$B36)</f>
        <v>#VALUE!</v>
      </c>
      <c r="M36" s="7" t="e">
        <f>averageResponseTimePorter(Dates!M$4,Dates!M$5,'Day1'!$B36)</f>
        <v>#VALUE!</v>
      </c>
      <c r="N36" s="7" t="e">
        <f>averageResponseTimePorter(Dates!N$4,Dates!N$5,'Day1'!$B36)</f>
        <v>#VALUE!</v>
      </c>
      <c r="O36" s="7" t="e">
        <f>averageResponseTimePorter(Dates!O$4,Dates!O$5,'Day1'!$B36)</f>
        <v>#VALUE!</v>
      </c>
      <c r="P36" s="7" t="e">
        <f>averageResponseTimePorter(Dates!P$4,Dates!P$5,'Day1'!$B36)</f>
        <v>#VALUE!</v>
      </c>
      <c r="Q36" s="7" t="e">
        <f>averageResponseTimePorter(Dates!Q$4,Dates!Q$5,'Day1'!$B36)</f>
        <v>#VALUE!</v>
      </c>
      <c r="R36" s="7" t="e">
        <f>averageResponseTimePorter(Dates!R$4,Dates!R$5,'Day1'!$B36)</f>
        <v>#VALUE!</v>
      </c>
      <c r="S36" s="7" t="e">
        <f>averageResponseTimePorter(Dates!S$4,Dates!S$5,'Day1'!$B36)</f>
        <v>#VALUE!</v>
      </c>
      <c r="T36" s="7" t="e">
        <f>averageResponseTimePorter(Dates!T$4,Dates!T$5,'Day1'!$B36)</f>
        <v>#VALUE!</v>
      </c>
      <c r="U36" s="7" t="e">
        <f>averageResponseTimePorter(Dates!$C$4,Dates!$T$5,'Day1'!$B13)</f>
        <v>#VALUE!</v>
      </c>
    </row>
    <row r="37" spans="2:21" x14ac:dyDescent="0.3">
      <c r="B37" s="11" t="str">
        <f t="shared" ref="B37:B46" si="1">B14</f>
        <v>NA14</v>
      </c>
      <c r="C37" s="7" t="e">
        <f>averageResponseTimePorter(Dates!C$4,Dates!C$5,'Day1'!$B37)</f>
        <v>#VALUE!</v>
      </c>
      <c r="D37" s="7" t="e">
        <f>averageResponseTimePorter(Dates!D$4,Dates!D$5,'Day1'!$B37)</f>
        <v>#VALUE!</v>
      </c>
      <c r="E37" s="7" t="e">
        <f>averageResponseTimePorter(Dates!E$4,Dates!E$5,'Day1'!$B37)</f>
        <v>#VALUE!</v>
      </c>
      <c r="F37" s="7" t="e">
        <f>averageResponseTimePorter(Dates!F$4,Dates!F$5,'Day1'!$B37)</f>
        <v>#VALUE!</v>
      </c>
      <c r="G37" s="7" t="e">
        <f>averageResponseTimePorter(Dates!G$4,Dates!G$5,'Day1'!$B37)</f>
        <v>#VALUE!</v>
      </c>
      <c r="H37" s="7" t="e">
        <f>averageResponseTimePorter(Dates!H$4,Dates!H$5,'Day1'!$B37)</f>
        <v>#VALUE!</v>
      </c>
      <c r="I37" s="7" t="e">
        <f>averageResponseTimePorter(Dates!I$4,Dates!I$5,'Day1'!$B37)</f>
        <v>#VALUE!</v>
      </c>
      <c r="J37" s="7" t="e">
        <f>averageResponseTimePorter(Dates!J$4,Dates!J$5,'Day1'!$B37)</f>
        <v>#VALUE!</v>
      </c>
      <c r="K37" s="7" t="e">
        <f>averageResponseTimePorter(Dates!K$4,Dates!K$5,'Day1'!$B37)</f>
        <v>#VALUE!</v>
      </c>
      <c r="L37" s="7" t="e">
        <f>averageResponseTimePorter(Dates!L$4,Dates!L$5,'Day1'!$B37)</f>
        <v>#VALUE!</v>
      </c>
      <c r="M37" s="7" t="e">
        <f>averageResponseTimePorter(Dates!M$4,Dates!M$5,'Day1'!$B37)</f>
        <v>#VALUE!</v>
      </c>
      <c r="N37" s="7" t="e">
        <f>averageResponseTimePorter(Dates!N$4,Dates!N$5,'Day1'!$B37)</f>
        <v>#VALUE!</v>
      </c>
      <c r="O37" s="7" t="e">
        <f>averageResponseTimePorter(Dates!O$4,Dates!O$5,'Day1'!$B37)</f>
        <v>#VALUE!</v>
      </c>
      <c r="P37" s="7" t="e">
        <f>averageResponseTimePorter(Dates!P$4,Dates!P$5,'Day1'!$B37)</f>
        <v>#VALUE!</v>
      </c>
      <c r="Q37" s="7" t="e">
        <f>averageResponseTimePorter(Dates!Q$4,Dates!Q$5,'Day1'!$B37)</f>
        <v>#VALUE!</v>
      </c>
      <c r="R37" s="7" t="e">
        <f>averageResponseTimePorter(Dates!R$4,Dates!R$5,'Day1'!$B37)</f>
        <v>#VALUE!</v>
      </c>
      <c r="S37" s="7" t="e">
        <f>averageResponseTimePorter(Dates!S$4,Dates!S$5,'Day1'!$B37)</f>
        <v>#VALUE!</v>
      </c>
      <c r="T37" s="7" t="e">
        <f>averageResponseTimePorter(Dates!T$4,Dates!T$5,'Day1'!$B37)</f>
        <v>#VALUE!</v>
      </c>
      <c r="U37" s="7" t="e">
        <f>averageResponseTimePorter(Dates!$C$4,Dates!$T$5,'Day1'!$B14)</f>
        <v>#VALUE!</v>
      </c>
    </row>
    <row r="38" spans="2:21" x14ac:dyDescent="0.3">
      <c r="B38" s="11" t="str">
        <f t="shared" si="1"/>
        <v>NA15</v>
      </c>
      <c r="C38" s="7" t="e">
        <f>averageResponseTimePorter(Dates!C$4,Dates!C$5,'Day1'!$B38)</f>
        <v>#VALUE!</v>
      </c>
      <c r="D38" s="7" t="e">
        <f>averageResponseTimePorter(Dates!D$4,Dates!D$5,'Day1'!$B38)</f>
        <v>#VALUE!</v>
      </c>
      <c r="E38" s="7" t="e">
        <f>averageResponseTimePorter(Dates!E$4,Dates!E$5,'Day1'!$B38)</f>
        <v>#VALUE!</v>
      </c>
      <c r="F38" s="7" t="e">
        <f>averageResponseTimePorter(Dates!F$4,Dates!F$5,'Day1'!$B38)</f>
        <v>#VALUE!</v>
      </c>
      <c r="G38" s="7" t="e">
        <f>averageResponseTimePorter(Dates!G$4,Dates!G$5,'Day1'!$B38)</f>
        <v>#VALUE!</v>
      </c>
      <c r="H38" s="7" t="e">
        <f>averageResponseTimePorter(Dates!H$4,Dates!H$5,'Day1'!$B38)</f>
        <v>#VALUE!</v>
      </c>
      <c r="I38" s="7" t="e">
        <f>averageResponseTimePorter(Dates!I$4,Dates!I$5,'Day1'!$B38)</f>
        <v>#VALUE!</v>
      </c>
      <c r="J38" s="7" t="e">
        <f>averageResponseTimePorter(Dates!J$4,Dates!J$5,'Day1'!$B38)</f>
        <v>#VALUE!</v>
      </c>
      <c r="K38" s="7" t="e">
        <f>averageResponseTimePorter(Dates!K$4,Dates!K$5,'Day1'!$B38)</f>
        <v>#VALUE!</v>
      </c>
      <c r="L38" s="7" t="e">
        <f>averageResponseTimePorter(Dates!L$4,Dates!L$5,'Day1'!$B38)</f>
        <v>#VALUE!</v>
      </c>
      <c r="M38" s="7" t="e">
        <f>averageResponseTimePorter(Dates!M$4,Dates!M$5,'Day1'!$B38)</f>
        <v>#VALUE!</v>
      </c>
      <c r="N38" s="7" t="e">
        <f>averageResponseTimePorter(Dates!N$4,Dates!N$5,'Day1'!$B38)</f>
        <v>#VALUE!</v>
      </c>
      <c r="O38" s="7" t="e">
        <f>averageResponseTimePorter(Dates!O$4,Dates!O$5,'Day1'!$B38)</f>
        <v>#VALUE!</v>
      </c>
      <c r="P38" s="7" t="e">
        <f>averageResponseTimePorter(Dates!P$4,Dates!P$5,'Day1'!$B38)</f>
        <v>#VALUE!</v>
      </c>
      <c r="Q38" s="7" t="e">
        <f>averageResponseTimePorter(Dates!Q$4,Dates!Q$5,'Day1'!$B38)</f>
        <v>#VALUE!</v>
      </c>
      <c r="R38" s="7" t="e">
        <f>averageResponseTimePorter(Dates!R$4,Dates!R$5,'Day1'!$B38)</f>
        <v>#VALUE!</v>
      </c>
      <c r="S38" s="7" t="e">
        <f>averageResponseTimePorter(Dates!S$4,Dates!S$5,'Day1'!$B38)</f>
        <v>#VALUE!</v>
      </c>
      <c r="T38" s="7" t="e">
        <f>averageResponseTimePorter(Dates!T$4,Dates!T$5,'Day1'!$B38)</f>
        <v>#VALUE!</v>
      </c>
      <c r="U38" s="7" t="e">
        <f>averageResponseTimePorter(Dates!$C$4,Dates!$T$5,'Day1'!$B15)</f>
        <v>#VALUE!</v>
      </c>
    </row>
    <row r="39" spans="2:21" x14ac:dyDescent="0.3">
      <c r="B39" s="11" t="str">
        <f t="shared" si="1"/>
        <v>NA16</v>
      </c>
      <c r="C39" s="7" t="e">
        <f>averageResponseTimePorter(Dates!C$4,Dates!C$5,'Day1'!$B39)</f>
        <v>#VALUE!</v>
      </c>
      <c r="D39" s="7" t="e">
        <f>averageResponseTimePorter(Dates!D$4,Dates!D$5,'Day1'!$B39)</f>
        <v>#VALUE!</v>
      </c>
      <c r="E39" s="7" t="e">
        <f>averageResponseTimePorter(Dates!E$4,Dates!E$5,'Day1'!$B39)</f>
        <v>#VALUE!</v>
      </c>
      <c r="F39" s="7" t="e">
        <f>averageResponseTimePorter(Dates!F$4,Dates!F$5,'Day1'!$B39)</f>
        <v>#VALUE!</v>
      </c>
      <c r="G39" s="7" t="e">
        <f>averageResponseTimePorter(Dates!G$4,Dates!G$5,'Day1'!$B39)</f>
        <v>#VALUE!</v>
      </c>
      <c r="H39" s="7" t="e">
        <f>averageResponseTimePorter(Dates!H$4,Dates!H$5,'Day1'!$B39)</f>
        <v>#VALUE!</v>
      </c>
      <c r="I39" s="7" t="e">
        <f>averageResponseTimePorter(Dates!I$4,Dates!I$5,'Day1'!$B39)</f>
        <v>#VALUE!</v>
      </c>
      <c r="J39" s="7" t="e">
        <f>averageResponseTimePorter(Dates!J$4,Dates!J$5,'Day1'!$B39)</f>
        <v>#VALUE!</v>
      </c>
      <c r="K39" s="7" t="e">
        <f>averageResponseTimePorter(Dates!K$4,Dates!K$5,'Day1'!$B39)</f>
        <v>#VALUE!</v>
      </c>
      <c r="L39" s="7" t="e">
        <f>averageResponseTimePorter(Dates!L$4,Dates!L$5,'Day1'!$B39)</f>
        <v>#VALUE!</v>
      </c>
      <c r="M39" s="7" t="e">
        <f>averageResponseTimePorter(Dates!M$4,Dates!M$5,'Day1'!$B39)</f>
        <v>#VALUE!</v>
      </c>
      <c r="N39" s="7" t="e">
        <f>averageResponseTimePorter(Dates!N$4,Dates!N$5,'Day1'!$B39)</f>
        <v>#VALUE!</v>
      </c>
      <c r="O39" s="7" t="e">
        <f>averageResponseTimePorter(Dates!O$4,Dates!O$5,'Day1'!$B39)</f>
        <v>#VALUE!</v>
      </c>
      <c r="P39" s="7" t="e">
        <f>averageResponseTimePorter(Dates!P$4,Dates!P$5,'Day1'!$B39)</f>
        <v>#VALUE!</v>
      </c>
      <c r="Q39" s="7" t="e">
        <f>averageResponseTimePorter(Dates!Q$4,Dates!Q$5,'Day1'!$B39)</f>
        <v>#VALUE!</v>
      </c>
      <c r="R39" s="7" t="e">
        <f>averageResponseTimePorter(Dates!R$4,Dates!R$5,'Day1'!$B39)</f>
        <v>#VALUE!</v>
      </c>
      <c r="S39" s="7" t="e">
        <f>averageResponseTimePorter(Dates!S$4,Dates!S$5,'Day1'!$B39)</f>
        <v>#VALUE!</v>
      </c>
      <c r="T39" s="7" t="e">
        <f>averageResponseTimePorter(Dates!T$4,Dates!T$5,'Day1'!$B39)</f>
        <v>#VALUE!</v>
      </c>
      <c r="U39" s="7" t="e">
        <f>averageResponseTimePorter(Dates!$C$4,Dates!$T$5,'Day1'!$B16)</f>
        <v>#VALUE!</v>
      </c>
    </row>
    <row r="40" spans="2:21" x14ac:dyDescent="0.3">
      <c r="B40" s="11" t="str">
        <f t="shared" si="1"/>
        <v>NA17</v>
      </c>
      <c r="C40" s="7" t="e">
        <f>averageResponseTimePorter(Dates!C$4,Dates!C$5,'Day1'!$B40)</f>
        <v>#VALUE!</v>
      </c>
      <c r="D40" s="7" t="e">
        <f>averageResponseTimePorter(Dates!D$4,Dates!D$5,'Day1'!$B40)</f>
        <v>#VALUE!</v>
      </c>
      <c r="E40" s="7" t="e">
        <f>averageResponseTimePorter(Dates!E$4,Dates!E$5,'Day1'!$B40)</f>
        <v>#VALUE!</v>
      </c>
      <c r="F40" s="7" t="e">
        <f>averageResponseTimePorter(Dates!F$4,Dates!F$5,'Day1'!$B40)</f>
        <v>#VALUE!</v>
      </c>
      <c r="G40" s="7" t="e">
        <f>averageResponseTimePorter(Dates!G$4,Dates!G$5,'Day1'!$B40)</f>
        <v>#VALUE!</v>
      </c>
      <c r="H40" s="7" t="e">
        <f>averageResponseTimePorter(Dates!H$4,Dates!H$5,'Day1'!$B40)</f>
        <v>#VALUE!</v>
      </c>
      <c r="I40" s="7" t="e">
        <f>averageResponseTimePorter(Dates!I$4,Dates!I$5,'Day1'!$B40)</f>
        <v>#VALUE!</v>
      </c>
      <c r="J40" s="7" t="e">
        <f>averageResponseTimePorter(Dates!J$4,Dates!J$5,'Day1'!$B40)</f>
        <v>#VALUE!</v>
      </c>
      <c r="K40" s="7" t="e">
        <f>averageResponseTimePorter(Dates!K$4,Dates!K$5,'Day1'!$B40)</f>
        <v>#VALUE!</v>
      </c>
      <c r="L40" s="7" t="e">
        <f>averageResponseTimePorter(Dates!L$4,Dates!L$5,'Day1'!$B40)</f>
        <v>#VALUE!</v>
      </c>
      <c r="M40" s="7" t="e">
        <f>averageResponseTimePorter(Dates!M$4,Dates!M$5,'Day1'!$B40)</f>
        <v>#VALUE!</v>
      </c>
      <c r="N40" s="7" t="e">
        <f>averageResponseTimePorter(Dates!N$4,Dates!N$5,'Day1'!$B40)</f>
        <v>#VALUE!</v>
      </c>
      <c r="O40" s="7" t="e">
        <f>averageResponseTimePorter(Dates!O$4,Dates!O$5,'Day1'!$B40)</f>
        <v>#VALUE!</v>
      </c>
      <c r="P40" s="7" t="e">
        <f>averageResponseTimePorter(Dates!P$4,Dates!P$5,'Day1'!$B40)</f>
        <v>#VALUE!</v>
      </c>
      <c r="Q40" s="7" t="e">
        <f>averageResponseTimePorter(Dates!Q$4,Dates!Q$5,'Day1'!$B40)</f>
        <v>#VALUE!</v>
      </c>
      <c r="R40" s="7" t="e">
        <f>averageResponseTimePorter(Dates!R$4,Dates!R$5,'Day1'!$B40)</f>
        <v>#VALUE!</v>
      </c>
      <c r="S40" s="7" t="e">
        <f>averageResponseTimePorter(Dates!S$4,Dates!S$5,'Day1'!$B40)</f>
        <v>#VALUE!</v>
      </c>
      <c r="T40" s="7" t="e">
        <f>averageResponseTimePorter(Dates!T$4,Dates!T$5,'Day1'!$B40)</f>
        <v>#VALUE!</v>
      </c>
      <c r="U40" s="7" t="e">
        <f>averageResponseTimePorter(Dates!$C$4,Dates!$T$5,'Day1'!$B17)</f>
        <v>#VALUE!</v>
      </c>
    </row>
    <row r="41" spans="2:21" x14ac:dyDescent="0.3">
      <c r="B41" s="11" t="str">
        <f t="shared" si="1"/>
        <v>NA18</v>
      </c>
      <c r="C41" s="7" t="e">
        <f>averageResponseTimePorter(Dates!C$4,Dates!C$5,'Day1'!$B41)</f>
        <v>#VALUE!</v>
      </c>
      <c r="D41" s="7" t="e">
        <f>averageResponseTimePorter(Dates!D$4,Dates!D$5,'Day1'!$B41)</f>
        <v>#VALUE!</v>
      </c>
      <c r="E41" s="7" t="e">
        <f>averageResponseTimePorter(Dates!E$4,Dates!E$5,'Day1'!$B41)</f>
        <v>#VALUE!</v>
      </c>
      <c r="F41" s="7" t="e">
        <f>averageResponseTimePorter(Dates!F$4,Dates!F$5,'Day1'!$B41)</f>
        <v>#VALUE!</v>
      </c>
      <c r="G41" s="7" t="e">
        <f>averageResponseTimePorter(Dates!G$4,Dates!G$5,'Day1'!$B41)</f>
        <v>#VALUE!</v>
      </c>
      <c r="H41" s="7" t="e">
        <f>averageResponseTimePorter(Dates!H$4,Dates!H$5,'Day1'!$B41)</f>
        <v>#VALUE!</v>
      </c>
      <c r="I41" s="7" t="e">
        <f>averageResponseTimePorter(Dates!I$4,Dates!I$5,'Day1'!$B41)</f>
        <v>#VALUE!</v>
      </c>
      <c r="J41" s="7" t="e">
        <f>averageResponseTimePorter(Dates!J$4,Dates!J$5,'Day1'!$B41)</f>
        <v>#VALUE!</v>
      </c>
      <c r="K41" s="7" t="e">
        <f>averageResponseTimePorter(Dates!K$4,Dates!K$5,'Day1'!$B41)</f>
        <v>#VALUE!</v>
      </c>
      <c r="L41" s="7" t="e">
        <f>averageResponseTimePorter(Dates!L$4,Dates!L$5,'Day1'!$B41)</f>
        <v>#VALUE!</v>
      </c>
      <c r="M41" s="7" t="e">
        <f>averageResponseTimePorter(Dates!M$4,Dates!M$5,'Day1'!$B41)</f>
        <v>#VALUE!</v>
      </c>
      <c r="N41" s="7" t="e">
        <f>averageResponseTimePorter(Dates!N$4,Dates!N$5,'Day1'!$B41)</f>
        <v>#VALUE!</v>
      </c>
      <c r="O41" s="7" t="e">
        <f>averageResponseTimePorter(Dates!O$4,Dates!O$5,'Day1'!$B41)</f>
        <v>#VALUE!</v>
      </c>
      <c r="P41" s="7" t="e">
        <f>averageResponseTimePorter(Dates!P$4,Dates!P$5,'Day1'!$B41)</f>
        <v>#VALUE!</v>
      </c>
      <c r="Q41" s="7" t="e">
        <f>averageResponseTimePorter(Dates!Q$4,Dates!Q$5,'Day1'!$B41)</f>
        <v>#VALUE!</v>
      </c>
      <c r="R41" s="7" t="e">
        <f>averageResponseTimePorter(Dates!R$4,Dates!R$5,'Day1'!$B41)</f>
        <v>#VALUE!</v>
      </c>
      <c r="S41" s="7" t="e">
        <f>averageResponseTimePorter(Dates!S$4,Dates!S$5,'Day1'!$B41)</f>
        <v>#VALUE!</v>
      </c>
      <c r="T41" s="7" t="e">
        <f>averageResponseTimePorter(Dates!T$4,Dates!T$5,'Day1'!$B41)</f>
        <v>#VALUE!</v>
      </c>
      <c r="U41" s="7" t="e">
        <f>averageResponseTimePorter(Dates!$C$4,Dates!$T$5,'Day1'!$B18)</f>
        <v>#VALUE!</v>
      </c>
    </row>
    <row r="42" spans="2:21" x14ac:dyDescent="0.3">
      <c r="B42" s="11" t="str">
        <f t="shared" si="1"/>
        <v>NA19</v>
      </c>
      <c r="C42" s="7" t="e">
        <f>averageResponseTimePorter(Dates!C$4,Dates!C$5,'Day1'!$B42)</f>
        <v>#VALUE!</v>
      </c>
      <c r="D42" s="7" t="e">
        <f>averageResponseTimePorter(Dates!D$4,Dates!D$5,'Day1'!$B42)</f>
        <v>#VALUE!</v>
      </c>
      <c r="E42" s="7" t="e">
        <f>averageResponseTimePorter(Dates!E$4,Dates!E$5,'Day1'!$B42)</f>
        <v>#VALUE!</v>
      </c>
      <c r="F42" s="7" t="e">
        <f>averageResponseTimePorter(Dates!F$4,Dates!F$5,'Day1'!$B42)</f>
        <v>#VALUE!</v>
      </c>
      <c r="G42" s="7" t="e">
        <f>averageResponseTimePorter(Dates!G$4,Dates!G$5,'Day1'!$B42)</f>
        <v>#VALUE!</v>
      </c>
      <c r="H42" s="7" t="e">
        <f>averageResponseTimePorter(Dates!H$4,Dates!H$5,'Day1'!$B42)</f>
        <v>#VALUE!</v>
      </c>
      <c r="I42" s="7" t="e">
        <f>averageResponseTimePorter(Dates!I$4,Dates!I$5,'Day1'!$B42)</f>
        <v>#VALUE!</v>
      </c>
      <c r="J42" s="7" t="e">
        <f>averageResponseTimePorter(Dates!J$4,Dates!J$5,'Day1'!$B42)</f>
        <v>#VALUE!</v>
      </c>
      <c r="K42" s="7" t="e">
        <f>averageResponseTimePorter(Dates!K$4,Dates!K$5,'Day1'!$B42)</f>
        <v>#VALUE!</v>
      </c>
      <c r="L42" s="7" t="e">
        <f>averageResponseTimePorter(Dates!L$4,Dates!L$5,'Day1'!$B42)</f>
        <v>#VALUE!</v>
      </c>
      <c r="M42" s="7" t="e">
        <f>averageResponseTimePorter(Dates!M$4,Dates!M$5,'Day1'!$B42)</f>
        <v>#VALUE!</v>
      </c>
      <c r="N42" s="7" t="e">
        <f>averageResponseTimePorter(Dates!N$4,Dates!N$5,'Day1'!$B42)</f>
        <v>#VALUE!</v>
      </c>
      <c r="O42" s="7" t="e">
        <f>averageResponseTimePorter(Dates!O$4,Dates!O$5,'Day1'!$B42)</f>
        <v>#VALUE!</v>
      </c>
      <c r="P42" s="7" t="e">
        <f>averageResponseTimePorter(Dates!P$4,Dates!P$5,'Day1'!$B42)</f>
        <v>#VALUE!</v>
      </c>
      <c r="Q42" s="7" t="e">
        <f>averageResponseTimePorter(Dates!Q$4,Dates!Q$5,'Day1'!$B42)</f>
        <v>#VALUE!</v>
      </c>
      <c r="R42" s="7" t="e">
        <f>averageResponseTimePorter(Dates!R$4,Dates!R$5,'Day1'!$B42)</f>
        <v>#VALUE!</v>
      </c>
      <c r="S42" s="7" t="e">
        <f>averageResponseTimePorter(Dates!S$4,Dates!S$5,'Day1'!$B42)</f>
        <v>#VALUE!</v>
      </c>
      <c r="T42" s="7" t="e">
        <f>averageResponseTimePorter(Dates!T$4,Dates!T$5,'Day1'!$B42)</f>
        <v>#VALUE!</v>
      </c>
      <c r="U42" s="7" t="e">
        <f>averageResponseTimePorter(Dates!$C$4,Dates!$T$5,'Day1'!$B19)</f>
        <v>#VALUE!</v>
      </c>
    </row>
    <row r="43" spans="2:21" x14ac:dyDescent="0.3">
      <c r="B43" s="11" t="str">
        <f t="shared" si="1"/>
        <v>NA20</v>
      </c>
      <c r="C43" s="7" t="e">
        <f>averageResponseTimePorter(Dates!C$4,Dates!C$5,'Day1'!$B43)</f>
        <v>#VALUE!</v>
      </c>
      <c r="D43" s="7" t="e">
        <f>averageResponseTimePorter(Dates!D$4,Dates!D$5,'Day1'!$B43)</f>
        <v>#VALUE!</v>
      </c>
      <c r="E43" s="7" t="e">
        <f>averageResponseTimePorter(Dates!E$4,Dates!E$5,'Day1'!$B43)</f>
        <v>#VALUE!</v>
      </c>
      <c r="F43" s="7" t="e">
        <f>averageResponseTimePorter(Dates!F$4,Dates!F$5,'Day1'!$B43)</f>
        <v>#VALUE!</v>
      </c>
      <c r="G43" s="7" t="e">
        <f>averageResponseTimePorter(Dates!G$4,Dates!G$5,'Day1'!$B43)</f>
        <v>#VALUE!</v>
      </c>
      <c r="H43" s="7" t="e">
        <f>averageResponseTimePorter(Dates!H$4,Dates!H$5,'Day1'!$B43)</f>
        <v>#VALUE!</v>
      </c>
      <c r="I43" s="7" t="e">
        <f>averageResponseTimePorter(Dates!I$4,Dates!I$5,'Day1'!$B43)</f>
        <v>#VALUE!</v>
      </c>
      <c r="J43" s="7" t="e">
        <f>averageResponseTimePorter(Dates!J$4,Dates!J$5,'Day1'!$B43)</f>
        <v>#VALUE!</v>
      </c>
      <c r="K43" s="7" t="e">
        <f>averageResponseTimePorter(Dates!K$4,Dates!K$5,'Day1'!$B43)</f>
        <v>#VALUE!</v>
      </c>
      <c r="L43" s="7" t="e">
        <f>averageResponseTimePorter(Dates!L$4,Dates!L$5,'Day1'!$B43)</f>
        <v>#VALUE!</v>
      </c>
      <c r="M43" s="7" t="e">
        <f>averageResponseTimePorter(Dates!M$4,Dates!M$5,'Day1'!$B43)</f>
        <v>#VALUE!</v>
      </c>
      <c r="N43" s="7" t="e">
        <f>averageResponseTimePorter(Dates!N$4,Dates!N$5,'Day1'!$B43)</f>
        <v>#VALUE!</v>
      </c>
      <c r="O43" s="7" t="e">
        <f>averageResponseTimePorter(Dates!O$4,Dates!O$5,'Day1'!$B43)</f>
        <v>#VALUE!</v>
      </c>
      <c r="P43" s="7" t="e">
        <f>averageResponseTimePorter(Dates!P$4,Dates!P$5,'Day1'!$B43)</f>
        <v>#VALUE!</v>
      </c>
      <c r="Q43" s="7" t="e">
        <f>averageResponseTimePorter(Dates!Q$4,Dates!Q$5,'Day1'!$B43)</f>
        <v>#VALUE!</v>
      </c>
      <c r="R43" s="7" t="e">
        <f>averageResponseTimePorter(Dates!R$4,Dates!R$5,'Day1'!$B43)</f>
        <v>#VALUE!</v>
      </c>
      <c r="S43" s="7" t="e">
        <f>averageResponseTimePorter(Dates!S$4,Dates!S$5,'Day1'!$B43)</f>
        <v>#VALUE!</v>
      </c>
      <c r="T43" s="7" t="e">
        <f>averageResponseTimePorter(Dates!T$4,Dates!T$5,'Day1'!$B43)</f>
        <v>#VALUE!</v>
      </c>
      <c r="U43" s="7" t="e">
        <f>averageResponseTimePorter(Dates!$C$4,Dates!$T$5,'Day1'!$B20)</f>
        <v>#VALUE!</v>
      </c>
    </row>
    <row r="44" spans="2:21" x14ac:dyDescent="0.3">
      <c r="B44" s="11" t="str">
        <f t="shared" si="1"/>
        <v>NA21</v>
      </c>
      <c r="C44" s="7" t="e">
        <f>averageResponseTimePorter(Dates!C$4,Dates!C$5,'Day1'!$B44)</f>
        <v>#VALUE!</v>
      </c>
      <c r="D44" s="7" t="e">
        <f>averageResponseTimePorter(Dates!D$4,Dates!D$5,'Day1'!$B44)</f>
        <v>#VALUE!</v>
      </c>
      <c r="E44" s="7" t="e">
        <f>averageResponseTimePorter(Dates!E$4,Dates!E$5,'Day1'!$B44)</f>
        <v>#VALUE!</v>
      </c>
      <c r="F44" s="7" t="e">
        <f>averageResponseTimePorter(Dates!F$4,Dates!F$5,'Day1'!$B44)</f>
        <v>#VALUE!</v>
      </c>
      <c r="G44" s="7" t="e">
        <f>averageResponseTimePorter(Dates!G$4,Dates!G$5,'Day1'!$B44)</f>
        <v>#VALUE!</v>
      </c>
      <c r="H44" s="7" t="e">
        <f>averageResponseTimePorter(Dates!H$4,Dates!H$5,'Day1'!$B44)</f>
        <v>#VALUE!</v>
      </c>
      <c r="I44" s="7" t="e">
        <f>averageResponseTimePorter(Dates!I$4,Dates!I$5,'Day1'!$B44)</f>
        <v>#VALUE!</v>
      </c>
      <c r="J44" s="7" t="e">
        <f>averageResponseTimePorter(Dates!J$4,Dates!J$5,'Day1'!$B44)</f>
        <v>#VALUE!</v>
      </c>
      <c r="K44" s="7" t="e">
        <f>averageResponseTimePorter(Dates!K$4,Dates!K$5,'Day1'!$B44)</f>
        <v>#VALUE!</v>
      </c>
      <c r="L44" s="7" t="e">
        <f>averageResponseTimePorter(Dates!L$4,Dates!L$5,'Day1'!$B44)</f>
        <v>#VALUE!</v>
      </c>
      <c r="M44" s="7" t="e">
        <f>averageResponseTimePorter(Dates!M$4,Dates!M$5,'Day1'!$B44)</f>
        <v>#VALUE!</v>
      </c>
      <c r="N44" s="7" t="e">
        <f>averageResponseTimePorter(Dates!N$4,Dates!N$5,'Day1'!$B44)</f>
        <v>#VALUE!</v>
      </c>
      <c r="O44" s="7" t="e">
        <f>averageResponseTimePorter(Dates!O$4,Dates!O$5,'Day1'!$B44)</f>
        <v>#VALUE!</v>
      </c>
      <c r="P44" s="7" t="e">
        <f>averageResponseTimePorter(Dates!P$4,Dates!P$5,'Day1'!$B44)</f>
        <v>#VALUE!</v>
      </c>
      <c r="Q44" s="7" t="e">
        <f>averageResponseTimePorter(Dates!Q$4,Dates!Q$5,'Day1'!$B44)</f>
        <v>#VALUE!</v>
      </c>
      <c r="R44" s="7" t="e">
        <f>averageResponseTimePorter(Dates!R$4,Dates!R$5,'Day1'!$B44)</f>
        <v>#VALUE!</v>
      </c>
      <c r="S44" s="7" t="e">
        <f>averageResponseTimePorter(Dates!S$4,Dates!S$5,'Day1'!$B44)</f>
        <v>#VALUE!</v>
      </c>
      <c r="T44" s="7" t="e">
        <f>averageResponseTimePorter(Dates!T$4,Dates!T$5,'Day1'!$B44)</f>
        <v>#VALUE!</v>
      </c>
      <c r="U44" s="7" t="e">
        <f>averageResponseTimePorter(Dates!$C$4,Dates!$T$5,'Day1'!$B21)</f>
        <v>#VALUE!</v>
      </c>
    </row>
    <row r="45" spans="2:21" x14ac:dyDescent="0.3">
      <c r="B45" s="11" t="str">
        <f t="shared" si="1"/>
        <v>NA22</v>
      </c>
      <c r="C45" s="7" t="e">
        <f>averageResponseTimePorter(Dates!C$4,Dates!C$5,'Day1'!$B45)</f>
        <v>#VALUE!</v>
      </c>
      <c r="D45" s="7" t="e">
        <f>averageResponseTimePorter(Dates!D$4,Dates!D$5,'Day1'!$B45)</f>
        <v>#VALUE!</v>
      </c>
      <c r="E45" s="7" t="e">
        <f>averageResponseTimePorter(Dates!E$4,Dates!E$5,'Day1'!$B45)</f>
        <v>#VALUE!</v>
      </c>
      <c r="F45" s="7" t="e">
        <f>averageResponseTimePorter(Dates!F$4,Dates!F$5,'Day1'!$B45)</f>
        <v>#VALUE!</v>
      </c>
      <c r="G45" s="7" t="e">
        <f>averageResponseTimePorter(Dates!G$4,Dates!G$5,'Day1'!$B45)</f>
        <v>#VALUE!</v>
      </c>
      <c r="H45" s="7" t="e">
        <f>averageResponseTimePorter(Dates!H$4,Dates!H$5,'Day1'!$B45)</f>
        <v>#VALUE!</v>
      </c>
      <c r="I45" s="7" t="e">
        <f>averageResponseTimePorter(Dates!I$4,Dates!I$5,'Day1'!$B45)</f>
        <v>#VALUE!</v>
      </c>
      <c r="J45" s="7" t="e">
        <f>averageResponseTimePorter(Dates!J$4,Dates!J$5,'Day1'!$B45)</f>
        <v>#VALUE!</v>
      </c>
      <c r="K45" s="7" t="e">
        <f>averageResponseTimePorter(Dates!K$4,Dates!K$5,'Day1'!$B45)</f>
        <v>#VALUE!</v>
      </c>
      <c r="L45" s="7" t="e">
        <f>averageResponseTimePorter(Dates!L$4,Dates!L$5,'Day1'!$B45)</f>
        <v>#VALUE!</v>
      </c>
      <c r="M45" s="7" t="e">
        <f>averageResponseTimePorter(Dates!M$4,Dates!M$5,'Day1'!$B45)</f>
        <v>#VALUE!</v>
      </c>
      <c r="N45" s="7" t="e">
        <f>averageResponseTimePorter(Dates!N$4,Dates!N$5,'Day1'!$B45)</f>
        <v>#VALUE!</v>
      </c>
      <c r="O45" s="7" t="e">
        <f>averageResponseTimePorter(Dates!O$4,Dates!O$5,'Day1'!$B45)</f>
        <v>#VALUE!</v>
      </c>
      <c r="P45" s="7" t="e">
        <f>averageResponseTimePorter(Dates!P$4,Dates!P$5,'Day1'!$B45)</f>
        <v>#VALUE!</v>
      </c>
      <c r="Q45" s="7" t="e">
        <f>averageResponseTimePorter(Dates!Q$4,Dates!Q$5,'Day1'!$B45)</f>
        <v>#VALUE!</v>
      </c>
      <c r="R45" s="7" t="e">
        <f>averageResponseTimePorter(Dates!R$4,Dates!R$5,'Day1'!$B45)</f>
        <v>#VALUE!</v>
      </c>
      <c r="S45" s="7" t="e">
        <f>averageResponseTimePorter(Dates!S$4,Dates!S$5,'Day1'!$B45)</f>
        <v>#VALUE!</v>
      </c>
      <c r="T45" s="7" t="e">
        <f>averageResponseTimePorter(Dates!T$4,Dates!T$5,'Day1'!$B45)</f>
        <v>#VALUE!</v>
      </c>
      <c r="U45" s="7" t="e">
        <f>averageResponseTimePorter(Dates!$C$4,Dates!$T$5,'Day1'!$B22)</f>
        <v>#VALUE!</v>
      </c>
    </row>
    <row r="46" spans="2:21" x14ac:dyDescent="0.3">
      <c r="B46" s="11" t="str">
        <f t="shared" si="1"/>
        <v>NA23</v>
      </c>
      <c r="C46" s="7" t="e">
        <f>averageResponseTimePorter(Dates!C$4,Dates!C$5,'Day1'!$B46)</f>
        <v>#VALUE!</v>
      </c>
      <c r="D46" s="7" t="e">
        <f>averageResponseTimePorter(Dates!D$4,Dates!D$5,'Day1'!$B46)</f>
        <v>#VALUE!</v>
      </c>
      <c r="E46" s="7" t="e">
        <f>averageResponseTimePorter(Dates!E$4,Dates!E$5,'Day1'!$B46)</f>
        <v>#VALUE!</v>
      </c>
      <c r="F46" s="7" t="e">
        <f>averageResponseTimePorter(Dates!F$4,Dates!F$5,'Day1'!$B46)</f>
        <v>#VALUE!</v>
      </c>
      <c r="G46" s="7" t="e">
        <f>averageResponseTimePorter(Dates!G$4,Dates!G$5,'Day1'!$B46)</f>
        <v>#VALUE!</v>
      </c>
      <c r="H46" s="7" t="e">
        <f>averageResponseTimePorter(Dates!H$4,Dates!H$5,'Day1'!$B46)</f>
        <v>#VALUE!</v>
      </c>
      <c r="I46" s="7" t="e">
        <f>averageResponseTimePorter(Dates!I$4,Dates!I$5,'Day1'!$B46)</f>
        <v>#VALUE!</v>
      </c>
      <c r="J46" s="7" t="e">
        <f>averageResponseTimePorter(Dates!J$4,Dates!J$5,'Day1'!$B46)</f>
        <v>#VALUE!</v>
      </c>
      <c r="K46" s="7" t="e">
        <f>averageResponseTimePorter(Dates!K$4,Dates!K$5,'Day1'!$B46)</f>
        <v>#VALUE!</v>
      </c>
      <c r="L46" s="7" t="e">
        <f>averageResponseTimePorter(Dates!L$4,Dates!L$5,'Day1'!$B46)</f>
        <v>#VALUE!</v>
      </c>
      <c r="M46" s="7" t="e">
        <f>averageResponseTimePorter(Dates!M$4,Dates!M$5,'Day1'!$B46)</f>
        <v>#VALUE!</v>
      </c>
      <c r="N46" s="7" t="e">
        <f>averageResponseTimePorter(Dates!N$4,Dates!N$5,'Day1'!$B46)</f>
        <v>#VALUE!</v>
      </c>
      <c r="O46" s="7" t="e">
        <f>averageResponseTimePorter(Dates!O$4,Dates!O$5,'Day1'!$B46)</f>
        <v>#VALUE!</v>
      </c>
      <c r="P46" s="7" t="e">
        <f>averageResponseTimePorter(Dates!P$4,Dates!P$5,'Day1'!$B46)</f>
        <v>#VALUE!</v>
      </c>
      <c r="Q46" s="7" t="e">
        <f>averageResponseTimePorter(Dates!Q$4,Dates!Q$5,'Day1'!$B46)</f>
        <v>#VALUE!</v>
      </c>
      <c r="R46" s="7" t="e">
        <f>averageResponseTimePorter(Dates!R$4,Dates!R$5,'Day1'!$B46)</f>
        <v>#VALUE!</v>
      </c>
      <c r="S46" s="7" t="e">
        <f>averageResponseTimePorter(Dates!S$4,Dates!S$5,'Day1'!$B46)</f>
        <v>#VALUE!</v>
      </c>
      <c r="T46" s="7" t="e">
        <f>averageResponseTimePorter(Dates!T$4,Dates!T$5,'Day1'!$B46)</f>
        <v>#VALUE!</v>
      </c>
      <c r="U46" s="7" t="e">
        <f>averageResponseTimePorter(Dates!$C$4,Dates!$T$5,'Day1'!$B23)</f>
        <v>#VALUE!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A23" zoomScale="80" zoomScaleNormal="80" workbookViewId="0">
      <selection activeCell="B26" sqref="B26:B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102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111</v>
      </c>
    </row>
    <row r="2" spans="1:21" x14ac:dyDescent="0.3">
      <c r="A2" t="s">
        <v>104</v>
      </c>
      <c r="B2" s="11" t="s">
        <v>106</v>
      </c>
      <c r="C2" s="7" t="e">
        <f>averageCompletionTime(Dates!C6,Dates!C7)</f>
        <v>#VALUE!</v>
      </c>
      <c r="D2" s="7" t="e">
        <f>averageCompletionTime(Dates!D6,Dates!D7)</f>
        <v>#VALUE!</v>
      </c>
      <c r="E2" s="7" t="e">
        <f>averageCompletionTime(Dates!E6,Dates!E7)</f>
        <v>#VALUE!</v>
      </c>
      <c r="F2" s="7" t="e">
        <f>averageCompletionTime(Dates!F6,Dates!F7)</f>
        <v>#VALUE!</v>
      </c>
      <c r="G2" s="7" t="e">
        <f>averageCompletionTime(Dates!G6,Dates!G7)</f>
        <v>#VALUE!</v>
      </c>
      <c r="H2" s="7" t="e">
        <f>averageCompletionTime(Dates!H6,Dates!H7)</f>
        <v>#VALUE!</v>
      </c>
      <c r="I2" s="7" t="e">
        <f>averageCompletionTime(Dates!I6,Dates!I7)</f>
        <v>#VALUE!</v>
      </c>
      <c r="J2" s="7" t="e">
        <f>averageCompletionTime(Dates!J6,Dates!J7)</f>
        <v>#VALUE!</v>
      </c>
      <c r="K2" s="7" t="e">
        <f>averageCompletionTime(Dates!K6,Dates!K7)</f>
        <v>#VALUE!</v>
      </c>
      <c r="L2" s="7" t="e">
        <f>averageCompletionTime(Dates!L6,Dates!L7)</f>
        <v>#VALUE!</v>
      </c>
      <c r="M2" s="7" t="e">
        <f>averageCompletionTime(Dates!M6,Dates!M7)</f>
        <v>#VALUE!</v>
      </c>
      <c r="N2" s="7" t="e">
        <f>averageCompletionTime(Dates!N6,Dates!N7)</f>
        <v>#VALUE!</v>
      </c>
      <c r="O2" s="7" t="e">
        <f>averageCompletionTime(Dates!O6,Dates!O7)</f>
        <v>#VALUE!</v>
      </c>
      <c r="P2" s="7" t="e">
        <f>averageCompletionTime(Dates!P6,Dates!P7)</f>
        <v>#VALUE!</v>
      </c>
      <c r="Q2" s="7" t="e">
        <f>averageCompletionTime(Dates!Q6,Dates!Q7)</f>
        <v>#VALUE!</v>
      </c>
      <c r="R2" s="7" t="e">
        <f>averageCompletionTime(Dates!R6,Dates!R7)</f>
        <v>#VALUE!</v>
      </c>
      <c r="S2" s="7" t="e">
        <f>averageCompletionTime(Dates!S6,Dates!S7)</f>
        <v>#VALUE!</v>
      </c>
      <c r="T2" s="7" t="e">
        <f>averageCompletionTime(Dates!T6,Dates!T7)</f>
        <v>#VALUE!</v>
      </c>
      <c r="U2" s="7" t="e">
        <f>averageCompletionTime(Dates!C6,Dates!T7)</f>
        <v>#VALUE!</v>
      </c>
    </row>
    <row r="3" spans="1:21" x14ac:dyDescent="0.3">
      <c r="A3" s="10" t="s">
        <v>105</v>
      </c>
      <c r="B3" s="12"/>
      <c r="C3" s="7" t="e">
        <f>averageCompletionTimePorter(Dates!C$6,Dates!C$7,'Day2'!$B3)</f>
        <v>#VALUE!</v>
      </c>
      <c r="D3" s="7" t="e">
        <f>averageCompletionTimePorter(Dates!D$6,Dates!D$7,'Day2'!$B3)</f>
        <v>#VALUE!</v>
      </c>
      <c r="E3" s="7" t="e">
        <f>averageCompletionTimePorter(Dates!E$6,Dates!E$7,'Day2'!$B3)</f>
        <v>#VALUE!</v>
      </c>
      <c r="F3" s="7" t="e">
        <f>averageCompletionTimePorter(Dates!F$6,Dates!F$7,'Day2'!$B3)</f>
        <v>#VALUE!</v>
      </c>
      <c r="G3" s="7" t="e">
        <f>averageCompletionTimePorter(Dates!G$6,Dates!G$7,'Day2'!$B3)</f>
        <v>#VALUE!</v>
      </c>
      <c r="H3" s="7" t="e">
        <f>averageCompletionTimePorter(Dates!H$6,Dates!H$7,'Day2'!$B3)</f>
        <v>#VALUE!</v>
      </c>
      <c r="I3" s="7" t="e">
        <f>averageCompletionTimePorter(Dates!I$6,Dates!I$7,'Day2'!$B3)</f>
        <v>#VALUE!</v>
      </c>
      <c r="J3" s="7" t="e">
        <f>averageCompletionTimePorter(Dates!J$6,Dates!J$7,'Day2'!$B3)</f>
        <v>#VALUE!</v>
      </c>
      <c r="K3" s="7" t="e">
        <f>averageCompletionTimePorter(Dates!K$6,Dates!K$7,'Day2'!$B3)</f>
        <v>#VALUE!</v>
      </c>
      <c r="L3" s="7" t="e">
        <f>averageCompletionTimePorter(Dates!L$6,Dates!L$7,'Day2'!$B3)</f>
        <v>#VALUE!</v>
      </c>
      <c r="M3" s="7" t="e">
        <f>averageCompletionTimePorter(Dates!M$6,Dates!M$7,'Day2'!$B3)</f>
        <v>#VALUE!</v>
      </c>
      <c r="N3" s="7" t="e">
        <f>averageCompletionTimePorter(Dates!N$6,Dates!N$7,'Day2'!$B3)</f>
        <v>#VALUE!</v>
      </c>
      <c r="O3" s="7" t="e">
        <f>averageCompletionTimePorter(Dates!O$6,Dates!O$7,'Day2'!$B3)</f>
        <v>#VALUE!</v>
      </c>
      <c r="P3" s="7" t="e">
        <f>averageCompletionTimePorter(Dates!P$6,Dates!P$7,'Day2'!$B3)</f>
        <v>#VALUE!</v>
      </c>
      <c r="Q3" s="7" t="e">
        <f>averageCompletionTimePorter(Dates!Q$6,Dates!Q$7,'Day2'!$B3)</f>
        <v>#VALUE!</v>
      </c>
      <c r="R3" s="7" t="e">
        <f>averageCompletionTimePorter(Dates!R$6,Dates!R$7,'Day2'!$B3)</f>
        <v>#VALUE!</v>
      </c>
      <c r="S3" s="7" t="e">
        <f>averageCompletionTimePorter(Dates!S$6,Dates!S$7,'Day2'!$B3)</f>
        <v>#VALUE!</v>
      </c>
      <c r="T3" s="7" t="e">
        <f>averageCompletionTimePorter(Dates!T$6,Dates!T$7,'Day2'!$B3)</f>
        <v>#VALUE!</v>
      </c>
      <c r="U3" s="7" t="e">
        <f>averageCompletionTimePorter(Dates!$C$6,Dates!$T$7,'Day2'!$B3)</f>
        <v>#VALUE!</v>
      </c>
    </row>
    <row r="4" spans="1:21" x14ac:dyDescent="0.3">
      <c r="A4" s="10"/>
      <c r="B4" s="12" t="s">
        <v>372</v>
      </c>
      <c r="C4" s="7" t="e">
        <f>averageCompletionTimePorter(Dates!C$6,Dates!C$7,'Day2'!$B4)</f>
        <v>#VALUE!</v>
      </c>
      <c r="D4" s="7" t="e">
        <f>averageCompletionTimePorter(Dates!D$6,Dates!D$7,'Day2'!$B4)</f>
        <v>#VALUE!</v>
      </c>
      <c r="E4" s="7" t="e">
        <f>averageCompletionTimePorter(Dates!E$6,Dates!E$7,'Day2'!$B4)</f>
        <v>#VALUE!</v>
      </c>
      <c r="F4" s="7" t="e">
        <f>averageCompletionTimePorter(Dates!F$6,Dates!F$7,'Day2'!$B4)</f>
        <v>#VALUE!</v>
      </c>
      <c r="G4" s="7" t="e">
        <f>averageCompletionTimePorter(Dates!G$6,Dates!G$7,'Day2'!$B4)</f>
        <v>#VALUE!</v>
      </c>
      <c r="H4" s="7" t="e">
        <f>averageCompletionTimePorter(Dates!H$6,Dates!H$7,'Day2'!$B4)</f>
        <v>#VALUE!</v>
      </c>
      <c r="I4" s="7" t="e">
        <f>averageCompletionTimePorter(Dates!I$6,Dates!I$7,'Day2'!$B4)</f>
        <v>#VALUE!</v>
      </c>
      <c r="J4" s="7" t="e">
        <f>averageCompletionTimePorter(Dates!J$6,Dates!J$7,'Day2'!$B4)</f>
        <v>#VALUE!</v>
      </c>
      <c r="K4" s="7" t="e">
        <f>averageCompletionTimePorter(Dates!K$6,Dates!K$7,'Day2'!$B4)</f>
        <v>#VALUE!</v>
      </c>
      <c r="L4" s="7" t="e">
        <f>averageCompletionTimePorter(Dates!L$6,Dates!L$7,'Day2'!$B4)</f>
        <v>#VALUE!</v>
      </c>
      <c r="M4" s="7" t="e">
        <f>averageCompletionTimePorter(Dates!M$6,Dates!M$7,'Day2'!$B4)</f>
        <v>#VALUE!</v>
      </c>
      <c r="N4" s="7" t="e">
        <f>averageCompletionTimePorter(Dates!N$6,Dates!N$7,'Day2'!$B4)</f>
        <v>#VALUE!</v>
      </c>
      <c r="O4" s="7" t="e">
        <f>averageCompletionTimePorter(Dates!O$6,Dates!O$7,'Day2'!$B4)</f>
        <v>#VALUE!</v>
      </c>
      <c r="P4" s="7" t="e">
        <f>averageCompletionTimePorter(Dates!P$6,Dates!P$7,'Day2'!$B4)</f>
        <v>#VALUE!</v>
      </c>
      <c r="Q4" s="7" t="e">
        <f>averageCompletionTimePorter(Dates!Q$6,Dates!Q$7,'Day2'!$B4)</f>
        <v>#VALUE!</v>
      </c>
      <c r="R4" s="7" t="e">
        <f>averageCompletionTimePorter(Dates!R$6,Dates!R$7,'Day2'!$B4)</f>
        <v>#VALUE!</v>
      </c>
      <c r="S4" s="7" t="e">
        <f>averageCompletionTimePorter(Dates!S$6,Dates!S$7,'Day2'!$B4)</f>
        <v>#VALUE!</v>
      </c>
      <c r="T4" s="7" t="e">
        <f>averageCompletionTimePorter(Dates!T$6,Dates!T$7,'Day2'!$B4)</f>
        <v>#VALUE!</v>
      </c>
      <c r="U4" s="7" t="e">
        <f>averageCompletionTimePorter(Dates!$C$6,Dates!$T$7,'Day2'!$B4)</f>
        <v>#VALUE!</v>
      </c>
    </row>
    <row r="5" spans="1:21" x14ac:dyDescent="0.3">
      <c r="A5" s="10"/>
      <c r="B5" s="12" t="s">
        <v>373</v>
      </c>
      <c r="C5" s="7" t="e">
        <f>averageCompletionTimePorter(Dates!C$6,Dates!C$7,'Day2'!$B5)</f>
        <v>#VALUE!</v>
      </c>
      <c r="D5" s="7" t="e">
        <f>averageCompletionTimePorter(Dates!D$6,Dates!D$7,'Day2'!$B5)</f>
        <v>#VALUE!</v>
      </c>
      <c r="E5" s="7" t="e">
        <f>averageCompletionTimePorter(Dates!E$6,Dates!E$7,'Day2'!$B5)</f>
        <v>#VALUE!</v>
      </c>
      <c r="F5" s="7" t="e">
        <f>averageCompletionTimePorter(Dates!F$6,Dates!F$7,'Day2'!$B5)</f>
        <v>#VALUE!</v>
      </c>
      <c r="G5" s="7" t="e">
        <f>averageCompletionTimePorter(Dates!G$6,Dates!G$7,'Day2'!$B5)</f>
        <v>#VALUE!</v>
      </c>
      <c r="H5" s="7" t="e">
        <f>averageCompletionTimePorter(Dates!H$6,Dates!H$7,'Day2'!$B5)</f>
        <v>#VALUE!</v>
      </c>
      <c r="I5" s="7" t="e">
        <f>averageCompletionTimePorter(Dates!I$6,Dates!I$7,'Day2'!$B5)</f>
        <v>#VALUE!</v>
      </c>
      <c r="J5" s="7" t="e">
        <f>averageCompletionTimePorter(Dates!J$6,Dates!J$7,'Day2'!$B5)</f>
        <v>#VALUE!</v>
      </c>
      <c r="K5" s="7" t="e">
        <f>averageCompletionTimePorter(Dates!K$6,Dates!K$7,'Day2'!$B5)</f>
        <v>#VALUE!</v>
      </c>
      <c r="L5" s="7" t="e">
        <f>averageCompletionTimePorter(Dates!L$6,Dates!L$7,'Day2'!$B5)</f>
        <v>#VALUE!</v>
      </c>
      <c r="M5" s="7" t="e">
        <f>averageCompletionTimePorter(Dates!M$6,Dates!M$7,'Day2'!$B5)</f>
        <v>#VALUE!</v>
      </c>
      <c r="N5" s="7" t="e">
        <f>averageCompletionTimePorter(Dates!N$6,Dates!N$7,'Day2'!$B5)</f>
        <v>#VALUE!</v>
      </c>
      <c r="O5" s="7" t="e">
        <f>averageCompletionTimePorter(Dates!O$6,Dates!O$7,'Day2'!$B5)</f>
        <v>#VALUE!</v>
      </c>
      <c r="P5" s="7" t="e">
        <f>averageCompletionTimePorter(Dates!P$6,Dates!P$7,'Day2'!$B5)</f>
        <v>#VALUE!</v>
      </c>
      <c r="Q5" s="7" t="e">
        <f>averageCompletionTimePorter(Dates!Q$6,Dates!Q$7,'Day2'!$B5)</f>
        <v>#VALUE!</v>
      </c>
      <c r="R5" s="7" t="e">
        <f>averageCompletionTimePorter(Dates!R$6,Dates!R$7,'Day2'!$B5)</f>
        <v>#VALUE!</v>
      </c>
      <c r="S5" s="7" t="e">
        <f>averageCompletionTimePorter(Dates!S$6,Dates!S$7,'Day2'!$B5)</f>
        <v>#VALUE!</v>
      </c>
      <c r="T5" s="7" t="e">
        <f>averageCompletionTimePorter(Dates!T$6,Dates!T$7,'Day2'!$B5)</f>
        <v>#VALUE!</v>
      </c>
      <c r="U5" s="7" t="e">
        <f>averageCompletionTimePorter(Dates!$C$6,Dates!$T$7,'Day2'!$B5)</f>
        <v>#VALUE!</v>
      </c>
    </row>
    <row r="6" spans="1:21" x14ac:dyDescent="0.3">
      <c r="A6" s="10"/>
      <c r="B6" s="12" t="s">
        <v>374</v>
      </c>
      <c r="C6" s="7" t="e">
        <f>averageCompletionTimePorter(Dates!C$6,Dates!C$7,'Day2'!$B6)</f>
        <v>#VALUE!</v>
      </c>
      <c r="D6" s="7" t="e">
        <f>averageCompletionTimePorter(Dates!D$6,Dates!D$7,'Day2'!$B6)</f>
        <v>#VALUE!</v>
      </c>
      <c r="E6" s="7" t="e">
        <f>averageCompletionTimePorter(Dates!E$6,Dates!E$7,'Day2'!$B6)</f>
        <v>#VALUE!</v>
      </c>
      <c r="F6" s="7" t="e">
        <f>averageCompletionTimePorter(Dates!F$6,Dates!F$7,'Day2'!$B6)</f>
        <v>#VALUE!</v>
      </c>
      <c r="G6" s="7" t="e">
        <f>averageCompletionTimePorter(Dates!G$6,Dates!G$7,'Day2'!$B6)</f>
        <v>#VALUE!</v>
      </c>
      <c r="H6" s="7" t="e">
        <f>averageCompletionTimePorter(Dates!H$6,Dates!H$7,'Day2'!$B6)</f>
        <v>#VALUE!</v>
      </c>
      <c r="I6" s="7" t="e">
        <f>averageCompletionTimePorter(Dates!I$6,Dates!I$7,'Day2'!$B6)</f>
        <v>#VALUE!</v>
      </c>
      <c r="J6" s="7" t="e">
        <f>averageCompletionTimePorter(Dates!J$6,Dates!J$7,'Day2'!$B6)</f>
        <v>#VALUE!</v>
      </c>
      <c r="K6" s="7" t="e">
        <f>averageCompletionTimePorter(Dates!K$6,Dates!K$7,'Day2'!$B6)</f>
        <v>#VALUE!</v>
      </c>
      <c r="L6" s="7" t="e">
        <f>averageCompletionTimePorter(Dates!L$6,Dates!L$7,'Day2'!$B6)</f>
        <v>#VALUE!</v>
      </c>
      <c r="M6" s="7" t="e">
        <f>averageCompletionTimePorter(Dates!M$6,Dates!M$7,'Day2'!$B6)</f>
        <v>#VALUE!</v>
      </c>
      <c r="N6" s="7" t="e">
        <f>averageCompletionTimePorter(Dates!N$6,Dates!N$7,'Day2'!$B6)</f>
        <v>#VALUE!</v>
      </c>
      <c r="O6" s="7" t="e">
        <f>averageCompletionTimePorter(Dates!O$6,Dates!O$7,'Day2'!$B6)</f>
        <v>#VALUE!</v>
      </c>
      <c r="P6" s="7" t="e">
        <f>averageCompletionTimePorter(Dates!P$6,Dates!P$7,'Day2'!$B6)</f>
        <v>#VALUE!</v>
      </c>
      <c r="Q6" s="7" t="e">
        <f>averageCompletionTimePorter(Dates!Q$6,Dates!Q$7,'Day2'!$B6)</f>
        <v>#VALUE!</v>
      </c>
      <c r="R6" s="7" t="e">
        <f>averageCompletionTimePorter(Dates!R$6,Dates!R$7,'Day2'!$B6)</f>
        <v>#VALUE!</v>
      </c>
      <c r="S6" s="7" t="e">
        <f>averageCompletionTimePorter(Dates!S$6,Dates!S$7,'Day2'!$B6)</f>
        <v>#VALUE!</v>
      </c>
      <c r="T6" s="7" t="e">
        <f>averageCompletionTimePorter(Dates!T$6,Dates!T$7,'Day2'!$B6)</f>
        <v>#VALUE!</v>
      </c>
      <c r="U6" s="7" t="e">
        <f>averageCompletionTimePorter(Dates!$C$6,Dates!$T$7,'Day2'!$B6)</f>
        <v>#VALUE!</v>
      </c>
    </row>
    <row r="7" spans="1:21" x14ac:dyDescent="0.3">
      <c r="A7" s="10"/>
      <c r="B7" s="12" t="s">
        <v>375</v>
      </c>
      <c r="C7" s="7" t="e">
        <f>averageCompletionTimePorter(Dates!C$6,Dates!C$7,'Day2'!$B7)</f>
        <v>#VALUE!</v>
      </c>
      <c r="D7" s="7" t="e">
        <f>averageCompletionTimePorter(Dates!D$6,Dates!D$7,'Day2'!$B7)</f>
        <v>#VALUE!</v>
      </c>
      <c r="E7" s="7" t="e">
        <f>averageCompletionTimePorter(Dates!E$6,Dates!E$7,'Day2'!$B7)</f>
        <v>#VALUE!</v>
      </c>
      <c r="F7" s="7" t="e">
        <f>averageCompletionTimePorter(Dates!F$6,Dates!F$7,'Day2'!$B7)</f>
        <v>#VALUE!</v>
      </c>
      <c r="G7" s="7" t="e">
        <f>averageCompletionTimePorter(Dates!G$6,Dates!G$7,'Day2'!$B7)</f>
        <v>#VALUE!</v>
      </c>
      <c r="H7" s="7" t="e">
        <f>averageCompletionTimePorter(Dates!H$6,Dates!H$7,'Day2'!$B7)</f>
        <v>#VALUE!</v>
      </c>
      <c r="I7" s="7" t="e">
        <f>averageCompletionTimePorter(Dates!I$6,Dates!I$7,'Day2'!$B7)</f>
        <v>#VALUE!</v>
      </c>
      <c r="J7" s="7" t="e">
        <f>averageCompletionTimePorter(Dates!J$6,Dates!J$7,'Day2'!$B7)</f>
        <v>#VALUE!</v>
      </c>
      <c r="K7" s="7" t="e">
        <f>averageCompletionTimePorter(Dates!K$6,Dates!K$7,'Day2'!$B7)</f>
        <v>#VALUE!</v>
      </c>
      <c r="L7" s="7" t="e">
        <f>averageCompletionTimePorter(Dates!L$6,Dates!L$7,'Day2'!$B7)</f>
        <v>#VALUE!</v>
      </c>
      <c r="M7" s="7" t="e">
        <f>averageCompletionTimePorter(Dates!M$6,Dates!M$7,'Day2'!$B7)</f>
        <v>#VALUE!</v>
      </c>
      <c r="N7" s="7" t="e">
        <f>averageCompletionTimePorter(Dates!N$6,Dates!N$7,'Day2'!$B7)</f>
        <v>#VALUE!</v>
      </c>
      <c r="O7" s="7" t="e">
        <f>averageCompletionTimePorter(Dates!O$6,Dates!O$7,'Day2'!$B7)</f>
        <v>#VALUE!</v>
      </c>
      <c r="P7" s="7" t="e">
        <f>averageCompletionTimePorter(Dates!P$6,Dates!P$7,'Day2'!$B7)</f>
        <v>#VALUE!</v>
      </c>
      <c r="Q7" s="7" t="e">
        <f>averageCompletionTimePorter(Dates!Q$6,Dates!Q$7,'Day2'!$B7)</f>
        <v>#VALUE!</v>
      </c>
      <c r="R7" s="7" t="e">
        <f>averageCompletionTimePorter(Dates!R$6,Dates!R$7,'Day2'!$B7)</f>
        <v>#VALUE!</v>
      </c>
      <c r="S7" s="7" t="e">
        <f>averageCompletionTimePorter(Dates!S$6,Dates!S$7,'Day2'!$B7)</f>
        <v>#VALUE!</v>
      </c>
      <c r="T7" s="7" t="e">
        <f>averageCompletionTimePorter(Dates!T$6,Dates!T$7,'Day2'!$B7)</f>
        <v>#VALUE!</v>
      </c>
      <c r="U7" s="7" t="e">
        <f>averageCompletionTimePorter(Dates!$C$6,Dates!$T$7,'Day2'!$B7)</f>
        <v>#VALUE!</v>
      </c>
    </row>
    <row r="8" spans="1:21" x14ac:dyDescent="0.3">
      <c r="A8" s="10"/>
      <c r="B8" s="12" t="s">
        <v>376</v>
      </c>
      <c r="C8" s="7" t="e">
        <f>averageCompletionTimePorter(Dates!C$6,Dates!C$7,'Day2'!$B8)</f>
        <v>#VALUE!</v>
      </c>
      <c r="D8" s="7" t="e">
        <f>averageCompletionTimePorter(Dates!D$6,Dates!D$7,'Day2'!$B8)</f>
        <v>#VALUE!</v>
      </c>
      <c r="E8" s="7" t="e">
        <f>averageCompletionTimePorter(Dates!E$6,Dates!E$7,'Day2'!$B8)</f>
        <v>#VALUE!</v>
      </c>
      <c r="F8" s="7" t="e">
        <f>averageCompletionTimePorter(Dates!F$6,Dates!F$7,'Day2'!$B8)</f>
        <v>#VALUE!</v>
      </c>
      <c r="G8" s="7" t="e">
        <f>averageCompletionTimePorter(Dates!G$6,Dates!G$7,'Day2'!$B8)</f>
        <v>#VALUE!</v>
      </c>
      <c r="H8" s="7" t="e">
        <f>averageCompletionTimePorter(Dates!H$6,Dates!H$7,'Day2'!$B8)</f>
        <v>#VALUE!</v>
      </c>
      <c r="I8" s="7" t="e">
        <f>averageCompletionTimePorter(Dates!I$6,Dates!I$7,'Day2'!$B8)</f>
        <v>#VALUE!</v>
      </c>
      <c r="J8" s="7" t="e">
        <f>averageCompletionTimePorter(Dates!J$6,Dates!J$7,'Day2'!$B8)</f>
        <v>#VALUE!</v>
      </c>
      <c r="K8" s="7" t="e">
        <f>averageCompletionTimePorter(Dates!K$6,Dates!K$7,'Day2'!$B8)</f>
        <v>#VALUE!</v>
      </c>
      <c r="L8" s="7" t="e">
        <f>averageCompletionTimePorter(Dates!L$6,Dates!L$7,'Day2'!$B8)</f>
        <v>#VALUE!</v>
      </c>
      <c r="M8" s="7" t="e">
        <f>averageCompletionTimePorter(Dates!M$6,Dates!M$7,'Day2'!$B8)</f>
        <v>#VALUE!</v>
      </c>
      <c r="N8" s="7" t="e">
        <f>averageCompletionTimePorter(Dates!N$6,Dates!N$7,'Day2'!$B8)</f>
        <v>#VALUE!</v>
      </c>
      <c r="O8" s="7" t="e">
        <f>averageCompletionTimePorter(Dates!O$6,Dates!O$7,'Day2'!$B8)</f>
        <v>#VALUE!</v>
      </c>
      <c r="P8" s="7" t="e">
        <f>averageCompletionTimePorter(Dates!P$6,Dates!P$7,'Day2'!$B8)</f>
        <v>#VALUE!</v>
      </c>
      <c r="Q8" s="7" t="e">
        <f>averageCompletionTimePorter(Dates!Q$6,Dates!Q$7,'Day2'!$B8)</f>
        <v>#VALUE!</v>
      </c>
      <c r="R8" s="7" t="e">
        <f>averageCompletionTimePorter(Dates!R$6,Dates!R$7,'Day2'!$B8)</f>
        <v>#VALUE!</v>
      </c>
      <c r="S8" s="7" t="e">
        <f>averageCompletionTimePorter(Dates!S$6,Dates!S$7,'Day2'!$B8)</f>
        <v>#VALUE!</v>
      </c>
      <c r="T8" s="7" t="e">
        <f>averageCompletionTimePorter(Dates!T$6,Dates!T$7,'Day2'!$B8)</f>
        <v>#VALUE!</v>
      </c>
      <c r="U8" s="7" t="e">
        <f>averageCompletionTimePorter(Dates!$C$6,Dates!$T$7,'Day2'!$B8)</f>
        <v>#VALUE!</v>
      </c>
    </row>
    <row r="9" spans="1:21" x14ac:dyDescent="0.3">
      <c r="A9" s="10"/>
      <c r="B9" s="12" t="s">
        <v>377</v>
      </c>
      <c r="C9" s="7" t="e">
        <f>averageCompletionTimePorter(Dates!C$6,Dates!C$7,'Day2'!$B9)</f>
        <v>#VALUE!</v>
      </c>
      <c r="D9" s="7" t="e">
        <f>averageCompletionTimePorter(Dates!D$6,Dates!D$7,'Day2'!$B9)</f>
        <v>#VALUE!</v>
      </c>
      <c r="E9" s="7" t="e">
        <f>averageCompletionTimePorter(Dates!E$6,Dates!E$7,'Day2'!$B9)</f>
        <v>#VALUE!</v>
      </c>
      <c r="F9" s="7" t="e">
        <f>averageCompletionTimePorter(Dates!F$6,Dates!F$7,'Day2'!$B9)</f>
        <v>#VALUE!</v>
      </c>
      <c r="G9" s="7" t="e">
        <f>averageCompletionTimePorter(Dates!G$6,Dates!G$7,'Day2'!$B9)</f>
        <v>#VALUE!</v>
      </c>
      <c r="H9" s="7" t="e">
        <f>averageCompletionTimePorter(Dates!H$6,Dates!H$7,'Day2'!$B9)</f>
        <v>#VALUE!</v>
      </c>
      <c r="I9" s="7" t="e">
        <f>averageCompletionTimePorter(Dates!I$6,Dates!I$7,'Day2'!$B9)</f>
        <v>#VALUE!</v>
      </c>
      <c r="J9" s="7" t="e">
        <f>averageCompletionTimePorter(Dates!J$6,Dates!J$7,'Day2'!$B9)</f>
        <v>#VALUE!</v>
      </c>
      <c r="K9" s="7" t="e">
        <f>averageCompletionTimePorter(Dates!K$6,Dates!K$7,'Day2'!$B9)</f>
        <v>#VALUE!</v>
      </c>
      <c r="L9" s="7" t="e">
        <f>averageCompletionTimePorter(Dates!L$6,Dates!L$7,'Day2'!$B9)</f>
        <v>#VALUE!</v>
      </c>
      <c r="M9" s="7" t="e">
        <f>averageCompletionTimePorter(Dates!M$6,Dates!M$7,'Day2'!$B9)</f>
        <v>#VALUE!</v>
      </c>
      <c r="N9" s="7" t="e">
        <f>averageCompletionTimePorter(Dates!N$6,Dates!N$7,'Day2'!$B9)</f>
        <v>#VALUE!</v>
      </c>
      <c r="O9" s="7" t="e">
        <f>averageCompletionTimePorter(Dates!O$6,Dates!O$7,'Day2'!$B9)</f>
        <v>#VALUE!</v>
      </c>
      <c r="P9" s="7" t="e">
        <f>averageCompletionTimePorter(Dates!P$6,Dates!P$7,'Day2'!$B9)</f>
        <v>#VALUE!</v>
      </c>
      <c r="Q9" s="7" t="e">
        <f>averageCompletionTimePorter(Dates!Q$6,Dates!Q$7,'Day2'!$B9)</f>
        <v>#VALUE!</v>
      </c>
      <c r="R9" s="7" t="e">
        <f>averageCompletionTimePorter(Dates!R$6,Dates!R$7,'Day2'!$B9)</f>
        <v>#VALUE!</v>
      </c>
      <c r="S9" s="7" t="e">
        <f>averageCompletionTimePorter(Dates!S$6,Dates!S$7,'Day2'!$B9)</f>
        <v>#VALUE!</v>
      </c>
      <c r="T9" s="7" t="e">
        <f>averageCompletionTimePorter(Dates!T$6,Dates!T$7,'Day2'!$B9)</f>
        <v>#VALUE!</v>
      </c>
      <c r="U9" s="7" t="e">
        <f>averageCompletionTimePorter(Dates!$C$6,Dates!$T$7,'Day2'!$B9)</f>
        <v>#VALUE!</v>
      </c>
    </row>
    <row r="10" spans="1:21" x14ac:dyDescent="0.3">
      <c r="A10" s="10"/>
      <c r="B10" s="12" t="s">
        <v>378</v>
      </c>
      <c r="C10" s="7" t="e">
        <f>averageCompletionTimePorter(Dates!C$6,Dates!C$7,'Day2'!$B10)</f>
        <v>#VALUE!</v>
      </c>
      <c r="D10" s="7" t="e">
        <f>averageCompletionTimePorter(Dates!D$6,Dates!D$7,'Day2'!$B10)</f>
        <v>#VALUE!</v>
      </c>
      <c r="E10" s="7" t="e">
        <f>averageCompletionTimePorter(Dates!E$6,Dates!E$7,'Day2'!$B10)</f>
        <v>#VALUE!</v>
      </c>
      <c r="F10" s="7" t="e">
        <f>averageCompletionTimePorter(Dates!F$6,Dates!F$7,'Day2'!$B10)</f>
        <v>#VALUE!</v>
      </c>
      <c r="G10" s="7" t="e">
        <f>averageCompletionTimePorter(Dates!G$6,Dates!G$7,'Day2'!$B10)</f>
        <v>#VALUE!</v>
      </c>
      <c r="H10" s="7" t="e">
        <f>averageCompletionTimePorter(Dates!H$6,Dates!H$7,'Day2'!$B10)</f>
        <v>#VALUE!</v>
      </c>
      <c r="I10" s="7" t="e">
        <f>averageCompletionTimePorter(Dates!I$6,Dates!I$7,'Day2'!$B10)</f>
        <v>#VALUE!</v>
      </c>
      <c r="J10" s="7" t="e">
        <f>averageCompletionTimePorter(Dates!J$6,Dates!J$7,'Day2'!$B10)</f>
        <v>#VALUE!</v>
      </c>
      <c r="K10" s="7" t="e">
        <f>averageCompletionTimePorter(Dates!K$6,Dates!K$7,'Day2'!$B10)</f>
        <v>#VALUE!</v>
      </c>
      <c r="L10" s="7" t="e">
        <f>averageCompletionTimePorter(Dates!L$6,Dates!L$7,'Day2'!$B10)</f>
        <v>#VALUE!</v>
      </c>
      <c r="M10" s="7" t="e">
        <f>averageCompletionTimePorter(Dates!M$6,Dates!M$7,'Day2'!$B10)</f>
        <v>#VALUE!</v>
      </c>
      <c r="N10" s="7" t="e">
        <f>averageCompletionTimePorter(Dates!N$6,Dates!N$7,'Day2'!$B10)</f>
        <v>#VALUE!</v>
      </c>
      <c r="O10" s="7" t="e">
        <f>averageCompletionTimePorter(Dates!O$6,Dates!O$7,'Day2'!$B10)</f>
        <v>#VALUE!</v>
      </c>
      <c r="P10" s="7" t="e">
        <f>averageCompletionTimePorter(Dates!P$6,Dates!P$7,'Day2'!$B10)</f>
        <v>#VALUE!</v>
      </c>
      <c r="Q10" s="7" t="e">
        <f>averageCompletionTimePorter(Dates!Q$6,Dates!Q$7,'Day2'!$B10)</f>
        <v>#VALUE!</v>
      </c>
      <c r="R10" s="7" t="e">
        <f>averageCompletionTimePorter(Dates!R$6,Dates!R$7,'Day2'!$B10)</f>
        <v>#VALUE!</v>
      </c>
      <c r="S10" s="7" t="e">
        <f>averageCompletionTimePorter(Dates!S$6,Dates!S$7,'Day2'!$B10)</f>
        <v>#VALUE!</v>
      </c>
      <c r="T10" s="7" t="e">
        <f>averageCompletionTimePorter(Dates!T$6,Dates!T$7,'Day2'!$B10)</f>
        <v>#VALUE!</v>
      </c>
      <c r="U10" s="7" t="e">
        <f>averageCompletionTimePorter(Dates!$C$6,Dates!$T$7,'Day2'!$B10)</f>
        <v>#VALUE!</v>
      </c>
    </row>
    <row r="11" spans="1:21" x14ac:dyDescent="0.3">
      <c r="A11" s="10"/>
      <c r="B11" s="12" t="s">
        <v>379</v>
      </c>
      <c r="C11" s="7" t="e">
        <f>averageCompletionTimePorter(Dates!C$6,Dates!C$7,'Day2'!$B11)</f>
        <v>#VALUE!</v>
      </c>
      <c r="D11" s="7" t="e">
        <f>averageCompletionTimePorter(Dates!D$6,Dates!D$7,'Day2'!$B11)</f>
        <v>#VALUE!</v>
      </c>
      <c r="E11" s="7" t="e">
        <f>averageCompletionTimePorter(Dates!E$6,Dates!E$7,'Day2'!$B11)</f>
        <v>#VALUE!</v>
      </c>
      <c r="F11" s="7" t="e">
        <f>averageCompletionTimePorter(Dates!F$6,Dates!F$7,'Day2'!$B11)</f>
        <v>#VALUE!</v>
      </c>
      <c r="G11" s="7" t="e">
        <f>averageCompletionTimePorter(Dates!G$6,Dates!G$7,'Day2'!$B11)</f>
        <v>#VALUE!</v>
      </c>
      <c r="H11" s="7" t="e">
        <f>averageCompletionTimePorter(Dates!H$6,Dates!H$7,'Day2'!$B11)</f>
        <v>#VALUE!</v>
      </c>
      <c r="I11" s="7" t="e">
        <f>averageCompletionTimePorter(Dates!I$6,Dates!I$7,'Day2'!$B11)</f>
        <v>#VALUE!</v>
      </c>
      <c r="J11" s="7" t="e">
        <f>averageCompletionTimePorter(Dates!J$6,Dates!J$7,'Day2'!$B11)</f>
        <v>#VALUE!</v>
      </c>
      <c r="K11" s="7" t="e">
        <f>averageCompletionTimePorter(Dates!K$6,Dates!K$7,'Day2'!$B11)</f>
        <v>#VALUE!</v>
      </c>
      <c r="L11" s="7" t="e">
        <f>averageCompletionTimePorter(Dates!L$6,Dates!L$7,'Day2'!$B11)</f>
        <v>#VALUE!</v>
      </c>
      <c r="M11" s="7" t="e">
        <f>averageCompletionTimePorter(Dates!M$6,Dates!M$7,'Day2'!$B11)</f>
        <v>#VALUE!</v>
      </c>
      <c r="N11" s="7" t="e">
        <f>averageCompletionTimePorter(Dates!N$6,Dates!N$7,'Day2'!$B11)</f>
        <v>#VALUE!</v>
      </c>
      <c r="O11" s="7" t="e">
        <f>averageCompletionTimePorter(Dates!O$6,Dates!O$7,'Day2'!$B11)</f>
        <v>#VALUE!</v>
      </c>
      <c r="P11" s="7" t="e">
        <f>averageCompletionTimePorter(Dates!P$6,Dates!P$7,'Day2'!$B11)</f>
        <v>#VALUE!</v>
      </c>
      <c r="Q11" s="7" t="e">
        <f>averageCompletionTimePorter(Dates!Q$6,Dates!Q$7,'Day2'!$B11)</f>
        <v>#VALUE!</v>
      </c>
      <c r="R11" s="7" t="e">
        <f>averageCompletionTimePorter(Dates!R$6,Dates!R$7,'Day2'!$B11)</f>
        <v>#VALUE!</v>
      </c>
      <c r="S11" s="7" t="e">
        <f>averageCompletionTimePorter(Dates!S$6,Dates!S$7,'Day2'!$B11)</f>
        <v>#VALUE!</v>
      </c>
      <c r="T11" s="7" t="e">
        <f>averageCompletionTimePorter(Dates!T$6,Dates!T$7,'Day2'!$B11)</f>
        <v>#VALUE!</v>
      </c>
      <c r="U11" s="7" t="e">
        <f>averageCompletionTimePorter(Dates!$C$6,Dates!$T$7,'Day2'!$B11)</f>
        <v>#VALUE!</v>
      </c>
    </row>
    <row r="12" spans="1:21" x14ac:dyDescent="0.3">
      <c r="A12" s="10"/>
      <c r="B12" s="12" t="s">
        <v>380</v>
      </c>
      <c r="C12" s="7" t="e">
        <f>averageCompletionTimePorter(Dates!C$6,Dates!C$7,'Day2'!$B12)</f>
        <v>#VALUE!</v>
      </c>
      <c r="D12" s="7" t="e">
        <f>averageCompletionTimePorter(Dates!D$6,Dates!D$7,'Day2'!$B12)</f>
        <v>#VALUE!</v>
      </c>
      <c r="E12" s="7" t="e">
        <f>averageCompletionTimePorter(Dates!E$6,Dates!E$7,'Day2'!$B12)</f>
        <v>#VALUE!</v>
      </c>
      <c r="F12" s="7" t="e">
        <f>averageCompletionTimePorter(Dates!F$6,Dates!F$7,'Day2'!$B12)</f>
        <v>#VALUE!</v>
      </c>
      <c r="G12" s="7" t="e">
        <f>averageCompletionTimePorter(Dates!G$6,Dates!G$7,'Day2'!$B12)</f>
        <v>#VALUE!</v>
      </c>
      <c r="H12" s="7" t="e">
        <f>averageCompletionTimePorter(Dates!H$6,Dates!H$7,'Day2'!$B12)</f>
        <v>#VALUE!</v>
      </c>
      <c r="I12" s="7" t="e">
        <f>averageCompletionTimePorter(Dates!I$6,Dates!I$7,'Day2'!$B12)</f>
        <v>#VALUE!</v>
      </c>
      <c r="J12" s="7" t="e">
        <f>averageCompletionTimePorter(Dates!J$6,Dates!J$7,'Day2'!$B12)</f>
        <v>#VALUE!</v>
      </c>
      <c r="K12" s="7" t="e">
        <f>averageCompletionTimePorter(Dates!K$6,Dates!K$7,'Day2'!$B12)</f>
        <v>#VALUE!</v>
      </c>
      <c r="L12" s="7" t="e">
        <f>averageCompletionTimePorter(Dates!L$6,Dates!L$7,'Day2'!$B12)</f>
        <v>#VALUE!</v>
      </c>
      <c r="M12" s="7" t="e">
        <f>averageCompletionTimePorter(Dates!M$6,Dates!M$7,'Day2'!$B12)</f>
        <v>#VALUE!</v>
      </c>
      <c r="N12" s="7" t="e">
        <f>averageCompletionTimePorter(Dates!N$6,Dates!N$7,'Day2'!$B12)</f>
        <v>#VALUE!</v>
      </c>
      <c r="O12" s="7" t="e">
        <f>averageCompletionTimePorter(Dates!O$6,Dates!O$7,'Day2'!$B12)</f>
        <v>#VALUE!</v>
      </c>
      <c r="P12" s="7" t="e">
        <f>averageCompletionTimePorter(Dates!P$6,Dates!P$7,'Day2'!$B12)</f>
        <v>#VALUE!</v>
      </c>
      <c r="Q12" s="7" t="e">
        <f>averageCompletionTimePorter(Dates!Q$6,Dates!Q$7,'Day2'!$B12)</f>
        <v>#VALUE!</v>
      </c>
      <c r="R12" s="7" t="e">
        <f>averageCompletionTimePorter(Dates!R$6,Dates!R$7,'Day2'!$B12)</f>
        <v>#VALUE!</v>
      </c>
      <c r="S12" s="7" t="e">
        <f>averageCompletionTimePorter(Dates!S$6,Dates!S$7,'Day2'!$B12)</f>
        <v>#VALUE!</v>
      </c>
      <c r="T12" s="7" t="e">
        <f>averageCompletionTimePorter(Dates!T$6,Dates!T$7,'Day2'!$B12)</f>
        <v>#VALUE!</v>
      </c>
      <c r="U12" s="7" t="e">
        <f>averageCompletionTimePorter(Dates!$C$6,Dates!$T$7,'Day2'!$B12)</f>
        <v>#VALUE!</v>
      </c>
    </row>
    <row r="13" spans="1:21" x14ac:dyDescent="0.3">
      <c r="A13" s="10"/>
      <c r="B13" s="12" t="s">
        <v>381</v>
      </c>
      <c r="C13" s="7" t="e">
        <f>averageCompletionTimePorter(Dates!C$6,Dates!C$7,'Day2'!$B13)</f>
        <v>#VALUE!</v>
      </c>
      <c r="D13" s="7" t="e">
        <f>averageCompletionTimePorter(Dates!D$6,Dates!D$7,'Day2'!$B13)</f>
        <v>#VALUE!</v>
      </c>
      <c r="E13" s="7" t="e">
        <f>averageCompletionTimePorter(Dates!E$6,Dates!E$7,'Day2'!$B13)</f>
        <v>#VALUE!</v>
      </c>
      <c r="F13" s="7" t="e">
        <f>averageCompletionTimePorter(Dates!F$6,Dates!F$7,'Day2'!$B13)</f>
        <v>#VALUE!</v>
      </c>
      <c r="G13" s="7" t="e">
        <f>averageCompletionTimePorter(Dates!G$6,Dates!G$7,'Day2'!$B13)</f>
        <v>#VALUE!</v>
      </c>
      <c r="H13" s="7" t="e">
        <f>averageCompletionTimePorter(Dates!H$6,Dates!H$7,'Day2'!$B13)</f>
        <v>#VALUE!</v>
      </c>
      <c r="I13" s="7" t="e">
        <f>averageCompletionTimePorter(Dates!I$6,Dates!I$7,'Day2'!$B13)</f>
        <v>#VALUE!</v>
      </c>
      <c r="J13" s="7" t="e">
        <f>averageCompletionTimePorter(Dates!J$6,Dates!J$7,'Day2'!$B13)</f>
        <v>#VALUE!</v>
      </c>
      <c r="K13" s="7" t="e">
        <f>averageCompletionTimePorter(Dates!K$6,Dates!K$7,'Day2'!$B13)</f>
        <v>#VALUE!</v>
      </c>
      <c r="L13" s="7" t="e">
        <f>averageCompletionTimePorter(Dates!L$6,Dates!L$7,'Day2'!$B13)</f>
        <v>#VALUE!</v>
      </c>
      <c r="M13" s="7" t="e">
        <f>averageCompletionTimePorter(Dates!M$6,Dates!M$7,'Day2'!$B13)</f>
        <v>#VALUE!</v>
      </c>
      <c r="N13" s="7" t="e">
        <f>averageCompletionTimePorter(Dates!N$6,Dates!N$7,'Day2'!$B13)</f>
        <v>#VALUE!</v>
      </c>
      <c r="O13" s="7" t="e">
        <f>averageCompletionTimePorter(Dates!O$6,Dates!O$7,'Day2'!$B13)</f>
        <v>#VALUE!</v>
      </c>
      <c r="P13" s="7" t="e">
        <f>averageCompletionTimePorter(Dates!P$6,Dates!P$7,'Day2'!$B13)</f>
        <v>#VALUE!</v>
      </c>
      <c r="Q13" s="7" t="e">
        <f>averageCompletionTimePorter(Dates!Q$6,Dates!Q$7,'Day2'!$B13)</f>
        <v>#VALUE!</v>
      </c>
      <c r="R13" s="7" t="e">
        <f>averageCompletionTimePorter(Dates!R$6,Dates!R$7,'Day2'!$B13)</f>
        <v>#VALUE!</v>
      </c>
      <c r="S13" s="7" t="e">
        <f>averageCompletionTimePorter(Dates!S$6,Dates!S$7,'Day2'!$B13)</f>
        <v>#VALUE!</v>
      </c>
      <c r="T13" s="7" t="e">
        <f>averageCompletionTimePorter(Dates!T$6,Dates!T$7,'Day2'!$B13)</f>
        <v>#VALUE!</v>
      </c>
      <c r="U13" s="7" t="e">
        <f>averageCompletionTimePorter(Dates!$C$6,Dates!$T$7,'Day2'!$B13)</f>
        <v>#VALUE!</v>
      </c>
    </row>
    <row r="14" spans="1:21" x14ac:dyDescent="0.3">
      <c r="B14" s="12" t="s">
        <v>113</v>
      </c>
      <c r="C14" s="7" t="e">
        <f>averageCompletionTimePorter(Dates!C$6,Dates!C$7,'Day2'!$B14)</f>
        <v>#VALUE!</v>
      </c>
      <c r="D14" s="7" t="e">
        <f>averageCompletionTimePorter(Dates!D$6,Dates!D$7,'Day2'!$B14)</f>
        <v>#VALUE!</v>
      </c>
      <c r="E14" s="7" t="e">
        <f>averageCompletionTimePorter(Dates!E$6,Dates!E$7,'Day2'!$B14)</f>
        <v>#VALUE!</v>
      </c>
      <c r="F14" s="7" t="e">
        <f>averageCompletionTimePorter(Dates!F$6,Dates!F$7,'Day2'!$B14)</f>
        <v>#VALUE!</v>
      </c>
      <c r="G14" s="7" t="e">
        <f>averageCompletionTimePorter(Dates!G$6,Dates!G$7,'Day2'!$B14)</f>
        <v>#VALUE!</v>
      </c>
      <c r="H14" s="7" t="e">
        <f>averageCompletionTimePorter(Dates!H$6,Dates!H$7,'Day2'!$B14)</f>
        <v>#VALUE!</v>
      </c>
      <c r="I14" s="7" t="e">
        <f>averageCompletionTimePorter(Dates!I$6,Dates!I$7,'Day2'!$B14)</f>
        <v>#VALUE!</v>
      </c>
      <c r="J14" s="7" t="e">
        <f>averageCompletionTimePorter(Dates!J$6,Dates!J$7,'Day2'!$B14)</f>
        <v>#VALUE!</v>
      </c>
      <c r="K14" s="7" t="e">
        <f>averageCompletionTimePorter(Dates!K$6,Dates!K$7,'Day2'!$B14)</f>
        <v>#VALUE!</v>
      </c>
      <c r="L14" s="7" t="e">
        <f>averageCompletionTimePorter(Dates!L$6,Dates!L$7,'Day2'!$B14)</f>
        <v>#VALUE!</v>
      </c>
      <c r="M14" s="7" t="e">
        <f>averageCompletionTimePorter(Dates!M$6,Dates!M$7,'Day2'!$B14)</f>
        <v>#VALUE!</v>
      </c>
      <c r="N14" s="7" t="e">
        <f>averageCompletionTimePorter(Dates!N$6,Dates!N$7,'Day2'!$B14)</f>
        <v>#VALUE!</v>
      </c>
      <c r="O14" s="7" t="e">
        <f>averageCompletionTimePorter(Dates!O$6,Dates!O$7,'Day2'!$B14)</f>
        <v>#VALUE!</v>
      </c>
      <c r="P14" s="7" t="e">
        <f>averageCompletionTimePorter(Dates!P$6,Dates!P$7,'Day2'!$B14)</f>
        <v>#VALUE!</v>
      </c>
      <c r="Q14" s="7" t="e">
        <f>averageCompletionTimePorter(Dates!Q$6,Dates!Q$7,'Day2'!$B14)</f>
        <v>#VALUE!</v>
      </c>
      <c r="R14" s="7" t="e">
        <f>averageCompletionTimePorter(Dates!R$6,Dates!R$7,'Day2'!$B14)</f>
        <v>#VALUE!</v>
      </c>
      <c r="S14" s="7" t="e">
        <f>averageCompletionTimePorter(Dates!S$6,Dates!S$7,'Day2'!$B14)</f>
        <v>#VALUE!</v>
      </c>
      <c r="T14" s="7" t="e">
        <f>averageCompletionTimePorter(Dates!T$6,Dates!T$7,'Day2'!$B14)</f>
        <v>#VALUE!</v>
      </c>
      <c r="U14" s="7" t="e">
        <f>averageCompletionTimePorter(Dates!$C$6,Dates!$T$7,'Day2'!$B14)</f>
        <v>#VALUE!</v>
      </c>
    </row>
    <row r="15" spans="1:21" x14ac:dyDescent="0.3">
      <c r="B15" s="12" t="s">
        <v>114</v>
      </c>
      <c r="C15" s="7" t="e">
        <f>averageCompletionTimePorter(Dates!C$6,Dates!C$7,'Day2'!$B15)</f>
        <v>#VALUE!</v>
      </c>
      <c r="D15" s="7" t="e">
        <f>averageCompletionTimePorter(Dates!D$6,Dates!D$7,'Day2'!$B15)</f>
        <v>#VALUE!</v>
      </c>
      <c r="E15" s="7" t="e">
        <f>averageCompletionTimePorter(Dates!E$6,Dates!E$7,'Day2'!$B15)</f>
        <v>#VALUE!</v>
      </c>
      <c r="F15" s="7" t="e">
        <f>averageCompletionTimePorter(Dates!F$6,Dates!F$7,'Day2'!$B15)</f>
        <v>#VALUE!</v>
      </c>
      <c r="G15" s="7" t="e">
        <f>averageCompletionTimePorter(Dates!G$6,Dates!G$7,'Day2'!$B15)</f>
        <v>#VALUE!</v>
      </c>
      <c r="H15" s="7" t="e">
        <f>averageCompletionTimePorter(Dates!H$6,Dates!H$7,'Day2'!$B15)</f>
        <v>#VALUE!</v>
      </c>
      <c r="I15" s="7" t="e">
        <f>averageCompletionTimePorter(Dates!I$6,Dates!I$7,'Day2'!$B15)</f>
        <v>#VALUE!</v>
      </c>
      <c r="J15" s="7" t="e">
        <f>averageCompletionTimePorter(Dates!J$6,Dates!J$7,'Day2'!$B15)</f>
        <v>#VALUE!</v>
      </c>
      <c r="K15" s="7" t="e">
        <f>averageCompletionTimePorter(Dates!K$6,Dates!K$7,'Day2'!$B15)</f>
        <v>#VALUE!</v>
      </c>
      <c r="L15" s="7" t="e">
        <f>averageCompletionTimePorter(Dates!L$6,Dates!L$7,'Day2'!$B15)</f>
        <v>#VALUE!</v>
      </c>
      <c r="M15" s="7" t="e">
        <f>averageCompletionTimePorter(Dates!M$6,Dates!M$7,'Day2'!$B15)</f>
        <v>#VALUE!</v>
      </c>
      <c r="N15" s="7" t="e">
        <f>averageCompletionTimePorter(Dates!N$6,Dates!N$7,'Day2'!$B15)</f>
        <v>#VALUE!</v>
      </c>
      <c r="O15" s="7" t="e">
        <f>averageCompletionTimePorter(Dates!O$6,Dates!O$7,'Day2'!$B15)</f>
        <v>#VALUE!</v>
      </c>
      <c r="P15" s="7" t="e">
        <f>averageCompletionTimePorter(Dates!P$6,Dates!P$7,'Day2'!$B15)</f>
        <v>#VALUE!</v>
      </c>
      <c r="Q15" s="7" t="e">
        <f>averageCompletionTimePorter(Dates!Q$6,Dates!Q$7,'Day2'!$B15)</f>
        <v>#VALUE!</v>
      </c>
      <c r="R15" s="7" t="e">
        <f>averageCompletionTimePorter(Dates!R$6,Dates!R$7,'Day2'!$B15)</f>
        <v>#VALUE!</v>
      </c>
      <c r="S15" s="7" t="e">
        <f>averageCompletionTimePorter(Dates!S$6,Dates!S$7,'Day2'!$B15)</f>
        <v>#VALUE!</v>
      </c>
      <c r="T15" s="7" t="e">
        <f>averageCompletionTimePorter(Dates!T$6,Dates!T$7,'Day2'!$B15)</f>
        <v>#VALUE!</v>
      </c>
      <c r="U15" s="7" t="e">
        <f>averageCompletionTimePorter(Dates!$C$6,Dates!$T$7,'Day2'!$B15)</f>
        <v>#VALUE!</v>
      </c>
    </row>
    <row r="16" spans="1:21" x14ac:dyDescent="0.3">
      <c r="B16" s="12" t="s">
        <v>115</v>
      </c>
      <c r="C16" s="7" t="e">
        <f>averageCompletionTimePorter(Dates!C$6,Dates!C$7,'Day2'!$B16)</f>
        <v>#VALUE!</v>
      </c>
      <c r="D16" s="7" t="e">
        <f>averageCompletionTimePorter(Dates!D$6,Dates!D$7,'Day2'!$B16)</f>
        <v>#VALUE!</v>
      </c>
      <c r="E16" s="7" t="e">
        <f>averageCompletionTimePorter(Dates!E$6,Dates!E$7,'Day2'!$B16)</f>
        <v>#VALUE!</v>
      </c>
      <c r="F16" s="7" t="e">
        <f>averageCompletionTimePorter(Dates!F$6,Dates!F$7,'Day2'!$B16)</f>
        <v>#VALUE!</v>
      </c>
      <c r="G16" s="7" t="e">
        <f>averageCompletionTimePorter(Dates!G$6,Dates!G$7,'Day2'!$B16)</f>
        <v>#VALUE!</v>
      </c>
      <c r="H16" s="7" t="e">
        <f>averageCompletionTimePorter(Dates!H$6,Dates!H$7,'Day2'!$B16)</f>
        <v>#VALUE!</v>
      </c>
      <c r="I16" s="7" t="e">
        <f>averageCompletionTimePorter(Dates!I$6,Dates!I$7,'Day2'!$B16)</f>
        <v>#VALUE!</v>
      </c>
      <c r="J16" s="7" t="e">
        <f>averageCompletionTimePorter(Dates!J$6,Dates!J$7,'Day2'!$B16)</f>
        <v>#VALUE!</v>
      </c>
      <c r="K16" s="7" t="e">
        <f>averageCompletionTimePorter(Dates!K$6,Dates!K$7,'Day2'!$B16)</f>
        <v>#VALUE!</v>
      </c>
      <c r="L16" s="7" t="e">
        <f>averageCompletionTimePorter(Dates!L$6,Dates!L$7,'Day2'!$B16)</f>
        <v>#VALUE!</v>
      </c>
      <c r="M16" s="7" t="e">
        <f>averageCompletionTimePorter(Dates!M$6,Dates!M$7,'Day2'!$B16)</f>
        <v>#VALUE!</v>
      </c>
      <c r="N16" s="7" t="e">
        <f>averageCompletionTimePorter(Dates!N$6,Dates!N$7,'Day2'!$B16)</f>
        <v>#VALUE!</v>
      </c>
      <c r="O16" s="7" t="e">
        <f>averageCompletionTimePorter(Dates!O$6,Dates!O$7,'Day2'!$B16)</f>
        <v>#VALUE!</v>
      </c>
      <c r="P16" s="7" t="e">
        <f>averageCompletionTimePorter(Dates!P$6,Dates!P$7,'Day2'!$B16)</f>
        <v>#VALUE!</v>
      </c>
      <c r="Q16" s="7" t="e">
        <f>averageCompletionTimePorter(Dates!Q$6,Dates!Q$7,'Day2'!$B16)</f>
        <v>#VALUE!</v>
      </c>
      <c r="R16" s="7" t="e">
        <f>averageCompletionTimePorter(Dates!R$6,Dates!R$7,'Day2'!$B16)</f>
        <v>#VALUE!</v>
      </c>
      <c r="S16" s="7" t="e">
        <f>averageCompletionTimePorter(Dates!S$6,Dates!S$7,'Day2'!$B16)</f>
        <v>#VALUE!</v>
      </c>
      <c r="T16" s="7" t="e">
        <f>averageCompletionTimePorter(Dates!T$6,Dates!T$7,'Day2'!$B16)</f>
        <v>#VALUE!</v>
      </c>
      <c r="U16" s="7" t="e">
        <f>averageCompletionTimePorter(Dates!$C$6,Dates!$T$7,'Day2'!$B16)</f>
        <v>#VALUE!</v>
      </c>
    </row>
    <row r="17" spans="2:21" x14ac:dyDescent="0.3">
      <c r="B17" s="12" t="s">
        <v>116</v>
      </c>
      <c r="C17" s="7" t="e">
        <f>averageCompletionTimePorter(Dates!C$6,Dates!C$7,'Day2'!$B17)</f>
        <v>#VALUE!</v>
      </c>
      <c r="D17" s="7" t="e">
        <f>averageCompletionTimePorter(Dates!D$6,Dates!D$7,'Day2'!$B17)</f>
        <v>#VALUE!</v>
      </c>
      <c r="E17" s="7" t="e">
        <f>averageCompletionTimePorter(Dates!E$6,Dates!E$7,'Day2'!$B17)</f>
        <v>#VALUE!</v>
      </c>
      <c r="F17" s="7" t="e">
        <f>averageCompletionTimePorter(Dates!F$6,Dates!F$7,'Day2'!$B17)</f>
        <v>#VALUE!</v>
      </c>
      <c r="G17" s="7" t="e">
        <f>averageCompletionTimePorter(Dates!G$6,Dates!G$7,'Day2'!$B17)</f>
        <v>#VALUE!</v>
      </c>
      <c r="H17" s="7" t="e">
        <f>averageCompletionTimePorter(Dates!H$6,Dates!H$7,'Day2'!$B17)</f>
        <v>#VALUE!</v>
      </c>
      <c r="I17" s="7" t="e">
        <f>averageCompletionTimePorter(Dates!I$6,Dates!I$7,'Day2'!$B17)</f>
        <v>#VALUE!</v>
      </c>
      <c r="J17" s="7" t="e">
        <f>averageCompletionTimePorter(Dates!J$6,Dates!J$7,'Day2'!$B17)</f>
        <v>#VALUE!</v>
      </c>
      <c r="K17" s="7" t="e">
        <f>averageCompletionTimePorter(Dates!K$6,Dates!K$7,'Day2'!$B17)</f>
        <v>#VALUE!</v>
      </c>
      <c r="L17" s="7" t="e">
        <f>averageCompletionTimePorter(Dates!L$6,Dates!L$7,'Day2'!$B17)</f>
        <v>#VALUE!</v>
      </c>
      <c r="M17" s="7" t="e">
        <f>averageCompletionTimePorter(Dates!M$6,Dates!M$7,'Day2'!$B17)</f>
        <v>#VALUE!</v>
      </c>
      <c r="N17" s="7" t="e">
        <f>averageCompletionTimePorter(Dates!N$6,Dates!N$7,'Day2'!$B17)</f>
        <v>#VALUE!</v>
      </c>
      <c r="O17" s="7" t="e">
        <f>averageCompletionTimePorter(Dates!O$6,Dates!O$7,'Day2'!$B17)</f>
        <v>#VALUE!</v>
      </c>
      <c r="P17" s="7" t="e">
        <f>averageCompletionTimePorter(Dates!P$6,Dates!P$7,'Day2'!$B17)</f>
        <v>#VALUE!</v>
      </c>
      <c r="Q17" s="7" t="e">
        <f>averageCompletionTimePorter(Dates!Q$6,Dates!Q$7,'Day2'!$B17)</f>
        <v>#VALUE!</v>
      </c>
      <c r="R17" s="7" t="e">
        <f>averageCompletionTimePorter(Dates!R$6,Dates!R$7,'Day2'!$B17)</f>
        <v>#VALUE!</v>
      </c>
      <c r="S17" s="7" t="e">
        <f>averageCompletionTimePorter(Dates!S$6,Dates!S$7,'Day2'!$B17)</f>
        <v>#VALUE!</v>
      </c>
      <c r="T17" s="7" t="e">
        <f>averageCompletionTimePorter(Dates!T$6,Dates!T$7,'Day2'!$B17)</f>
        <v>#VALUE!</v>
      </c>
      <c r="U17" s="7" t="e">
        <f>averageCompletionTimePorter(Dates!$C$6,Dates!$T$7,'Day2'!$B17)</f>
        <v>#VALUE!</v>
      </c>
    </row>
    <row r="18" spans="2:21" x14ac:dyDescent="0.3">
      <c r="B18" s="12" t="s">
        <v>117</v>
      </c>
      <c r="C18" s="7" t="e">
        <f>averageCompletionTimePorter(Dates!C$6,Dates!C$7,'Day2'!$B18)</f>
        <v>#VALUE!</v>
      </c>
      <c r="D18" s="7" t="e">
        <f>averageCompletionTimePorter(Dates!D$6,Dates!D$7,'Day2'!$B18)</f>
        <v>#VALUE!</v>
      </c>
      <c r="E18" s="7" t="e">
        <f>averageCompletionTimePorter(Dates!E$6,Dates!E$7,'Day2'!$B18)</f>
        <v>#VALUE!</v>
      </c>
      <c r="F18" s="7" t="e">
        <f>averageCompletionTimePorter(Dates!F$6,Dates!F$7,'Day2'!$B18)</f>
        <v>#VALUE!</v>
      </c>
      <c r="G18" s="7" t="e">
        <f>averageCompletionTimePorter(Dates!G$6,Dates!G$7,'Day2'!$B18)</f>
        <v>#VALUE!</v>
      </c>
      <c r="H18" s="7" t="e">
        <f>averageCompletionTimePorter(Dates!H$6,Dates!H$7,'Day2'!$B18)</f>
        <v>#VALUE!</v>
      </c>
      <c r="I18" s="7" t="e">
        <f>averageCompletionTimePorter(Dates!I$6,Dates!I$7,'Day2'!$B18)</f>
        <v>#VALUE!</v>
      </c>
      <c r="J18" s="7" t="e">
        <f>averageCompletionTimePorter(Dates!J$6,Dates!J$7,'Day2'!$B18)</f>
        <v>#VALUE!</v>
      </c>
      <c r="K18" s="7" t="e">
        <f>averageCompletionTimePorter(Dates!K$6,Dates!K$7,'Day2'!$B18)</f>
        <v>#VALUE!</v>
      </c>
      <c r="L18" s="7" t="e">
        <f>averageCompletionTimePorter(Dates!L$6,Dates!L$7,'Day2'!$B18)</f>
        <v>#VALUE!</v>
      </c>
      <c r="M18" s="7" t="e">
        <f>averageCompletionTimePorter(Dates!M$6,Dates!M$7,'Day2'!$B18)</f>
        <v>#VALUE!</v>
      </c>
      <c r="N18" s="7" t="e">
        <f>averageCompletionTimePorter(Dates!N$6,Dates!N$7,'Day2'!$B18)</f>
        <v>#VALUE!</v>
      </c>
      <c r="O18" s="7" t="e">
        <f>averageCompletionTimePorter(Dates!O$6,Dates!O$7,'Day2'!$B18)</f>
        <v>#VALUE!</v>
      </c>
      <c r="P18" s="7" t="e">
        <f>averageCompletionTimePorter(Dates!P$6,Dates!P$7,'Day2'!$B18)</f>
        <v>#VALUE!</v>
      </c>
      <c r="Q18" s="7" t="e">
        <f>averageCompletionTimePorter(Dates!Q$6,Dates!Q$7,'Day2'!$B18)</f>
        <v>#VALUE!</v>
      </c>
      <c r="R18" s="7" t="e">
        <f>averageCompletionTimePorter(Dates!R$6,Dates!R$7,'Day2'!$B18)</f>
        <v>#VALUE!</v>
      </c>
      <c r="S18" s="7" t="e">
        <f>averageCompletionTimePorter(Dates!S$6,Dates!S$7,'Day2'!$B18)</f>
        <v>#VALUE!</v>
      </c>
      <c r="T18" s="7" t="e">
        <f>averageCompletionTimePorter(Dates!T$6,Dates!T$7,'Day2'!$B18)</f>
        <v>#VALUE!</v>
      </c>
      <c r="U18" s="7" t="e">
        <f>averageCompletionTimePorter(Dates!$C$6,Dates!$T$7,'Day2'!$B18)</f>
        <v>#VALUE!</v>
      </c>
    </row>
    <row r="19" spans="2:21" x14ac:dyDescent="0.3">
      <c r="B19" s="12" t="s">
        <v>118</v>
      </c>
      <c r="C19" s="7" t="e">
        <f>averageCompletionTimePorter(Dates!C$6,Dates!C$7,'Day2'!$B19)</f>
        <v>#VALUE!</v>
      </c>
      <c r="D19" s="7" t="e">
        <f>averageCompletionTimePorter(Dates!D$6,Dates!D$7,'Day2'!$B19)</f>
        <v>#VALUE!</v>
      </c>
      <c r="E19" s="7" t="e">
        <f>averageCompletionTimePorter(Dates!E$6,Dates!E$7,'Day2'!$B19)</f>
        <v>#VALUE!</v>
      </c>
      <c r="F19" s="7" t="e">
        <f>averageCompletionTimePorter(Dates!F$6,Dates!F$7,'Day2'!$B19)</f>
        <v>#VALUE!</v>
      </c>
      <c r="G19" s="7" t="e">
        <f>averageCompletionTimePorter(Dates!G$6,Dates!G$7,'Day2'!$B19)</f>
        <v>#VALUE!</v>
      </c>
      <c r="H19" s="7" t="e">
        <f>averageCompletionTimePorter(Dates!H$6,Dates!H$7,'Day2'!$B19)</f>
        <v>#VALUE!</v>
      </c>
      <c r="I19" s="7" t="e">
        <f>averageCompletionTimePorter(Dates!I$6,Dates!I$7,'Day2'!$B19)</f>
        <v>#VALUE!</v>
      </c>
      <c r="J19" s="7" t="e">
        <f>averageCompletionTimePorter(Dates!J$6,Dates!J$7,'Day2'!$B19)</f>
        <v>#VALUE!</v>
      </c>
      <c r="K19" s="7" t="e">
        <f>averageCompletionTimePorter(Dates!K$6,Dates!K$7,'Day2'!$B19)</f>
        <v>#VALUE!</v>
      </c>
      <c r="L19" s="7" t="e">
        <f>averageCompletionTimePorter(Dates!L$6,Dates!L$7,'Day2'!$B19)</f>
        <v>#VALUE!</v>
      </c>
      <c r="M19" s="7" t="e">
        <f>averageCompletionTimePorter(Dates!M$6,Dates!M$7,'Day2'!$B19)</f>
        <v>#VALUE!</v>
      </c>
      <c r="N19" s="7" t="e">
        <f>averageCompletionTimePorter(Dates!N$6,Dates!N$7,'Day2'!$B19)</f>
        <v>#VALUE!</v>
      </c>
      <c r="O19" s="7" t="e">
        <f>averageCompletionTimePorter(Dates!O$6,Dates!O$7,'Day2'!$B19)</f>
        <v>#VALUE!</v>
      </c>
      <c r="P19" s="7" t="e">
        <f>averageCompletionTimePorter(Dates!P$6,Dates!P$7,'Day2'!$B19)</f>
        <v>#VALUE!</v>
      </c>
      <c r="Q19" s="7" t="e">
        <f>averageCompletionTimePorter(Dates!Q$6,Dates!Q$7,'Day2'!$B19)</f>
        <v>#VALUE!</v>
      </c>
      <c r="R19" s="7" t="e">
        <f>averageCompletionTimePorter(Dates!R$6,Dates!R$7,'Day2'!$B19)</f>
        <v>#VALUE!</v>
      </c>
      <c r="S19" s="7" t="e">
        <f>averageCompletionTimePorter(Dates!S$6,Dates!S$7,'Day2'!$B19)</f>
        <v>#VALUE!</v>
      </c>
      <c r="T19" s="7" t="e">
        <f>averageCompletionTimePorter(Dates!T$6,Dates!T$7,'Day2'!$B19)</f>
        <v>#VALUE!</v>
      </c>
      <c r="U19" s="7" t="e">
        <f>averageCompletionTimePorter(Dates!$C$6,Dates!$T$7,'Day2'!$B19)</f>
        <v>#VALUE!</v>
      </c>
    </row>
    <row r="20" spans="2:21" x14ac:dyDescent="0.3">
      <c r="B20" s="12" t="s">
        <v>119</v>
      </c>
      <c r="C20" s="7" t="e">
        <f>averageCompletionTimePorter(Dates!C$6,Dates!C$7,'Day2'!$B20)</f>
        <v>#VALUE!</v>
      </c>
      <c r="D20" s="7" t="e">
        <f>averageCompletionTimePorter(Dates!D$6,Dates!D$7,'Day2'!$B20)</f>
        <v>#VALUE!</v>
      </c>
      <c r="E20" s="7" t="e">
        <f>averageCompletionTimePorter(Dates!E$6,Dates!E$7,'Day2'!$B20)</f>
        <v>#VALUE!</v>
      </c>
      <c r="F20" s="7" t="e">
        <f>averageCompletionTimePorter(Dates!F$6,Dates!F$7,'Day2'!$B20)</f>
        <v>#VALUE!</v>
      </c>
      <c r="G20" s="7" t="e">
        <f>averageCompletionTimePorter(Dates!G$6,Dates!G$7,'Day2'!$B20)</f>
        <v>#VALUE!</v>
      </c>
      <c r="H20" s="7" t="e">
        <f>averageCompletionTimePorter(Dates!H$6,Dates!H$7,'Day2'!$B20)</f>
        <v>#VALUE!</v>
      </c>
      <c r="I20" s="7" t="e">
        <f>averageCompletionTimePorter(Dates!I$6,Dates!I$7,'Day2'!$B20)</f>
        <v>#VALUE!</v>
      </c>
      <c r="J20" s="7" t="e">
        <f>averageCompletionTimePorter(Dates!J$6,Dates!J$7,'Day2'!$B20)</f>
        <v>#VALUE!</v>
      </c>
      <c r="K20" s="7" t="e">
        <f>averageCompletionTimePorter(Dates!K$6,Dates!K$7,'Day2'!$B20)</f>
        <v>#VALUE!</v>
      </c>
      <c r="L20" s="7" t="e">
        <f>averageCompletionTimePorter(Dates!L$6,Dates!L$7,'Day2'!$B20)</f>
        <v>#VALUE!</v>
      </c>
      <c r="M20" s="7" t="e">
        <f>averageCompletionTimePorter(Dates!M$6,Dates!M$7,'Day2'!$B20)</f>
        <v>#VALUE!</v>
      </c>
      <c r="N20" s="7" t="e">
        <f>averageCompletionTimePorter(Dates!N$6,Dates!N$7,'Day2'!$B20)</f>
        <v>#VALUE!</v>
      </c>
      <c r="O20" s="7" t="e">
        <f>averageCompletionTimePorter(Dates!O$6,Dates!O$7,'Day2'!$B20)</f>
        <v>#VALUE!</v>
      </c>
      <c r="P20" s="7" t="e">
        <f>averageCompletionTimePorter(Dates!P$6,Dates!P$7,'Day2'!$B20)</f>
        <v>#VALUE!</v>
      </c>
      <c r="Q20" s="7" t="e">
        <f>averageCompletionTimePorter(Dates!Q$6,Dates!Q$7,'Day2'!$B20)</f>
        <v>#VALUE!</v>
      </c>
      <c r="R20" s="7" t="e">
        <f>averageCompletionTimePorter(Dates!R$6,Dates!R$7,'Day2'!$B20)</f>
        <v>#VALUE!</v>
      </c>
      <c r="S20" s="7" t="e">
        <f>averageCompletionTimePorter(Dates!S$6,Dates!S$7,'Day2'!$B20)</f>
        <v>#VALUE!</v>
      </c>
      <c r="T20" s="7" t="e">
        <f>averageCompletionTimePorter(Dates!T$6,Dates!T$7,'Day2'!$B20)</f>
        <v>#VALUE!</v>
      </c>
      <c r="U20" s="7" t="e">
        <f>averageCompletionTimePorter(Dates!$C$6,Dates!$T$7,'Day2'!$B20)</f>
        <v>#VALUE!</v>
      </c>
    </row>
    <row r="21" spans="2:21" x14ac:dyDescent="0.3">
      <c r="B21" s="12" t="s">
        <v>120</v>
      </c>
      <c r="C21" s="7" t="e">
        <f>averageCompletionTimePorter(Dates!C$6,Dates!C$7,'Day2'!$B21)</f>
        <v>#VALUE!</v>
      </c>
      <c r="D21" s="7" t="e">
        <f>averageCompletionTimePorter(Dates!D$6,Dates!D$7,'Day2'!$B21)</f>
        <v>#VALUE!</v>
      </c>
      <c r="E21" s="7" t="e">
        <f>averageCompletionTimePorter(Dates!E$6,Dates!E$7,'Day2'!$B21)</f>
        <v>#VALUE!</v>
      </c>
      <c r="F21" s="7" t="e">
        <f>averageCompletionTimePorter(Dates!F$6,Dates!F$7,'Day2'!$B21)</f>
        <v>#VALUE!</v>
      </c>
      <c r="G21" s="7" t="e">
        <f>averageCompletionTimePorter(Dates!G$6,Dates!G$7,'Day2'!$B21)</f>
        <v>#VALUE!</v>
      </c>
      <c r="H21" s="7" t="e">
        <f>averageCompletionTimePorter(Dates!H$6,Dates!H$7,'Day2'!$B21)</f>
        <v>#VALUE!</v>
      </c>
      <c r="I21" s="7" t="e">
        <f>averageCompletionTimePorter(Dates!I$6,Dates!I$7,'Day2'!$B21)</f>
        <v>#VALUE!</v>
      </c>
      <c r="J21" s="7" t="e">
        <f>averageCompletionTimePorter(Dates!J$6,Dates!J$7,'Day2'!$B21)</f>
        <v>#VALUE!</v>
      </c>
      <c r="K21" s="7" t="e">
        <f>averageCompletionTimePorter(Dates!K$6,Dates!K$7,'Day2'!$B21)</f>
        <v>#VALUE!</v>
      </c>
      <c r="L21" s="7" t="e">
        <f>averageCompletionTimePorter(Dates!L$6,Dates!L$7,'Day2'!$B21)</f>
        <v>#VALUE!</v>
      </c>
      <c r="M21" s="7" t="e">
        <f>averageCompletionTimePorter(Dates!M$6,Dates!M$7,'Day2'!$B21)</f>
        <v>#VALUE!</v>
      </c>
      <c r="N21" s="7" t="e">
        <f>averageCompletionTimePorter(Dates!N$6,Dates!N$7,'Day2'!$B21)</f>
        <v>#VALUE!</v>
      </c>
      <c r="O21" s="7" t="e">
        <f>averageCompletionTimePorter(Dates!O$6,Dates!O$7,'Day2'!$B21)</f>
        <v>#VALUE!</v>
      </c>
      <c r="P21" s="7" t="e">
        <f>averageCompletionTimePorter(Dates!P$6,Dates!P$7,'Day2'!$B21)</f>
        <v>#VALUE!</v>
      </c>
      <c r="Q21" s="7" t="e">
        <f>averageCompletionTimePorter(Dates!Q$6,Dates!Q$7,'Day2'!$B21)</f>
        <v>#VALUE!</v>
      </c>
      <c r="R21" s="7" t="e">
        <f>averageCompletionTimePorter(Dates!R$6,Dates!R$7,'Day2'!$B21)</f>
        <v>#VALUE!</v>
      </c>
      <c r="S21" s="7" t="e">
        <f>averageCompletionTimePorter(Dates!S$6,Dates!S$7,'Day2'!$B21)</f>
        <v>#VALUE!</v>
      </c>
      <c r="T21" s="7" t="e">
        <f>averageCompletionTimePorter(Dates!T$6,Dates!T$7,'Day2'!$B21)</f>
        <v>#VALUE!</v>
      </c>
      <c r="U21" s="7" t="e">
        <f>averageCompletionTimePorter(Dates!$C$6,Dates!$T$7,'Day2'!$B21)</f>
        <v>#VALUE!</v>
      </c>
    </row>
    <row r="22" spans="2:21" x14ac:dyDescent="0.3">
      <c r="B22" s="12" t="s">
        <v>121</v>
      </c>
      <c r="C22" s="7" t="e">
        <f>averageCompletionTimePorter(Dates!C$6,Dates!C$7,'Day2'!$B22)</f>
        <v>#VALUE!</v>
      </c>
      <c r="D22" s="7" t="e">
        <f>averageCompletionTimePorter(Dates!D$6,Dates!D$7,'Day2'!$B22)</f>
        <v>#VALUE!</v>
      </c>
      <c r="E22" s="7" t="e">
        <f>averageCompletionTimePorter(Dates!E$6,Dates!E$7,'Day2'!$B22)</f>
        <v>#VALUE!</v>
      </c>
      <c r="F22" s="7" t="e">
        <f>averageCompletionTimePorter(Dates!F$6,Dates!F$7,'Day2'!$B22)</f>
        <v>#VALUE!</v>
      </c>
      <c r="G22" s="7" t="e">
        <f>averageCompletionTimePorter(Dates!G$6,Dates!G$7,'Day2'!$B22)</f>
        <v>#VALUE!</v>
      </c>
      <c r="H22" s="7" t="e">
        <f>averageCompletionTimePorter(Dates!H$6,Dates!H$7,'Day2'!$B22)</f>
        <v>#VALUE!</v>
      </c>
      <c r="I22" s="7" t="e">
        <f>averageCompletionTimePorter(Dates!I$6,Dates!I$7,'Day2'!$B22)</f>
        <v>#VALUE!</v>
      </c>
      <c r="J22" s="7" t="e">
        <f>averageCompletionTimePorter(Dates!J$6,Dates!J$7,'Day2'!$B22)</f>
        <v>#VALUE!</v>
      </c>
      <c r="K22" s="7" t="e">
        <f>averageCompletionTimePorter(Dates!K$6,Dates!K$7,'Day2'!$B22)</f>
        <v>#VALUE!</v>
      </c>
      <c r="L22" s="7" t="e">
        <f>averageCompletionTimePorter(Dates!L$6,Dates!L$7,'Day2'!$B22)</f>
        <v>#VALUE!</v>
      </c>
      <c r="M22" s="7" t="e">
        <f>averageCompletionTimePorter(Dates!M$6,Dates!M$7,'Day2'!$B22)</f>
        <v>#VALUE!</v>
      </c>
      <c r="N22" s="7" t="e">
        <f>averageCompletionTimePorter(Dates!N$6,Dates!N$7,'Day2'!$B22)</f>
        <v>#VALUE!</v>
      </c>
      <c r="O22" s="7" t="e">
        <f>averageCompletionTimePorter(Dates!O$6,Dates!O$7,'Day2'!$B22)</f>
        <v>#VALUE!</v>
      </c>
      <c r="P22" s="7" t="e">
        <f>averageCompletionTimePorter(Dates!P$6,Dates!P$7,'Day2'!$B22)</f>
        <v>#VALUE!</v>
      </c>
      <c r="Q22" s="7" t="e">
        <f>averageCompletionTimePorter(Dates!Q$6,Dates!Q$7,'Day2'!$B22)</f>
        <v>#VALUE!</v>
      </c>
      <c r="R22" s="7" t="e">
        <f>averageCompletionTimePorter(Dates!R$6,Dates!R$7,'Day2'!$B22)</f>
        <v>#VALUE!</v>
      </c>
      <c r="S22" s="7" t="e">
        <f>averageCompletionTimePorter(Dates!S$6,Dates!S$7,'Day2'!$B22)</f>
        <v>#VALUE!</v>
      </c>
      <c r="T22" s="7" t="e">
        <f>averageCompletionTimePorter(Dates!T$6,Dates!T$7,'Day2'!$B22)</f>
        <v>#VALUE!</v>
      </c>
      <c r="U22" s="7" t="e">
        <f>averageCompletionTimePorter(Dates!$C$6,Dates!$T$7,'Day2'!$B22)</f>
        <v>#VALUE!</v>
      </c>
    </row>
    <row r="23" spans="2:21" x14ac:dyDescent="0.3">
      <c r="B23" s="12" t="s">
        <v>122</v>
      </c>
      <c r="C23" s="7" t="e">
        <f>averageCompletionTimePorter(Dates!C$6,Dates!C$7,'Day2'!$B23)</f>
        <v>#VALUE!</v>
      </c>
      <c r="D23" s="7" t="e">
        <f>averageCompletionTimePorter(Dates!D$6,Dates!D$7,'Day2'!$B23)</f>
        <v>#VALUE!</v>
      </c>
      <c r="E23" s="7" t="e">
        <f>averageCompletionTimePorter(Dates!E$6,Dates!E$7,'Day2'!$B23)</f>
        <v>#VALUE!</v>
      </c>
      <c r="F23" s="7" t="e">
        <f>averageCompletionTimePorter(Dates!F$6,Dates!F$7,'Day2'!$B23)</f>
        <v>#VALUE!</v>
      </c>
      <c r="G23" s="7" t="e">
        <f>averageCompletionTimePorter(Dates!G$6,Dates!G$7,'Day2'!$B23)</f>
        <v>#VALUE!</v>
      </c>
      <c r="H23" s="7" t="e">
        <f>averageCompletionTimePorter(Dates!H$6,Dates!H$7,'Day2'!$B23)</f>
        <v>#VALUE!</v>
      </c>
      <c r="I23" s="7" t="e">
        <f>averageCompletionTimePorter(Dates!I$6,Dates!I$7,'Day2'!$B23)</f>
        <v>#VALUE!</v>
      </c>
      <c r="J23" s="7" t="e">
        <f>averageCompletionTimePorter(Dates!J$6,Dates!J$7,'Day2'!$B23)</f>
        <v>#VALUE!</v>
      </c>
      <c r="K23" s="7" t="e">
        <f>averageCompletionTimePorter(Dates!K$6,Dates!K$7,'Day2'!$B23)</f>
        <v>#VALUE!</v>
      </c>
      <c r="L23" s="7" t="e">
        <f>averageCompletionTimePorter(Dates!L$6,Dates!L$7,'Day2'!$B23)</f>
        <v>#VALUE!</v>
      </c>
      <c r="M23" s="7" t="e">
        <f>averageCompletionTimePorter(Dates!M$6,Dates!M$7,'Day2'!$B23)</f>
        <v>#VALUE!</v>
      </c>
      <c r="N23" s="7" t="e">
        <f>averageCompletionTimePorter(Dates!N$6,Dates!N$7,'Day2'!$B23)</f>
        <v>#VALUE!</v>
      </c>
      <c r="O23" s="7" t="e">
        <f>averageCompletionTimePorter(Dates!O$6,Dates!O$7,'Day2'!$B23)</f>
        <v>#VALUE!</v>
      </c>
      <c r="P23" s="7" t="e">
        <f>averageCompletionTimePorter(Dates!P$6,Dates!P$7,'Day2'!$B23)</f>
        <v>#VALUE!</v>
      </c>
      <c r="Q23" s="7" t="e">
        <f>averageCompletionTimePorter(Dates!Q$6,Dates!Q$7,'Day2'!$B23)</f>
        <v>#VALUE!</v>
      </c>
      <c r="R23" s="7" t="e">
        <f>averageCompletionTimePorter(Dates!R$6,Dates!R$7,'Day2'!$B23)</f>
        <v>#VALUE!</v>
      </c>
      <c r="S23" s="7" t="e">
        <f>averageCompletionTimePorter(Dates!S$6,Dates!S$7,'Day2'!$B23)</f>
        <v>#VALUE!</v>
      </c>
      <c r="T23" s="7" t="e">
        <f>averageCompletionTimePorter(Dates!T$6,Dates!T$7,'Day2'!$B23)</f>
        <v>#VALUE!</v>
      </c>
      <c r="U23" s="7" t="e">
        <f>averageCompletionTimePorter(Dates!$C$6,Dates!$T$7,'Day2'!$B23)</f>
        <v>#VALUE!</v>
      </c>
    </row>
    <row r="25" spans="2:21" x14ac:dyDescent="0.3">
      <c r="B25" s="11" t="s">
        <v>112</v>
      </c>
      <c r="C25" s="7" t="e">
        <f>averageResponseTime(Dates!C6,Dates!C7)</f>
        <v>#VALUE!</v>
      </c>
      <c r="D25" s="7" t="e">
        <f>averageResponseTime(Dates!D6,Dates!D7)</f>
        <v>#VALUE!</v>
      </c>
      <c r="E25" s="7" t="e">
        <f>averageResponseTime(Dates!E6,Dates!E7)</f>
        <v>#VALUE!</v>
      </c>
      <c r="F25" s="7" t="e">
        <f>averageResponseTime(Dates!F6,Dates!F7)</f>
        <v>#VALUE!</v>
      </c>
      <c r="G25" s="7" t="e">
        <f>averageResponseTime(Dates!G6,Dates!G7)</f>
        <v>#VALUE!</v>
      </c>
      <c r="H25" s="7" t="e">
        <f>averageResponseTime(Dates!H6,Dates!H7)</f>
        <v>#VALUE!</v>
      </c>
      <c r="I25" s="7" t="e">
        <f>averageResponseTime(Dates!I6,Dates!I7)</f>
        <v>#VALUE!</v>
      </c>
      <c r="J25" s="7" t="e">
        <f>averageResponseTime(Dates!J6,Dates!J7)</f>
        <v>#VALUE!</v>
      </c>
      <c r="K25" s="7" t="e">
        <f>averageResponseTime(Dates!K6,Dates!K7)</f>
        <v>#VALUE!</v>
      </c>
      <c r="L25" s="7" t="e">
        <f>averageResponseTime(Dates!L6,Dates!L7)</f>
        <v>#VALUE!</v>
      </c>
      <c r="M25" s="7" t="e">
        <f>averageResponseTime(Dates!M6,Dates!M7)</f>
        <v>#VALUE!</v>
      </c>
      <c r="N25" s="7" t="e">
        <f>averageResponseTime(Dates!N6,Dates!N7)</f>
        <v>#VALUE!</v>
      </c>
      <c r="O25" s="7" t="e">
        <f>averageResponseTime(Dates!O6,Dates!O7)</f>
        <v>#VALUE!</v>
      </c>
      <c r="P25" s="7" t="e">
        <f>averageResponseTime(Dates!P6,Dates!P7)</f>
        <v>#VALUE!</v>
      </c>
      <c r="Q25" s="7" t="e">
        <f>averageResponseTime(Dates!Q6,Dates!Q7)</f>
        <v>#VALUE!</v>
      </c>
      <c r="R25" s="7" t="e">
        <f>averageResponseTime(Dates!R6,Dates!R7)</f>
        <v>#VALUE!</v>
      </c>
      <c r="S25" s="7" t="e">
        <f>averageResponseTime(Dates!S6,Dates!S7)</f>
        <v>#VALUE!</v>
      </c>
      <c r="T25" s="7" t="e">
        <f>averageResponseTime(Dates!T6,Dates!T7)</f>
        <v>#VALUE!</v>
      </c>
      <c r="U25" s="7" t="e">
        <f>averageResponseTime(Dates!C6,Dates!T7)</f>
        <v>#VALUE!</v>
      </c>
    </row>
    <row r="26" spans="2:21" x14ac:dyDescent="0.3">
      <c r="B26" s="11">
        <f>B3</f>
        <v>0</v>
      </c>
      <c r="C26" s="7" t="e">
        <f>averageResponseTimePorter(Dates!C$6,Dates!C$7,'Day2'!$B26)</f>
        <v>#VALUE!</v>
      </c>
      <c r="D26" s="7" t="e">
        <f>averageResponseTimePorter(Dates!D$6,Dates!D$7,'Day2'!$B26)</f>
        <v>#VALUE!</v>
      </c>
      <c r="E26" s="7" t="e">
        <f>averageResponseTimePorter(Dates!E$6,Dates!E$7,'Day2'!$B26)</f>
        <v>#VALUE!</v>
      </c>
      <c r="F26" s="7" t="e">
        <f>averageResponseTimePorter(Dates!F$6,Dates!F$7,'Day2'!$B26)</f>
        <v>#VALUE!</v>
      </c>
      <c r="G26" s="7" t="e">
        <f>averageResponseTimePorter(Dates!G$6,Dates!G$7,'Day2'!$B26)</f>
        <v>#VALUE!</v>
      </c>
      <c r="H26" s="7" t="e">
        <f>averageResponseTimePorter(Dates!H$6,Dates!H$7,'Day2'!$B26)</f>
        <v>#VALUE!</v>
      </c>
      <c r="I26" s="7" t="e">
        <f>averageResponseTimePorter(Dates!I$6,Dates!I$7,'Day2'!$B26)</f>
        <v>#VALUE!</v>
      </c>
      <c r="J26" s="7" t="e">
        <f>averageResponseTimePorter(Dates!J$6,Dates!J$7,'Day2'!$B26)</f>
        <v>#VALUE!</v>
      </c>
      <c r="K26" s="7" t="e">
        <f>averageResponseTimePorter(Dates!K$6,Dates!K$7,'Day2'!$B26)</f>
        <v>#VALUE!</v>
      </c>
      <c r="L26" s="7" t="e">
        <f>averageResponseTimePorter(Dates!L$6,Dates!L$7,'Day2'!$B26)</f>
        <v>#VALUE!</v>
      </c>
      <c r="M26" s="7" t="e">
        <f>averageResponseTimePorter(Dates!M$6,Dates!M$7,'Day2'!$B26)</f>
        <v>#VALUE!</v>
      </c>
      <c r="N26" s="7" t="e">
        <f>averageResponseTimePorter(Dates!N$6,Dates!N$7,'Day2'!$B26)</f>
        <v>#VALUE!</v>
      </c>
      <c r="O26" s="7" t="e">
        <f>averageResponseTimePorter(Dates!O$6,Dates!O$7,'Day2'!$B26)</f>
        <v>#VALUE!</v>
      </c>
      <c r="P26" s="7" t="e">
        <f>averageResponseTimePorter(Dates!P$6,Dates!P$7,'Day2'!$B26)</f>
        <v>#VALUE!</v>
      </c>
      <c r="Q26" s="7" t="e">
        <f>averageResponseTimePorter(Dates!Q$6,Dates!Q$7,'Day2'!$B26)</f>
        <v>#VALUE!</v>
      </c>
      <c r="R26" s="7" t="e">
        <f>averageResponseTimePorter(Dates!R$6,Dates!R$7,'Day2'!$B26)</f>
        <v>#VALUE!</v>
      </c>
      <c r="S26" s="7" t="e">
        <f>averageResponseTimePorter(Dates!S$6,Dates!S$7,'Day2'!$B26)</f>
        <v>#VALUE!</v>
      </c>
      <c r="T26" s="7" t="e">
        <f>averageResponseTimePorter(Dates!T$6,Dates!T$7,'Day2'!$B26)</f>
        <v>#VALUE!</v>
      </c>
      <c r="U26" s="7" t="e">
        <f>averageResponseTimePorter(Dates!$C$6,Dates!$T$7,'Day2'!$B3)</f>
        <v>#VALUE!</v>
      </c>
    </row>
    <row r="27" spans="2:21" x14ac:dyDescent="0.3">
      <c r="B27" s="11" t="str">
        <f t="shared" ref="B27:B46" si="0">B4</f>
        <v>NA4</v>
      </c>
      <c r="C27" s="7" t="e">
        <f>averageResponseTimePorter(Dates!C$6,Dates!C$7,'Day2'!$B27)</f>
        <v>#VALUE!</v>
      </c>
      <c r="D27" s="7" t="e">
        <f>averageResponseTimePorter(Dates!D$6,Dates!D$7,'Day2'!$B27)</f>
        <v>#VALUE!</v>
      </c>
      <c r="E27" s="7" t="e">
        <f>averageResponseTimePorter(Dates!E$6,Dates!E$7,'Day2'!$B27)</f>
        <v>#VALUE!</v>
      </c>
      <c r="F27" s="7" t="e">
        <f>averageResponseTimePorter(Dates!F$6,Dates!F$7,'Day2'!$B27)</f>
        <v>#VALUE!</v>
      </c>
      <c r="G27" s="7" t="e">
        <f>averageResponseTimePorter(Dates!G$6,Dates!G$7,'Day2'!$B27)</f>
        <v>#VALUE!</v>
      </c>
      <c r="H27" s="7" t="e">
        <f>averageResponseTimePorter(Dates!H$6,Dates!H$7,'Day2'!$B27)</f>
        <v>#VALUE!</v>
      </c>
      <c r="I27" s="7" t="e">
        <f>averageResponseTimePorter(Dates!I$6,Dates!I$7,'Day2'!$B27)</f>
        <v>#VALUE!</v>
      </c>
      <c r="J27" s="7" t="e">
        <f>averageResponseTimePorter(Dates!J$6,Dates!J$7,'Day2'!$B27)</f>
        <v>#VALUE!</v>
      </c>
      <c r="K27" s="7" t="e">
        <f>averageResponseTimePorter(Dates!K$6,Dates!K$7,'Day2'!$B27)</f>
        <v>#VALUE!</v>
      </c>
      <c r="L27" s="7" t="e">
        <f>averageResponseTimePorter(Dates!L$6,Dates!L$7,'Day2'!$B27)</f>
        <v>#VALUE!</v>
      </c>
      <c r="M27" s="7" t="e">
        <f>averageResponseTimePorter(Dates!M$6,Dates!M$7,'Day2'!$B27)</f>
        <v>#VALUE!</v>
      </c>
      <c r="N27" s="7" t="e">
        <f>averageResponseTimePorter(Dates!N$6,Dates!N$7,'Day2'!$B27)</f>
        <v>#VALUE!</v>
      </c>
      <c r="O27" s="7" t="e">
        <f>averageResponseTimePorter(Dates!O$6,Dates!O$7,'Day2'!$B27)</f>
        <v>#VALUE!</v>
      </c>
      <c r="P27" s="7" t="e">
        <f>averageResponseTimePorter(Dates!P$6,Dates!P$7,'Day2'!$B27)</f>
        <v>#VALUE!</v>
      </c>
      <c r="Q27" s="7" t="e">
        <f>averageResponseTimePorter(Dates!Q$6,Dates!Q$7,'Day2'!$B27)</f>
        <v>#VALUE!</v>
      </c>
      <c r="R27" s="7" t="e">
        <f>averageResponseTimePorter(Dates!R$6,Dates!R$7,'Day2'!$B27)</f>
        <v>#VALUE!</v>
      </c>
      <c r="S27" s="7" t="e">
        <f>averageResponseTimePorter(Dates!S$6,Dates!S$7,'Day2'!$B27)</f>
        <v>#VALUE!</v>
      </c>
      <c r="T27" s="7" t="e">
        <f>averageResponseTimePorter(Dates!T$6,Dates!T$7,'Day2'!$B27)</f>
        <v>#VALUE!</v>
      </c>
      <c r="U27" s="7" t="e">
        <f>averageResponseTimePorter(Dates!$C$6,Dates!$T$7,'Day2'!$B4)</f>
        <v>#VALUE!</v>
      </c>
    </row>
    <row r="28" spans="2:21" x14ac:dyDescent="0.3">
      <c r="B28" s="11" t="str">
        <f t="shared" si="0"/>
        <v>NA5</v>
      </c>
      <c r="C28" s="7" t="e">
        <f>averageResponseTimePorter(Dates!C$6,Dates!C$7,'Day2'!$B28)</f>
        <v>#VALUE!</v>
      </c>
      <c r="D28" s="7" t="e">
        <f>averageResponseTimePorter(Dates!D$6,Dates!D$7,'Day2'!$B28)</f>
        <v>#VALUE!</v>
      </c>
      <c r="E28" s="7" t="e">
        <f>averageResponseTimePorter(Dates!E$6,Dates!E$7,'Day2'!$B28)</f>
        <v>#VALUE!</v>
      </c>
      <c r="F28" s="7" t="e">
        <f>averageResponseTimePorter(Dates!F$6,Dates!F$7,'Day2'!$B28)</f>
        <v>#VALUE!</v>
      </c>
      <c r="G28" s="7" t="e">
        <f>averageResponseTimePorter(Dates!G$6,Dates!G$7,'Day2'!$B28)</f>
        <v>#VALUE!</v>
      </c>
      <c r="H28" s="7" t="e">
        <f>averageResponseTimePorter(Dates!H$6,Dates!H$7,'Day2'!$B28)</f>
        <v>#VALUE!</v>
      </c>
      <c r="I28" s="7" t="e">
        <f>averageResponseTimePorter(Dates!I$6,Dates!I$7,'Day2'!$B28)</f>
        <v>#VALUE!</v>
      </c>
      <c r="J28" s="7" t="e">
        <f>averageResponseTimePorter(Dates!J$6,Dates!J$7,'Day2'!$B28)</f>
        <v>#VALUE!</v>
      </c>
      <c r="K28" s="7" t="e">
        <f>averageResponseTimePorter(Dates!K$6,Dates!K$7,'Day2'!$B28)</f>
        <v>#VALUE!</v>
      </c>
      <c r="L28" s="7" t="e">
        <f>averageResponseTimePorter(Dates!L$6,Dates!L$7,'Day2'!$B28)</f>
        <v>#VALUE!</v>
      </c>
      <c r="M28" s="7" t="e">
        <f>averageResponseTimePorter(Dates!M$6,Dates!M$7,'Day2'!$B28)</f>
        <v>#VALUE!</v>
      </c>
      <c r="N28" s="7" t="e">
        <f>averageResponseTimePorter(Dates!N$6,Dates!N$7,'Day2'!$B28)</f>
        <v>#VALUE!</v>
      </c>
      <c r="O28" s="7" t="e">
        <f>averageResponseTimePorter(Dates!O$6,Dates!O$7,'Day2'!$B28)</f>
        <v>#VALUE!</v>
      </c>
      <c r="P28" s="7" t="e">
        <f>averageResponseTimePorter(Dates!P$6,Dates!P$7,'Day2'!$B28)</f>
        <v>#VALUE!</v>
      </c>
      <c r="Q28" s="7" t="e">
        <f>averageResponseTimePorter(Dates!Q$6,Dates!Q$7,'Day2'!$B28)</f>
        <v>#VALUE!</v>
      </c>
      <c r="R28" s="7" t="e">
        <f>averageResponseTimePorter(Dates!R$6,Dates!R$7,'Day2'!$B28)</f>
        <v>#VALUE!</v>
      </c>
      <c r="S28" s="7" t="e">
        <f>averageResponseTimePorter(Dates!S$6,Dates!S$7,'Day2'!$B28)</f>
        <v>#VALUE!</v>
      </c>
      <c r="T28" s="7" t="e">
        <f>averageResponseTimePorter(Dates!T$6,Dates!T$7,'Day2'!$B28)</f>
        <v>#VALUE!</v>
      </c>
      <c r="U28" s="7" t="e">
        <f>averageResponseTimePorter(Dates!$C$6,Dates!$T$7,'Day2'!$B5)</f>
        <v>#VALUE!</v>
      </c>
    </row>
    <row r="29" spans="2:21" x14ac:dyDescent="0.3">
      <c r="B29" s="11" t="str">
        <f t="shared" si="0"/>
        <v>NA6</v>
      </c>
      <c r="C29" s="7" t="e">
        <f>averageResponseTimePorter(Dates!C$6,Dates!C$7,'Day2'!$B29)</f>
        <v>#VALUE!</v>
      </c>
      <c r="D29" s="7" t="e">
        <f>averageResponseTimePorter(Dates!D$6,Dates!D$7,'Day2'!$B29)</f>
        <v>#VALUE!</v>
      </c>
      <c r="E29" s="7" t="e">
        <f>averageResponseTimePorter(Dates!E$6,Dates!E$7,'Day2'!$B29)</f>
        <v>#VALUE!</v>
      </c>
      <c r="F29" s="7" t="e">
        <f>averageResponseTimePorter(Dates!F$6,Dates!F$7,'Day2'!$B29)</f>
        <v>#VALUE!</v>
      </c>
      <c r="G29" s="7" t="e">
        <f>averageResponseTimePorter(Dates!G$6,Dates!G$7,'Day2'!$B29)</f>
        <v>#VALUE!</v>
      </c>
      <c r="H29" s="7" t="e">
        <f>averageResponseTimePorter(Dates!H$6,Dates!H$7,'Day2'!$B29)</f>
        <v>#VALUE!</v>
      </c>
      <c r="I29" s="7" t="e">
        <f>averageResponseTimePorter(Dates!I$6,Dates!I$7,'Day2'!$B29)</f>
        <v>#VALUE!</v>
      </c>
      <c r="J29" s="7" t="e">
        <f>averageResponseTimePorter(Dates!J$6,Dates!J$7,'Day2'!$B29)</f>
        <v>#VALUE!</v>
      </c>
      <c r="K29" s="7" t="e">
        <f>averageResponseTimePorter(Dates!K$6,Dates!K$7,'Day2'!$B29)</f>
        <v>#VALUE!</v>
      </c>
      <c r="L29" s="7" t="e">
        <f>averageResponseTimePorter(Dates!L$6,Dates!L$7,'Day2'!$B29)</f>
        <v>#VALUE!</v>
      </c>
      <c r="M29" s="7" t="e">
        <f>averageResponseTimePorter(Dates!M$6,Dates!M$7,'Day2'!$B29)</f>
        <v>#VALUE!</v>
      </c>
      <c r="N29" s="7" t="e">
        <f>averageResponseTimePorter(Dates!N$6,Dates!N$7,'Day2'!$B29)</f>
        <v>#VALUE!</v>
      </c>
      <c r="O29" s="7" t="e">
        <f>averageResponseTimePorter(Dates!O$6,Dates!O$7,'Day2'!$B29)</f>
        <v>#VALUE!</v>
      </c>
      <c r="P29" s="7" t="e">
        <f>averageResponseTimePorter(Dates!P$6,Dates!P$7,'Day2'!$B29)</f>
        <v>#VALUE!</v>
      </c>
      <c r="Q29" s="7" t="e">
        <f>averageResponseTimePorter(Dates!Q$6,Dates!Q$7,'Day2'!$B29)</f>
        <v>#VALUE!</v>
      </c>
      <c r="R29" s="7" t="e">
        <f>averageResponseTimePorter(Dates!R$6,Dates!R$7,'Day2'!$B29)</f>
        <v>#VALUE!</v>
      </c>
      <c r="S29" s="7" t="e">
        <f>averageResponseTimePorter(Dates!S$6,Dates!S$7,'Day2'!$B29)</f>
        <v>#VALUE!</v>
      </c>
      <c r="T29" s="7" t="e">
        <f>averageResponseTimePorter(Dates!T$6,Dates!T$7,'Day2'!$B29)</f>
        <v>#VALUE!</v>
      </c>
      <c r="U29" s="7" t="e">
        <f>averageResponseTimePorter(Dates!$C$6,Dates!$T$7,'Day2'!$B6)</f>
        <v>#VALUE!</v>
      </c>
    </row>
    <row r="30" spans="2:21" x14ac:dyDescent="0.3">
      <c r="B30" s="11" t="str">
        <f t="shared" si="0"/>
        <v>NA7</v>
      </c>
      <c r="C30" s="7" t="e">
        <f>averageResponseTimePorter(Dates!C$6,Dates!C$7,'Day2'!$B30)</f>
        <v>#VALUE!</v>
      </c>
      <c r="D30" s="7" t="e">
        <f>averageResponseTimePorter(Dates!D$6,Dates!D$7,'Day2'!$B30)</f>
        <v>#VALUE!</v>
      </c>
      <c r="E30" s="7" t="e">
        <f>averageResponseTimePorter(Dates!E$6,Dates!E$7,'Day2'!$B30)</f>
        <v>#VALUE!</v>
      </c>
      <c r="F30" s="7" t="e">
        <f>averageResponseTimePorter(Dates!F$6,Dates!F$7,'Day2'!$B30)</f>
        <v>#VALUE!</v>
      </c>
      <c r="G30" s="7" t="e">
        <f>averageResponseTimePorter(Dates!G$6,Dates!G$7,'Day2'!$B30)</f>
        <v>#VALUE!</v>
      </c>
      <c r="H30" s="7" t="e">
        <f>averageResponseTimePorter(Dates!H$6,Dates!H$7,'Day2'!$B30)</f>
        <v>#VALUE!</v>
      </c>
      <c r="I30" s="7" t="e">
        <f>averageResponseTimePorter(Dates!I$6,Dates!I$7,'Day2'!$B30)</f>
        <v>#VALUE!</v>
      </c>
      <c r="J30" s="7" t="e">
        <f>averageResponseTimePorter(Dates!J$6,Dates!J$7,'Day2'!$B30)</f>
        <v>#VALUE!</v>
      </c>
      <c r="K30" s="7" t="e">
        <f>averageResponseTimePorter(Dates!K$6,Dates!K$7,'Day2'!$B30)</f>
        <v>#VALUE!</v>
      </c>
      <c r="L30" s="7" t="e">
        <f>averageResponseTimePorter(Dates!L$6,Dates!L$7,'Day2'!$B30)</f>
        <v>#VALUE!</v>
      </c>
      <c r="M30" s="7" t="e">
        <f>averageResponseTimePorter(Dates!M$6,Dates!M$7,'Day2'!$B30)</f>
        <v>#VALUE!</v>
      </c>
      <c r="N30" s="7" t="e">
        <f>averageResponseTimePorter(Dates!N$6,Dates!N$7,'Day2'!$B30)</f>
        <v>#VALUE!</v>
      </c>
      <c r="O30" s="7" t="e">
        <f>averageResponseTimePorter(Dates!O$6,Dates!O$7,'Day2'!$B30)</f>
        <v>#VALUE!</v>
      </c>
      <c r="P30" s="7" t="e">
        <f>averageResponseTimePorter(Dates!P$6,Dates!P$7,'Day2'!$B30)</f>
        <v>#VALUE!</v>
      </c>
      <c r="Q30" s="7" t="e">
        <f>averageResponseTimePorter(Dates!Q$6,Dates!Q$7,'Day2'!$B30)</f>
        <v>#VALUE!</v>
      </c>
      <c r="R30" s="7" t="e">
        <f>averageResponseTimePorter(Dates!R$6,Dates!R$7,'Day2'!$B30)</f>
        <v>#VALUE!</v>
      </c>
      <c r="S30" s="7" t="e">
        <f>averageResponseTimePorter(Dates!S$6,Dates!S$7,'Day2'!$B30)</f>
        <v>#VALUE!</v>
      </c>
      <c r="T30" s="7" t="e">
        <f>averageResponseTimePorter(Dates!T$6,Dates!T$7,'Day2'!$B30)</f>
        <v>#VALUE!</v>
      </c>
      <c r="U30" s="7" t="e">
        <f>averageResponseTimePorter(Dates!$C$6,Dates!$T$7,'Day2'!$B7)</f>
        <v>#VALUE!</v>
      </c>
    </row>
    <row r="31" spans="2:21" x14ac:dyDescent="0.3">
      <c r="B31" s="11" t="str">
        <f t="shared" si="0"/>
        <v>NA8</v>
      </c>
      <c r="C31" s="7" t="e">
        <f>averageResponseTimePorter(Dates!C$6,Dates!C$7,'Day2'!$B31)</f>
        <v>#VALUE!</v>
      </c>
      <c r="D31" s="7" t="e">
        <f>averageResponseTimePorter(Dates!D$6,Dates!D$7,'Day2'!$B31)</f>
        <v>#VALUE!</v>
      </c>
      <c r="E31" s="7" t="e">
        <f>averageResponseTimePorter(Dates!E$6,Dates!E$7,'Day2'!$B31)</f>
        <v>#VALUE!</v>
      </c>
      <c r="F31" s="7" t="e">
        <f>averageResponseTimePorter(Dates!F$6,Dates!F$7,'Day2'!$B31)</f>
        <v>#VALUE!</v>
      </c>
      <c r="G31" s="7" t="e">
        <f>averageResponseTimePorter(Dates!G$6,Dates!G$7,'Day2'!$B31)</f>
        <v>#VALUE!</v>
      </c>
      <c r="H31" s="7" t="e">
        <f>averageResponseTimePorter(Dates!H$6,Dates!H$7,'Day2'!$B31)</f>
        <v>#VALUE!</v>
      </c>
      <c r="I31" s="7" t="e">
        <f>averageResponseTimePorter(Dates!I$6,Dates!I$7,'Day2'!$B31)</f>
        <v>#VALUE!</v>
      </c>
      <c r="J31" s="7" t="e">
        <f>averageResponseTimePorter(Dates!J$6,Dates!J$7,'Day2'!$B31)</f>
        <v>#VALUE!</v>
      </c>
      <c r="K31" s="7" t="e">
        <f>averageResponseTimePorter(Dates!K$6,Dates!K$7,'Day2'!$B31)</f>
        <v>#VALUE!</v>
      </c>
      <c r="L31" s="7" t="e">
        <f>averageResponseTimePorter(Dates!L$6,Dates!L$7,'Day2'!$B31)</f>
        <v>#VALUE!</v>
      </c>
      <c r="M31" s="7" t="e">
        <f>averageResponseTimePorter(Dates!M$6,Dates!M$7,'Day2'!$B31)</f>
        <v>#VALUE!</v>
      </c>
      <c r="N31" s="7" t="e">
        <f>averageResponseTimePorter(Dates!N$6,Dates!N$7,'Day2'!$B31)</f>
        <v>#VALUE!</v>
      </c>
      <c r="O31" s="7" t="e">
        <f>averageResponseTimePorter(Dates!O$6,Dates!O$7,'Day2'!$B31)</f>
        <v>#VALUE!</v>
      </c>
      <c r="P31" s="7" t="e">
        <f>averageResponseTimePorter(Dates!P$6,Dates!P$7,'Day2'!$B31)</f>
        <v>#VALUE!</v>
      </c>
      <c r="Q31" s="7" t="e">
        <f>averageResponseTimePorter(Dates!Q$6,Dates!Q$7,'Day2'!$B31)</f>
        <v>#VALUE!</v>
      </c>
      <c r="R31" s="7" t="e">
        <f>averageResponseTimePorter(Dates!R$6,Dates!R$7,'Day2'!$B31)</f>
        <v>#VALUE!</v>
      </c>
      <c r="S31" s="7" t="e">
        <f>averageResponseTimePorter(Dates!S$6,Dates!S$7,'Day2'!$B31)</f>
        <v>#VALUE!</v>
      </c>
      <c r="T31" s="7" t="e">
        <f>averageResponseTimePorter(Dates!T$6,Dates!T$7,'Day2'!$B31)</f>
        <v>#VALUE!</v>
      </c>
      <c r="U31" s="7" t="e">
        <f>averageResponseTimePorter(Dates!$C$6,Dates!$T$7,'Day2'!$B8)</f>
        <v>#VALUE!</v>
      </c>
    </row>
    <row r="32" spans="2:21" x14ac:dyDescent="0.3">
      <c r="B32" s="11" t="str">
        <f t="shared" si="0"/>
        <v>NA9</v>
      </c>
      <c r="C32" s="7" t="e">
        <f>averageResponseTimePorter(Dates!C$6,Dates!C$7,'Day2'!$B32)</f>
        <v>#VALUE!</v>
      </c>
      <c r="D32" s="7" t="e">
        <f>averageResponseTimePorter(Dates!D$6,Dates!D$7,'Day2'!$B32)</f>
        <v>#VALUE!</v>
      </c>
      <c r="E32" s="7" t="e">
        <f>averageResponseTimePorter(Dates!E$6,Dates!E$7,'Day2'!$B32)</f>
        <v>#VALUE!</v>
      </c>
      <c r="F32" s="7" t="e">
        <f>averageResponseTimePorter(Dates!F$6,Dates!F$7,'Day2'!$B32)</f>
        <v>#VALUE!</v>
      </c>
      <c r="G32" s="7" t="e">
        <f>averageResponseTimePorter(Dates!G$6,Dates!G$7,'Day2'!$B32)</f>
        <v>#VALUE!</v>
      </c>
      <c r="H32" s="7" t="e">
        <f>averageResponseTimePorter(Dates!H$6,Dates!H$7,'Day2'!$B32)</f>
        <v>#VALUE!</v>
      </c>
      <c r="I32" s="7" t="e">
        <f>averageResponseTimePorter(Dates!I$6,Dates!I$7,'Day2'!$B32)</f>
        <v>#VALUE!</v>
      </c>
      <c r="J32" s="7" t="e">
        <f>averageResponseTimePorter(Dates!J$6,Dates!J$7,'Day2'!$B32)</f>
        <v>#VALUE!</v>
      </c>
      <c r="K32" s="7" t="e">
        <f>averageResponseTimePorter(Dates!K$6,Dates!K$7,'Day2'!$B32)</f>
        <v>#VALUE!</v>
      </c>
      <c r="L32" s="7" t="e">
        <f>averageResponseTimePorter(Dates!L$6,Dates!L$7,'Day2'!$B32)</f>
        <v>#VALUE!</v>
      </c>
      <c r="M32" s="7" t="e">
        <f>averageResponseTimePorter(Dates!M$6,Dates!M$7,'Day2'!$B32)</f>
        <v>#VALUE!</v>
      </c>
      <c r="N32" s="7" t="e">
        <f>averageResponseTimePorter(Dates!N$6,Dates!N$7,'Day2'!$B32)</f>
        <v>#VALUE!</v>
      </c>
      <c r="O32" s="7" t="e">
        <f>averageResponseTimePorter(Dates!O$6,Dates!O$7,'Day2'!$B32)</f>
        <v>#VALUE!</v>
      </c>
      <c r="P32" s="7" t="e">
        <f>averageResponseTimePorter(Dates!P$6,Dates!P$7,'Day2'!$B32)</f>
        <v>#VALUE!</v>
      </c>
      <c r="Q32" s="7" t="e">
        <f>averageResponseTimePorter(Dates!Q$6,Dates!Q$7,'Day2'!$B32)</f>
        <v>#VALUE!</v>
      </c>
      <c r="R32" s="7" t="e">
        <f>averageResponseTimePorter(Dates!R$6,Dates!R$7,'Day2'!$B32)</f>
        <v>#VALUE!</v>
      </c>
      <c r="S32" s="7" t="e">
        <f>averageResponseTimePorter(Dates!S$6,Dates!S$7,'Day2'!$B32)</f>
        <v>#VALUE!</v>
      </c>
      <c r="T32" s="7" t="e">
        <f>averageResponseTimePorter(Dates!T$6,Dates!T$7,'Day2'!$B32)</f>
        <v>#VALUE!</v>
      </c>
      <c r="U32" s="7" t="e">
        <f>averageResponseTimePorter(Dates!$C$6,Dates!$T$7,'Day2'!$B9)</f>
        <v>#VALUE!</v>
      </c>
    </row>
    <row r="33" spans="2:21" x14ac:dyDescent="0.3">
      <c r="B33" s="11" t="str">
        <f t="shared" si="0"/>
        <v>NA10</v>
      </c>
      <c r="C33" s="7" t="e">
        <f>averageResponseTimePorter(Dates!C$6,Dates!C$7,'Day2'!$B33)</f>
        <v>#VALUE!</v>
      </c>
      <c r="D33" s="7" t="e">
        <f>averageResponseTimePorter(Dates!D$6,Dates!D$7,'Day2'!$B33)</f>
        <v>#VALUE!</v>
      </c>
      <c r="E33" s="7" t="e">
        <f>averageResponseTimePorter(Dates!E$6,Dates!E$7,'Day2'!$B33)</f>
        <v>#VALUE!</v>
      </c>
      <c r="F33" s="7" t="e">
        <f>averageResponseTimePorter(Dates!F$6,Dates!F$7,'Day2'!$B33)</f>
        <v>#VALUE!</v>
      </c>
      <c r="G33" s="7" t="e">
        <f>averageResponseTimePorter(Dates!G$6,Dates!G$7,'Day2'!$B33)</f>
        <v>#VALUE!</v>
      </c>
      <c r="H33" s="7" t="e">
        <f>averageResponseTimePorter(Dates!H$6,Dates!H$7,'Day2'!$B33)</f>
        <v>#VALUE!</v>
      </c>
      <c r="I33" s="7" t="e">
        <f>averageResponseTimePorter(Dates!I$6,Dates!I$7,'Day2'!$B33)</f>
        <v>#VALUE!</v>
      </c>
      <c r="J33" s="7" t="e">
        <f>averageResponseTimePorter(Dates!J$6,Dates!J$7,'Day2'!$B33)</f>
        <v>#VALUE!</v>
      </c>
      <c r="K33" s="7" t="e">
        <f>averageResponseTimePorter(Dates!K$6,Dates!K$7,'Day2'!$B33)</f>
        <v>#VALUE!</v>
      </c>
      <c r="L33" s="7" t="e">
        <f>averageResponseTimePorter(Dates!L$6,Dates!L$7,'Day2'!$B33)</f>
        <v>#VALUE!</v>
      </c>
      <c r="M33" s="7" t="e">
        <f>averageResponseTimePorter(Dates!M$6,Dates!M$7,'Day2'!$B33)</f>
        <v>#VALUE!</v>
      </c>
      <c r="N33" s="7" t="e">
        <f>averageResponseTimePorter(Dates!N$6,Dates!N$7,'Day2'!$B33)</f>
        <v>#VALUE!</v>
      </c>
      <c r="O33" s="7" t="e">
        <f>averageResponseTimePorter(Dates!O$6,Dates!O$7,'Day2'!$B33)</f>
        <v>#VALUE!</v>
      </c>
      <c r="P33" s="7" t="e">
        <f>averageResponseTimePorter(Dates!P$6,Dates!P$7,'Day2'!$B33)</f>
        <v>#VALUE!</v>
      </c>
      <c r="Q33" s="7" t="e">
        <f>averageResponseTimePorter(Dates!Q$6,Dates!Q$7,'Day2'!$B33)</f>
        <v>#VALUE!</v>
      </c>
      <c r="R33" s="7" t="e">
        <f>averageResponseTimePorter(Dates!R$6,Dates!R$7,'Day2'!$B33)</f>
        <v>#VALUE!</v>
      </c>
      <c r="S33" s="7" t="e">
        <f>averageResponseTimePorter(Dates!S$6,Dates!S$7,'Day2'!$B33)</f>
        <v>#VALUE!</v>
      </c>
      <c r="T33" s="7" t="e">
        <f>averageResponseTimePorter(Dates!T$6,Dates!T$7,'Day2'!$B33)</f>
        <v>#VALUE!</v>
      </c>
      <c r="U33" s="7" t="e">
        <f>averageResponseTimePorter(Dates!$C$6,Dates!$T$7,'Day2'!$B10)</f>
        <v>#VALUE!</v>
      </c>
    </row>
    <row r="34" spans="2:21" x14ac:dyDescent="0.3">
      <c r="B34" s="11" t="str">
        <f t="shared" si="0"/>
        <v>NA11</v>
      </c>
      <c r="C34" s="7" t="e">
        <f>averageResponseTimePorter(Dates!C$6,Dates!C$7,'Day2'!$B34)</f>
        <v>#VALUE!</v>
      </c>
      <c r="D34" s="7" t="e">
        <f>averageResponseTimePorter(Dates!D$6,Dates!D$7,'Day2'!$B34)</f>
        <v>#VALUE!</v>
      </c>
      <c r="E34" s="7" t="e">
        <f>averageResponseTimePorter(Dates!E$6,Dates!E$7,'Day2'!$B34)</f>
        <v>#VALUE!</v>
      </c>
      <c r="F34" s="7" t="e">
        <f>averageResponseTimePorter(Dates!F$6,Dates!F$7,'Day2'!$B34)</f>
        <v>#VALUE!</v>
      </c>
      <c r="G34" s="7" t="e">
        <f>averageResponseTimePorter(Dates!G$6,Dates!G$7,'Day2'!$B34)</f>
        <v>#VALUE!</v>
      </c>
      <c r="H34" s="7" t="e">
        <f>averageResponseTimePorter(Dates!H$6,Dates!H$7,'Day2'!$B34)</f>
        <v>#VALUE!</v>
      </c>
      <c r="I34" s="7" t="e">
        <f>averageResponseTimePorter(Dates!I$6,Dates!I$7,'Day2'!$B34)</f>
        <v>#VALUE!</v>
      </c>
      <c r="J34" s="7" t="e">
        <f>averageResponseTimePorter(Dates!J$6,Dates!J$7,'Day2'!$B34)</f>
        <v>#VALUE!</v>
      </c>
      <c r="K34" s="7" t="e">
        <f>averageResponseTimePorter(Dates!K$6,Dates!K$7,'Day2'!$B34)</f>
        <v>#VALUE!</v>
      </c>
      <c r="L34" s="7" t="e">
        <f>averageResponseTimePorter(Dates!L$6,Dates!L$7,'Day2'!$B34)</f>
        <v>#VALUE!</v>
      </c>
      <c r="M34" s="7" t="e">
        <f>averageResponseTimePorter(Dates!M$6,Dates!M$7,'Day2'!$B34)</f>
        <v>#VALUE!</v>
      </c>
      <c r="N34" s="7" t="e">
        <f>averageResponseTimePorter(Dates!N$6,Dates!N$7,'Day2'!$B34)</f>
        <v>#VALUE!</v>
      </c>
      <c r="O34" s="7" t="e">
        <f>averageResponseTimePorter(Dates!O$6,Dates!O$7,'Day2'!$B34)</f>
        <v>#VALUE!</v>
      </c>
      <c r="P34" s="7" t="e">
        <f>averageResponseTimePorter(Dates!P$6,Dates!P$7,'Day2'!$B34)</f>
        <v>#VALUE!</v>
      </c>
      <c r="Q34" s="7" t="e">
        <f>averageResponseTimePorter(Dates!Q$6,Dates!Q$7,'Day2'!$B34)</f>
        <v>#VALUE!</v>
      </c>
      <c r="R34" s="7" t="e">
        <f>averageResponseTimePorter(Dates!R$6,Dates!R$7,'Day2'!$B34)</f>
        <v>#VALUE!</v>
      </c>
      <c r="S34" s="7" t="e">
        <f>averageResponseTimePorter(Dates!S$6,Dates!S$7,'Day2'!$B34)</f>
        <v>#VALUE!</v>
      </c>
      <c r="T34" s="7" t="e">
        <f>averageResponseTimePorter(Dates!T$6,Dates!T$7,'Day2'!$B34)</f>
        <v>#VALUE!</v>
      </c>
      <c r="U34" s="7" t="e">
        <f>averageResponseTimePorter(Dates!$C$6,Dates!$T$7,'Day2'!$B11)</f>
        <v>#VALUE!</v>
      </c>
    </row>
    <row r="35" spans="2:21" x14ac:dyDescent="0.3">
      <c r="B35" s="11" t="str">
        <f t="shared" si="0"/>
        <v>NA12</v>
      </c>
      <c r="C35" s="7" t="e">
        <f>averageResponseTimePorter(Dates!C$6,Dates!C$7,'Day2'!$B35)</f>
        <v>#VALUE!</v>
      </c>
      <c r="D35" s="7" t="e">
        <f>averageResponseTimePorter(Dates!D$6,Dates!D$7,'Day2'!$B35)</f>
        <v>#VALUE!</v>
      </c>
      <c r="E35" s="7" t="e">
        <f>averageResponseTimePorter(Dates!E$6,Dates!E$7,'Day2'!$B35)</f>
        <v>#VALUE!</v>
      </c>
      <c r="F35" s="7" t="e">
        <f>averageResponseTimePorter(Dates!F$6,Dates!F$7,'Day2'!$B35)</f>
        <v>#VALUE!</v>
      </c>
      <c r="G35" s="7" t="e">
        <f>averageResponseTimePorter(Dates!G$6,Dates!G$7,'Day2'!$B35)</f>
        <v>#VALUE!</v>
      </c>
      <c r="H35" s="7" t="e">
        <f>averageResponseTimePorter(Dates!H$6,Dates!H$7,'Day2'!$B35)</f>
        <v>#VALUE!</v>
      </c>
      <c r="I35" s="7" t="e">
        <f>averageResponseTimePorter(Dates!I$6,Dates!I$7,'Day2'!$B35)</f>
        <v>#VALUE!</v>
      </c>
      <c r="J35" s="7" t="e">
        <f>averageResponseTimePorter(Dates!J$6,Dates!J$7,'Day2'!$B35)</f>
        <v>#VALUE!</v>
      </c>
      <c r="K35" s="7" t="e">
        <f>averageResponseTimePorter(Dates!K$6,Dates!K$7,'Day2'!$B35)</f>
        <v>#VALUE!</v>
      </c>
      <c r="L35" s="7" t="e">
        <f>averageResponseTimePorter(Dates!L$6,Dates!L$7,'Day2'!$B35)</f>
        <v>#VALUE!</v>
      </c>
      <c r="M35" s="7" t="e">
        <f>averageResponseTimePorter(Dates!M$6,Dates!M$7,'Day2'!$B35)</f>
        <v>#VALUE!</v>
      </c>
      <c r="N35" s="7" t="e">
        <f>averageResponseTimePorter(Dates!N$6,Dates!N$7,'Day2'!$B35)</f>
        <v>#VALUE!</v>
      </c>
      <c r="O35" s="7" t="e">
        <f>averageResponseTimePorter(Dates!O$6,Dates!O$7,'Day2'!$B35)</f>
        <v>#VALUE!</v>
      </c>
      <c r="P35" s="7" t="e">
        <f>averageResponseTimePorter(Dates!P$6,Dates!P$7,'Day2'!$B35)</f>
        <v>#VALUE!</v>
      </c>
      <c r="Q35" s="7" t="e">
        <f>averageResponseTimePorter(Dates!Q$6,Dates!Q$7,'Day2'!$B35)</f>
        <v>#VALUE!</v>
      </c>
      <c r="R35" s="7" t="e">
        <f>averageResponseTimePorter(Dates!R$6,Dates!R$7,'Day2'!$B35)</f>
        <v>#VALUE!</v>
      </c>
      <c r="S35" s="7" t="e">
        <f>averageResponseTimePorter(Dates!S$6,Dates!S$7,'Day2'!$B35)</f>
        <v>#VALUE!</v>
      </c>
      <c r="T35" s="7" t="e">
        <f>averageResponseTimePorter(Dates!T$6,Dates!T$7,'Day2'!$B35)</f>
        <v>#VALUE!</v>
      </c>
      <c r="U35" s="7" t="e">
        <f>averageResponseTimePorter(Dates!$C$6,Dates!$T$7,'Day2'!$B12)</f>
        <v>#VALUE!</v>
      </c>
    </row>
    <row r="36" spans="2:21" x14ac:dyDescent="0.3">
      <c r="B36" s="11" t="str">
        <f t="shared" si="0"/>
        <v>NA13</v>
      </c>
      <c r="C36" s="7" t="e">
        <f>averageResponseTimePorter(Dates!C$6,Dates!C$7,'Day2'!$B36)</f>
        <v>#VALUE!</v>
      </c>
      <c r="D36" s="7" t="e">
        <f>averageResponseTimePorter(Dates!D$6,Dates!D$7,'Day2'!$B36)</f>
        <v>#VALUE!</v>
      </c>
      <c r="E36" s="7" t="e">
        <f>averageResponseTimePorter(Dates!E$6,Dates!E$7,'Day2'!$B36)</f>
        <v>#VALUE!</v>
      </c>
      <c r="F36" s="7" t="e">
        <f>averageResponseTimePorter(Dates!F$6,Dates!F$7,'Day2'!$B36)</f>
        <v>#VALUE!</v>
      </c>
      <c r="G36" s="7" t="e">
        <f>averageResponseTimePorter(Dates!G$6,Dates!G$7,'Day2'!$B36)</f>
        <v>#VALUE!</v>
      </c>
      <c r="H36" s="7" t="e">
        <f>averageResponseTimePorter(Dates!H$6,Dates!H$7,'Day2'!$B36)</f>
        <v>#VALUE!</v>
      </c>
      <c r="I36" s="7" t="e">
        <f>averageResponseTimePorter(Dates!I$6,Dates!I$7,'Day2'!$B36)</f>
        <v>#VALUE!</v>
      </c>
      <c r="J36" s="7" t="e">
        <f>averageResponseTimePorter(Dates!J$6,Dates!J$7,'Day2'!$B36)</f>
        <v>#VALUE!</v>
      </c>
      <c r="K36" s="7" t="e">
        <f>averageResponseTimePorter(Dates!K$6,Dates!K$7,'Day2'!$B36)</f>
        <v>#VALUE!</v>
      </c>
      <c r="L36" s="7" t="e">
        <f>averageResponseTimePorter(Dates!L$6,Dates!L$7,'Day2'!$B36)</f>
        <v>#VALUE!</v>
      </c>
      <c r="M36" s="7" t="e">
        <f>averageResponseTimePorter(Dates!M$6,Dates!M$7,'Day2'!$B36)</f>
        <v>#VALUE!</v>
      </c>
      <c r="N36" s="7" t="e">
        <f>averageResponseTimePorter(Dates!N$6,Dates!N$7,'Day2'!$B36)</f>
        <v>#VALUE!</v>
      </c>
      <c r="O36" s="7" t="e">
        <f>averageResponseTimePorter(Dates!O$6,Dates!O$7,'Day2'!$B36)</f>
        <v>#VALUE!</v>
      </c>
      <c r="P36" s="7" t="e">
        <f>averageResponseTimePorter(Dates!P$6,Dates!P$7,'Day2'!$B36)</f>
        <v>#VALUE!</v>
      </c>
      <c r="Q36" s="7" t="e">
        <f>averageResponseTimePorter(Dates!Q$6,Dates!Q$7,'Day2'!$B36)</f>
        <v>#VALUE!</v>
      </c>
      <c r="R36" s="7" t="e">
        <f>averageResponseTimePorter(Dates!R$6,Dates!R$7,'Day2'!$B36)</f>
        <v>#VALUE!</v>
      </c>
      <c r="S36" s="7" t="e">
        <f>averageResponseTimePorter(Dates!S$6,Dates!S$7,'Day2'!$B36)</f>
        <v>#VALUE!</v>
      </c>
      <c r="T36" s="7" t="e">
        <f>averageResponseTimePorter(Dates!T$6,Dates!T$7,'Day2'!$B36)</f>
        <v>#VALUE!</v>
      </c>
      <c r="U36" s="7" t="e">
        <f>averageResponseTimePorter(Dates!$C$6,Dates!$T$7,'Day2'!$B13)</f>
        <v>#VALUE!</v>
      </c>
    </row>
    <row r="37" spans="2:21" x14ac:dyDescent="0.3">
      <c r="B37" s="11" t="str">
        <f t="shared" si="0"/>
        <v>NA14</v>
      </c>
      <c r="C37" s="7" t="e">
        <f>averageResponseTimePorter(Dates!C$6,Dates!C$7,'Day2'!$B37)</f>
        <v>#VALUE!</v>
      </c>
      <c r="D37" s="7" t="e">
        <f>averageResponseTimePorter(Dates!D$6,Dates!D$7,'Day2'!$B37)</f>
        <v>#VALUE!</v>
      </c>
      <c r="E37" s="7" t="e">
        <f>averageResponseTimePorter(Dates!E$6,Dates!E$7,'Day2'!$B37)</f>
        <v>#VALUE!</v>
      </c>
      <c r="F37" s="7" t="e">
        <f>averageResponseTimePorter(Dates!F$6,Dates!F$7,'Day2'!$B37)</f>
        <v>#VALUE!</v>
      </c>
      <c r="G37" s="7" t="e">
        <f>averageResponseTimePorter(Dates!G$6,Dates!G$7,'Day2'!$B37)</f>
        <v>#VALUE!</v>
      </c>
      <c r="H37" s="7" t="e">
        <f>averageResponseTimePorter(Dates!H$6,Dates!H$7,'Day2'!$B37)</f>
        <v>#VALUE!</v>
      </c>
      <c r="I37" s="7" t="e">
        <f>averageResponseTimePorter(Dates!I$6,Dates!I$7,'Day2'!$B37)</f>
        <v>#VALUE!</v>
      </c>
      <c r="J37" s="7" t="e">
        <f>averageResponseTimePorter(Dates!J$6,Dates!J$7,'Day2'!$B37)</f>
        <v>#VALUE!</v>
      </c>
      <c r="K37" s="7" t="e">
        <f>averageResponseTimePorter(Dates!K$6,Dates!K$7,'Day2'!$B37)</f>
        <v>#VALUE!</v>
      </c>
      <c r="L37" s="7" t="e">
        <f>averageResponseTimePorter(Dates!L$6,Dates!L$7,'Day2'!$B37)</f>
        <v>#VALUE!</v>
      </c>
      <c r="M37" s="7" t="e">
        <f>averageResponseTimePorter(Dates!M$6,Dates!M$7,'Day2'!$B37)</f>
        <v>#VALUE!</v>
      </c>
      <c r="N37" s="7" t="e">
        <f>averageResponseTimePorter(Dates!N$6,Dates!N$7,'Day2'!$B37)</f>
        <v>#VALUE!</v>
      </c>
      <c r="O37" s="7" t="e">
        <f>averageResponseTimePorter(Dates!O$6,Dates!O$7,'Day2'!$B37)</f>
        <v>#VALUE!</v>
      </c>
      <c r="P37" s="7" t="e">
        <f>averageResponseTimePorter(Dates!P$6,Dates!P$7,'Day2'!$B37)</f>
        <v>#VALUE!</v>
      </c>
      <c r="Q37" s="7" t="e">
        <f>averageResponseTimePorter(Dates!Q$6,Dates!Q$7,'Day2'!$B37)</f>
        <v>#VALUE!</v>
      </c>
      <c r="R37" s="7" t="e">
        <f>averageResponseTimePorter(Dates!R$6,Dates!R$7,'Day2'!$B37)</f>
        <v>#VALUE!</v>
      </c>
      <c r="S37" s="7" t="e">
        <f>averageResponseTimePorter(Dates!S$6,Dates!S$7,'Day2'!$B37)</f>
        <v>#VALUE!</v>
      </c>
      <c r="T37" s="7" t="e">
        <f>averageResponseTimePorter(Dates!T$6,Dates!T$7,'Day2'!$B37)</f>
        <v>#VALUE!</v>
      </c>
      <c r="U37" s="7" t="e">
        <f>averageResponseTimePorter(Dates!$C$6,Dates!$T$7,'Day2'!$B14)</f>
        <v>#VALUE!</v>
      </c>
    </row>
    <row r="38" spans="2:21" x14ac:dyDescent="0.3">
      <c r="B38" s="11" t="str">
        <f t="shared" si="0"/>
        <v>NA15</v>
      </c>
      <c r="C38" s="7" t="e">
        <f>averageResponseTimePorter(Dates!C$6,Dates!C$7,'Day2'!$B38)</f>
        <v>#VALUE!</v>
      </c>
      <c r="D38" s="7" t="e">
        <f>averageResponseTimePorter(Dates!D$6,Dates!D$7,'Day2'!$B38)</f>
        <v>#VALUE!</v>
      </c>
      <c r="E38" s="7" t="e">
        <f>averageResponseTimePorter(Dates!E$6,Dates!E$7,'Day2'!$B38)</f>
        <v>#VALUE!</v>
      </c>
      <c r="F38" s="7" t="e">
        <f>averageResponseTimePorter(Dates!F$6,Dates!F$7,'Day2'!$B38)</f>
        <v>#VALUE!</v>
      </c>
      <c r="G38" s="7" t="e">
        <f>averageResponseTimePorter(Dates!G$6,Dates!G$7,'Day2'!$B38)</f>
        <v>#VALUE!</v>
      </c>
      <c r="H38" s="7" t="e">
        <f>averageResponseTimePorter(Dates!H$6,Dates!H$7,'Day2'!$B38)</f>
        <v>#VALUE!</v>
      </c>
      <c r="I38" s="7" t="e">
        <f>averageResponseTimePorter(Dates!I$6,Dates!I$7,'Day2'!$B38)</f>
        <v>#VALUE!</v>
      </c>
      <c r="J38" s="7" t="e">
        <f>averageResponseTimePorter(Dates!J$6,Dates!J$7,'Day2'!$B38)</f>
        <v>#VALUE!</v>
      </c>
      <c r="K38" s="7" t="e">
        <f>averageResponseTimePorter(Dates!K$6,Dates!K$7,'Day2'!$B38)</f>
        <v>#VALUE!</v>
      </c>
      <c r="L38" s="7" t="e">
        <f>averageResponseTimePorter(Dates!L$6,Dates!L$7,'Day2'!$B38)</f>
        <v>#VALUE!</v>
      </c>
      <c r="M38" s="7" t="e">
        <f>averageResponseTimePorter(Dates!M$6,Dates!M$7,'Day2'!$B38)</f>
        <v>#VALUE!</v>
      </c>
      <c r="N38" s="7" t="e">
        <f>averageResponseTimePorter(Dates!N$6,Dates!N$7,'Day2'!$B38)</f>
        <v>#VALUE!</v>
      </c>
      <c r="O38" s="7" t="e">
        <f>averageResponseTimePorter(Dates!O$6,Dates!O$7,'Day2'!$B38)</f>
        <v>#VALUE!</v>
      </c>
      <c r="P38" s="7" t="e">
        <f>averageResponseTimePorter(Dates!P$6,Dates!P$7,'Day2'!$B38)</f>
        <v>#VALUE!</v>
      </c>
      <c r="Q38" s="7" t="e">
        <f>averageResponseTimePorter(Dates!Q$6,Dates!Q$7,'Day2'!$B38)</f>
        <v>#VALUE!</v>
      </c>
      <c r="R38" s="7" t="e">
        <f>averageResponseTimePorter(Dates!R$6,Dates!R$7,'Day2'!$B38)</f>
        <v>#VALUE!</v>
      </c>
      <c r="S38" s="7" t="e">
        <f>averageResponseTimePorter(Dates!S$6,Dates!S$7,'Day2'!$B38)</f>
        <v>#VALUE!</v>
      </c>
      <c r="T38" s="7" t="e">
        <f>averageResponseTimePorter(Dates!T$6,Dates!T$7,'Day2'!$B38)</f>
        <v>#VALUE!</v>
      </c>
      <c r="U38" s="7" t="e">
        <f>averageResponseTimePorter(Dates!$C$6,Dates!$T$7,'Day2'!$B15)</f>
        <v>#VALUE!</v>
      </c>
    </row>
    <row r="39" spans="2:21" x14ac:dyDescent="0.3">
      <c r="B39" s="11" t="str">
        <f t="shared" si="0"/>
        <v>NA16</v>
      </c>
      <c r="C39" s="7" t="e">
        <f>averageResponseTimePorter(Dates!C$6,Dates!C$7,'Day2'!$B39)</f>
        <v>#VALUE!</v>
      </c>
      <c r="D39" s="7" t="e">
        <f>averageResponseTimePorter(Dates!D$6,Dates!D$7,'Day2'!$B39)</f>
        <v>#VALUE!</v>
      </c>
      <c r="E39" s="7" t="e">
        <f>averageResponseTimePorter(Dates!E$6,Dates!E$7,'Day2'!$B39)</f>
        <v>#VALUE!</v>
      </c>
      <c r="F39" s="7" t="e">
        <f>averageResponseTimePorter(Dates!F$6,Dates!F$7,'Day2'!$B39)</f>
        <v>#VALUE!</v>
      </c>
      <c r="G39" s="7" t="e">
        <f>averageResponseTimePorter(Dates!G$6,Dates!G$7,'Day2'!$B39)</f>
        <v>#VALUE!</v>
      </c>
      <c r="H39" s="7" t="e">
        <f>averageResponseTimePorter(Dates!H$6,Dates!H$7,'Day2'!$B39)</f>
        <v>#VALUE!</v>
      </c>
      <c r="I39" s="7" t="e">
        <f>averageResponseTimePorter(Dates!I$6,Dates!I$7,'Day2'!$B39)</f>
        <v>#VALUE!</v>
      </c>
      <c r="J39" s="7" t="e">
        <f>averageResponseTimePorter(Dates!J$6,Dates!J$7,'Day2'!$B39)</f>
        <v>#VALUE!</v>
      </c>
      <c r="K39" s="7" t="e">
        <f>averageResponseTimePorter(Dates!K$6,Dates!K$7,'Day2'!$B39)</f>
        <v>#VALUE!</v>
      </c>
      <c r="L39" s="7" t="e">
        <f>averageResponseTimePorter(Dates!L$6,Dates!L$7,'Day2'!$B39)</f>
        <v>#VALUE!</v>
      </c>
      <c r="M39" s="7" t="e">
        <f>averageResponseTimePorter(Dates!M$6,Dates!M$7,'Day2'!$B39)</f>
        <v>#VALUE!</v>
      </c>
      <c r="N39" s="7" t="e">
        <f>averageResponseTimePorter(Dates!N$6,Dates!N$7,'Day2'!$B39)</f>
        <v>#VALUE!</v>
      </c>
      <c r="O39" s="7" t="e">
        <f>averageResponseTimePorter(Dates!O$6,Dates!O$7,'Day2'!$B39)</f>
        <v>#VALUE!</v>
      </c>
      <c r="P39" s="7" t="e">
        <f>averageResponseTimePorter(Dates!P$6,Dates!P$7,'Day2'!$B39)</f>
        <v>#VALUE!</v>
      </c>
      <c r="Q39" s="7" t="e">
        <f>averageResponseTimePorter(Dates!Q$6,Dates!Q$7,'Day2'!$B39)</f>
        <v>#VALUE!</v>
      </c>
      <c r="R39" s="7" t="e">
        <f>averageResponseTimePorter(Dates!R$6,Dates!R$7,'Day2'!$B39)</f>
        <v>#VALUE!</v>
      </c>
      <c r="S39" s="7" t="e">
        <f>averageResponseTimePorter(Dates!S$6,Dates!S$7,'Day2'!$B39)</f>
        <v>#VALUE!</v>
      </c>
      <c r="T39" s="7" t="e">
        <f>averageResponseTimePorter(Dates!T$6,Dates!T$7,'Day2'!$B39)</f>
        <v>#VALUE!</v>
      </c>
      <c r="U39" s="7" t="e">
        <f>averageResponseTimePorter(Dates!$C$6,Dates!$T$7,'Day2'!$B16)</f>
        <v>#VALUE!</v>
      </c>
    </row>
    <row r="40" spans="2:21" x14ac:dyDescent="0.3">
      <c r="B40" s="11" t="str">
        <f t="shared" si="0"/>
        <v>NA17</v>
      </c>
      <c r="C40" s="7" t="e">
        <f>averageResponseTimePorter(Dates!C$6,Dates!C$7,'Day2'!$B40)</f>
        <v>#VALUE!</v>
      </c>
      <c r="D40" s="7" t="e">
        <f>averageResponseTimePorter(Dates!D$6,Dates!D$7,'Day2'!$B40)</f>
        <v>#VALUE!</v>
      </c>
      <c r="E40" s="7" t="e">
        <f>averageResponseTimePorter(Dates!E$6,Dates!E$7,'Day2'!$B40)</f>
        <v>#VALUE!</v>
      </c>
      <c r="F40" s="7" t="e">
        <f>averageResponseTimePorter(Dates!F$6,Dates!F$7,'Day2'!$B40)</f>
        <v>#VALUE!</v>
      </c>
      <c r="G40" s="7" t="e">
        <f>averageResponseTimePorter(Dates!G$6,Dates!G$7,'Day2'!$B40)</f>
        <v>#VALUE!</v>
      </c>
      <c r="H40" s="7" t="e">
        <f>averageResponseTimePorter(Dates!H$6,Dates!H$7,'Day2'!$B40)</f>
        <v>#VALUE!</v>
      </c>
      <c r="I40" s="7" t="e">
        <f>averageResponseTimePorter(Dates!I$6,Dates!I$7,'Day2'!$B40)</f>
        <v>#VALUE!</v>
      </c>
      <c r="J40" s="7" t="e">
        <f>averageResponseTimePorter(Dates!J$6,Dates!J$7,'Day2'!$B40)</f>
        <v>#VALUE!</v>
      </c>
      <c r="K40" s="7" t="e">
        <f>averageResponseTimePorter(Dates!K$6,Dates!K$7,'Day2'!$B40)</f>
        <v>#VALUE!</v>
      </c>
      <c r="L40" s="7" t="e">
        <f>averageResponseTimePorter(Dates!L$6,Dates!L$7,'Day2'!$B40)</f>
        <v>#VALUE!</v>
      </c>
      <c r="M40" s="7" t="e">
        <f>averageResponseTimePorter(Dates!M$6,Dates!M$7,'Day2'!$B40)</f>
        <v>#VALUE!</v>
      </c>
      <c r="N40" s="7" t="e">
        <f>averageResponseTimePorter(Dates!N$6,Dates!N$7,'Day2'!$B40)</f>
        <v>#VALUE!</v>
      </c>
      <c r="O40" s="7" t="e">
        <f>averageResponseTimePorter(Dates!O$6,Dates!O$7,'Day2'!$B40)</f>
        <v>#VALUE!</v>
      </c>
      <c r="P40" s="7" t="e">
        <f>averageResponseTimePorter(Dates!P$6,Dates!P$7,'Day2'!$B40)</f>
        <v>#VALUE!</v>
      </c>
      <c r="Q40" s="7" t="e">
        <f>averageResponseTimePorter(Dates!Q$6,Dates!Q$7,'Day2'!$B40)</f>
        <v>#VALUE!</v>
      </c>
      <c r="R40" s="7" t="e">
        <f>averageResponseTimePorter(Dates!R$6,Dates!R$7,'Day2'!$B40)</f>
        <v>#VALUE!</v>
      </c>
      <c r="S40" s="7" t="e">
        <f>averageResponseTimePorter(Dates!S$6,Dates!S$7,'Day2'!$B40)</f>
        <v>#VALUE!</v>
      </c>
      <c r="T40" s="7" t="e">
        <f>averageResponseTimePorter(Dates!T$6,Dates!T$7,'Day2'!$B40)</f>
        <v>#VALUE!</v>
      </c>
      <c r="U40" s="7" t="e">
        <f>averageResponseTimePorter(Dates!$C$6,Dates!$T$7,'Day2'!$B17)</f>
        <v>#VALUE!</v>
      </c>
    </row>
    <row r="41" spans="2:21" x14ac:dyDescent="0.3">
      <c r="B41" s="11" t="str">
        <f t="shared" si="0"/>
        <v>NA18</v>
      </c>
      <c r="C41" s="7" t="e">
        <f>averageResponseTimePorter(Dates!C$6,Dates!C$7,'Day2'!$B41)</f>
        <v>#VALUE!</v>
      </c>
      <c r="D41" s="7" t="e">
        <f>averageResponseTimePorter(Dates!D$6,Dates!D$7,'Day2'!$B41)</f>
        <v>#VALUE!</v>
      </c>
      <c r="E41" s="7" t="e">
        <f>averageResponseTimePorter(Dates!E$6,Dates!E$7,'Day2'!$B41)</f>
        <v>#VALUE!</v>
      </c>
      <c r="F41" s="7" t="e">
        <f>averageResponseTimePorter(Dates!F$6,Dates!F$7,'Day2'!$B41)</f>
        <v>#VALUE!</v>
      </c>
      <c r="G41" s="7" t="e">
        <f>averageResponseTimePorter(Dates!G$6,Dates!G$7,'Day2'!$B41)</f>
        <v>#VALUE!</v>
      </c>
      <c r="H41" s="7" t="e">
        <f>averageResponseTimePorter(Dates!H$6,Dates!H$7,'Day2'!$B41)</f>
        <v>#VALUE!</v>
      </c>
      <c r="I41" s="7" t="e">
        <f>averageResponseTimePorter(Dates!I$6,Dates!I$7,'Day2'!$B41)</f>
        <v>#VALUE!</v>
      </c>
      <c r="J41" s="7" t="e">
        <f>averageResponseTimePorter(Dates!J$6,Dates!J$7,'Day2'!$B41)</f>
        <v>#VALUE!</v>
      </c>
      <c r="K41" s="7" t="e">
        <f>averageResponseTimePorter(Dates!K$6,Dates!K$7,'Day2'!$B41)</f>
        <v>#VALUE!</v>
      </c>
      <c r="L41" s="7" t="e">
        <f>averageResponseTimePorter(Dates!L$6,Dates!L$7,'Day2'!$B41)</f>
        <v>#VALUE!</v>
      </c>
      <c r="M41" s="7" t="e">
        <f>averageResponseTimePorter(Dates!M$6,Dates!M$7,'Day2'!$B41)</f>
        <v>#VALUE!</v>
      </c>
      <c r="N41" s="7" t="e">
        <f>averageResponseTimePorter(Dates!N$6,Dates!N$7,'Day2'!$B41)</f>
        <v>#VALUE!</v>
      </c>
      <c r="O41" s="7" t="e">
        <f>averageResponseTimePorter(Dates!O$6,Dates!O$7,'Day2'!$B41)</f>
        <v>#VALUE!</v>
      </c>
      <c r="P41" s="7" t="e">
        <f>averageResponseTimePorter(Dates!P$6,Dates!P$7,'Day2'!$B41)</f>
        <v>#VALUE!</v>
      </c>
      <c r="Q41" s="7" t="e">
        <f>averageResponseTimePorter(Dates!Q$6,Dates!Q$7,'Day2'!$B41)</f>
        <v>#VALUE!</v>
      </c>
      <c r="R41" s="7" t="e">
        <f>averageResponseTimePorter(Dates!R$6,Dates!R$7,'Day2'!$B41)</f>
        <v>#VALUE!</v>
      </c>
      <c r="S41" s="7" t="e">
        <f>averageResponseTimePorter(Dates!S$6,Dates!S$7,'Day2'!$B41)</f>
        <v>#VALUE!</v>
      </c>
      <c r="T41" s="7" t="e">
        <f>averageResponseTimePorter(Dates!T$6,Dates!T$7,'Day2'!$B41)</f>
        <v>#VALUE!</v>
      </c>
      <c r="U41" s="7" t="e">
        <f>averageResponseTimePorter(Dates!$C$6,Dates!$T$7,'Day2'!$B18)</f>
        <v>#VALUE!</v>
      </c>
    </row>
    <row r="42" spans="2:21" x14ac:dyDescent="0.3">
      <c r="B42" s="11" t="str">
        <f t="shared" si="0"/>
        <v>NA19</v>
      </c>
      <c r="C42" s="7" t="e">
        <f>averageResponseTimePorter(Dates!C$6,Dates!C$7,'Day2'!$B42)</f>
        <v>#VALUE!</v>
      </c>
      <c r="D42" s="7" t="e">
        <f>averageResponseTimePorter(Dates!D$6,Dates!D$7,'Day2'!$B42)</f>
        <v>#VALUE!</v>
      </c>
      <c r="E42" s="7" t="e">
        <f>averageResponseTimePorter(Dates!E$6,Dates!E$7,'Day2'!$B42)</f>
        <v>#VALUE!</v>
      </c>
      <c r="F42" s="7" t="e">
        <f>averageResponseTimePorter(Dates!F$6,Dates!F$7,'Day2'!$B42)</f>
        <v>#VALUE!</v>
      </c>
      <c r="G42" s="7" t="e">
        <f>averageResponseTimePorter(Dates!G$6,Dates!G$7,'Day2'!$B42)</f>
        <v>#VALUE!</v>
      </c>
      <c r="H42" s="7" t="e">
        <f>averageResponseTimePorter(Dates!H$6,Dates!H$7,'Day2'!$B42)</f>
        <v>#VALUE!</v>
      </c>
      <c r="I42" s="7" t="e">
        <f>averageResponseTimePorter(Dates!I$6,Dates!I$7,'Day2'!$B42)</f>
        <v>#VALUE!</v>
      </c>
      <c r="J42" s="7" t="e">
        <f>averageResponseTimePorter(Dates!J$6,Dates!J$7,'Day2'!$B42)</f>
        <v>#VALUE!</v>
      </c>
      <c r="K42" s="7" t="e">
        <f>averageResponseTimePorter(Dates!K$6,Dates!K$7,'Day2'!$B42)</f>
        <v>#VALUE!</v>
      </c>
      <c r="L42" s="7" t="e">
        <f>averageResponseTimePorter(Dates!L$6,Dates!L$7,'Day2'!$B42)</f>
        <v>#VALUE!</v>
      </c>
      <c r="M42" s="7" t="e">
        <f>averageResponseTimePorter(Dates!M$6,Dates!M$7,'Day2'!$B42)</f>
        <v>#VALUE!</v>
      </c>
      <c r="N42" s="7" t="e">
        <f>averageResponseTimePorter(Dates!N$6,Dates!N$7,'Day2'!$B42)</f>
        <v>#VALUE!</v>
      </c>
      <c r="O42" s="7" t="e">
        <f>averageResponseTimePorter(Dates!O$6,Dates!O$7,'Day2'!$B42)</f>
        <v>#VALUE!</v>
      </c>
      <c r="P42" s="7" t="e">
        <f>averageResponseTimePorter(Dates!P$6,Dates!P$7,'Day2'!$B42)</f>
        <v>#VALUE!</v>
      </c>
      <c r="Q42" s="7" t="e">
        <f>averageResponseTimePorter(Dates!Q$6,Dates!Q$7,'Day2'!$B42)</f>
        <v>#VALUE!</v>
      </c>
      <c r="R42" s="7" t="e">
        <f>averageResponseTimePorter(Dates!R$6,Dates!R$7,'Day2'!$B42)</f>
        <v>#VALUE!</v>
      </c>
      <c r="S42" s="7" t="e">
        <f>averageResponseTimePorter(Dates!S$6,Dates!S$7,'Day2'!$B42)</f>
        <v>#VALUE!</v>
      </c>
      <c r="T42" s="7" t="e">
        <f>averageResponseTimePorter(Dates!T$6,Dates!T$7,'Day2'!$B42)</f>
        <v>#VALUE!</v>
      </c>
      <c r="U42" s="7" t="e">
        <f>averageResponseTimePorter(Dates!$C$6,Dates!$T$7,'Day2'!$B19)</f>
        <v>#VALUE!</v>
      </c>
    </row>
    <row r="43" spans="2:21" x14ac:dyDescent="0.3">
      <c r="B43" s="11" t="str">
        <f t="shared" si="0"/>
        <v>NA20</v>
      </c>
      <c r="C43" s="7" t="e">
        <f>averageResponseTimePorter(Dates!C$6,Dates!C$7,'Day2'!$B43)</f>
        <v>#VALUE!</v>
      </c>
      <c r="D43" s="7" t="e">
        <f>averageResponseTimePorter(Dates!D$6,Dates!D$7,'Day2'!$B43)</f>
        <v>#VALUE!</v>
      </c>
      <c r="E43" s="7" t="e">
        <f>averageResponseTimePorter(Dates!E$6,Dates!E$7,'Day2'!$B43)</f>
        <v>#VALUE!</v>
      </c>
      <c r="F43" s="7" t="e">
        <f>averageResponseTimePorter(Dates!F$6,Dates!F$7,'Day2'!$B43)</f>
        <v>#VALUE!</v>
      </c>
      <c r="G43" s="7" t="e">
        <f>averageResponseTimePorter(Dates!G$6,Dates!G$7,'Day2'!$B43)</f>
        <v>#VALUE!</v>
      </c>
      <c r="H43" s="7" t="e">
        <f>averageResponseTimePorter(Dates!H$6,Dates!H$7,'Day2'!$B43)</f>
        <v>#VALUE!</v>
      </c>
      <c r="I43" s="7" t="e">
        <f>averageResponseTimePorter(Dates!I$6,Dates!I$7,'Day2'!$B43)</f>
        <v>#VALUE!</v>
      </c>
      <c r="J43" s="7" t="e">
        <f>averageResponseTimePorter(Dates!J$6,Dates!J$7,'Day2'!$B43)</f>
        <v>#VALUE!</v>
      </c>
      <c r="K43" s="7" t="e">
        <f>averageResponseTimePorter(Dates!K$6,Dates!K$7,'Day2'!$B43)</f>
        <v>#VALUE!</v>
      </c>
      <c r="L43" s="7" t="e">
        <f>averageResponseTimePorter(Dates!L$6,Dates!L$7,'Day2'!$B43)</f>
        <v>#VALUE!</v>
      </c>
      <c r="M43" s="7" t="e">
        <f>averageResponseTimePorter(Dates!M$6,Dates!M$7,'Day2'!$B43)</f>
        <v>#VALUE!</v>
      </c>
      <c r="N43" s="7" t="e">
        <f>averageResponseTimePorter(Dates!N$6,Dates!N$7,'Day2'!$B43)</f>
        <v>#VALUE!</v>
      </c>
      <c r="O43" s="7" t="e">
        <f>averageResponseTimePorter(Dates!O$6,Dates!O$7,'Day2'!$B43)</f>
        <v>#VALUE!</v>
      </c>
      <c r="P43" s="7" t="e">
        <f>averageResponseTimePorter(Dates!P$6,Dates!P$7,'Day2'!$B43)</f>
        <v>#VALUE!</v>
      </c>
      <c r="Q43" s="7" t="e">
        <f>averageResponseTimePorter(Dates!Q$6,Dates!Q$7,'Day2'!$B43)</f>
        <v>#VALUE!</v>
      </c>
      <c r="R43" s="7" t="e">
        <f>averageResponseTimePorter(Dates!R$6,Dates!R$7,'Day2'!$B43)</f>
        <v>#VALUE!</v>
      </c>
      <c r="S43" s="7" t="e">
        <f>averageResponseTimePorter(Dates!S$6,Dates!S$7,'Day2'!$B43)</f>
        <v>#VALUE!</v>
      </c>
      <c r="T43" s="7" t="e">
        <f>averageResponseTimePorter(Dates!T$6,Dates!T$7,'Day2'!$B43)</f>
        <v>#VALUE!</v>
      </c>
      <c r="U43" s="7" t="e">
        <f>averageResponseTimePorter(Dates!$C$6,Dates!$T$7,'Day2'!$B20)</f>
        <v>#VALUE!</v>
      </c>
    </row>
    <row r="44" spans="2:21" x14ac:dyDescent="0.3">
      <c r="B44" s="11" t="str">
        <f t="shared" si="0"/>
        <v>NA21</v>
      </c>
      <c r="C44" s="7" t="e">
        <f>averageResponseTimePorter(Dates!C$6,Dates!C$7,'Day2'!$B44)</f>
        <v>#VALUE!</v>
      </c>
      <c r="D44" s="7" t="e">
        <f>averageResponseTimePorter(Dates!D$6,Dates!D$7,'Day2'!$B44)</f>
        <v>#VALUE!</v>
      </c>
      <c r="E44" s="7" t="e">
        <f>averageResponseTimePorter(Dates!E$6,Dates!E$7,'Day2'!$B44)</f>
        <v>#VALUE!</v>
      </c>
      <c r="F44" s="7" t="e">
        <f>averageResponseTimePorter(Dates!F$6,Dates!F$7,'Day2'!$B44)</f>
        <v>#VALUE!</v>
      </c>
      <c r="G44" s="7" t="e">
        <f>averageResponseTimePorter(Dates!G$6,Dates!G$7,'Day2'!$B44)</f>
        <v>#VALUE!</v>
      </c>
      <c r="H44" s="7" t="e">
        <f>averageResponseTimePorter(Dates!H$6,Dates!H$7,'Day2'!$B44)</f>
        <v>#VALUE!</v>
      </c>
      <c r="I44" s="7" t="e">
        <f>averageResponseTimePorter(Dates!I$6,Dates!I$7,'Day2'!$B44)</f>
        <v>#VALUE!</v>
      </c>
      <c r="J44" s="7" t="e">
        <f>averageResponseTimePorter(Dates!J$6,Dates!J$7,'Day2'!$B44)</f>
        <v>#VALUE!</v>
      </c>
      <c r="K44" s="7" t="e">
        <f>averageResponseTimePorter(Dates!K$6,Dates!K$7,'Day2'!$B44)</f>
        <v>#VALUE!</v>
      </c>
      <c r="L44" s="7" t="e">
        <f>averageResponseTimePorter(Dates!L$6,Dates!L$7,'Day2'!$B44)</f>
        <v>#VALUE!</v>
      </c>
      <c r="M44" s="7" t="e">
        <f>averageResponseTimePorter(Dates!M$6,Dates!M$7,'Day2'!$B44)</f>
        <v>#VALUE!</v>
      </c>
      <c r="N44" s="7" t="e">
        <f>averageResponseTimePorter(Dates!N$6,Dates!N$7,'Day2'!$B44)</f>
        <v>#VALUE!</v>
      </c>
      <c r="O44" s="7" t="e">
        <f>averageResponseTimePorter(Dates!O$6,Dates!O$7,'Day2'!$B44)</f>
        <v>#VALUE!</v>
      </c>
      <c r="P44" s="7" t="e">
        <f>averageResponseTimePorter(Dates!P$6,Dates!P$7,'Day2'!$B44)</f>
        <v>#VALUE!</v>
      </c>
      <c r="Q44" s="7" t="e">
        <f>averageResponseTimePorter(Dates!Q$6,Dates!Q$7,'Day2'!$B44)</f>
        <v>#VALUE!</v>
      </c>
      <c r="R44" s="7" t="e">
        <f>averageResponseTimePorter(Dates!R$6,Dates!R$7,'Day2'!$B44)</f>
        <v>#VALUE!</v>
      </c>
      <c r="S44" s="7" t="e">
        <f>averageResponseTimePorter(Dates!S$6,Dates!S$7,'Day2'!$B44)</f>
        <v>#VALUE!</v>
      </c>
      <c r="T44" s="7" t="e">
        <f>averageResponseTimePorter(Dates!T$6,Dates!T$7,'Day2'!$B44)</f>
        <v>#VALUE!</v>
      </c>
      <c r="U44" s="7" t="e">
        <f>averageResponseTimePorter(Dates!$C$6,Dates!$T$7,'Day2'!$B21)</f>
        <v>#VALUE!</v>
      </c>
    </row>
    <row r="45" spans="2:21" x14ac:dyDescent="0.3">
      <c r="B45" s="11" t="str">
        <f t="shared" si="0"/>
        <v>NA22</v>
      </c>
      <c r="C45" s="7" t="e">
        <f>averageResponseTimePorter(Dates!C$6,Dates!C$7,'Day2'!$B45)</f>
        <v>#VALUE!</v>
      </c>
      <c r="D45" s="7" t="e">
        <f>averageResponseTimePorter(Dates!D$6,Dates!D$7,'Day2'!$B45)</f>
        <v>#VALUE!</v>
      </c>
      <c r="E45" s="7" t="e">
        <f>averageResponseTimePorter(Dates!E$6,Dates!E$7,'Day2'!$B45)</f>
        <v>#VALUE!</v>
      </c>
      <c r="F45" s="7" t="e">
        <f>averageResponseTimePorter(Dates!F$6,Dates!F$7,'Day2'!$B45)</f>
        <v>#VALUE!</v>
      </c>
      <c r="G45" s="7" t="e">
        <f>averageResponseTimePorter(Dates!G$6,Dates!G$7,'Day2'!$B45)</f>
        <v>#VALUE!</v>
      </c>
      <c r="H45" s="7" t="e">
        <f>averageResponseTimePorter(Dates!H$6,Dates!H$7,'Day2'!$B45)</f>
        <v>#VALUE!</v>
      </c>
      <c r="I45" s="7" t="e">
        <f>averageResponseTimePorter(Dates!I$6,Dates!I$7,'Day2'!$B45)</f>
        <v>#VALUE!</v>
      </c>
      <c r="J45" s="7" t="e">
        <f>averageResponseTimePorter(Dates!J$6,Dates!J$7,'Day2'!$B45)</f>
        <v>#VALUE!</v>
      </c>
      <c r="K45" s="7" t="e">
        <f>averageResponseTimePorter(Dates!K$6,Dates!K$7,'Day2'!$B45)</f>
        <v>#VALUE!</v>
      </c>
      <c r="L45" s="7" t="e">
        <f>averageResponseTimePorter(Dates!L$6,Dates!L$7,'Day2'!$B45)</f>
        <v>#VALUE!</v>
      </c>
      <c r="M45" s="7" t="e">
        <f>averageResponseTimePorter(Dates!M$6,Dates!M$7,'Day2'!$B45)</f>
        <v>#VALUE!</v>
      </c>
      <c r="N45" s="7" t="e">
        <f>averageResponseTimePorter(Dates!N$6,Dates!N$7,'Day2'!$B45)</f>
        <v>#VALUE!</v>
      </c>
      <c r="O45" s="7" t="e">
        <f>averageResponseTimePorter(Dates!O$6,Dates!O$7,'Day2'!$B45)</f>
        <v>#VALUE!</v>
      </c>
      <c r="P45" s="7" t="e">
        <f>averageResponseTimePorter(Dates!P$6,Dates!P$7,'Day2'!$B45)</f>
        <v>#VALUE!</v>
      </c>
      <c r="Q45" s="7" t="e">
        <f>averageResponseTimePorter(Dates!Q$6,Dates!Q$7,'Day2'!$B45)</f>
        <v>#VALUE!</v>
      </c>
      <c r="R45" s="7" t="e">
        <f>averageResponseTimePorter(Dates!R$6,Dates!R$7,'Day2'!$B45)</f>
        <v>#VALUE!</v>
      </c>
      <c r="S45" s="7" t="e">
        <f>averageResponseTimePorter(Dates!S$6,Dates!S$7,'Day2'!$B45)</f>
        <v>#VALUE!</v>
      </c>
      <c r="T45" s="7" t="e">
        <f>averageResponseTimePorter(Dates!T$6,Dates!T$7,'Day2'!$B45)</f>
        <v>#VALUE!</v>
      </c>
      <c r="U45" s="7" t="e">
        <f>averageResponseTimePorter(Dates!$C$6,Dates!$T$7,'Day2'!$B22)</f>
        <v>#VALUE!</v>
      </c>
    </row>
    <row r="46" spans="2:21" x14ac:dyDescent="0.3">
      <c r="B46" s="11" t="str">
        <f t="shared" si="0"/>
        <v>NA23</v>
      </c>
      <c r="C46" s="7" t="e">
        <f>averageResponseTimePorter(Dates!C$6,Dates!C$7,'Day2'!$B46)</f>
        <v>#VALUE!</v>
      </c>
      <c r="D46" s="7" t="e">
        <f>averageResponseTimePorter(Dates!D$6,Dates!D$7,'Day2'!$B46)</f>
        <v>#VALUE!</v>
      </c>
      <c r="E46" s="7" t="e">
        <f>averageResponseTimePorter(Dates!E$6,Dates!E$7,'Day2'!$B46)</f>
        <v>#VALUE!</v>
      </c>
      <c r="F46" s="7" t="e">
        <f>averageResponseTimePorter(Dates!F$6,Dates!F$7,'Day2'!$B46)</f>
        <v>#VALUE!</v>
      </c>
      <c r="G46" s="7" t="e">
        <f>averageResponseTimePorter(Dates!G$6,Dates!G$7,'Day2'!$B46)</f>
        <v>#VALUE!</v>
      </c>
      <c r="H46" s="7" t="e">
        <f>averageResponseTimePorter(Dates!H$6,Dates!H$7,'Day2'!$B46)</f>
        <v>#VALUE!</v>
      </c>
      <c r="I46" s="7" t="e">
        <f>averageResponseTimePorter(Dates!I$6,Dates!I$7,'Day2'!$B46)</f>
        <v>#VALUE!</v>
      </c>
      <c r="J46" s="7" t="e">
        <f>averageResponseTimePorter(Dates!J$6,Dates!J$7,'Day2'!$B46)</f>
        <v>#VALUE!</v>
      </c>
      <c r="K46" s="7" t="e">
        <f>averageResponseTimePorter(Dates!K$6,Dates!K$7,'Day2'!$B46)</f>
        <v>#VALUE!</v>
      </c>
      <c r="L46" s="7" t="e">
        <f>averageResponseTimePorter(Dates!L$6,Dates!L$7,'Day2'!$B46)</f>
        <v>#VALUE!</v>
      </c>
      <c r="M46" s="7" t="e">
        <f>averageResponseTimePorter(Dates!M$6,Dates!M$7,'Day2'!$B46)</f>
        <v>#VALUE!</v>
      </c>
      <c r="N46" s="7" t="e">
        <f>averageResponseTimePorter(Dates!N$6,Dates!N$7,'Day2'!$B46)</f>
        <v>#VALUE!</v>
      </c>
      <c r="O46" s="7" t="e">
        <f>averageResponseTimePorter(Dates!O$6,Dates!O$7,'Day2'!$B46)</f>
        <v>#VALUE!</v>
      </c>
      <c r="P46" s="7" t="e">
        <f>averageResponseTimePorter(Dates!P$6,Dates!P$7,'Day2'!$B46)</f>
        <v>#VALUE!</v>
      </c>
      <c r="Q46" s="7" t="e">
        <f>averageResponseTimePorter(Dates!Q$6,Dates!Q$7,'Day2'!$B46)</f>
        <v>#VALUE!</v>
      </c>
      <c r="R46" s="7" t="e">
        <f>averageResponseTimePorter(Dates!R$6,Dates!R$7,'Day2'!$B46)</f>
        <v>#VALUE!</v>
      </c>
      <c r="S46" s="7" t="e">
        <f>averageResponseTimePorter(Dates!S$6,Dates!S$7,'Day2'!$B46)</f>
        <v>#VALUE!</v>
      </c>
      <c r="T46" s="7" t="e">
        <f>averageResponseTimePorter(Dates!T$6,Dates!T$7,'Day2'!$B46)</f>
        <v>#VALUE!</v>
      </c>
      <c r="U46" s="7" t="e">
        <f>averageResponseTimePorter(Dates!$C$6,Dates!$T$7,'Day2'!$B23)</f>
        <v>#VALUE!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B26" sqref="B26:B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102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111</v>
      </c>
    </row>
    <row r="2" spans="1:21" x14ac:dyDescent="0.3">
      <c r="A2" t="s">
        <v>104</v>
      </c>
      <c r="B2" s="11" t="s">
        <v>106</v>
      </c>
      <c r="C2" s="7" t="e">
        <f>averageCompletionTime(Dates!C8,Dates!C9)</f>
        <v>#VALUE!</v>
      </c>
      <c r="D2" s="7" t="e">
        <f>averageCompletionTime(Dates!D8,Dates!D9)</f>
        <v>#VALUE!</v>
      </c>
      <c r="E2" s="7" t="e">
        <f>averageCompletionTime(Dates!E8,Dates!E9)</f>
        <v>#VALUE!</v>
      </c>
      <c r="F2" s="7" t="e">
        <f>averageCompletionTime(Dates!F8,Dates!F9)</f>
        <v>#VALUE!</v>
      </c>
      <c r="G2" s="7" t="e">
        <f>averageCompletionTime(Dates!G8,Dates!G9)</f>
        <v>#VALUE!</v>
      </c>
      <c r="H2" s="7" t="e">
        <f>averageCompletionTime(Dates!H8,Dates!H9)</f>
        <v>#VALUE!</v>
      </c>
      <c r="I2" s="7" t="e">
        <f>averageCompletionTime(Dates!I8,Dates!I9)</f>
        <v>#VALUE!</v>
      </c>
      <c r="J2" s="7" t="e">
        <f>averageCompletionTime(Dates!J8,Dates!J9)</f>
        <v>#VALUE!</v>
      </c>
      <c r="K2" s="7" t="e">
        <f>averageCompletionTime(Dates!K8,Dates!K9)</f>
        <v>#VALUE!</v>
      </c>
      <c r="L2" s="7" t="e">
        <f>averageCompletionTime(Dates!L8,Dates!L9)</f>
        <v>#VALUE!</v>
      </c>
      <c r="M2" s="7" t="e">
        <f>averageCompletionTime(Dates!M8,Dates!M9)</f>
        <v>#VALUE!</v>
      </c>
      <c r="N2" s="7" t="e">
        <f>averageCompletionTime(Dates!N8,Dates!N9)</f>
        <v>#VALUE!</v>
      </c>
      <c r="O2" s="7" t="e">
        <f>averageCompletionTime(Dates!O8,Dates!O9)</f>
        <v>#VALUE!</v>
      </c>
      <c r="P2" s="7" t="e">
        <f>averageCompletionTime(Dates!P8,Dates!P9)</f>
        <v>#VALUE!</v>
      </c>
      <c r="Q2" s="7" t="e">
        <f>averageCompletionTime(Dates!Q8,Dates!Q9)</f>
        <v>#VALUE!</v>
      </c>
      <c r="R2" s="7" t="e">
        <f>averageCompletionTime(Dates!R8,Dates!R9)</f>
        <v>#VALUE!</v>
      </c>
      <c r="S2" s="7" t="e">
        <f>averageCompletionTime(Dates!S8,Dates!S9)</f>
        <v>#VALUE!</v>
      </c>
      <c r="T2" s="7" t="e">
        <f>averageCompletionTime(Dates!T8,Dates!T9)</f>
        <v>#VALUE!</v>
      </c>
      <c r="U2" s="7" t="e">
        <f>averageCompletionTime(Dates!C8,Dates!T9)</f>
        <v>#VALUE!</v>
      </c>
    </row>
    <row r="3" spans="1:21" x14ac:dyDescent="0.3">
      <c r="A3" s="10" t="s">
        <v>105</v>
      </c>
      <c r="B3" s="12"/>
      <c r="C3" s="7" t="e">
        <f>averageCompletionTimePorter(Dates!C$8,Dates!C$9,'Day3'!$B3)</f>
        <v>#VALUE!</v>
      </c>
      <c r="D3" s="7" t="e">
        <f>averageCompletionTimePorter(Dates!D$8,Dates!D$9,'Day3'!$B3)</f>
        <v>#VALUE!</v>
      </c>
      <c r="E3" s="7" t="e">
        <f>averageCompletionTimePorter(Dates!E$8,Dates!E$9,'Day3'!$B3)</f>
        <v>#VALUE!</v>
      </c>
      <c r="F3" s="7" t="e">
        <f>averageCompletionTimePorter(Dates!F$8,Dates!F$9,'Day3'!$B3)</f>
        <v>#VALUE!</v>
      </c>
      <c r="G3" s="7" t="e">
        <f>averageCompletionTimePorter(Dates!G$8,Dates!G$9,'Day3'!$B3)</f>
        <v>#VALUE!</v>
      </c>
      <c r="H3" s="7" t="e">
        <f>averageCompletionTimePorter(Dates!H$8,Dates!H$9,'Day3'!$B3)</f>
        <v>#VALUE!</v>
      </c>
      <c r="I3" s="7" t="e">
        <f>averageCompletionTimePorter(Dates!I$8,Dates!I$9,'Day3'!$B3)</f>
        <v>#VALUE!</v>
      </c>
      <c r="J3" s="7" t="e">
        <f>averageCompletionTimePorter(Dates!J$8,Dates!J$9,'Day3'!$B3)</f>
        <v>#VALUE!</v>
      </c>
      <c r="K3" s="7" t="e">
        <f>averageCompletionTimePorter(Dates!K$8,Dates!K$9,'Day3'!$B3)</f>
        <v>#VALUE!</v>
      </c>
      <c r="L3" s="7" t="e">
        <f>averageCompletionTimePorter(Dates!L$8,Dates!L$9,'Day3'!$B3)</f>
        <v>#VALUE!</v>
      </c>
      <c r="M3" s="7" t="e">
        <f>averageCompletionTimePorter(Dates!M$8,Dates!M$9,'Day3'!$B3)</f>
        <v>#VALUE!</v>
      </c>
      <c r="N3" s="7" t="e">
        <f>averageCompletionTimePorter(Dates!N$8,Dates!N$9,'Day3'!$B3)</f>
        <v>#VALUE!</v>
      </c>
      <c r="O3" s="7" t="e">
        <f>averageCompletionTimePorter(Dates!O$8,Dates!O$9,'Day3'!$B3)</f>
        <v>#VALUE!</v>
      </c>
      <c r="P3" s="7" t="e">
        <f>averageCompletionTimePorter(Dates!P$8,Dates!P$9,'Day3'!$B3)</f>
        <v>#VALUE!</v>
      </c>
      <c r="Q3" s="7" t="e">
        <f>averageCompletionTimePorter(Dates!Q$8,Dates!Q$9,'Day3'!$B3)</f>
        <v>#VALUE!</v>
      </c>
      <c r="R3" s="7" t="e">
        <f>averageCompletionTimePorter(Dates!R$8,Dates!R$9,'Day3'!$B3)</f>
        <v>#VALUE!</v>
      </c>
      <c r="S3" s="7" t="e">
        <f>averageCompletionTimePorter(Dates!S$8,Dates!S$9,'Day3'!$B3)</f>
        <v>#VALUE!</v>
      </c>
      <c r="T3" s="7" t="e">
        <f>averageCompletionTimePorter(Dates!T$8,Dates!T$9,'Day3'!$B3)</f>
        <v>#VALUE!</v>
      </c>
      <c r="U3" s="7" t="e">
        <f>averageCompletionTimePorter(Dates!$C$8,Dates!$T$9,'Day3'!$B3)</f>
        <v>#VALUE!</v>
      </c>
    </row>
    <row r="4" spans="1:21" x14ac:dyDescent="0.3">
      <c r="A4" s="10"/>
      <c r="B4" s="12" t="s">
        <v>372</v>
      </c>
      <c r="C4" s="7" t="e">
        <f>averageCompletionTimePorter(Dates!C$8,Dates!C$9,'Day3'!$B4)</f>
        <v>#VALUE!</v>
      </c>
      <c r="D4" s="7" t="e">
        <f>averageCompletionTimePorter(Dates!D$8,Dates!D$9,'Day3'!$B4)</f>
        <v>#VALUE!</v>
      </c>
      <c r="E4" s="7" t="e">
        <f>averageCompletionTimePorter(Dates!E$8,Dates!E$9,'Day3'!$B4)</f>
        <v>#VALUE!</v>
      </c>
      <c r="F4" s="7" t="e">
        <f>averageCompletionTimePorter(Dates!F$8,Dates!F$9,'Day3'!$B4)</f>
        <v>#VALUE!</v>
      </c>
      <c r="G4" s="7" t="e">
        <f>averageCompletionTimePorter(Dates!G$8,Dates!G$9,'Day3'!$B4)</f>
        <v>#VALUE!</v>
      </c>
      <c r="H4" s="7" t="e">
        <f>averageCompletionTimePorter(Dates!H$8,Dates!H$9,'Day3'!$B4)</f>
        <v>#VALUE!</v>
      </c>
      <c r="I4" s="7" t="e">
        <f>averageCompletionTimePorter(Dates!I$8,Dates!I$9,'Day3'!$B4)</f>
        <v>#VALUE!</v>
      </c>
      <c r="J4" s="7" t="e">
        <f>averageCompletionTimePorter(Dates!J$8,Dates!J$9,'Day3'!$B4)</f>
        <v>#VALUE!</v>
      </c>
      <c r="K4" s="7" t="e">
        <f>averageCompletionTimePorter(Dates!K$8,Dates!K$9,'Day3'!$B4)</f>
        <v>#VALUE!</v>
      </c>
      <c r="L4" s="7" t="e">
        <f>averageCompletionTimePorter(Dates!L$8,Dates!L$9,'Day3'!$B4)</f>
        <v>#VALUE!</v>
      </c>
      <c r="M4" s="7" t="e">
        <f>averageCompletionTimePorter(Dates!M$8,Dates!M$9,'Day3'!$B4)</f>
        <v>#VALUE!</v>
      </c>
      <c r="N4" s="7" t="e">
        <f>averageCompletionTimePorter(Dates!N$8,Dates!N$9,'Day3'!$B4)</f>
        <v>#VALUE!</v>
      </c>
      <c r="O4" s="7" t="e">
        <f>averageCompletionTimePorter(Dates!O$8,Dates!O$9,'Day3'!$B4)</f>
        <v>#VALUE!</v>
      </c>
      <c r="P4" s="7" t="e">
        <f>averageCompletionTimePorter(Dates!P$8,Dates!P$9,'Day3'!$B4)</f>
        <v>#VALUE!</v>
      </c>
      <c r="Q4" s="7" t="e">
        <f>averageCompletionTimePorter(Dates!Q$8,Dates!Q$9,'Day3'!$B4)</f>
        <v>#VALUE!</v>
      </c>
      <c r="R4" s="7" t="e">
        <f>averageCompletionTimePorter(Dates!R$8,Dates!R$9,'Day3'!$B4)</f>
        <v>#VALUE!</v>
      </c>
      <c r="S4" s="7" t="e">
        <f>averageCompletionTimePorter(Dates!S$8,Dates!S$9,'Day3'!$B4)</f>
        <v>#VALUE!</v>
      </c>
      <c r="T4" s="7" t="e">
        <f>averageCompletionTimePorter(Dates!T$8,Dates!T$9,'Day3'!$B4)</f>
        <v>#VALUE!</v>
      </c>
      <c r="U4" s="7" t="e">
        <f>averageCompletionTimePorter(Dates!$C$8,Dates!$T$9,'Day3'!$B4)</f>
        <v>#VALUE!</v>
      </c>
    </row>
    <row r="5" spans="1:21" x14ac:dyDescent="0.3">
      <c r="A5" s="10"/>
      <c r="B5" s="12" t="s">
        <v>373</v>
      </c>
      <c r="C5" s="7" t="e">
        <f>averageCompletionTimePorter(Dates!C$8,Dates!C$9,'Day3'!$B5)</f>
        <v>#VALUE!</v>
      </c>
      <c r="D5" s="7" t="e">
        <f>averageCompletionTimePorter(Dates!D$8,Dates!D$9,'Day3'!$B5)</f>
        <v>#VALUE!</v>
      </c>
      <c r="E5" s="7" t="e">
        <f>averageCompletionTimePorter(Dates!E$8,Dates!E$9,'Day3'!$B5)</f>
        <v>#VALUE!</v>
      </c>
      <c r="F5" s="7" t="e">
        <f>averageCompletionTimePorter(Dates!F$8,Dates!F$9,'Day3'!$B5)</f>
        <v>#VALUE!</v>
      </c>
      <c r="G5" s="7" t="e">
        <f>averageCompletionTimePorter(Dates!G$8,Dates!G$9,'Day3'!$B5)</f>
        <v>#VALUE!</v>
      </c>
      <c r="H5" s="7" t="e">
        <f>averageCompletionTimePorter(Dates!H$8,Dates!H$9,'Day3'!$B5)</f>
        <v>#VALUE!</v>
      </c>
      <c r="I5" s="7" t="e">
        <f>averageCompletionTimePorter(Dates!I$8,Dates!I$9,'Day3'!$B5)</f>
        <v>#VALUE!</v>
      </c>
      <c r="J5" s="7" t="e">
        <f>averageCompletionTimePorter(Dates!J$8,Dates!J$9,'Day3'!$B5)</f>
        <v>#VALUE!</v>
      </c>
      <c r="K5" s="7" t="e">
        <f>averageCompletionTimePorter(Dates!K$8,Dates!K$9,'Day3'!$B5)</f>
        <v>#VALUE!</v>
      </c>
      <c r="L5" s="7" t="e">
        <f>averageCompletionTimePorter(Dates!L$8,Dates!L$9,'Day3'!$B5)</f>
        <v>#VALUE!</v>
      </c>
      <c r="M5" s="7" t="e">
        <f>averageCompletionTimePorter(Dates!M$8,Dates!M$9,'Day3'!$B5)</f>
        <v>#VALUE!</v>
      </c>
      <c r="N5" s="7" t="e">
        <f>averageCompletionTimePorter(Dates!N$8,Dates!N$9,'Day3'!$B5)</f>
        <v>#VALUE!</v>
      </c>
      <c r="O5" s="7" t="e">
        <f>averageCompletionTimePorter(Dates!O$8,Dates!O$9,'Day3'!$B5)</f>
        <v>#VALUE!</v>
      </c>
      <c r="P5" s="7" t="e">
        <f>averageCompletionTimePorter(Dates!P$8,Dates!P$9,'Day3'!$B5)</f>
        <v>#VALUE!</v>
      </c>
      <c r="Q5" s="7" t="e">
        <f>averageCompletionTimePorter(Dates!Q$8,Dates!Q$9,'Day3'!$B5)</f>
        <v>#VALUE!</v>
      </c>
      <c r="R5" s="7" t="e">
        <f>averageCompletionTimePorter(Dates!R$8,Dates!R$9,'Day3'!$B5)</f>
        <v>#VALUE!</v>
      </c>
      <c r="S5" s="7" t="e">
        <f>averageCompletionTimePorter(Dates!S$8,Dates!S$9,'Day3'!$B5)</f>
        <v>#VALUE!</v>
      </c>
      <c r="T5" s="7" t="e">
        <f>averageCompletionTimePorter(Dates!T$8,Dates!T$9,'Day3'!$B5)</f>
        <v>#VALUE!</v>
      </c>
      <c r="U5" s="7" t="e">
        <f>averageCompletionTimePorter(Dates!$C$8,Dates!$T$9,'Day3'!$B5)</f>
        <v>#VALUE!</v>
      </c>
    </row>
    <row r="6" spans="1:21" x14ac:dyDescent="0.3">
      <c r="A6" s="10"/>
      <c r="B6" s="12" t="s">
        <v>374</v>
      </c>
      <c r="C6" s="7" t="e">
        <f>averageCompletionTimePorter(Dates!C$8,Dates!C$9,'Day3'!$B6)</f>
        <v>#VALUE!</v>
      </c>
      <c r="D6" s="7" t="e">
        <f>averageCompletionTimePorter(Dates!D$8,Dates!D$9,'Day3'!$B6)</f>
        <v>#VALUE!</v>
      </c>
      <c r="E6" s="7" t="e">
        <f>averageCompletionTimePorter(Dates!E$8,Dates!E$9,'Day3'!$B6)</f>
        <v>#VALUE!</v>
      </c>
      <c r="F6" s="7" t="e">
        <f>averageCompletionTimePorter(Dates!F$8,Dates!F$9,'Day3'!$B6)</f>
        <v>#VALUE!</v>
      </c>
      <c r="G6" s="7" t="e">
        <f>averageCompletionTimePorter(Dates!G$8,Dates!G$9,'Day3'!$B6)</f>
        <v>#VALUE!</v>
      </c>
      <c r="H6" s="7" t="e">
        <f>averageCompletionTimePorter(Dates!H$8,Dates!H$9,'Day3'!$B6)</f>
        <v>#VALUE!</v>
      </c>
      <c r="I6" s="7" t="e">
        <f>averageCompletionTimePorter(Dates!I$8,Dates!I$9,'Day3'!$B6)</f>
        <v>#VALUE!</v>
      </c>
      <c r="J6" s="7" t="e">
        <f>averageCompletionTimePorter(Dates!J$8,Dates!J$9,'Day3'!$B6)</f>
        <v>#VALUE!</v>
      </c>
      <c r="K6" s="7" t="e">
        <f>averageCompletionTimePorter(Dates!K$8,Dates!K$9,'Day3'!$B6)</f>
        <v>#VALUE!</v>
      </c>
      <c r="L6" s="7" t="e">
        <f>averageCompletionTimePorter(Dates!L$8,Dates!L$9,'Day3'!$B6)</f>
        <v>#VALUE!</v>
      </c>
      <c r="M6" s="7" t="e">
        <f>averageCompletionTimePorter(Dates!M$8,Dates!M$9,'Day3'!$B6)</f>
        <v>#VALUE!</v>
      </c>
      <c r="N6" s="7" t="e">
        <f>averageCompletionTimePorter(Dates!N$8,Dates!N$9,'Day3'!$B6)</f>
        <v>#VALUE!</v>
      </c>
      <c r="O6" s="7" t="e">
        <f>averageCompletionTimePorter(Dates!O$8,Dates!O$9,'Day3'!$B6)</f>
        <v>#VALUE!</v>
      </c>
      <c r="P6" s="7" t="e">
        <f>averageCompletionTimePorter(Dates!P$8,Dates!P$9,'Day3'!$B6)</f>
        <v>#VALUE!</v>
      </c>
      <c r="Q6" s="7" t="e">
        <f>averageCompletionTimePorter(Dates!Q$8,Dates!Q$9,'Day3'!$B6)</f>
        <v>#VALUE!</v>
      </c>
      <c r="R6" s="7" t="e">
        <f>averageCompletionTimePorter(Dates!R$8,Dates!R$9,'Day3'!$B6)</f>
        <v>#VALUE!</v>
      </c>
      <c r="S6" s="7" t="e">
        <f>averageCompletionTimePorter(Dates!S$8,Dates!S$9,'Day3'!$B6)</f>
        <v>#VALUE!</v>
      </c>
      <c r="T6" s="7" t="e">
        <f>averageCompletionTimePorter(Dates!T$8,Dates!T$9,'Day3'!$B6)</f>
        <v>#VALUE!</v>
      </c>
      <c r="U6" s="7" t="e">
        <f>averageCompletionTimePorter(Dates!$C$8,Dates!$T$9,'Day3'!$B6)</f>
        <v>#VALUE!</v>
      </c>
    </row>
    <row r="7" spans="1:21" x14ac:dyDescent="0.3">
      <c r="A7" s="10"/>
      <c r="B7" s="12" t="s">
        <v>375</v>
      </c>
      <c r="C7" s="7" t="e">
        <f>averageCompletionTimePorter(Dates!C$8,Dates!C$9,'Day3'!$B7)</f>
        <v>#VALUE!</v>
      </c>
      <c r="D7" s="7" t="e">
        <f>averageCompletionTimePorter(Dates!D$8,Dates!D$9,'Day3'!$B7)</f>
        <v>#VALUE!</v>
      </c>
      <c r="E7" s="7" t="e">
        <f>averageCompletionTimePorter(Dates!E$8,Dates!E$9,'Day3'!$B7)</f>
        <v>#VALUE!</v>
      </c>
      <c r="F7" s="7" t="e">
        <f>averageCompletionTimePorter(Dates!F$8,Dates!F$9,'Day3'!$B7)</f>
        <v>#VALUE!</v>
      </c>
      <c r="G7" s="7" t="e">
        <f>averageCompletionTimePorter(Dates!G$8,Dates!G$9,'Day3'!$B7)</f>
        <v>#VALUE!</v>
      </c>
      <c r="H7" s="7" t="e">
        <f>averageCompletionTimePorter(Dates!H$8,Dates!H$9,'Day3'!$B7)</f>
        <v>#VALUE!</v>
      </c>
      <c r="I7" s="7" t="e">
        <f>averageCompletionTimePorter(Dates!I$8,Dates!I$9,'Day3'!$B7)</f>
        <v>#VALUE!</v>
      </c>
      <c r="J7" s="7" t="e">
        <f>averageCompletionTimePorter(Dates!J$8,Dates!J$9,'Day3'!$B7)</f>
        <v>#VALUE!</v>
      </c>
      <c r="K7" s="7" t="e">
        <f>averageCompletionTimePorter(Dates!K$8,Dates!K$9,'Day3'!$B7)</f>
        <v>#VALUE!</v>
      </c>
      <c r="L7" s="7" t="e">
        <f>averageCompletionTimePorter(Dates!L$8,Dates!L$9,'Day3'!$B7)</f>
        <v>#VALUE!</v>
      </c>
      <c r="M7" s="7" t="e">
        <f>averageCompletionTimePorter(Dates!M$8,Dates!M$9,'Day3'!$B7)</f>
        <v>#VALUE!</v>
      </c>
      <c r="N7" s="7" t="e">
        <f>averageCompletionTimePorter(Dates!N$8,Dates!N$9,'Day3'!$B7)</f>
        <v>#VALUE!</v>
      </c>
      <c r="O7" s="7" t="e">
        <f>averageCompletionTimePorter(Dates!O$8,Dates!O$9,'Day3'!$B7)</f>
        <v>#VALUE!</v>
      </c>
      <c r="P7" s="7" t="e">
        <f>averageCompletionTimePorter(Dates!P$8,Dates!P$9,'Day3'!$B7)</f>
        <v>#VALUE!</v>
      </c>
      <c r="Q7" s="7" t="e">
        <f>averageCompletionTimePorter(Dates!Q$8,Dates!Q$9,'Day3'!$B7)</f>
        <v>#VALUE!</v>
      </c>
      <c r="R7" s="7" t="e">
        <f>averageCompletionTimePorter(Dates!R$8,Dates!R$9,'Day3'!$B7)</f>
        <v>#VALUE!</v>
      </c>
      <c r="S7" s="7" t="e">
        <f>averageCompletionTimePorter(Dates!S$8,Dates!S$9,'Day3'!$B7)</f>
        <v>#VALUE!</v>
      </c>
      <c r="T7" s="7" t="e">
        <f>averageCompletionTimePorter(Dates!T$8,Dates!T$9,'Day3'!$B7)</f>
        <v>#VALUE!</v>
      </c>
      <c r="U7" s="7" t="e">
        <f>averageCompletionTimePorter(Dates!$C$8,Dates!$T$9,'Day3'!$B7)</f>
        <v>#VALUE!</v>
      </c>
    </row>
    <row r="8" spans="1:21" x14ac:dyDescent="0.3">
      <c r="A8" s="10"/>
      <c r="B8" s="12" t="s">
        <v>376</v>
      </c>
      <c r="C8" s="7" t="e">
        <f>averageCompletionTimePorter(Dates!C$8,Dates!C$9,'Day3'!$B8)</f>
        <v>#VALUE!</v>
      </c>
      <c r="D8" s="7" t="e">
        <f>averageCompletionTimePorter(Dates!D$8,Dates!D$9,'Day3'!$B8)</f>
        <v>#VALUE!</v>
      </c>
      <c r="E8" s="7" t="e">
        <f>averageCompletionTimePorter(Dates!E$8,Dates!E$9,'Day3'!$B8)</f>
        <v>#VALUE!</v>
      </c>
      <c r="F8" s="7" t="e">
        <f>averageCompletionTimePorter(Dates!F$8,Dates!F$9,'Day3'!$B8)</f>
        <v>#VALUE!</v>
      </c>
      <c r="G8" s="7" t="e">
        <f>averageCompletionTimePorter(Dates!G$8,Dates!G$9,'Day3'!$B8)</f>
        <v>#VALUE!</v>
      </c>
      <c r="H8" s="7" t="e">
        <f>averageCompletionTimePorter(Dates!H$8,Dates!H$9,'Day3'!$B8)</f>
        <v>#VALUE!</v>
      </c>
      <c r="I8" s="7" t="e">
        <f>averageCompletionTimePorter(Dates!I$8,Dates!I$9,'Day3'!$B8)</f>
        <v>#VALUE!</v>
      </c>
      <c r="J8" s="7" t="e">
        <f>averageCompletionTimePorter(Dates!J$8,Dates!J$9,'Day3'!$B8)</f>
        <v>#VALUE!</v>
      </c>
      <c r="K8" s="7" t="e">
        <f>averageCompletionTimePorter(Dates!K$8,Dates!K$9,'Day3'!$B8)</f>
        <v>#VALUE!</v>
      </c>
      <c r="L8" s="7" t="e">
        <f>averageCompletionTimePorter(Dates!L$8,Dates!L$9,'Day3'!$B8)</f>
        <v>#VALUE!</v>
      </c>
      <c r="M8" s="7" t="e">
        <f>averageCompletionTimePorter(Dates!M$8,Dates!M$9,'Day3'!$B8)</f>
        <v>#VALUE!</v>
      </c>
      <c r="N8" s="7" t="e">
        <f>averageCompletionTimePorter(Dates!N$8,Dates!N$9,'Day3'!$B8)</f>
        <v>#VALUE!</v>
      </c>
      <c r="O8" s="7" t="e">
        <f>averageCompletionTimePorter(Dates!O$8,Dates!O$9,'Day3'!$B8)</f>
        <v>#VALUE!</v>
      </c>
      <c r="P8" s="7" t="e">
        <f>averageCompletionTimePorter(Dates!P$8,Dates!P$9,'Day3'!$B8)</f>
        <v>#VALUE!</v>
      </c>
      <c r="Q8" s="7" t="e">
        <f>averageCompletionTimePorter(Dates!Q$8,Dates!Q$9,'Day3'!$B8)</f>
        <v>#VALUE!</v>
      </c>
      <c r="R8" s="7" t="e">
        <f>averageCompletionTimePorter(Dates!R$8,Dates!R$9,'Day3'!$B8)</f>
        <v>#VALUE!</v>
      </c>
      <c r="S8" s="7" t="e">
        <f>averageCompletionTimePorter(Dates!S$8,Dates!S$9,'Day3'!$B8)</f>
        <v>#VALUE!</v>
      </c>
      <c r="T8" s="7" t="e">
        <f>averageCompletionTimePorter(Dates!T$8,Dates!T$9,'Day3'!$B8)</f>
        <v>#VALUE!</v>
      </c>
      <c r="U8" s="7" t="e">
        <f>averageCompletionTimePorter(Dates!$C$8,Dates!$T$9,'Day3'!$B8)</f>
        <v>#VALUE!</v>
      </c>
    </row>
    <row r="9" spans="1:21" x14ac:dyDescent="0.3">
      <c r="A9" s="10"/>
      <c r="B9" s="12" t="s">
        <v>377</v>
      </c>
      <c r="C9" s="7" t="e">
        <f>averageCompletionTimePorter(Dates!C$8,Dates!C$9,'Day3'!$B9)</f>
        <v>#VALUE!</v>
      </c>
      <c r="D9" s="7" t="e">
        <f>averageCompletionTimePorter(Dates!D$8,Dates!D$9,'Day3'!$B9)</f>
        <v>#VALUE!</v>
      </c>
      <c r="E9" s="7" t="e">
        <f>averageCompletionTimePorter(Dates!E$8,Dates!E$9,'Day3'!$B9)</f>
        <v>#VALUE!</v>
      </c>
      <c r="F9" s="7" t="e">
        <f>averageCompletionTimePorter(Dates!F$8,Dates!F$9,'Day3'!$B9)</f>
        <v>#VALUE!</v>
      </c>
      <c r="G9" s="7" t="e">
        <f>averageCompletionTimePorter(Dates!G$8,Dates!G$9,'Day3'!$B9)</f>
        <v>#VALUE!</v>
      </c>
      <c r="H9" s="7" t="e">
        <f>averageCompletionTimePorter(Dates!H$8,Dates!H$9,'Day3'!$B9)</f>
        <v>#VALUE!</v>
      </c>
      <c r="I9" s="7" t="e">
        <f>averageCompletionTimePorter(Dates!I$8,Dates!I$9,'Day3'!$B9)</f>
        <v>#VALUE!</v>
      </c>
      <c r="J9" s="7" t="e">
        <f>averageCompletionTimePorter(Dates!J$8,Dates!J$9,'Day3'!$B9)</f>
        <v>#VALUE!</v>
      </c>
      <c r="K9" s="7" t="e">
        <f>averageCompletionTimePorter(Dates!K$8,Dates!K$9,'Day3'!$B9)</f>
        <v>#VALUE!</v>
      </c>
      <c r="L9" s="7" t="e">
        <f>averageCompletionTimePorter(Dates!L$8,Dates!L$9,'Day3'!$B9)</f>
        <v>#VALUE!</v>
      </c>
      <c r="M9" s="7" t="e">
        <f>averageCompletionTimePorter(Dates!M$8,Dates!M$9,'Day3'!$B9)</f>
        <v>#VALUE!</v>
      </c>
      <c r="N9" s="7" t="e">
        <f>averageCompletionTimePorter(Dates!N$8,Dates!N$9,'Day3'!$B9)</f>
        <v>#VALUE!</v>
      </c>
      <c r="O9" s="7" t="e">
        <f>averageCompletionTimePorter(Dates!O$8,Dates!O$9,'Day3'!$B9)</f>
        <v>#VALUE!</v>
      </c>
      <c r="P9" s="7" t="e">
        <f>averageCompletionTimePorter(Dates!P$8,Dates!P$9,'Day3'!$B9)</f>
        <v>#VALUE!</v>
      </c>
      <c r="Q9" s="7" t="e">
        <f>averageCompletionTimePorter(Dates!Q$8,Dates!Q$9,'Day3'!$B9)</f>
        <v>#VALUE!</v>
      </c>
      <c r="R9" s="7" t="e">
        <f>averageCompletionTimePorter(Dates!R$8,Dates!R$9,'Day3'!$B9)</f>
        <v>#VALUE!</v>
      </c>
      <c r="S9" s="7" t="e">
        <f>averageCompletionTimePorter(Dates!S$8,Dates!S$9,'Day3'!$B9)</f>
        <v>#VALUE!</v>
      </c>
      <c r="T9" s="7" t="e">
        <f>averageCompletionTimePorter(Dates!T$8,Dates!T$9,'Day3'!$B9)</f>
        <v>#VALUE!</v>
      </c>
      <c r="U9" s="7" t="e">
        <f>averageCompletionTimePorter(Dates!$C$8,Dates!$T$9,'Day3'!$B9)</f>
        <v>#VALUE!</v>
      </c>
    </row>
    <row r="10" spans="1:21" x14ac:dyDescent="0.3">
      <c r="A10" s="10"/>
      <c r="B10" s="12" t="s">
        <v>378</v>
      </c>
      <c r="C10" s="7" t="e">
        <f>averageCompletionTimePorter(Dates!C$8,Dates!C$9,'Day3'!$B10)</f>
        <v>#VALUE!</v>
      </c>
      <c r="D10" s="7" t="e">
        <f>averageCompletionTimePorter(Dates!D$8,Dates!D$9,'Day3'!$B10)</f>
        <v>#VALUE!</v>
      </c>
      <c r="E10" s="7" t="e">
        <f>averageCompletionTimePorter(Dates!E$8,Dates!E$9,'Day3'!$B10)</f>
        <v>#VALUE!</v>
      </c>
      <c r="F10" s="7" t="e">
        <f>averageCompletionTimePorter(Dates!F$8,Dates!F$9,'Day3'!$B10)</f>
        <v>#VALUE!</v>
      </c>
      <c r="G10" s="7" t="e">
        <f>averageCompletionTimePorter(Dates!G$8,Dates!G$9,'Day3'!$B10)</f>
        <v>#VALUE!</v>
      </c>
      <c r="H10" s="7" t="e">
        <f>averageCompletionTimePorter(Dates!H$8,Dates!H$9,'Day3'!$B10)</f>
        <v>#VALUE!</v>
      </c>
      <c r="I10" s="7" t="e">
        <f>averageCompletionTimePorter(Dates!I$8,Dates!I$9,'Day3'!$B10)</f>
        <v>#VALUE!</v>
      </c>
      <c r="J10" s="7" t="e">
        <f>averageCompletionTimePorter(Dates!J$8,Dates!J$9,'Day3'!$B10)</f>
        <v>#VALUE!</v>
      </c>
      <c r="K10" s="7" t="e">
        <f>averageCompletionTimePorter(Dates!K$8,Dates!K$9,'Day3'!$B10)</f>
        <v>#VALUE!</v>
      </c>
      <c r="L10" s="7" t="e">
        <f>averageCompletionTimePorter(Dates!L$8,Dates!L$9,'Day3'!$B10)</f>
        <v>#VALUE!</v>
      </c>
      <c r="M10" s="7" t="e">
        <f>averageCompletionTimePorter(Dates!M$8,Dates!M$9,'Day3'!$B10)</f>
        <v>#VALUE!</v>
      </c>
      <c r="N10" s="7" t="e">
        <f>averageCompletionTimePorter(Dates!N$8,Dates!N$9,'Day3'!$B10)</f>
        <v>#VALUE!</v>
      </c>
      <c r="O10" s="7" t="e">
        <f>averageCompletionTimePorter(Dates!O$8,Dates!O$9,'Day3'!$B10)</f>
        <v>#VALUE!</v>
      </c>
      <c r="P10" s="7" t="e">
        <f>averageCompletionTimePorter(Dates!P$8,Dates!P$9,'Day3'!$B10)</f>
        <v>#VALUE!</v>
      </c>
      <c r="Q10" s="7" t="e">
        <f>averageCompletionTimePorter(Dates!Q$8,Dates!Q$9,'Day3'!$B10)</f>
        <v>#VALUE!</v>
      </c>
      <c r="R10" s="7" t="e">
        <f>averageCompletionTimePorter(Dates!R$8,Dates!R$9,'Day3'!$B10)</f>
        <v>#VALUE!</v>
      </c>
      <c r="S10" s="7" t="e">
        <f>averageCompletionTimePorter(Dates!S$8,Dates!S$9,'Day3'!$B10)</f>
        <v>#VALUE!</v>
      </c>
      <c r="T10" s="7" t="e">
        <f>averageCompletionTimePorter(Dates!T$8,Dates!T$9,'Day3'!$B10)</f>
        <v>#VALUE!</v>
      </c>
      <c r="U10" s="7" t="e">
        <f>averageCompletionTimePorter(Dates!$C$8,Dates!$T$9,'Day3'!$B10)</f>
        <v>#VALUE!</v>
      </c>
    </row>
    <row r="11" spans="1:21" x14ac:dyDescent="0.3">
      <c r="A11" s="10"/>
      <c r="B11" s="12" t="s">
        <v>379</v>
      </c>
      <c r="C11" s="7" t="e">
        <f>averageCompletionTimePorter(Dates!C$8,Dates!C$9,'Day3'!$B11)</f>
        <v>#VALUE!</v>
      </c>
      <c r="D11" s="7" t="e">
        <f>averageCompletionTimePorter(Dates!D$8,Dates!D$9,'Day3'!$B11)</f>
        <v>#VALUE!</v>
      </c>
      <c r="E11" s="7" t="e">
        <f>averageCompletionTimePorter(Dates!E$8,Dates!E$9,'Day3'!$B11)</f>
        <v>#VALUE!</v>
      </c>
      <c r="F11" s="7" t="e">
        <f>averageCompletionTimePorter(Dates!F$8,Dates!F$9,'Day3'!$B11)</f>
        <v>#VALUE!</v>
      </c>
      <c r="G11" s="7" t="e">
        <f>averageCompletionTimePorter(Dates!G$8,Dates!G$9,'Day3'!$B11)</f>
        <v>#VALUE!</v>
      </c>
      <c r="H11" s="7" t="e">
        <f>averageCompletionTimePorter(Dates!H$8,Dates!H$9,'Day3'!$B11)</f>
        <v>#VALUE!</v>
      </c>
      <c r="I11" s="7" t="e">
        <f>averageCompletionTimePorter(Dates!I$8,Dates!I$9,'Day3'!$B11)</f>
        <v>#VALUE!</v>
      </c>
      <c r="J11" s="7" t="e">
        <f>averageCompletionTimePorter(Dates!J$8,Dates!J$9,'Day3'!$B11)</f>
        <v>#VALUE!</v>
      </c>
      <c r="K11" s="7" t="e">
        <f>averageCompletionTimePorter(Dates!K$8,Dates!K$9,'Day3'!$B11)</f>
        <v>#VALUE!</v>
      </c>
      <c r="L11" s="7" t="e">
        <f>averageCompletionTimePorter(Dates!L$8,Dates!L$9,'Day3'!$B11)</f>
        <v>#VALUE!</v>
      </c>
      <c r="M11" s="7" t="e">
        <f>averageCompletionTimePorter(Dates!M$8,Dates!M$9,'Day3'!$B11)</f>
        <v>#VALUE!</v>
      </c>
      <c r="N11" s="7" t="e">
        <f>averageCompletionTimePorter(Dates!N$8,Dates!N$9,'Day3'!$B11)</f>
        <v>#VALUE!</v>
      </c>
      <c r="O11" s="7" t="e">
        <f>averageCompletionTimePorter(Dates!O$8,Dates!O$9,'Day3'!$B11)</f>
        <v>#VALUE!</v>
      </c>
      <c r="P11" s="7" t="e">
        <f>averageCompletionTimePorter(Dates!P$8,Dates!P$9,'Day3'!$B11)</f>
        <v>#VALUE!</v>
      </c>
      <c r="Q11" s="7" t="e">
        <f>averageCompletionTimePorter(Dates!Q$8,Dates!Q$9,'Day3'!$B11)</f>
        <v>#VALUE!</v>
      </c>
      <c r="R11" s="7" t="e">
        <f>averageCompletionTimePorter(Dates!R$8,Dates!R$9,'Day3'!$B11)</f>
        <v>#VALUE!</v>
      </c>
      <c r="S11" s="7" t="e">
        <f>averageCompletionTimePorter(Dates!S$8,Dates!S$9,'Day3'!$B11)</f>
        <v>#VALUE!</v>
      </c>
      <c r="T11" s="7" t="e">
        <f>averageCompletionTimePorter(Dates!T$8,Dates!T$9,'Day3'!$B11)</f>
        <v>#VALUE!</v>
      </c>
      <c r="U11" s="7" t="e">
        <f>averageCompletionTimePorter(Dates!$C$8,Dates!$T$9,'Day3'!$B11)</f>
        <v>#VALUE!</v>
      </c>
    </row>
    <row r="12" spans="1:21" x14ac:dyDescent="0.3">
      <c r="A12" s="10"/>
      <c r="B12" s="12" t="s">
        <v>380</v>
      </c>
      <c r="C12" s="7" t="e">
        <f>averageCompletionTimePorter(Dates!C$8,Dates!C$9,'Day3'!$B12)</f>
        <v>#VALUE!</v>
      </c>
      <c r="D12" s="7" t="e">
        <f>averageCompletionTimePorter(Dates!D$8,Dates!D$9,'Day3'!$B12)</f>
        <v>#VALUE!</v>
      </c>
      <c r="E12" s="7" t="e">
        <f>averageCompletionTimePorter(Dates!E$8,Dates!E$9,'Day3'!$B12)</f>
        <v>#VALUE!</v>
      </c>
      <c r="F12" s="7" t="e">
        <f>averageCompletionTimePorter(Dates!F$8,Dates!F$9,'Day3'!$B12)</f>
        <v>#VALUE!</v>
      </c>
      <c r="G12" s="7" t="e">
        <f>averageCompletionTimePorter(Dates!G$8,Dates!G$9,'Day3'!$B12)</f>
        <v>#VALUE!</v>
      </c>
      <c r="H12" s="7" t="e">
        <f>averageCompletionTimePorter(Dates!H$8,Dates!H$9,'Day3'!$B12)</f>
        <v>#VALUE!</v>
      </c>
      <c r="I12" s="7" t="e">
        <f>averageCompletionTimePorter(Dates!I$8,Dates!I$9,'Day3'!$B12)</f>
        <v>#VALUE!</v>
      </c>
      <c r="J12" s="7" t="e">
        <f>averageCompletionTimePorter(Dates!J$8,Dates!J$9,'Day3'!$B12)</f>
        <v>#VALUE!</v>
      </c>
      <c r="K12" s="7" t="e">
        <f>averageCompletionTimePorter(Dates!K$8,Dates!K$9,'Day3'!$B12)</f>
        <v>#VALUE!</v>
      </c>
      <c r="L12" s="7" t="e">
        <f>averageCompletionTimePorter(Dates!L$8,Dates!L$9,'Day3'!$B12)</f>
        <v>#VALUE!</v>
      </c>
      <c r="M12" s="7" t="e">
        <f>averageCompletionTimePorter(Dates!M$8,Dates!M$9,'Day3'!$B12)</f>
        <v>#VALUE!</v>
      </c>
      <c r="N12" s="7" t="e">
        <f>averageCompletionTimePorter(Dates!N$8,Dates!N$9,'Day3'!$B12)</f>
        <v>#VALUE!</v>
      </c>
      <c r="O12" s="7" t="e">
        <f>averageCompletionTimePorter(Dates!O$8,Dates!O$9,'Day3'!$B12)</f>
        <v>#VALUE!</v>
      </c>
      <c r="P12" s="7" t="e">
        <f>averageCompletionTimePorter(Dates!P$8,Dates!P$9,'Day3'!$B12)</f>
        <v>#VALUE!</v>
      </c>
      <c r="Q12" s="7" t="e">
        <f>averageCompletionTimePorter(Dates!Q$8,Dates!Q$9,'Day3'!$B12)</f>
        <v>#VALUE!</v>
      </c>
      <c r="R12" s="7" t="e">
        <f>averageCompletionTimePorter(Dates!R$8,Dates!R$9,'Day3'!$B12)</f>
        <v>#VALUE!</v>
      </c>
      <c r="S12" s="7" t="e">
        <f>averageCompletionTimePorter(Dates!S$8,Dates!S$9,'Day3'!$B12)</f>
        <v>#VALUE!</v>
      </c>
      <c r="T12" s="7" t="e">
        <f>averageCompletionTimePorter(Dates!T$8,Dates!T$9,'Day3'!$B12)</f>
        <v>#VALUE!</v>
      </c>
      <c r="U12" s="7" t="e">
        <f>averageCompletionTimePorter(Dates!$C$8,Dates!$T$9,'Day3'!$B12)</f>
        <v>#VALUE!</v>
      </c>
    </row>
    <row r="13" spans="1:21" x14ac:dyDescent="0.3">
      <c r="A13" s="10"/>
      <c r="B13" s="12" t="s">
        <v>381</v>
      </c>
      <c r="C13" s="7" t="e">
        <f>averageCompletionTimePorter(Dates!C$8,Dates!C$9,'Day3'!$B13)</f>
        <v>#VALUE!</v>
      </c>
      <c r="D13" s="7" t="e">
        <f>averageCompletionTimePorter(Dates!D$8,Dates!D$9,'Day3'!$B13)</f>
        <v>#VALUE!</v>
      </c>
      <c r="E13" s="7" t="e">
        <f>averageCompletionTimePorter(Dates!E$8,Dates!E$9,'Day3'!$B13)</f>
        <v>#VALUE!</v>
      </c>
      <c r="F13" s="7" t="e">
        <f>averageCompletionTimePorter(Dates!F$8,Dates!F$9,'Day3'!$B13)</f>
        <v>#VALUE!</v>
      </c>
      <c r="G13" s="7" t="e">
        <f>averageCompletionTimePorter(Dates!G$8,Dates!G$9,'Day3'!$B13)</f>
        <v>#VALUE!</v>
      </c>
      <c r="H13" s="7" t="e">
        <f>averageCompletionTimePorter(Dates!H$8,Dates!H$9,'Day3'!$B13)</f>
        <v>#VALUE!</v>
      </c>
      <c r="I13" s="7" t="e">
        <f>averageCompletionTimePorter(Dates!I$8,Dates!I$9,'Day3'!$B13)</f>
        <v>#VALUE!</v>
      </c>
      <c r="J13" s="7" t="e">
        <f>averageCompletionTimePorter(Dates!J$8,Dates!J$9,'Day3'!$B13)</f>
        <v>#VALUE!</v>
      </c>
      <c r="K13" s="7" t="e">
        <f>averageCompletionTimePorter(Dates!K$8,Dates!K$9,'Day3'!$B13)</f>
        <v>#VALUE!</v>
      </c>
      <c r="L13" s="7" t="e">
        <f>averageCompletionTimePorter(Dates!L$8,Dates!L$9,'Day3'!$B13)</f>
        <v>#VALUE!</v>
      </c>
      <c r="M13" s="7" t="e">
        <f>averageCompletionTimePorter(Dates!M$8,Dates!M$9,'Day3'!$B13)</f>
        <v>#VALUE!</v>
      </c>
      <c r="N13" s="7" t="e">
        <f>averageCompletionTimePorter(Dates!N$8,Dates!N$9,'Day3'!$B13)</f>
        <v>#VALUE!</v>
      </c>
      <c r="O13" s="7" t="e">
        <f>averageCompletionTimePorter(Dates!O$8,Dates!O$9,'Day3'!$B13)</f>
        <v>#VALUE!</v>
      </c>
      <c r="P13" s="7" t="e">
        <f>averageCompletionTimePorter(Dates!P$8,Dates!P$9,'Day3'!$B13)</f>
        <v>#VALUE!</v>
      </c>
      <c r="Q13" s="7" t="e">
        <f>averageCompletionTimePorter(Dates!Q$8,Dates!Q$9,'Day3'!$B13)</f>
        <v>#VALUE!</v>
      </c>
      <c r="R13" s="7" t="e">
        <f>averageCompletionTimePorter(Dates!R$8,Dates!R$9,'Day3'!$B13)</f>
        <v>#VALUE!</v>
      </c>
      <c r="S13" s="7" t="e">
        <f>averageCompletionTimePorter(Dates!S$8,Dates!S$9,'Day3'!$B13)</f>
        <v>#VALUE!</v>
      </c>
      <c r="T13" s="7" t="e">
        <f>averageCompletionTimePorter(Dates!T$8,Dates!T$9,'Day3'!$B13)</f>
        <v>#VALUE!</v>
      </c>
      <c r="U13" s="7" t="e">
        <f>averageCompletionTimePorter(Dates!$C$8,Dates!$T$9,'Day3'!$B13)</f>
        <v>#VALUE!</v>
      </c>
    </row>
    <row r="14" spans="1:21" x14ac:dyDescent="0.3">
      <c r="B14" s="12" t="s">
        <v>113</v>
      </c>
      <c r="C14" s="7" t="e">
        <f>averageCompletionTimePorter(Dates!C$8,Dates!C$9,'Day3'!$B14)</f>
        <v>#VALUE!</v>
      </c>
      <c r="D14" s="7" t="e">
        <f>averageCompletionTimePorter(Dates!D$8,Dates!D$9,'Day3'!$B14)</f>
        <v>#VALUE!</v>
      </c>
      <c r="E14" s="7" t="e">
        <f>averageCompletionTimePorter(Dates!E$8,Dates!E$9,'Day3'!$B14)</f>
        <v>#VALUE!</v>
      </c>
      <c r="F14" s="7" t="e">
        <f>averageCompletionTimePorter(Dates!F$8,Dates!F$9,'Day3'!$B14)</f>
        <v>#VALUE!</v>
      </c>
      <c r="G14" s="7" t="e">
        <f>averageCompletionTimePorter(Dates!G$8,Dates!G$9,'Day3'!$B14)</f>
        <v>#VALUE!</v>
      </c>
      <c r="H14" s="7" t="e">
        <f>averageCompletionTimePorter(Dates!H$8,Dates!H$9,'Day3'!$B14)</f>
        <v>#VALUE!</v>
      </c>
      <c r="I14" s="7" t="e">
        <f>averageCompletionTimePorter(Dates!I$8,Dates!I$9,'Day3'!$B14)</f>
        <v>#VALUE!</v>
      </c>
      <c r="J14" s="7" t="e">
        <f>averageCompletionTimePorter(Dates!J$8,Dates!J$9,'Day3'!$B14)</f>
        <v>#VALUE!</v>
      </c>
      <c r="K14" s="7" t="e">
        <f>averageCompletionTimePorter(Dates!K$8,Dates!K$9,'Day3'!$B14)</f>
        <v>#VALUE!</v>
      </c>
      <c r="L14" s="7" t="e">
        <f>averageCompletionTimePorter(Dates!L$8,Dates!L$9,'Day3'!$B14)</f>
        <v>#VALUE!</v>
      </c>
      <c r="M14" s="7" t="e">
        <f>averageCompletionTimePorter(Dates!M$8,Dates!M$9,'Day3'!$B14)</f>
        <v>#VALUE!</v>
      </c>
      <c r="N14" s="7" t="e">
        <f>averageCompletionTimePorter(Dates!N$8,Dates!N$9,'Day3'!$B14)</f>
        <v>#VALUE!</v>
      </c>
      <c r="O14" s="7" t="e">
        <f>averageCompletionTimePorter(Dates!O$8,Dates!O$9,'Day3'!$B14)</f>
        <v>#VALUE!</v>
      </c>
      <c r="P14" s="7" t="e">
        <f>averageCompletionTimePorter(Dates!P$8,Dates!P$9,'Day3'!$B14)</f>
        <v>#VALUE!</v>
      </c>
      <c r="Q14" s="7" t="e">
        <f>averageCompletionTimePorter(Dates!Q$8,Dates!Q$9,'Day3'!$B14)</f>
        <v>#VALUE!</v>
      </c>
      <c r="R14" s="7" t="e">
        <f>averageCompletionTimePorter(Dates!R$8,Dates!R$9,'Day3'!$B14)</f>
        <v>#VALUE!</v>
      </c>
      <c r="S14" s="7" t="e">
        <f>averageCompletionTimePorter(Dates!S$8,Dates!S$9,'Day3'!$B14)</f>
        <v>#VALUE!</v>
      </c>
      <c r="T14" s="7" t="e">
        <f>averageCompletionTimePorter(Dates!T$8,Dates!T$9,'Day3'!$B14)</f>
        <v>#VALUE!</v>
      </c>
      <c r="U14" s="7" t="e">
        <f>averageCompletionTimePorter(Dates!$C$8,Dates!$T$9,'Day3'!$B14)</f>
        <v>#VALUE!</v>
      </c>
    </row>
    <row r="15" spans="1:21" x14ac:dyDescent="0.3">
      <c r="B15" s="12" t="s">
        <v>114</v>
      </c>
      <c r="C15" s="7" t="e">
        <f>averageCompletionTimePorter(Dates!C$8,Dates!C$9,'Day3'!$B15)</f>
        <v>#VALUE!</v>
      </c>
      <c r="D15" s="7" t="e">
        <f>averageCompletionTimePorter(Dates!D$8,Dates!D$9,'Day3'!$B15)</f>
        <v>#VALUE!</v>
      </c>
      <c r="E15" s="7" t="e">
        <f>averageCompletionTimePorter(Dates!E$8,Dates!E$9,'Day3'!$B15)</f>
        <v>#VALUE!</v>
      </c>
      <c r="F15" s="7" t="e">
        <f>averageCompletionTimePorter(Dates!F$8,Dates!F$9,'Day3'!$B15)</f>
        <v>#VALUE!</v>
      </c>
      <c r="G15" s="7" t="e">
        <f>averageCompletionTimePorter(Dates!G$8,Dates!G$9,'Day3'!$B15)</f>
        <v>#VALUE!</v>
      </c>
      <c r="H15" s="7" t="e">
        <f>averageCompletionTimePorter(Dates!H$8,Dates!H$9,'Day3'!$B15)</f>
        <v>#VALUE!</v>
      </c>
      <c r="I15" s="7" t="e">
        <f>averageCompletionTimePorter(Dates!I$8,Dates!I$9,'Day3'!$B15)</f>
        <v>#VALUE!</v>
      </c>
      <c r="J15" s="7" t="e">
        <f>averageCompletionTimePorter(Dates!J$8,Dates!J$9,'Day3'!$B15)</f>
        <v>#VALUE!</v>
      </c>
      <c r="K15" s="7" t="e">
        <f>averageCompletionTimePorter(Dates!K$8,Dates!K$9,'Day3'!$B15)</f>
        <v>#VALUE!</v>
      </c>
      <c r="L15" s="7" t="e">
        <f>averageCompletionTimePorter(Dates!L$8,Dates!L$9,'Day3'!$B15)</f>
        <v>#VALUE!</v>
      </c>
      <c r="M15" s="7" t="e">
        <f>averageCompletionTimePorter(Dates!M$8,Dates!M$9,'Day3'!$B15)</f>
        <v>#VALUE!</v>
      </c>
      <c r="N15" s="7" t="e">
        <f>averageCompletionTimePorter(Dates!N$8,Dates!N$9,'Day3'!$B15)</f>
        <v>#VALUE!</v>
      </c>
      <c r="O15" s="7" t="e">
        <f>averageCompletionTimePorter(Dates!O$8,Dates!O$9,'Day3'!$B15)</f>
        <v>#VALUE!</v>
      </c>
      <c r="P15" s="7" t="e">
        <f>averageCompletionTimePorter(Dates!P$8,Dates!P$9,'Day3'!$B15)</f>
        <v>#VALUE!</v>
      </c>
      <c r="Q15" s="7" t="e">
        <f>averageCompletionTimePorter(Dates!Q$8,Dates!Q$9,'Day3'!$B15)</f>
        <v>#VALUE!</v>
      </c>
      <c r="R15" s="7" t="e">
        <f>averageCompletionTimePorter(Dates!R$8,Dates!R$9,'Day3'!$B15)</f>
        <v>#VALUE!</v>
      </c>
      <c r="S15" s="7" t="e">
        <f>averageCompletionTimePorter(Dates!S$8,Dates!S$9,'Day3'!$B15)</f>
        <v>#VALUE!</v>
      </c>
      <c r="T15" s="7" t="e">
        <f>averageCompletionTimePorter(Dates!T$8,Dates!T$9,'Day3'!$B15)</f>
        <v>#VALUE!</v>
      </c>
      <c r="U15" s="7" t="e">
        <f>averageCompletionTimePorter(Dates!$C$8,Dates!$T$9,'Day3'!$B15)</f>
        <v>#VALUE!</v>
      </c>
    </row>
    <row r="16" spans="1:21" x14ac:dyDescent="0.3">
      <c r="B16" s="12" t="s">
        <v>115</v>
      </c>
      <c r="C16" s="7" t="e">
        <f>averageCompletionTimePorter(Dates!C$8,Dates!C$9,'Day3'!$B16)</f>
        <v>#VALUE!</v>
      </c>
      <c r="D16" s="7" t="e">
        <f>averageCompletionTimePorter(Dates!D$8,Dates!D$9,'Day3'!$B16)</f>
        <v>#VALUE!</v>
      </c>
      <c r="E16" s="7" t="e">
        <f>averageCompletionTimePorter(Dates!E$8,Dates!E$9,'Day3'!$B16)</f>
        <v>#VALUE!</v>
      </c>
      <c r="F16" s="7" t="e">
        <f>averageCompletionTimePorter(Dates!F$8,Dates!F$9,'Day3'!$B16)</f>
        <v>#VALUE!</v>
      </c>
      <c r="G16" s="7" t="e">
        <f>averageCompletionTimePorter(Dates!G$8,Dates!G$9,'Day3'!$B16)</f>
        <v>#VALUE!</v>
      </c>
      <c r="H16" s="7" t="e">
        <f>averageCompletionTimePorter(Dates!H$8,Dates!H$9,'Day3'!$B16)</f>
        <v>#VALUE!</v>
      </c>
      <c r="I16" s="7" t="e">
        <f>averageCompletionTimePorter(Dates!I$8,Dates!I$9,'Day3'!$B16)</f>
        <v>#VALUE!</v>
      </c>
      <c r="J16" s="7" t="e">
        <f>averageCompletionTimePorter(Dates!J$8,Dates!J$9,'Day3'!$B16)</f>
        <v>#VALUE!</v>
      </c>
      <c r="K16" s="7" t="e">
        <f>averageCompletionTimePorter(Dates!K$8,Dates!K$9,'Day3'!$B16)</f>
        <v>#VALUE!</v>
      </c>
      <c r="L16" s="7" t="e">
        <f>averageCompletionTimePorter(Dates!L$8,Dates!L$9,'Day3'!$B16)</f>
        <v>#VALUE!</v>
      </c>
      <c r="M16" s="7" t="e">
        <f>averageCompletionTimePorter(Dates!M$8,Dates!M$9,'Day3'!$B16)</f>
        <v>#VALUE!</v>
      </c>
      <c r="N16" s="7" t="e">
        <f>averageCompletionTimePorter(Dates!N$8,Dates!N$9,'Day3'!$B16)</f>
        <v>#VALUE!</v>
      </c>
      <c r="O16" s="7" t="e">
        <f>averageCompletionTimePorter(Dates!O$8,Dates!O$9,'Day3'!$B16)</f>
        <v>#VALUE!</v>
      </c>
      <c r="P16" s="7" t="e">
        <f>averageCompletionTimePorter(Dates!P$8,Dates!P$9,'Day3'!$B16)</f>
        <v>#VALUE!</v>
      </c>
      <c r="Q16" s="7" t="e">
        <f>averageCompletionTimePorter(Dates!Q$8,Dates!Q$9,'Day3'!$B16)</f>
        <v>#VALUE!</v>
      </c>
      <c r="R16" s="7" t="e">
        <f>averageCompletionTimePorter(Dates!R$8,Dates!R$9,'Day3'!$B16)</f>
        <v>#VALUE!</v>
      </c>
      <c r="S16" s="7" t="e">
        <f>averageCompletionTimePorter(Dates!S$8,Dates!S$9,'Day3'!$B16)</f>
        <v>#VALUE!</v>
      </c>
      <c r="T16" s="7" t="e">
        <f>averageCompletionTimePorter(Dates!T$8,Dates!T$9,'Day3'!$B16)</f>
        <v>#VALUE!</v>
      </c>
      <c r="U16" s="7" t="e">
        <f>averageCompletionTimePorter(Dates!$C$8,Dates!$T$9,'Day3'!$B16)</f>
        <v>#VALUE!</v>
      </c>
    </row>
    <row r="17" spans="2:21" x14ac:dyDescent="0.3">
      <c r="B17" s="12" t="s">
        <v>116</v>
      </c>
      <c r="C17" s="7" t="e">
        <f>averageCompletionTimePorter(Dates!C$8,Dates!C$9,'Day3'!$B17)</f>
        <v>#VALUE!</v>
      </c>
      <c r="D17" s="7" t="e">
        <f>averageCompletionTimePorter(Dates!D$8,Dates!D$9,'Day3'!$B17)</f>
        <v>#VALUE!</v>
      </c>
      <c r="E17" s="7" t="e">
        <f>averageCompletionTimePorter(Dates!E$8,Dates!E$9,'Day3'!$B17)</f>
        <v>#VALUE!</v>
      </c>
      <c r="F17" s="7" t="e">
        <f>averageCompletionTimePorter(Dates!F$8,Dates!F$9,'Day3'!$B17)</f>
        <v>#VALUE!</v>
      </c>
      <c r="G17" s="7" t="e">
        <f>averageCompletionTimePorter(Dates!G$8,Dates!G$9,'Day3'!$B17)</f>
        <v>#VALUE!</v>
      </c>
      <c r="H17" s="7" t="e">
        <f>averageCompletionTimePorter(Dates!H$8,Dates!H$9,'Day3'!$B17)</f>
        <v>#VALUE!</v>
      </c>
      <c r="I17" s="7" t="e">
        <f>averageCompletionTimePorter(Dates!I$8,Dates!I$9,'Day3'!$B17)</f>
        <v>#VALUE!</v>
      </c>
      <c r="J17" s="7" t="e">
        <f>averageCompletionTimePorter(Dates!J$8,Dates!J$9,'Day3'!$B17)</f>
        <v>#VALUE!</v>
      </c>
      <c r="K17" s="7" t="e">
        <f>averageCompletionTimePorter(Dates!K$8,Dates!K$9,'Day3'!$B17)</f>
        <v>#VALUE!</v>
      </c>
      <c r="L17" s="7" t="e">
        <f>averageCompletionTimePorter(Dates!L$8,Dates!L$9,'Day3'!$B17)</f>
        <v>#VALUE!</v>
      </c>
      <c r="M17" s="7" t="e">
        <f>averageCompletionTimePorter(Dates!M$8,Dates!M$9,'Day3'!$B17)</f>
        <v>#VALUE!</v>
      </c>
      <c r="N17" s="7" t="e">
        <f>averageCompletionTimePorter(Dates!N$8,Dates!N$9,'Day3'!$B17)</f>
        <v>#VALUE!</v>
      </c>
      <c r="O17" s="7" t="e">
        <f>averageCompletionTimePorter(Dates!O$8,Dates!O$9,'Day3'!$B17)</f>
        <v>#VALUE!</v>
      </c>
      <c r="P17" s="7" t="e">
        <f>averageCompletionTimePorter(Dates!P$8,Dates!P$9,'Day3'!$B17)</f>
        <v>#VALUE!</v>
      </c>
      <c r="Q17" s="7" t="e">
        <f>averageCompletionTimePorter(Dates!Q$8,Dates!Q$9,'Day3'!$B17)</f>
        <v>#VALUE!</v>
      </c>
      <c r="R17" s="7" t="e">
        <f>averageCompletionTimePorter(Dates!R$8,Dates!R$9,'Day3'!$B17)</f>
        <v>#VALUE!</v>
      </c>
      <c r="S17" s="7" t="e">
        <f>averageCompletionTimePorter(Dates!S$8,Dates!S$9,'Day3'!$B17)</f>
        <v>#VALUE!</v>
      </c>
      <c r="T17" s="7" t="e">
        <f>averageCompletionTimePorter(Dates!T$8,Dates!T$9,'Day3'!$B17)</f>
        <v>#VALUE!</v>
      </c>
      <c r="U17" s="7" t="e">
        <f>averageCompletionTimePorter(Dates!$C$8,Dates!$T$9,'Day3'!$B17)</f>
        <v>#VALUE!</v>
      </c>
    </row>
    <row r="18" spans="2:21" x14ac:dyDescent="0.3">
      <c r="B18" s="12" t="s">
        <v>117</v>
      </c>
      <c r="C18" s="7" t="e">
        <f>averageCompletionTimePorter(Dates!C$8,Dates!C$9,'Day3'!$B18)</f>
        <v>#VALUE!</v>
      </c>
      <c r="D18" s="7" t="e">
        <f>averageCompletionTimePorter(Dates!D$8,Dates!D$9,'Day3'!$B18)</f>
        <v>#VALUE!</v>
      </c>
      <c r="E18" s="7" t="e">
        <f>averageCompletionTimePorter(Dates!E$8,Dates!E$9,'Day3'!$B18)</f>
        <v>#VALUE!</v>
      </c>
      <c r="F18" s="7" t="e">
        <f>averageCompletionTimePorter(Dates!F$8,Dates!F$9,'Day3'!$B18)</f>
        <v>#VALUE!</v>
      </c>
      <c r="G18" s="7" t="e">
        <f>averageCompletionTimePorter(Dates!G$8,Dates!G$9,'Day3'!$B18)</f>
        <v>#VALUE!</v>
      </c>
      <c r="H18" s="7" t="e">
        <f>averageCompletionTimePorter(Dates!H$8,Dates!H$9,'Day3'!$B18)</f>
        <v>#VALUE!</v>
      </c>
      <c r="I18" s="7" t="e">
        <f>averageCompletionTimePorter(Dates!I$8,Dates!I$9,'Day3'!$B18)</f>
        <v>#VALUE!</v>
      </c>
      <c r="J18" s="7" t="e">
        <f>averageCompletionTimePorter(Dates!J$8,Dates!J$9,'Day3'!$B18)</f>
        <v>#VALUE!</v>
      </c>
      <c r="K18" s="7" t="e">
        <f>averageCompletionTimePorter(Dates!K$8,Dates!K$9,'Day3'!$B18)</f>
        <v>#VALUE!</v>
      </c>
      <c r="L18" s="7" t="e">
        <f>averageCompletionTimePorter(Dates!L$8,Dates!L$9,'Day3'!$B18)</f>
        <v>#VALUE!</v>
      </c>
      <c r="M18" s="7" t="e">
        <f>averageCompletionTimePorter(Dates!M$8,Dates!M$9,'Day3'!$B18)</f>
        <v>#VALUE!</v>
      </c>
      <c r="N18" s="7" t="e">
        <f>averageCompletionTimePorter(Dates!N$8,Dates!N$9,'Day3'!$B18)</f>
        <v>#VALUE!</v>
      </c>
      <c r="O18" s="7" t="e">
        <f>averageCompletionTimePorter(Dates!O$8,Dates!O$9,'Day3'!$B18)</f>
        <v>#VALUE!</v>
      </c>
      <c r="P18" s="7" t="e">
        <f>averageCompletionTimePorter(Dates!P$8,Dates!P$9,'Day3'!$B18)</f>
        <v>#VALUE!</v>
      </c>
      <c r="Q18" s="7" t="e">
        <f>averageCompletionTimePorter(Dates!Q$8,Dates!Q$9,'Day3'!$B18)</f>
        <v>#VALUE!</v>
      </c>
      <c r="R18" s="7" t="e">
        <f>averageCompletionTimePorter(Dates!R$8,Dates!R$9,'Day3'!$B18)</f>
        <v>#VALUE!</v>
      </c>
      <c r="S18" s="7" t="e">
        <f>averageCompletionTimePorter(Dates!S$8,Dates!S$9,'Day3'!$B18)</f>
        <v>#VALUE!</v>
      </c>
      <c r="T18" s="7" t="e">
        <f>averageCompletionTimePorter(Dates!T$8,Dates!T$9,'Day3'!$B18)</f>
        <v>#VALUE!</v>
      </c>
      <c r="U18" s="7" t="e">
        <f>averageCompletionTimePorter(Dates!$C$8,Dates!$T$9,'Day3'!$B18)</f>
        <v>#VALUE!</v>
      </c>
    </row>
    <row r="19" spans="2:21" x14ac:dyDescent="0.3">
      <c r="B19" s="12" t="s">
        <v>118</v>
      </c>
      <c r="C19" s="7" t="e">
        <f>averageCompletionTimePorter(Dates!C$8,Dates!C$9,'Day3'!$B19)</f>
        <v>#VALUE!</v>
      </c>
      <c r="D19" s="7" t="e">
        <f>averageCompletionTimePorter(Dates!D$8,Dates!D$9,'Day3'!$B19)</f>
        <v>#VALUE!</v>
      </c>
      <c r="E19" s="7" t="e">
        <f>averageCompletionTimePorter(Dates!E$8,Dates!E$9,'Day3'!$B19)</f>
        <v>#VALUE!</v>
      </c>
      <c r="F19" s="7" t="e">
        <f>averageCompletionTimePorter(Dates!F$8,Dates!F$9,'Day3'!$B19)</f>
        <v>#VALUE!</v>
      </c>
      <c r="G19" s="7" t="e">
        <f>averageCompletionTimePorter(Dates!G$8,Dates!G$9,'Day3'!$B19)</f>
        <v>#VALUE!</v>
      </c>
      <c r="H19" s="7" t="e">
        <f>averageCompletionTimePorter(Dates!H$8,Dates!H$9,'Day3'!$B19)</f>
        <v>#VALUE!</v>
      </c>
      <c r="I19" s="7" t="e">
        <f>averageCompletionTimePorter(Dates!I$8,Dates!I$9,'Day3'!$B19)</f>
        <v>#VALUE!</v>
      </c>
      <c r="J19" s="7" t="e">
        <f>averageCompletionTimePorter(Dates!J$8,Dates!J$9,'Day3'!$B19)</f>
        <v>#VALUE!</v>
      </c>
      <c r="K19" s="7" t="e">
        <f>averageCompletionTimePorter(Dates!K$8,Dates!K$9,'Day3'!$B19)</f>
        <v>#VALUE!</v>
      </c>
      <c r="L19" s="7" t="e">
        <f>averageCompletionTimePorter(Dates!L$8,Dates!L$9,'Day3'!$B19)</f>
        <v>#VALUE!</v>
      </c>
      <c r="M19" s="7" t="e">
        <f>averageCompletionTimePorter(Dates!M$8,Dates!M$9,'Day3'!$B19)</f>
        <v>#VALUE!</v>
      </c>
      <c r="N19" s="7" t="e">
        <f>averageCompletionTimePorter(Dates!N$8,Dates!N$9,'Day3'!$B19)</f>
        <v>#VALUE!</v>
      </c>
      <c r="O19" s="7" t="e">
        <f>averageCompletionTimePorter(Dates!O$8,Dates!O$9,'Day3'!$B19)</f>
        <v>#VALUE!</v>
      </c>
      <c r="P19" s="7" t="e">
        <f>averageCompletionTimePorter(Dates!P$8,Dates!P$9,'Day3'!$B19)</f>
        <v>#VALUE!</v>
      </c>
      <c r="Q19" s="7" t="e">
        <f>averageCompletionTimePorter(Dates!Q$8,Dates!Q$9,'Day3'!$B19)</f>
        <v>#VALUE!</v>
      </c>
      <c r="R19" s="7" t="e">
        <f>averageCompletionTimePorter(Dates!R$8,Dates!R$9,'Day3'!$B19)</f>
        <v>#VALUE!</v>
      </c>
      <c r="S19" s="7" t="e">
        <f>averageCompletionTimePorter(Dates!S$8,Dates!S$9,'Day3'!$B19)</f>
        <v>#VALUE!</v>
      </c>
      <c r="T19" s="7" t="e">
        <f>averageCompletionTimePorter(Dates!T$8,Dates!T$9,'Day3'!$B19)</f>
        <v>#VALUE!</v>
      </c>
      <c r="U19" s="7" t="e">
        <f>averageCompletionTimePorter(Dates!$C$8,Dates!$T$9,'Day3'!$B19)</f>
        <v>#VALUE!</v>
      </c>
    </row>
    <row r="20" spans="2:21" x14ac:dyDescent="0.3">
      <c r="B20" s="12" t="s">
        <v>119</v>
      </c>
      <c r="C20" s="7" t="e">
        <f>averageCompletionTimePorter(Dates!C$8,Dates!C$9,'Day3'!$B20)</f>
        <v>#VALUE!</v>
      </c>
      <c r="D20" s="7" t="e">
        <f>averageCompletionTimePorter(Dates!D$8,Dates!D$9,'Day3'!$B20)</f>
        <v>#VALUE!</v>
      </c>
      <c r="E20" s="7" t="e">
        <f>averageCompletionTimePorter(Dates!E$8,Dates!E$9,'Day3'!$B20)</f>
        <v>#VALUE!</v>
      </c>
      <c r="F20" s="7" t="e">
        <f>averageCompletionTimePorter(Dates!F$8,Dates!F$9,'Day3'!$B20)</f>
        <v>#VALUE!</v>
      </c>
      <c r="G20" s="7" t="e">
        <f>averageCompletionTimePorter(Dates!G$8,Dates!G$9,'Day3'!$B20)</f>
        <v>#VALUE!</v>
      </c>
      <c r="H20" s="7" t="e">
        <f>averageCompletionTimePorter(Dates!H$8,Dates!H$9,'Day3'!$B20)</f>
        <v>#VALUE!</v>
      </c>
      <c r="I20" s="7" t="e">
        <f>averageCompletionTimePorter(Dates!I$8,Dates!I$9,'Day3'!$B20)</f>
        <v>#VALUE!</v>
      </c>
      <c r="J20" s="7" t="e">
        <f>averageCompletionTimePorter(Dates!J$8,Dates!J$9,'Day3'!$B20)</f>
        <v>#VALUE!</v>
      </c>
      <c r="K20" s="7" t="e">
        <f>averageCompletionTimePorter(Dates!K$8,Dates!K$9,'Day3'!$B20)</f>
        <v>#VALUE!</v>
      </c>
      <c r="L20" s="7" t="e">
        <f>averageCompletionTimePorter(Dates!L$8,Dates!L$9,'Day3'!$B20)</f>
        <v>#VALUE!</v>
      </c>
      <c r="M20" s="7" t="e">
        <f>averageCompletionTimePorter(Dates!M$8,Dates!M$9,'Day3'!$B20)</f>
        <v>#VALUE!</v>
      </c>
      <c r="N20" s="7" t="e">
        <f>averageCompletionTimePorter(Dates!N$8,Dates!N$9,'Day3'!$B20)</f>
        <v>#VALUE!</v>
      </c>
      <c r="O20" s="7" t="e">
        <f>averageCompletionTimePorter(Dates!O$8,Dates!O$9,'Day3'!$B20)</f>
        <v>#VALUE!</v>
      </c>
      <c r="P20" s="7" t="e">
        <f>averageCompletionTimePorter(Dates!P$8,Dates!P$9,'Day3'!$B20)</f>
        <v>#VALUE!</v>
      </c>
      <c r="Q20" s="7" t="e">
        <f>averageCompletionTimePorter(Dates!Q$8,Dates!Q$9,'Day3'!$B20)</f>
        <v>#VALUE!</v>
      </c>
      <c r="R20" s="7" t="e">
        <f>averageCompletionTimePorter(Dates!R$8,Dates!R$9,'Day3'!$B20)</f>
        <v>#VALUE!</v>
      </c>
      <c r="S20" s="7" t="e">
        <f>averageCompletionTimePorter(Dates!S$8,Dates!S$9,'Day3'!$B20)</f>
        <v>#VALUE!</v>
      </c>
      <c r="T20" s="7" t="e">
        <f>averageCompletionTimePorter(Dates!T$8,Dates!T$9,'Day3'!$B20)</f>
        <v>#VALUE!</v>
      </c>
      <c r="U20" s="7" t="e">
        <f>averageCompletionTimePorter(Dates!$C$8,Dates!$T$9,'Day3'!$B20)</f>
        <v>#VALUE!</v>
      </c>
    </row>
    <row r="21" spans="2:21" x14ac:dyDescent="0.3">
      <c r="B21" s="12" t="s">
        <v>120</v>
      </c>
      <c r="C21" s="7" t="e">
        <f>averageCompletionTimePorter(Dates!C$8,Dates!C$9,'Day3'!$B21)</f>
        <v>#VALUE!</v>
      </c>
      <c r="D21" s="7" t="e">
        <f>averageCompletionTimePorter(Dates!D$8,Dates!D$9,'Day3'!$B21)</f>
        <v>#VALUE!</v>
      </c>
      <c r="E21" s="7" t="e">
        <f>averageCompletionTimePorter(Dates!E$8,Dates!E$9,'Day3'!$B21)</f>
        <v>#VALUE!</v>
      </c>
      <c r="F21" s="7" t="e">
        <f>averageCompletionTimePorter(Dates!F$8,Dates!F$9,'Day3'!$B21)</f>
        <v>#VALUE!</v>
      </c>
      <c r="G21" s="7" t="e">
        <f>averageCompletionTimePorter(Dates!G$8,Dates!G$9,'Day3'!$B21)</f>
        <v>#VALUE!</v>
      </c>
      <c r="H21" s="7" t="e">
        <f>averageCompletionTimePorter(Dates!H$8,Dates!H$9,'Day3'!$B21)</f>
        <v>#VALUE!</v>
      </c>
      <c r="I21" s="7" t="e">
        <f>averageCompletionTimePorter(Dates!I$8,Dates!I$9,'Day3'!$B21)</f>
        <v>#VALUE!</v>
      </c>
      <c r="J21" s="7" t="e">
        <f>averageCompletionTimePorter(Dates!J$8,Dates!J$9,'Day3'!$B21)</f>
        <v>#VALUE!</v>
      </c>
      <c r="K21" s="7" t="e">
        <f>averageCompletionTimePorter(Dates!K$8,Dates!K$9,'Day3'!$B21)</f>
        <v>#VALUE!</v>
      </c>
      <c r="L21" s="7" t="e">
        <f>averageCompletionTimePorter(Dates!L$8,Dates!L$9,'Day3'!$B21)</f>
        <v>#VALUE!</v>
      </c>
      <c r="M21" s="7" t="e">
        <f>averageCompletionTimePorter(Dates!M$8,Dates!M$9,'Day3'!$B21)</f>
        <v>#VALUE!</v>
      </c>
      <c r="N21" s="7" t="e">
        <f>averageCompletionTimePorter(Dates!N$8,Dates!N$9,'Day3'!$B21)</f>
        <v>#VALUE!</v>
      </c>
      <c r="O21" s="7" t="e">
        <f>averageCompletionTimePorter(Dates!O$8,Dates!O$9,'Day3'!$B21)</f>
        <v>#VALUE!</v>
      </c>
      <c r="P21" s="7" t="e">
        <f>averageCompletionTimePorter(Dates!P$8,Dates!P$9,'Day3'!$B21)</f>
        <v>#VALUE!</v>
      </c>
      <c r="Q21" s="7" t="e">
        <f>averageCompletionTimePorter(Dates!Q$8,Dates!Q$9,'Day3'!$B21)</f>
        <v>#VALUE!</v>
      </c>
      <c r="R21" s="7" t="e">
        <f>averageCompletionTimePorter(Dates!R$8,Dates!R$9,'Day3'!$B21)</f>
        <v>#VALUE!</v>
      </c>
      <c r="S21" s="7" t="e">
        <f>averageCompletionTimePorter(Dates!S$8,Dates!S$9,'Day3'!$B21)</f>
        <v>#VALUE!</v>
      </c>
      <c r="T21" s="7" t="e">
        <f>averageCompletionTimePorter(Dates!T$8,Dates!T$9,'Day3'!$B21)</f>
        <v>#VALUE!</v>
      </c>
      <c r="U21" s="7" t="e">
        <f>averageCompletionTimePorter(Dates!$C$8,Dates!$T$9,'Day3'!$B21)</f>
        <v>#VALUE!</v>
      </c>
    </row>
    <row r="22" spans="2:21" x14ac:dyDescent="0.3">
      <c r="B22" s="12" t="s">
        <v>121</v>
      </c>
      <c r="C22" s="7" t="e">
        <f>averageCompletionTimePorter(Dates!C$8,Dates!C$9,'Day3'!$B22)</f>
        <v>#VALUE!</v>
      </c>
      <c r="D22" s="7" t="e">
        <f>averageCompletionTimePorter(Dates!D$8,Dates!D$9,'Day3'!$B22)</f>
        <v>#VALUE!</v>
      </c>
      <c r="E22" s="7" t="e">
        <f>averageCompletionTimePorter(Dates!E$8,Dates!E$9,'Day3'!$B22)</f>
        <v>#VALUE!</v>
      </c>
      <c r="F22" s="7" t="e">
        <f>averageCompletionTimePorter(Dates!F$8,Dates!F$9,'Day3'!$B22)</f>
        <v>#VALUE!</v>
      </c>
      <c r="G22" s="7" t="e">
        <f>averageCompletionTimePorter(Dates!G$8,Dates!G$9,'Day3'!$B22)</f>
        <v>#VALUE!</v>
      </c>
      <c r="H22" s="7" t="e">
        <f>averageCompletionTimePorter(Dates!H$8,Dates!H$9,'Day3'!$B22)</f>
        <v>#VALUE!</v>
      </c>
      <c r="I22" s="7" t="e">
        <f>averageCompletionTimePorter(Dates!I$8,Dates!I$9,'Day3'!$B22)</f>
        <v>#VALUE!</v>
      </c>
      <c r="J22" s="7" t="e">
        <f>averageCompletionTimePorter(Dates!J$8,Dates!J$9,'Day3'!$B22)</f>
        <v>#VALUE!</v>
      </c>
      <c r="K22" s="7" t="e">
        <f>averageCompletionTimePorter(Dates!K$8,Dates!K$9,'Day3'!$B22)</f>
        <v>#VALUE!</v>
      </c>
      <c r="L22" s="7" t="e">
        <f>averageCompletionTimePorter(Dates!L$8,Dates!L$9,'Day3'!$B22)</f>
        <v>#VALUE!</v>
      </c>
      <c r="M22" s="7" t="e">
        <f>averageCompletionTimePorter(Dates!M$8,Dates!M$9,'Day3'!$B22)</f>
        <v>#VALUE!</v>
      </c>
      <c r="N22" s="7" t="e">
        <f>averageCompletionTimePorter(Dates!N$8,Dates!N$9,'Day3'!$B22)</f>
        <v>#VALUE!</v>
      </c>
      <c r="O22" s="7" t="e">
        <f>averageCompletionTimePorter(Dates!O$8,Dates!O$9,'Day3'!$B22)</f>
        <v>#VALUE!</v>
      </c>
      <c r="P22" s="7" t="e">
        <f>averageCompletionTimePorter(Dates!P$8,Dates!P$9,'Day3'!$B22)</f>
        <v>#VALUE!</v>
      </c>
      <c r="Q22" s="7" t="e">
        <f>averageCompletionTimePorter(Dates!Q$8,Dates!Q$9,'Day3'!$B22)</f>
        <v>#VALUE!</v>
      </c>
      <c r="R22" s="7" t="e">
        <f>averageCompletionTimePorter(Dates!R$8,Dates!R$9,'Day3'!$B22)</f>
        <v>#VALUE!</v>
      </c>
      <c r="S22" s="7" t="e">
        <f>averageCompletionTimePorter(Dates!S$8,Dates!S$9,'Day3'!$B22)</f>
        <v>#VALUE!</v>
      </c>
      <c r="T22" s="7" t="e">
        <f>averageCompletionTimePorter(Dates!T$8,Dates!T$9,'Day3'!$B22)</f>
        <v>#VALUE!</v>
      </c>
      <c r="U22" s="7" t="e">
        <f>averageCompletionTimePorter(Dates!$C$8,Dates!$T$9,'Day3'!$B22)</f>
        <v>#VALUE!</v>
      </c>
    </row>
    <row r="23" spans="2:21" x14ac:dyDescent="0.3">
      <c r="B23" s="12" t="s">
        <v>122</v>
      </c>
      <c r="C23" s="7" t="e">
        <f>averageCompletionTimePorter(Dates!C$8,Dates!C$9,'Day3'!$B23)</f>
        <v>#VALUE!</v>
      </c>
      <c r="D23" s="7" t="e">
        <f>averageCompletionTimePorter(Dates!D$8,Dates!D$9,'Day3'!$B23)</f>
        <v>#VALUE!</v>
      </c>
      <c r="E23" s="7" t="e">
        <f>averageCompletionTimePorter(Dates!E$8,Dates!E$9,'Day3'!$B23)</f>
        <v>#VALUE!</v>
      </c>
      <c r="F23" s="7" t="e">
        <f>averageCompletionTimePorter(Dates!F$8,Dates!F$9,'Day3'!$B23)</f>
        <v>#VALUE!</v>
      </c>
      <c r="G23" s="7" t="e">
        <f>averageCompletionTimePorter(Dates!G$8,Dates!G$9,'Day3'!$B23)</f>
        <v>#VALUE!</v>
      </c>
      <c r="H23" s="7" t="e">
        <f>averageCompletionTimePorter(Dates!H$8,Dates!H$9,'Day3'!$B23)</f>
        <v>#VALUE!</v>
      </c>
      <c r="I23" s="7" t="e">
        <f>averageCompletionTimePorter(Dates!I$8,Dates!I$9,'Day3'!$B23)</f>
        <v>#VALUE!</v>
      </c>
      <c r="J23" s="7" t="e">
        <f>averageCompletionTimePorter(Dates!J$8,Dates!J$9,'Day3'!$B23)</f>
        <v>#VALUE!</v>
      </c>
      <c r="K23" s="7" t="e">
        <f>averageCompletionTimePorter(Dates!K$8,Dates!K$9,'Day3'!$B23)</f>
        <v>#VALUE!</v>
      </c>
      <c r="L23" s="7" t="e">
        <f>averageCompletionTimePorter(Dates!L$8,Dates!L$9,'Day3'!$B23)</f>
        <v>#VALUE!</v>
      </c>
      <c r="M23" s="7" t="e">
        <f>averageCompletionTimePorter(Dates!M$8,Dates!M$9,'Day3'!$B23)</f>
        <v>#VALUE!</v>
      </c>
      <c r="N23" s="7" t="e">
        <f>averageCompletionTimePorter(Dates!N$8,Dates!N$9,'Day3'!$B23)</f>
        <v>#VALUE!</v>
      </c>
      <c r="O23" s="7" t="e">
        <f>averageCompletionTimePorter(Dates!O$8,Dates!O$9,'Day3'!$B23)</f>
        <v>#VALUE!</v>
      </c>
      <c r="P23" s="7" t="e">
        <f>averageCompletionTimePorter(Dates!P$8,Dates!P$9,'Day3'!$B23)</f>
        <v>#VALUE!</v>
      </c>
      <c r="Q23" s="7" t="e">
        <f>averageCompletionTimePorter(Dates!Q$8,Dates!Q$9,'Day3'!$B23)</f>
        <v>#VALUE!</v>
      </c>
      <c r="R23" s="7" t="e">
        <f>averageCompletionTimePorter(Dates!R$8,Dates!R$9,'Day3'!$B23)</f>
        <v>#VALUE!</v>
      </c>
      <c r="S23" s="7" t="e">
        <f>averageCompletionTimePorter(Dates!S$8,Dates!S$9,'Day3'!$B23)</f>
        <v>#VALUE!</v>
      </c>
      <c r="T23" s="7" t="e">
        <f>averageCompletionTimePorter(Dates!T$8,Dates!T$9,'Day3'!$B23)</f>
        <v>#VALUE!</v>
      </c>
      <c r="U23" s="7" t="e">
        <f>averageCompletionTimePorter(Dates!$C$8,Dates!$T$9,'Day3'!$B23)</f>
        <v>#VALUE!</v>
      </c>
    </row>
    <row r="25" spans="2:21" x14ac:dyDescent="0.3">
      <c r="B25" s="11" t="s">
        <v>112</v>
      </c>
      <c r="C25" s="7" t="e">
        <f>averageResponseTime(Dates!C8,Dates!C9)</f>
        <v>#VALUE!</v>
      </c>
      <c r="D25" s="7" t="e">
        <f>averageResponseTime(Dates!D8,Dates!D9)</f>
        <v>#VALUE!</v>
      </c>
      <c r="E25" s="7" t="e">
        <f>averageResponseTime(Dates!E8,Dates!E9)</f>
        <v>#VALUE!</v>
      </c>
      <c r="F25" s="7" t="e">
        <f>averageResponseTime(Dates!F8,Dates!F9)</f>
        <v>#VALUE!</v>
      </c>
      <c r="G25" s="7" t="e">
        <f>averageResponseTime(Dates!G8,Dates!G9)</f>
        <v>#VALUE!</v>
      </c>
      <c r="H25" s="7" t="e">
        <f>averageResponseTime(Dates!H8,Dates!H9)</f>
        <v>#VALUE!</v>
      </c>
      <c r="I25" s="7" t="e">
        <f>averageResponseTime(Dates!I8,Dates!I9)</f>
        <v>#VALUE!</v>
      </c>
      <c r="J25" s="7" t="e">
        <f>averageResponseTime(Dates!J8,Dates!J9)</f>
        <v>#VALUE!</v>
      </c>
      <c r="K25" s="7" t="e">
        <f>averageResponseTime(Dates!K8,Dates!K9)</f>
        <v>#VALUE!</v>
      </c>
      <c r="L25" s="7" t="e">
        <f>averageResponseTime(Dates!L8,Dates!L9)</f>
        <v>#VALUE!</v>
      </c>
      <c r="M25" s="7" t="e">
        <f>averageResponseTime(Dates!M8,Dates!M9)</f>
        <v>#VALUE!</v>
      </c>
      <c r="N25" s="7" t="e">
        <f>averageResponseTime(Dates!N8,Dates!N9)</f>
        <v>#VALUE!</v>
      </c>
      <c r="O25" s="7" t="e">
        <f>averageResponseTime(Dates!O8,Dates!O9)</f>
        <v>#VALUE!</v>
      </c>
      <c r="P25" s="7" t="e">
        <f>averageResponseTime(Dates!P8,Dates!P9)</f>
        <v>#VALUE!</v>
      </c>
      <c r="Q25" s="7" t="e">
        <f>averageResponseTime(Dates!Q8,Dates!Q9)</f>
        <v>#VALUE!</v>
      </c>
      <c r="R25" s="7" t="e">
        <f>averageResponseTime(Dates!R8,Dates!R9)</f>
        <v>#VALUE!</v>
      </c>
      <c r="S25" s="7" t="e">
        <f>averageResponseTime(Dates!S8,Dates!S9)</f>
        <v>#VALUE!</v>
      </c>
      <c r="T25" s="7" t="e">
        <f>averageResponseTime(Dates!T8,Dates!T9)</f>
        <v>#VALUE!</v>
      </c>
      <c r="U25" s="7" t="e">
        <f>averageResponseTime(Dates!C8,Dates!T9)</f>
        <v>#VALUE!</v>
      </c>
    </row>
    <row r="26" spans="2:21" x14ac:dyDescent="0.3">
      <c r="B26" s="11">
        <f>B3</f>
        <v>0</v>
      </c>
      <c r="C26" s="7" t="e">
        <f>averageResponseTimePorter(Dates!C$8,Dates!C$9,'Day3'!$B26)</f>
        <v>#VALUE!</v>
      </c>
      <c r="D26" s="7" t="e">
        <f>averageResponseTimePorter(Dates!D$8,Dates!D$9,'Day3'!$B26)</f>
        <v>#VALUE!</v>
      </c>
      <c r="E26" s="7" t="e">
        <f>averageResponseTimePorter(Dates!E$8,Dates!E$9,'Day3'!$B26)</f>
        <v>#VALUE!</v>
      </c>
      <c r="F26" s="7" t="e">
        <f>averageResponseTimePorter(Dates!F$8,Dates!F$9,'Day3'!$B26)</f>
        <v>#VALUE!</v>
      </c>
      <c r="G26" s="7" t="e">
        <f>averageResponseTimePorter(Dates!G$8,Dates!G$9,'Day3'!$B26)</f>
        <v>#VALUE!</v>
      </c>
      <c r="H26" s="7" t="e">
        <f>averageResponseTimePorter(Dates!H$8,Dates!H$9,'Day3'!$B26)</f>
        <v>#VALUE!</v>
      </c>
      <c r="I26" s="7" t="e">
        <f>averageResponseTimePorter(Dates!I$8,Dates!I$9,'Day3'!$B26)</f>
        <v>#VALUE!</v>
      </c>
      <c r="J26" s="7" t="e">
        <f>averageResponseTimePorter(Dates!J$8,Dates!J$9,'Day3'!$B26)</f>
        <v>#VALUE!</v>
      </c>
      <c r="K26" s="7" t="e">
        <f>averageResponseTimePorter(Dates!K$8,Dates!K$9,'Day3'!$B26)</f>
        <v>#VALUE!</v>
      </c>
      <c r="L26" s="7" t="e">
        <f>averageResponseTimePorter(Dates!L$8,Dates!L$9,'Day3'!$B26)</f>
        <v>#VALUE!</v>
      </c>
      <c r="M26" s="7" t="e">
        <f>averageResponseTimePorter(Dates!M$8,Dates!M$9,'Day3'!$B26)</f>
        <v>#VALUE!</v>
      </c>
      <c r="N26" s="7" t="e">
        <f>averageResponseTimePorter(Dates!N$8,Dates!N$9,'Day3'!$B26)</f>
        <v>#VALUE!</v>
      </c>
      <c r="O26" s="7" t="e">
        <f>averageResponseTimePorter(Dates!O$8,Dates!O$9,'Day3'!$B26)</f>
        <v>#VALUE!</v>
      </c>
      <c r="P26" s="7" t="e">
        <f>averageResponseTimePorter(Dates!P$8,Dates!P$9,'Day3'!$B26)</f>
        <v>#VALUE!</v>
      </c>
      <c r="Q26" s="7" t="e">
        <f>averageResponseTimePorter(Dates!Q$8,Dates!Q$9,'Day3'!$B26)</f>
        <v>#VALUE!</v>
      </c>
      <c r="R26" s="7" t="e">
        <f>averageResponseTimePorter(Dates!R$8,Dates!R$9,'Day3'!$B26)</f>
        <v>#VALUE!</v>
      </c>
      <c r="S26" s="7" t="e">
        <f>averageResponseTimePorter(Dates!S$8,Dates!S$9,'Day3'!$B26)</f>
        <v>#VALUE!</v>
      </c>
      <c r="T26" s="7" t="e">
        <f>averageResponseTimePorter(Dates!T$8,Dates!T$9,'Day3'!$B26)</f>
        <v>#VALUE!</v>
      </c>
      <c r="U26" s="7" t="e">
        <f>averageResponseTimePorter(Dates!$C$8,Dates!$T$9,'Day3'!$B3)</f>
        <v>#VALUE!</v>
      </c>
    </row>
    <row r="27" spans="2:21" x14ac:dyDescent="0.3">
      <c r="B27" s="11" t="str">
        <f t="shared" ref="B27:B46" si="0">B4</f>
        <v>NA4</v>
      </c>
      <c r="C27" s="7" t="e">
        <f>averageResponseTimePorter(Dates!C$8,Dates!C$9,'Day3'!$B27)</f>
        <v>#VALUE!</v>
      </c>
      <c r="D27" s="7" t="e">
        <f>averageResponseTimePorter(Dates!D$8,Dates!D$9,'Day3'!$B27)</f>
        <v>#VALUE!</v>
      </c>
      <c r="E27" s="7" t="e">
        <f>averageResponseTimePorter(Dates!E$8,Dates!E$9,'Day3'!$B27)</f>
        <v>#VALUE!</v>
      </c>
      <c r="F27" s="7" t="e">
        <f>averageResponseTimePorter(Dates!F$8,Dates!F$9,'Day3'!$B27)</f>
        <v>#VALUE!</v>
      </c>
      <c r="G27" s="7" t="e">
        <f>averageResponseTimePorter(Dates!G$8,Dates!G$9,'Day3'!$B27)</f>
        <v>#VALUE!</v>
      </c>
      <c r="H27" s="7" t="e">
        <f>averageResponseTimePorter(Dates!H$8,Dates!H$9,'Day3'!$B27)</f>
        <v>#VALUE!</v>
      </c>
      <c r="I27" s="7" t="e">
        <f>averageResponseTimePorter(Dates!I$8,Dates!I$9,'Day3'!$B27)</f>
        <v>#VALUE!</v>
      </c>
      <c r="J27" s="7" t="e">
        <f>averageResponseTimePorter(Dates!J$8,Dates!J$9,'Day3'!$B27)</f>
        <v>#VALUE!</v>
      </c>
      <c r="K27" s="7" t="e">
        <f>averageResponseTimePorter(Dates!K$8,Dates!K$9,'Day3'!$B27)</f>
        <v>#VALUE!</v>
      </c>
      <c r="L27" s="7" t="e">
        <f>averageResponseTimePorter(Dates!L$8,Dates!L$9,'Day3'!$B27)</f>
        <v>#VALUE!</v>
      </c>
      <c r="M27" s="7" t="e">
        <f>averageResponseTimePorter(Dates!M$8,Dates!M$9,'Day3'!$B27)</f>
        <v>#VALUE!</v>
      </c>
      <c r="N27" s="7" t="e">
        <f>averageResponseTimePorter(Dates!N$8,Dates!N$9,'Day3'!$B27)</f>
        <v>#VALUE!</v>
      </c>
      <c r="O27" s="7" t="e">
        <f>averageResponseTimePorter(Dates!O$8,Dates!O$9,'Day3'!$B27)</f>
        <v>#VALUE!</v>
      </c>
      <c r="P27" s="7" t="e">
        <f>averageResponseTimePorter(Dates!P$8,Dates!P$9,'Day3'!$B27)</f>
        <v>#VALUE!</v>
      </c>
      <c r="Q27" s="7" t="e">
        <f>averageResponseTimePorter(Dates!Q$8,Dates!Q$9,'Day3'!$B27)</f>
        <v>#VALUE!</v>
      </c>
      <c r="R27" s="7" t="e">
        <f>averageResponseTimePorter(Dates!R$8,Dates!R$9,'Day3'!$B27)</f>
        <v>#VALUE!</v>
      </c>
      <c r="S27" s="7" t="e">
        <f>averageResponseTimePorter(Dates!S$8,Dates!S$9,'Day3'!$B27)</f>
        <v>#VALUE!</v>
      </c>
      <c r="T27" s="7" t="e">
        <f>averageResponseTimePorter(Dates!T$8,Dates!T$9,'Day3'!$B27)</f>
        <v>#VALUE!</v>
      </c>
      <c r="U27" s="7" t="e">
        <f>averageResponseTimePorter(Dates!$C$8,Dates!$T$9,'Day3'!$B4)</f>
        <v>#VALUE!</v>
      </c>
    </row>
    <row r="28" spans="2:21" x14ac:dyDescent="0.3">
      <c r="B28" s="11" t="str">
        <f t="shared" si="0"/>
        <v>NA5</v>
      </c>
      <c r="C28" s="7" t="e">
        <f>averageResponseTimePorter(Dates!C$8,Dates!C$9,'Day3'!$B28)</f>
        <v>#VALUE!</v>
      </c>
      <c r="D28" s="7" t="e">
        <f>averageResponseTimePorter(Dates!D$8,Dates!D$9,'Day3'!$B28)</f>
        <v>#VALUE!</v>
      </c>
      <c r="E28" s="7" t="e">
        <f>averageResponseTimePorter(Dates!E$8,Dates!E$9,'Day3'!$B28)</f>
        <v>#VALUE!</v>
      </c>
      <c r="F28" s="7" t="e">
        <f>averageResponseTimePorter(Dates!F$8,Dates!F$9,'Day3'!$B28)</f>
        <v>#VALUE!</v>
      </c>
      <c r="G28" s="7" t="e">
        <f>averageResponseTimePorter(Dates!G$8,Dates!G$9,'Day3'!$B28)</f>
        <v>#VALUE!</v>
      </c>
      <c r="H28" s="7" t="e">
        <f>averageResponseTimePorter(Dates!H$8,Dates!H$9,'Day3'!$B28)</f>
        <v>#VALUE!</v>
      </c>
      <c r="I28" s="7" t="e">
        <f>averageResponseTimePorter(Dates!I$8,Dates!I$9,'Day3'!$B28)</f>
        <v>#VALUE!</v>
      </c>
      <c r="J28" s="7" t="e">
        <f>averageResponseTimePorter(Dates!J$8,Dates!J$9,'Day3'!$B28)</f>
        <v>#VALUE!</v>
      </c>
      <c r="K28" s="7" t="e">
        <f>averageResponseTimePorter(Dates!K$8,Dates!K$9,'Day3'!$B28)</f>
        <v>#VALUE!</v>
      </c>
      <c r="L28" s="7" t="e">
        <f>averageResponseTimePorter(Dates!L$8,Dates!L$9,'Day3'!$B28)</f>
        <v>#VALUE!</v>
      </c>
      <c r="M28" s="7" t="e">
        <f>averageResponseTimePorter(Dates!M$8,Dates!M$9,'Day3'!$B28)</f>
        <v>#VALUE!</v>
      </c>
      <c r="N28" s="7" t="e">
        <f>averageResponseTimePorter(Dates!N$8,Dates!N$9,'Day3'!$B28)</f>
        <v>#VALUE!</v>
      </c>
      <c r="O28" s="7" t="e">
        <f>averageResponseTimePorter(Dates!O$8,Dates!O$9,'Day3'!$B28)</f>
        <v>#VALUE!</v>
      </c>
      <c r="P28" s="7" t="e">
        <f>averageResponseTimePorter(Dates!P$8,Dates!P$9,'Day3'!$B28)</f>
        <v>#VALUE!</v>
      </c>
      <c r="Q28" s="7" t="e">
        <f>averageResponseTimePorter(Dates!Q$8,Dates!Q$9,'Day3'!$B28)</f>
        <v>#VALUE!</v>
      </c>
      <c r="R28" s="7" t="e">
        <f>averageResponseTimePorter(Dates!R$8,Dates!R$9,'Day3'!$B28)</f>
        <v>#VALUE!</v>
      </c>
      <c r="S28" s="7" t="e">
        <f>averageResponseTimePorter(Dates!S$8,Dates!S$9,'Day3'!$B28)</f>
        <v>#VALUE!</v>
      </c>
      <c r="T28" s="7" t="e">
        <f>averageResponseTimePorter(Dates!T$8,Dates!T$9,'Day3'!$B28)</f>
        <v>#VALUE!</v>
      </c>
      <c r="U28" s="7" t="e">
        <f>averageResponseTimePorter(Dates!$C$8,Dates!$T$9,'Day3'!$B5)</f>
        <v>#VALUE!</v>
      </c>
    </row>
    <row r="29" spans="2:21" x14ac:dyDescent="0.3">
      <c r="B29" s="11" t="str">
        <f t="shared" si="0"/>
        <v>NA6</v>
      </c>
      <c r="C29" s="7" t="e">
        <f>averageResponseTimePorter(Dates!C$8,Dates!C$9,'Day3'!$B29)</f>
        <v>#VALUE!</v>
      </c>
      <c r="D29" s="7" t="e">
        <f>averageResponseTimePorter(Dates!D$8,Dates!D$9,'Day3'!$B29)</f>
        <v>#VALUE!</v>
      </c>
      <c r="E29" s="7" t="e">
        <f>averageResponseTimePorter(Dates!E$8,Dates!E$9,'Day3'!$B29)</f>
        <v>#VALUE!</v>
      </c>
      <c r="F29" s="7" t="e">
        <f>averageResponseTimePorter(Dates!F$8,Dates!F$9,'Day3'!$B29)</f>
        <v>#VALUE!</v>
      </c>
      <c r="G29" s="7" t="e">
        <f>averageResponseTimePorter(Dates!G$8,Dates!G$9,'Day3'!$B29)</f>
        <v>#VALUE!</v>
      </c>
      <c r="H29" s="7" t="e">
        <f>averageResponseTimePorter(Dates!H$8,Dates!H$9,'Day3'!$B29)</f>
        <v>#VALUE!</v>
      </c>
      <c r="I29" s="7" t="e">
        <f>averageResponseTimePorter(Dates!I$8,Dates!I$9,'Day3'!$B29)</f>
        <v>#VALUE!</v>
      </c>
      <c r="J29" s="7" t="e">
        <f>averageResponseTimePorter(Dates!J$8,Dates!J$9,'Day3'!$B29)</f>
        <v>#VALUE!</v>
      </c>
      <c r="K29" s="7" t="e">
        <f>averageResponseTimePorter(Dates!K$8,Dates!K$9,'Day3'!$B29)</f>
        <v>#VALUE!</v>
      </c>
      <c r="L29" s="7" t="e">
        <f>averageResponseTimePorter(Dates!L$8,Dates!L$9,'Day3'!$B29)</f>
        <v>#VALUE!</v>
      </c>
      <c r="M29" s="7" t="e">
        <f>averageResponseTimePorter(Dates!M$8,Dates!M$9,'Day3'!$B29)</f>
        <v>#VALUE!</v>
      </c>
      <c r="N29" s="7" t="e">
        <f>averageResponseTimePorter(Dates!N$8,Dates!N$9,'Day3'!$B29)</f>
        <v>#VALUE!</v>
      </c>
      <c r="O29" s="7" t="e">
        <f>averageResponseTimePorter(Dates!O$8,Dates!O$9,'Day3'!$B29)</f>
        <v>#VALUE!</v>
      </c>
      <c r="P29" s="7" t="e">
        <f>averageResponseTimePorter(Dates!P$8,Dates!P$9,'Day3'!$B29)</f>
        <v>#VALUE!</v>
      </c>
      <c r="Q29" s="7" t="e">
        <f>averageResponseTimePorter(Dates!Q$8,Dates!Q$9,'Day3'!$B29)</f>
        <v>#VALUE!</v>
      </c>
      <c r="R29" s="7" t="e">
        <f>averageResponseTimePorter(Dates!R$8,Dates!R$9,'Day3'!$B29)</f>
        <v>#VALUE!</v>
      </c>
      <c r="S29" s="7" t="e">
        <f>averageResponseTimePorter(Dates!S$8,Dates!S$9,'Day3'!$B29)</f>
        <v>#VALUE!</v>
      </c>
      <c r="T29" s="7" t="e">
        <f>averageResponseTimePorter(Dates!T$8,Dates!T$9,'Day3'!$B29)</f>
        <v>#VALUE!</v>
      </c>
      <c r="U29" s="7" t="e">
        <f>averageResponseTimePorter(Dates!$C$8,Dates!$T$9,'Day3'!$B6)</f>
        <v>#VALUE!</v>
      </c>
    </row>
    <row r="30" spans="2:21" x14ac:dyDescent="0.3">
      <c r="B30" s="11" t="str">
        <f t="shared" si="0"/>
        <v>NA7</v>
      </c>
      <c r="C30" s="7" t="e">
        <f>averageResponseTimePorter(Dates!C$8,Dates!C$9,'Day3'!$B30)</f>
        <v>#VALUE!</v>
      </c>
      <c r="D30" s="7" t="e">
        <f>averageResponseTimePorter(Dates!D$8,Dates!D$9,'Day3'!$B30)</f>
        <v>#VALUE!</v>
      </c>
      <c r="E30" s="7" t="e">
        <f>averageResponseTimePorter(Dates!E$8,Dates!E$9,'Day3'!$B30)</f>
        <v>#VALUE!</v>
      </c>
      <c r="F30" s="7" t="e">
        <f>averageResponseTimePorter(Dates!F$8,Dates!F$9,'Day3'!$B30)</f>
        <v>#VALUE!</v>
      </c>
      <c r="G30" s="7" t="e">
        <f>averageResponseTimePorter(Dates!G$8,Dates!G$9,'Day3'!$B30)</f>
        <v>#VALUE!</v>
      </c>
      <c r="H30" s="7" t="e">
        <f>averageResponseTimePorter(Dates!H$8,Dates!H$9,'Day3'!$B30)</f>
        <v>#VALUE!</v>
      </c>
      <c r="I30" s="7" t="e">
        <f>averageResponseTimePorter(Dates!I$8,Dates!I$9,'Day3'!$B30)</f>
        <v>#VALUE!</v>
      </c>
      <c r="J30" s="7" t="e">
        <f>averageResponseTimePorter(Dates!J$8,Dates!J$9,'Day3'!$B30)</f>
        <v>#VALUE!</v>
      </c>
      <c r="K30" s="7" t="e">
        <f>averageResponseTimePorter(Dates!K$8,Dates!K$9,'Day3'!$B30)</f>
        <v>#VALUE!</v>
      </c>
      <c r="L30" s="7" t="e">
        <f>averageResponseTimePorter(Dates!L$8,Dates!L$9,'Day3'!$B30)</f>
        <v>#VALUE!</v>
      </c>
      <c r="M30" s="7" t="e">
        <f>averageResponseTimePorter(Dates!M$8,Dates!M$9,'Day3'!$B30)</f>
        <v>#VALUE!</v>
      </c>
      <c r="N30" s="7" t="e">
        <f>averageResponseTimePorter(Dates!N$8,Dates!N$9,'Day3'!$B30)</f>
        <v>#VALUE!</v>
      </c>
      <c r="O30" s="7" t="e">
        <f>averageResponseTimePorter(Dates!O$8,Dates!O$9,'Day3'!$B30)</f>
        <v>#VALUE!</v>
      </c>
      <c r="P30" s="7" t="e">
        <f>averageResponseTimePorter(Dates!P$8,Dates!P$9,'Day3'!$B30)</f>
        <v>#VALUE!</v>
      </c>
      <c r="Q30" s="7" t="e">
        <f>averageResponseTimePorter(Dates!Q$8,Dates!Q$9,'Day3'!$B30)</f>
        <v>#VALUE!</v>
      </c>
      <c r="R30" s="7" t="e">
        <f>averageResponseTimePorter(Dates!R$8,Dates!R$9,'Day3'!$B30)</f>
        <v>#VALUE!</v>
      </c>
      <c r="S30" s="7" t="e">
        <f>averageResponseTimePorter(Dates!S$8,Dates!S$9,'Day3'!$B30)</f>
        <v>#VALUE!</v>
      </c>
      <c r="T30" s="7" t="e">
        <f>averageResponseTimePorter(Dates!T$8,Dates!T$9,'Day3'!$B30)</f>
        <v>#VALUE!</v>
      </c>
      <c r="U30" s="7" t="e">
        <f>averageResponseTimePorter(Dates!$C$8,Dates!$T$9,'Day3'!$B7)</f>
        <v>#VALUE!</v>
      </c>
    </row>
    <row r="31" spans="2:21" x14ac:dyDescent="0.3">
      <c r="B31" s="11" t="str">
        <f t="shared" si="0"/>
        <v>NA8</v>
      </c>
      <c r="C31" s="7" t="e">
        <f>averageResponseTimePorter(Dates!C$8,Dates!C$9,'Day3'!$B31)</f>
        <v>#VALUE!</v>
      </c>
      <c r="D31" s="7" t="e">
        <f>averageResponseTimePorter(Dates!D$8,Dates!D$9,'Day3'!$B31)</f>
        <v>#VALUE!</v>
      </c>
      <c r="E31" s="7" t="e">
        <f>averageResponseTimePorter(Dates!E$8,Dates!E$9,'Day3'!$B31)</f>
        <v>#VALUE!</v>
      </c>
      <c r="F31" s="7" t="e">
        <f>averageResponseTimePorter(Dates!F$8,Dates!F$9,'Day3'!$B31)</f>
        <v>#VALUE!</v>
      </c>
      <c r="G31" s="7" t="e">
        <f>averageResponseTimePorter(Dates!G$8,Dates!G$9,'Day3'!$B31)</f>
        <v>#VALUE!</v>
      </c>
      <c r="H31" s="7" t="e">
        <f>averageResponseTimePorter(Dates!H$8,Dates!H$9,'Day3'!$B31)</f>
        <v>#VALUE!</v>
      </c>
      <c r="I31" s="7" t="e">
        <f>averageResponseTimePorter(Dates!I$8,Dates!I$9,'Day3'!$B31)</f>
        <v>#VALUE!</v>
      </c>
      <c r="J31" s="7" t="e">
        <f>averageResponseTimePorter(Dates!J$8,Dates!J$9,'Day3'!$B31)</f>
        <v>#VALUE!</v>
      </c>
      <c r="K31" s="7" t="e">
        <f>averageResponseTimePorter(Dates!K$8,Dates!K$9,'Day3'!$B31)</f>
        <v>#VALUE!</v>
      </c>
      <c r="L31" s="7" t="e">
        <f>averageResponseTimePorter(Dates!L$8,Dates!L$9,'Day3'!$B31)</f>
        <v>#VALUE!</v>
      </c>
      <c r="M31" s="7" t="e">
        <f>averageResponseTimePorter(Dates!M$8,Dates!M$9,'Day3'!$B31)</f>
        <v>#VALUE!</v>
      </c>
      <c r="N31" s="7" t="e">
        <f>averageResponseTimePorter(Dates!N$8,Dates!N$9,'Day3'!$B31)</f>
        <v>#VALUE!</v>
      </c>
      <c r="O31" s="7" t="e">
        <f>averageResponseTimePorter(Dates!O$8,Dates!O$9,'Day3'!$B31)</f>
        <v>#VALUE!</v>
      </c>
      <c r="P31" s="7" t="e">
        <f>averageResponseTimePorter(Dates!P$8,Dates!P$9,'Day3'!$B31)</f>
        <v>#VALUE!</v>
      </c>
      <c r="Q31" s="7" t="e">
        <f>averageResponseTimePorter(Dates!Q$8,Dates!Q$9,'Day3'!$B31)</f>
        <v>#VALUE!</v>
      </c>
      <c r="R31" s="7" t="e">
        <f>averageResponseTimePorter(Dates!R$8,Dates!R$9,'Day3'!$B31)</f>
        <v>#VALUE!</v>
      </c>
      <c r="S31" s="7" t="e">
        <f>averageResponseTimePorter(Dates!S$8,Dates!S$9,'Day3'!$B31)</f>
        <v>#VALUE!</v>
      </c>
      <c r="T31" s="7" t="e">
        <f>averageResponseTimePorter(Dates!T$8,Dates!T$9,'Day3'!$B31)</f>
        <v>#VALUE!</v>
      </c>
      <c r="U31" s="7" t="e">
        <f>averageResponseTimePorter(Dates!$C$8,Dates!$T$9,'Day3'!$B8)</f>
        <v>#VALUE!</v>
      </c>
    </row>
    <row r="32" spans="2:21" x14ac:dyDescent="0.3">
      <c r="B32" s="11" t="str">
        <f t="shared" si="0"/>
        <v>NA9</v>
      </c>
      <c r="C32" s="7" t="e">
        <f>averageResponseTimePorter(Dates!C$8,Dates!C$9,'Day3'!$B32)</f>
        <v>#VALUE!</v>
      </c>
      <c r="D32" s="7" t="e">
        <f>averageResponseTimePorter(Dates!D$8,Dates!D$9,'Day3'!$B32)</f>
        <v>#VALUE!</v>
      </c>
      <c r="E32" s="7" t="e">
        <f>averageResponseTimePorter(Dates!E$8,Dates!E$9,'Day3'!$B32)</f>
        <v>#VALUE!</v>
      </c>
      <c r="F32" s="7" t="e">
        <f>averageResponseTimePorter(Dates!F$8,Dates!F$9,'Day3'!$B32)</f>
        <v>#VALUE!</v>
      </c>
      <c r="G32" s="7" t="e">
        <f>averageResponseTimePorter(Dates!G$8,Dates!G$9,'Day3'!$B32)</f>
        <v>#VALUE!</v>
      </c>
      <c r="H32" s="7" t="e">
        <f>averageResponseTimePorter(Dates!H$8,Dates!H$9,'Day3'!$B32)</f>
        <v>#VALUE!</v>
      </c>
      <c r="I32" s="7" t="e">
        <f>averageResponseTimePorter(Dates!I$8,Dates!I$9,'Day3'!$B32)</f>
        <v>#VALUE!</v>
      </c>
      <c r="J32" s="7" t="e">
        <f>averageResponseTimePorter(Dates!J$8,Dates!J$9,'Day3'!$B32)</f>
        <v>#VALUE!</v>
      </c>
      <c r="K32" s="7" t="e">
        <f>averageResponseTimePorter(Dates!K$8,Dates!K$9,'Day3'!$B32)</f>
        <v>#VALUE!</v>
      </c>
      <c r="L32" s="7" t="e">
        <f>averageResponseTimePorter(Dates!L$8,Dates!L$9,'Day3'!$B32)</f>
        <v>#VALUE!</v>
      </c>
      <c r="M32" s="7" t="e">
        <f>averageResponseTimePorter(Dates!M$8,Dates!M$9,'Day3'!$B32)</f>
        <v>#VALUE!</v>
      </c>
      <c r="N32" s="7" t="e">
        <f>averageResponseTimePorter(Dates!N$8,Dates!N$9,'Day3'!$B32)</f>
        <v>#VALUE!</v>
      </c>
      <c r="O32" s="7" t="e">
        <f>averageResponseTimePorter(Dates!O$8,Dates!O$9,'Day3'!$B32)</f>
        <v>#VALUE!</v>
      </c>
      <c r="P32" s="7" t="e">
        <f>averageResponseTimePorter(Dates!P$8,Dates!P$9,'Day3'!$B32)</f>
        <v>#VALUE!</v>
      </c>
      <c r="Q32" s="7" t="e">
        <f>averageResponseTimePorter(Dates!Q$8,Dates!Q$9,'Day3'!$B32)</f>
        <v>#VALUE!</v>
      </c>
      <c r="R32" s="7" t="e">
        <f>averageResponseTimePorter(Dates!R$8,Dates!R$9,'Day3'!$B32)</f>
        <v>#VALUE!</v>
      </c>
      <c r="S32" s="7" t="e">
        <f>averageResponseTimePorter(Dates!S$8,Dates!S$9,'Day3'!$B32)</f>
        <v>#VALUE!</v>
      </c>
      <c r="T32" s="7" t="e">
        <f>averageResponseTimePorter(Dates!T$8,Dates!T$9,'Day3'!$B32)</f>
        <v>#VALUE!</v>
      </c>
      <c r="U32" s="7" t="e">
        <f>averageResponseTimePorter(Dates!$C$8,Dates!$T$9,'Day3'!$B9)</f>
        <v>#VALUE!</v>
      </c>
    </row>
    <row r="33" spans="2:21" x14ac:dyDescent="0.3">
      <c r="B33" s="11" t="str">
        <f t="shared" si="0"/>
        <v>NA10</v>
      </c>
      <c r="C33" s="7" t="e">
        <f>averageResponseTimePorter(Dates!C$8,Dates!C$9,'Day3'!$B33)</f>
        <v>#VALUE!</v>
      </c>
      <c r="D33" s="7" t="e">
        <f>averageResponseTimePorter(Dates!D$8,Dates!D$9,'Day3'!$B33)</f>
        <v>#VALUE!</v>
      </c>
      <c r="E33" s="7" t="e">
        <f>averageResponseTimePorter(Dates!E$8,Dates!E$9,'Day3'!$B33)</f>
        <v>#VALUE!</v>
      </c>
      <c r="F33" s="7" t="e">
        <f>averageResponseTimePorter(Dates!F$8,Dates!F$9,'Day3'!$B33)</f>
        <v>#VALUE!</v>
      </c>
      <c r="G33" s="7" t="e">
        <f>averageResponseTimePorter(Dates!G$8,Dates!G$9,'Day3'!$B33)</f>
        <v>#VALUE!</v>
      </c>
      <c r="H33" s="7" t="e">
        <f>averageResponseTimePorter(Dates!H$8,Dates!H$9,'Day3'!$B33)</f>
        <v>#VALUE!</v>
      </c>
      <c r="I33" s="7" t="e">
        <f>averageResponseTimePorter(Dates!I$8,Dates!I$9,'Day3'!$B33)</f>
        <v>#VALUE!</v>
      </c>
      <c r="J33" s="7" t="e">
        <f>averageResponseTimePorter(Dates!J$8,Dates!J$9,'Day3'!$B33)</f>
        <v>#VALUE!</v>
      </c>
      <c r="K33" s="7" t="e">
        <f>averageResponseTimePorter(Dates!K$8,Dates!K$9,'Day3'!$B33)</f>
        <v>#VALUE!</v>
      </c>
      <c r="L33" s="7" t="e">
        <f>averageResponseTimePorter(Dates!L$8,Dates!L$9,'Day3'!$B33)</f>
        <v>#VALUE!</v>
      </c>
      <c r="M33" s="7" t="e">
        <f>averageResponseTimePorter(Dates!M$8,Dates!M$9,'Day3'!$B33)</f>
        <v>#VALUE!</v>
      </c>
      <c r="N33" s="7" t="e">
        <f>averageResponseTimePorter(Dates!N$8,Dates!N$9,'Day3'!$B33)</f>
        <v>#VALUE!</v>
      </c>
      <c r="O33" s="7" t="e">
        <f>averageResponseTimePorter(Dates!O$8,Dates!O$9,'Day3'!$B33)</f>
        <v>#VALUE!</v>
      </c>
      <c r="P33" s="7" t="e">
        <f>averageResponseTimePorter(Dates!P$8,Dates!P$9,'Day3'!$B33)</f>
        <v>#VALUE!</v>
      </c>
      <c r="Q33" s="7" t="e">
        <f>averageResponseTimePorter(Dates!Q$8,Dates!Q$9,'Day3'!$B33)</f>
        <v>#VALUE!</v>
      </c>
      <c r="R33" s="7" t="e">
        <f>averageResponseTimePorter(Dates!R$8,Dates!R$9,'Day3'!$B33)</f>
        <v>#VALUE!</v>
      </c>
      <c r="S33" s="7" t="e">
        <f>averageResponseTimePorter(Dates!S$8,Dates!S$9,'Day3'!$B33)</f>
        <v>#VALUE!</v>
      </c>
      <c r="T33" s="7" t="e">
        <f>averageResponseTimePorter(Dates!T$8,Dates!T$9,'Day3'!$B33)</f>
        <v>#VALUE!</v>
      </c>
      <c r="U33" s="7" t="e">
        <f>averageResponseTimePorter(Dates!$C$8,Dates!$T$9,'Day3'!$B10)</f>
        <v>#VALUE!</v>
      </c>
    </row>
    <row r="34" spans="2:21" x14ac:dyDescent="0.3">
      <c r="B34" s="11" t="str">
        <f t="shared" si="0"/>
        <v>NA11</v>
      </c>
      <c r="C34" s="7" t="e">
        <f>averageResponseTimePorter(Dates!C$8,Dates!C$9,'Day3'!$B34)</f>
        <v>#VALUE!</v>
      </c>
      <c r="D34" s="7" t="e">
        <f>averageResponseTimePorter(Dates!D$8,Dates!D$9,'Day3'!$B34)</f>
        <v>#VALUE!</v>
      </c>
      <c r="E34" s="7" t="e">
        <f>averageResponseTimePorter(Dates!E$8,Dates!E$9,'Day3'!$B34)</f>
        <v>#VALUE!</v>
      </c>
      <c r="F34" s="7" t="e">
        <f>averageResponseTimePorter(Dates!F$8,Dates!F$9,'Day3'!$B34)</f>
        <v>#VALUE!</v>
      </c>
      <c r="G34" s="7" t="e">
        <f>averageResponseTimePorter(Dates!G$8,Dates!G$9,'Day3'!$B34)</f>
        <v>#VALUE!</v>
      </c>
      <c r="H34" s="7" t="e">
        <f>averageResponseTimePorter(Dates!H$8,Dates!H$9,'Day3'!$B34)</f>
        <v>#VALUE!</v>
      </c>
      <c r="I34" s="7" t="e">
        <f>averageResponseTimePorter(Dates!I$8,Dates!I$9,'Day3'!$B34)</f>
        <v>#VALUE!</v>
      </c>
      <c r="J34" s="7" t="e">
        <f>averageResponseTimePorter(Dates!J$8,Dates!J$9,'Day3'!$B34)</f>
        <v>#VALUE!</v>
      </c>
      <c r="K34" s="7" t="e">
        <f>averageResponseTimePorter(Dates!K$8,Dates!K$9,'Day3'!$B34)</f>
        <v>#VALUE!</v>
      </c>
      <c r="L34" s="7" t="e">
        <f>averageResponseTimePorter(Dates!L$8,Dates!L$9,'Day3'!$B34)</f>
        <v>#VALUE!</v>
      </c>
      <c r="M34" s="7" t="e">
        <f>averageResponseTimePorter(Dates!M$8,Dates!M$9,'Day3'!$B34)</f>
        <v>#VALUE!</v>
      </c>
      <c r="N34" s="7" t="e">
        <f>averageResponseTimePorter(Dates!N$8,Dates!N$9,'Day3'!$B34)</f>
        <v>#VALUE!</v>
      </c>
      <c r="O34" s="7" t="e">
        <f>averageResponseTimePorter(Dates!O$8,Dates!O$9,'Day3'!$B34)</f>
        <v>#VALUE!</v>
      </c>
      <c r="P34" s="7" t="e">
        <f>averageResponseTimePorter(Dates!P$8,Dates!P$9,'Day3'!$B34)</f>
        <v>#VALUE!</v>
      </c>
      <c r="Q34" s="7" t="e">
        <f>averageResponseTimePorter(Dates!Q$8,Dates!Q$9,'Day3'!$B34)</f>
        <v>#VALUE!</v>
      </c>
      <c r="R34" s="7" t="e">
        <f>averageResponseTimePorter(Dates!R$8,Dates!R$9,'Day3'!$B34)</f>
        <v>#VALUE!</v>
      </c>
      <c r="S34" s="7" t="e">
        <f>averageResponseTimePorter(Dates!S$8,Dates!S$9,'Day3'!$B34)</f>
        <v>#VALUE!</v>
      </c>
      <c r="T34" s="7" t="e">
        <f>averageResponseTimePorter(Dates!T$8,Dates!T$9,'Day3'!$B34)</f>
        <v>#VALUE!</v>
      </c>
      <c r="U34" s="7" t="e">
        <f>averageResponseTimePorter(Dates!$C$8,Dates!$T$9,'Day3'!$B11)</f>
        <v>#VALUE!</v>
      </c>
    </row>
    <row r="35" spans="2:21" x14ac:dyDescent="0.3">
      <c r="B35" s="11" t="str">
        <f t="shared" si="0"/>
        <v>NA12</v>
      </c>
      <c r="C35" s="7" t="e">
        <f>averageResponseTimePorter(Dates!C$8,Dates!C$9,'Day3'!$B35)</f>
        <v>#VALUE!</v>
      </c>
      <c r="D35" s="7" t="e">
        <f>averageResponseTimePorter(Dates!D$8,Dates!D$9,'Day3'!$B35)</f>
        <v>#VALUE!</v>
      </c>
      <c r="E35" s="7" t="e">
        <f>averageResponseTimePorter(Dates!E$8,Dates!E$9,'Day3'!$B35)</f>
        <v>#VALUE!</v>
      </c>
      <c r="F35" s="7" t="e">
        <f>averageResponseTimePorter(Dates!F$8,Dates!F$9,'Day3'!$B35)</f>
        <v>#VALUE!</v>
      </c>
      <c r="G35" s="7" t="e">
        <f>averageResponseTimePorter(Dates!G$8,Dates!G$9,'Day3'!$B35)</f>
        <v>#VALUE!</v>
      </c>
      <c r="H35" s="7" t="e">
        <f>averageResponseTimePorter(Dates!H$8,Dates!H$9,'Day3'!$B35)</f>
        <v>#VALUE!</v>
      </c>
      <c r="I35" s="7" t="e">
        <f>averageResponseTimePorter(Dates!I$8,Dates!I$9,'Day3'!$B35)</f>
        <v>#VALUE!</v>
      </c>
      <c r="J35" s="7" t="e">
        <f>averageResponseTimePorter(Dates!J$8,Dates!J$9,'Day3'!$B35)</f>
        <v>#VALUE!</v>
      </c>
      <c r="K35" s="7" t="e">
        <f>averageResponseTimePorter(Dates!K$8,Dates!K$9,'Day3'!$B35)</f>
        <v>#VALUE!</v>
      </c>
      <c r="L35" s="7" t="e">
        <f>averageResponseTimePorter(Dates!L$8,Dates!L$9,'Day3'!$B35)</f>
        <v>#VALUE!</v>
      </c>
      <c r="M35" s="7" t="e">
        <f>averageResponseTimePorter(Dates!M$8,Dates!M$9,'Day3'!$B35)</f>
        <v>#VALUE!</v>
      </c>
      <c r="N35" s="7" t="e">
        <f>averageResponseTimePorter(Dates!N$8,Dates!N$9,'Day3'!$B35)</f>
        <v>#VALUE!</v>
      </c>
      <c r="O35" s="7" t="e">
        <f>averageResponseTimePorter(Dates!O$8,Dates!O$9,'Day3'!$B35)</f>
        <v>#VALUE!</v>
      </c>
      <c r="P35" s="7" t="e">
        <f>averageResponseTimePorter(Dates!P$8,Dates!P$9,'Day3'!$B35)</f>
        <v>#VALUE!</v>
      </c>
      <c r="Q35" s="7" t="e">
        <f>averageResponseTimePorter(Dates!Q$8,Dates!Q$9,'Day3'!$B35)</f>
        <v>#VALUE!</v>
      </c>
      <c r="R35" s="7" t="e">
        <f>averageResponseTimePorter(Dates!R$8,Dates!R$9,'Day3'!$B35)</f>
        <v>#VALUE!</v>
      </c>
      <c r="S35" s="7" t="e">
        <f>averageResponseTimePorter(Dates!S$8,Dates!S$9,'Day3'!$B35)</f>
        <v>#VALUE!</v>
      </c>
      <c r="T35" s="7" t="e">
        <f>averageResponseTimePorter(Dates!T$8,Dates!T$9,'Day3'!$B35)</f>
        <v>#VALUE!</v>
      </c>
      <c r="U35" s="7" t="e">
        <f>averageResponseTimePorter(Dates!$C$8,Dates!$T$9,'Day3'!$B12)</f>
        <v>#VALUE!</v>
      </c>
    </row>
    <row r="36" spans="2:21" x14ac:dyDescent="0.3">
      <c r="B36" s="11" t="str">
        <f t="shared" si="0"/>
        <v>NA13</v>
      </c>
      <c r="C36" s="7" t="e">
        <f>averageResponseTimePorter(Dates!C$8,Dates!C$9,'Day3'!$B36)</f>
        <v>#VALUE!</v>
      </c>
      <c r="D36" s="7" t="e">
        <f>averageResponseTimePorter(Dates!D$8,Dates!D$9,'Day3'!$B36)</f>
        <v>#VALUE!</v>
      </c>
      <c r="E36" s="7" t="e">
        <f>averageResponseTimePorter(Dates!E$8,Dates!E$9,'Day3'!$B36)</f>
        <v>#VALUE!</v>
      </c>
      <c r="F36" s="7" t="e">
        <f>averageResponseTimePorter(Dates!F$8,Dates!F$9,'Day3'!$B36)</f>
        <v>#VALUE!</v>
      </c>
      <c r="G36" s="7" t="e">
        <f>averageResponseTimePorter(Dates!G$8,Dates!G$9,'Day3'!$B36)</f>
        <v>#VALUE!</v>
      </c>
      <c r="H36" s="7" t="e">
        <f>averageResponseTimePorter(Dates!H$8,Dates!H$9,'Day3'!$B36)</f>
        <v>#VALUE!</v>
      </c>
      <c r="I36" s="7" t="e">
        <f>averageResponseTimePorter(Dates!I$8,Dates!I$9,'Day3'!$B36)</f>
        <v>#VALUE!</v>
      </c>
      <c r="J36" s="7" t="e">
        <f>averageResponseTimePorter(Dates!J$8,Dates!J$9,'Day3'!$B36)</f>
        <v>#VALUE!</v>
      </c>
      <c r="K36" s="7" t="e">
        <f>averageResponseTimePorter(Dates!K$8,Dates!K$9,'Day3'!$B36)</f>
        <v>#VALUE!</v>
      </c>
      <c r="L36" s="7" t="e">
        <f>averageResponseTimePorter(Dates!L$8,Dates!L$9,'Day3'!$B36)</f>
        <v>#VALUE!</v>
      </c>
      <c r="M36" s="7" t="e">
        <f>averageResponseTimePorter(Dates!M$8,Dates!M$9,'Day3'!$B36)</f>
        <v>#VALUE!</v>
      </c>
      <c r="N36" s="7" t="e">
        <f>averageResponseTimePorter(Dates!N$8,Dates!N$9,'Day3'!$B36)</f>
        <v>#VALUE!</v>
      </c>
      <c r="O36" s="7" t="e">
        <f>averageResponseTimePorter(Dates!O$8,Dates!O$9,'Day3'!$B36)</f>
        <v>#VALUE!</v>
      </c>
      <c r="P36" s="7" t="e">
        <f>averageResponseTimePorter(Dates!P$8,Dates!P$9,'Day3'!$B36)</f>
        <v>#VALUE!</v>
      </c>
      <c r="Q36" s="7" t="e">
        <f>averageResponseTimePorter(Dates!Q$8,Dates!Q$9,'Day3'!$B36)</f>
        <v>#VALUE!</v>
      </c>
      <c r="R36" s="7" t="e">
        <f>averageResponseTimePorter(Dates!R$8,Dates!R$9,'Day3'!$B36)</f>
        <v>#VALUE!</v>
      </c>
      <c r="S36" s="7" t="e">
        <f>averageResponseTimePorter(Dates!S$8,Dates!S$9,'Day3'!$B36)</f>
        <v>#VALUE!</v>
      </c>
      <c r="T36" s="7" t="e">
        <f>averageResponseTimePorter(Dates!T$8,Dates!T$9,'Day3'!$B36)</f>
        <v>#VALUE!</v>
      </c>
      <c r="U36" s="7" t="e">
        <f>averageResponseTimePorter(Dates!$C$8,Dates!$T$9,'Day3'!$B13)</f>
        <v>#VALUE!</v>
      </c>
    </row>
    <row r="37" spans="2:21" x14ac:dyDescent="0.3">
      <c r="B37" s="11" t="str">
        <f t="shared" si="0"/>
        <v>NA14</v>
      </c>
      <c r="C37" s="7" t="e">
        <f>averageResponseTimePorter(Dates!C$8,Dates!C$9,'Day3'!$B37)</f>
        <v>#VALUE!</v>
      </c>
      <c r="D37" s="7" t="e">
        <f>averageResponseTimePorter(Dates!D$8,Dates!D$9,'Day3'!$B37)</f>
        <v>#VALUE!</v>
      </c>
      <c r="E37" s="7" t="e">
        <f>averageResponseTimePorter(Dates!E$8,Dates!E$9,'Day3'!$B37)</f>
        <v>#VALUE!</v>
      </c>
      <c r="F37" s="7" t="e">
        <f>averageResponseTimePorter(Dates!F$8,Dates!F$9,'Day3'!$B37)</f>
        <v>#VALUE!</v>
      </c>
      <c r="G37" s="7" t="e">
        <f>averageResponseTimePorter(Dates!G$8,Dates!G$9,'Day3'!$B37)</f>
        <v>#VALUE!</v>
      </c>
      <c r="H37" s="7" t="e">
        <f>averageResponseTimePorter(Dates!H$8,Dates!H$9,'Day3'!$B37)</f>
        <v>#VALUE!</v>
      </c>
      <c r="I37" s="7" t="e">
        <f>averageResponseTimePorter(Dates!I$8,Dates!I$9,'Day3'!$B37)</f>
        <v>#VALUE!</v>
      </c>
      <c r="J37" s="7" t="e">
        <f>averageResponseTimePorter(Dates!J$8,Dates!J$9,'Day3'!$B37)</f>
        <v>#VALUE!</v>
      </c>
      <c r="K37" s="7" t="e">
        <f>averageResponseTimePorter(Dates!K$8,Dates!K$9,'Day3'!$B37)</f>
        <v>#VALUE!</v>
      </c>
      <c r="L37" s="7" t="e">
        <f>averageResponseTimePorter(Dates!L$8,Dates!L$9,'Day3'!$B37)</f>
        <v>#VALUE!</v>
      </c>
      <c r="M37" s="7" t="e">
        <f>averageResponseTimePorter(Dates!M$8,Dates!M$9,'Day3'!$B37)</f>
        <v>#VALUE!</v>
      </c>
      <c r="N37" s="7" t="e">
        <f>averageResponseTimePorter(Dates!N$8,Dates!N$9,'Day3'!$B37)</f>
        <v>#VALUE!</v>
      </c>
      <c r="O37" s="7" t="e">
        <f>averageResponseTimePorter(Dates!O$8,Dates!O$9,'Day3'!$B37)</f>
        <v>#VALUE!</v>
      </c>
      <c r="P37" s="7" t="e">
        <f>averageResponseTimePorter(Dates!P$8,Dates!P$9,'Day3'!$B37)</f>
        <v>#VALUE!</v>
      </c>
      <c r="Q37" s="7" t="e">
        <f>averageResponseTimePorter(Dates!Q$8,Dates!Q$9,'Day3'!$B37)</f>
        <v>#VALUE!</v>
      </c>
      <c r="R37" s="7" t="e">
        <f>averageResponseTimePorter(Dates!R$8,Dates!R$9,'Day3'!$B37)</f>
        <v>#VALUE!</v>
      </c>
      <c r="S37" s="7" t="e">
        <f>averageResponseTimePorter(Dates!S$8,Dates!S$9,'Day3'!$B37)</f>
        <v>#VALUE!</v>
      </c>
      <c r="T37" s="7" t="e">
        <f>averageResponseTimePorter(Dates!T$8,Dates!T$9,'Day3'!$B37)</f>
        <v>#VALUE!</v>
      </c>
      <c r="U37" s="7" t="e">
        <f>averageResponseTimePorter(Dates!$C$8,Dates!$T$9,'Day3'!$B14)</f>
        <v>#VALUE!</v>
      </c>
    </row>
    <row r="38" spans="2:21" x14ac:dyDescent="0.3">
      <c r="B38" s="11" t="str">
        <f t="shared" si="0"/>
        <v>NA15</v>
      </c>
      <c r="C38" s="7" t="e">
        <f>averageResponseTimePorter(Dates!C$8,Dates!C$9,'Day3'!$B38)</f>
        <v>#VALUE!</v>
      </c>
      <c r="D38" s="7" t="e">
        <f>averageResponseTimePorter(Dates!D$8,Dates!D$9,'Day3'!$B38)</f>
        <v>#VALUE!</v>
      </c>
      <c r="E38" s="7" t="e">
        <f>averageResponseTimePorter(Dates!E$8,Dates!E$9,'Day3'!$B38)</f>
        <v>#VALUE!</v>
      </c>
      <c r="F38" s="7" t="e">
        <f>averageResponseTimePorter(Dates!F$8,Dates!F$9,'Day3'!$B38)</f>
        <v>#VALUE!</v>
      </c>
      <c r="G38" s="7" t="e">
        <f>averageResponseTimePorter(Dates!G$8,Dates!G$9,'Day3'!$B38)</f>
        <v>#VALUE!</v>
      </c>
      <c r="H38" s="7" t="e">
        <f>averageResponseTimePorter(Dates!H$8,Dates!H$9,'Day3'!$B38)</f>
        <v>#VALUE!</v>
      </c>
      <c r="I38" s="7" t="e">
        <f>averageResponseTimePorter(Dates!I$8,Dates!I$9,'Day3'!$B38)</f>
        <v>#VALUE!</v>
      </c>
      <c r="J38" s="7" t="e">
        <f>averageResponseTimePorter(Dates!J$8,Dates!J$9,'Day3'!$B38)</f>
        <v>#VALUE!</v>
      </c>
      <c r="K38" s="7" t="e">
        <f>averageResponseTimePorter(Dates!K$8,Dates!K$9,'Day3'!$B38)</f>
        <v>#VALUE!</v>
      </c>
      <c r="L38" s="7" t="e">
        <f>averageResponseTimePorter(Dates!L$8,Dates!L$9,'Day3'!$B38)</f>
        <v>#VALUE!</v>
      </c>
      <c r="M38" s="7" t="e">
        <f>averageResponseTimePorter(Dates!M$8,Dates!M$9,'Day3'!$B38)</f>
        <v>#VALUE!</v>
      </c>
      <c r="N38" s="7" t="e">
        <f>averageResponseTimePorter(Dates!N$8,Dates!N$9,'Day3'!$B38)</f>
        <v>#VALUE!</v>
      </c>
      <c r="O38" s="7" t="e">
        <f>averageResponseTimePorter(Dates!O$8,Dates!O$9,'Day3'!$B38)</f>
        <v>#VALUE!</v>
      </c>
      <c r="P38" s="7" t="e">
        <f>averageResponseTimePorter(Dates!P$8,Dates!P$9,'Day3'!$B38)</f>
        <v>#VALUE!</v>
      </c>
      <c r="Q38" s="7" t="e">
        <f>averageResponseTimePorter(Dates!Q$8,Dates!Q$9,'Day3'!$B38)</f>
        <v>#VALUE!</v>
      </c>
      <c r="R38" s="7" t="e">
        <f>averageResponseTimePorter(Dates!R$8,Dates!R$9,'Day3'!$B38)</f>
        <v>#VALUE!</v>
      </c>
      <c r="S38" s="7" t="e">
        <f>averageResponseTimePorter(Dates!S$8,Dates!S$9,'Day3'!$B38)</f>
        <v>#VALUE!</v>
      </c>
      <c r="T38" s="7" t="e">
        <f>averageResponseTimePorter(Dates!T$8,Dates!T$9,'Day3'!$B38)</f>
        <v>#VALUE!</v>
      </c>
      <c r="U38" s="7" t="e">
        <f>averageResponseTimePorter(Dates!$C$8,Dates!$T$9,'Day3'!$B15)</f>
        <v>#VALUE!</v>
      </c>
    </row>
    <row r="39" spans="2:21" x14ac:dyDescent="0.3">
      <c r="B39" s="11" t="str">
        <f t="shared" si="0"/>
        <v>NA16</v>
      </c>
      <c r="C39" s="7" t="e">
        <f>averageResponseTimePorter(Dates!C$8,Dates!C$9,'Day3'!$B39)</f>
        <v>#VALUE!</v>
      </c>
      <c r="D39" s="7" t="e">
        <f>averageResponseTimePorter(Dates!D$8,Dates!D$9,'Day3'!$B39)</f>
        <v>#VALUE!</v>
      </c>
      <c r="E39" s="7" t="e">
        <f>averageResponseTimePorter(Dates!E$8,Dates!E$9,'Day3'!$B39)</f>
        <v>#VALUE!</v>
      </c>
      <c r="F39" s="7" t="e">
        <f>averageResponseTimePorter(Dates!F$8,Dates!F$9,'Day3'!$B39)</f>
        <v>#VALUE!</v>
      </c>
      <c r="G39" s="7" t="e">
        <f>averageResponseTimePorter(Dates!G$8,Dates!G$9,'Day3'!$B39)</f>
        <v>#VALUE!</v>
      </c>
      <c r="H39" s="7" t="e">
        <f>averageResponseTimePorter(Dates!H$8,Dates!H$9,'Day3'!$B39)</f>
        <v>#VALUE!</v>
      </c>
      <c r="I39" s="7" t="e">
        <f>averageResponseTimePorter(Dates!I$8,Dates!I$9,'Day3'!$B39)</f>
        <v>#VALUE!</v>
      </c>
      <c r="J39" s="7" t="e">
        <f>averageResponseTimePorter(Dates!J$8,Dates!J$9,'Day3'!$B39)</f>
        <v>#VALUE!</v>
      </c>
      <c r="K39" s="7" t="e">
        <f>averageResponseTimePorter(Dates!K$8,Dates!K$9,'Day3'!$B39)</f>
        <v>#VALUE!</v>
      </c>
      <c r="L39" s="7" t="e">
        <f>averageResponseTimePorter(Dates!L$8,Dates!L$9,'Day3'!$B39)</f>
        <v>#VALUE!</v>
      </c>
      <c r="M39" s="7" t="e">
        <f>averageResponseTimePorter(Dates!M$8,Dates!M$9,'Day3'!$B39)</f>
        <v>#VALUE!</v>
      </c>
      <c r="N39" s="7" t="e">
        <f>averageResponseTimePorter(Dates!N$8,Dates!N$9,'Day3'!$B39)</f>
        <v>#VALUE!</v>
      </c>
      <c r="O39" s="7" t="e">
        <f>averageResponseTimePorter(Dates!O$8,Dates!O$9,'Day3'!$B39)</f>
        <v>#VALUE!</v>
      </c>
      <c r="P39" s="7" t="e">
        <f>averageResponseTimePorter(Dates!P$8,Dates!P$9,'Day3'!$B39)</f>
        <v>#VALUE!</v>
      </c>
      <c r="Q39" s="7" t="e">
        <f>averageResponseTimePorter(Dates!Q$8,Dates!Q$9,'Day3'!$B39)</f>
        <v>#VALUE!</v>
      </c>
      <c r="R39" s="7" t="e">
        <f>averageResponseTimePorter(Dates!R$8,Dates!R$9,'Day3'!$B39)</f>
        <v>#VALUE!</v>
      </c>
      <c r="S39" s="7" t="e">
        <f>averageResponseTimePorter(Dates!S$8,Dates!S$9,'Day3'!$B39)</f>
        <v>#VALUE!</v>
      </c>
      <c r="T39" s="7" t="e">
        <f>averageResponseTimePorter(Dates!T$8,Dates!T$9,'Day3'!$B39)</f>
        <v>#VALUE!</v>
      </c>
      <c r="U39" s="7" t="e">
        <f>averageResponseTimePorter(Dates!$C$8,Dates!$T$9,'Day3'!$B16)</f>
        <v>#VALUE!</v>
      </c>
    </row>
    <row r="40" spans="2:21" x14ac:dyDescent="0.3">
      <c r="B40" s="11" t="str">
        <f t="shared" si="0"/>
        <v>NA17</v>
      </c>
      <c r="C40" s="7" t="e">
        <f>averageResponseTimePorter(Dates!C$8,Dates!C$9,'Day3'!$B40)</f>
        <v>#VALUE!</v>
      </c>
      <c r="D40" s="7" t="e">
        <f>averageResponseTimePorter(Dates!D$8,Dates!D$9,'Day3'!$B40)</f>
        <v>#VALUE!</v>
      </c>
      <c r="E40" s="7" t="e">
        <f>averageResponseTimePorter(Dates!E$8,Dates!E$9,'Day3'!$B40)</f>
        <v>#VALUE!</v>
      </c>
      <c r="F40" s="7" t="e">
        <f>averageResponseTimePorter(Dates!F$8,Dates!F$9,'Day3'!$B40)</f>
        <v>#VALUE!</v>
      </c>
      <c r="G40" s="7" t="e">
        <f>averageResponseTimePorter(Dates!G$8,Dates!G$9,'Day3'!$B40)</f>
        <v>#VALUE!</v>
      </c>
      <c r="H40" s="7" t="e">
        <f>averageResponseTimePorter(Dates!H$8,Dates!H$9,'Day3'!$B40)</f>
        <v>#VALUE!</v>
      </c>
      <c r="I40" s="7" t="e">
        <f>averageResponseTimePorter(Dates!I$8,Dates!I$9,'Day3'!$B40)</f>
        <v>#VALUE!</v>
      </c>
      <c r="J40" s="7" t="e">
        <f>averageResponseTimePorter(Dates!J$8,Dates!J$9,'Day3'!$B40)</f>
        <v>#VALUE!</v>
      </c>
      <c r="K40" s="7" t="e">
        <f>averageResponseTimePorter(Dates!K$8,Dates!K$9,'Day3'!$B40)</f>
        <v>#VALUE!</v>
      </c>
      <c r="L40" s="7" t="e">
        <f>averageResponseTimePorter(Dates!L$8,Dates!L$9,'Day3'!$B40)</f>
        <v>#VALUE!</v>
      </c>
      <c r="M40" s="7" t="e">
        <f>averageResponseTimePorter(Dates!M$8,Dates!M$9,'Day3'!$B40)</f>
        <v>#VALUE!</v>
      </c>
      <c r="N40" s="7" t="e">
        <f>averageResponseTimePorter(Dates!N$8,Dates!N$9,'Day3'!$B40)</f>
        <v>#VALUE!</v>
      </c>
      <c r="O40" s="7" t="e">
        <f>averageResponseTimePorter(Dates!O$8,Dates!O$9,'Day3'!$B40)</f>
        <v>#VALUE!</v>
      </c>
      <c r="P40" s="7" t="e">
        <f>averageResponseTimePorter(Dates!P$8,Dates!P$9,'Day3'!$B40)</f>
        <v>#VALUE!</v>
      </c>
      <c r="Q40" s="7" t="e">
        <f>averageResponseTimePorter(Dates!Q$8,Dates!Q$9,'Day3'!$B40)</f>
        <v>#VALUE!</v>
      </c>
      <c r="R40" s="7" t="e">
        <f>averageResponseTimePorter(Dates!R$8,Dates!R$9,'Day3'!$B40)</f>
        <v>#VALUE!</v>
      </c>
      <c r="S40" s="7" t="e">
        <f>averageResponseTimePorter(Dates!S$8,Dates!S$9,'Day3'!$B40)</f>
        <v>#VALUE!</v>
      </c>
      <c r="T40" s="7" t="e">
        <f>averageResponseTimePorter(Dates!T$8,Dates!T$9,'Day3'!$B40)</f>
        <v>#VALUE!</v>
      </c>
      <c r="U40" s="7" t="e">
        <f>averageResponseTimePorter(Dates!$C$8,Dates!$T$9,'Day3'!$B17)</f>
        <v>#VALUE!</v>
      </c>
    </row>
    <row r="41" spans="2:21" x14ac:dyDescent="0.3">
      <c r="B41" s="11" t="str">
        <f t="shared" si="0"/>
        <v>NA18</v>
      </c>
      <c r="C41" s="7" t="e">
        <f>averageResponseTimePorter(Dates!C$8,Dates!C$9,'Day3'!$B41)</f>
        <v>#VALUE!</v>
      </c>
      <c r="D41" s="7" t="e">
        <f>averageResponseTimePorter(Dates!D$8,Dates!D$9,'Day3'!$B41)</f>
        <v>#VALUE!</v>
      </c>
      <c r="E41" s="7" t="e">
        <f>averageResponseTimePorter(Dates!E$8,Dates!E$9,'Day3'!$B41)</f>
        <v>#VALUE!</v>
      </c>
      <c r="F41" s="7" t="e">
        <f>averageResponseTimePorter(Dates!F$8,Dates!F$9,'Day3'!$B41)</f>
        <v>#VALUE!</v>
      </c>
      <c r="G41" s="7" t="e">
        <f>averageResponseTimePorter(Dates!G$8,Dates!G$9,'Day3'!$B41)</f>
        <v>#VALUE!</v>
      </c>
      <c r="H41" s="7" t="e">
        <f>averageResponseTimePorter(Dates!H$8,Dates!H$9,'Day3'!$B41)</f>
        <v>#VALUE!</v>
      </c>
      <c r="I41" s="7" t="e">
        <f>averageResponseTimePorter(Dates!I$8,Dates!I$9,'Day3'!$B41)</f>
        <v>#VALUE!</v>
      </c>
      <c r="J41" s="7" t="e">
        <f>averageResponseTimePorter(Dates!J$8,Dates!J$9,'Day3'!$B41)</f>
        <v>#VALUE!</v>
      </c>
      <c r="K41" s="7" t="e">
        <f>averageResponseTimePorter(Dates!K$8,Dates!K$9,'Day3'!$B41)</f>
        <v>#VALUE!</v>
      </c>
      <c r="L41" s="7" t="e">
        <f>averageResponseTimePorter(Dates!L$8,Dates!L$9,'Day3'!$B41)</f>
        <v>#VALUE!</v>
      </c>
      <c r="M41" s="7" t="e">
        <f>averageResponseTimePorter(Dates!M$8,Dates!M$9,'Day3'!$B41)</f>
        <v>#VALUE!</v>
      </c>
      <c r="N41" s="7" t="e">
        <f>averageResponseTimePorter(Dates!N$8,Dates!N$9,'Day3'!$B41)</f>
        <v>#VALUE!</v>
      </c>
      <c r="O41" s="7" t="e">
        <f>averageResponseTimePorter(Dates!O$8,Dates!O$9,'Day3'!$B41)</f>
        <v>#VALUE!</v>
      </c>
      <c r="P41" s="7" t="e">
        <f>averageResponseTimePorter(Dates!P$8,Dates!P$9,'Day3'!$B41)</f>
        <v>#VALUE!</v>
      </c>
      <c r="Q41" s="7" t="e">
        <f>averageResponseTimePorter(Dates!Q$8,Dates!Q$9,'Day3'!$B41)</f>
        <v>#VALUE!</v>
      </c>
      <c r="R41" s="7" t="e">
        <f>averageResponseTimePorter(Dates!R$8,Dates!R$9,'Day3'!$B41)</f>
        <v>#VALUE!</v>
      </c>
      <c r="S41" s="7" t="e">
        <f>averageResponseTimePorter(Dates!S$8,Dates!S$9,'Day3'!$B41)</f>
        <v>#VALUE!</v>
      </c>
      <c r="T41" s="7" t="e">
        <f>averageResponseTimePorter(Dates!T$8,Dates!T$9,'Day3'!$B41)</f>
        <v>#VALUE!</v>
      </c>
      <c r="U41" s="7" t="e">
        <f>averageResponseTimePorter(Dates!$C$8,Dates!$T$9,'Day3'!$B18)</f>
        <v>#VALUE!</v>
      </c>
    </row>
    <row r="42" spans="2:21" x14ac:dyDescent="0.3">
      <c r="B42" s="11" t="str">
        <f t="shared" si="0"/>
        <v>NA19</v>
      </c>
      <c r="C42" s="7" t="e">
        <f>averageResponseTimePorter(Dates!C$8,Dates!C$9,'Day3'!$B42)</f>
        <v>#VALUE!</v>
      </c>
      <c r="D42" s="7" t="e">
        <f>averageResponseTimePorter(Dates!D$8,Dates!D$9,'Day3'!$B42)</f>
        <v>#VALUE!</v>
      </c>
      <c r="E42" s="7" t="e">
        <f>averageResponseTimePorter(Dates!E$8,Dates!E$9,'Day3'!$B42)</f>
        <v>#VALUE!</v>
      </c>
      <c r="F42" s="7" t="e">
        <f>averageResponseTimePorter(Dates!F$8,Dates!F$9,'Day3'!$B42)</f>
        <v>#VALUE!</v>
      </c>
      <c r="G42" s="7" t="e">
        <f>averageResponseTimePorter(Dates!G$8,Dates!G$9,'Day3'!$B42)</f>
        <v>#VALUE!</v>
      </c>
      <c r="H42" s="7" t="e">
        <f>averageResponseTimePorter(Dates!H$8,Dates!H$9,'Day3'!$B42)</f>
        <v>#VALUE!</v>
      </c>
      <c r="I42" s="7" t="e">
        <f>averageResponseTimePorter(Dates!I$8,Dates!I$9,'Day3'!$B42)</f>
        <v>#VALUE!</v>
      </c>
      <c r="J42" s="7" t="e">
        <f>averageResponseTimePorter(Dates!J$8,Dates!J$9,'Day3'!$B42)</f>
        <v>#VALUE!</v>
      </c>
      <c r="K42" s="7" t="e">
        <f>averageResponseTimePorter(Dates!K$8,Dates!K$9,'Day3'!$B42)</f>
        <v>#VALUE!</v>
      </c>
      <c r="L42" s="7" t="e">
        <f>averageResponseTimePorter(Dates!L$8,Dates!L$9,'Day3'!$B42)</f>
        <v>#VALUE!</v>
      </c>
      <c r="M42" s="7" t="e">
        <f>averageResponseTimePorter(Dates!M$8,Dates!M$9,'Day3'!$B42)</f>
        <v>#VALUE!</v>
      </c>
      <c r="N42" s="7" t="e">
        <f>averageResponseTimePorter(Dates!N$8,Dates!N$9,'Day3'!$B42)</f>
        <v>#VALUE!</v>
      </c>
      <c r="O42" s="7" t="e">
        <f>averageResponseTimePorter(Dates!O$8,Dates!O$9,'Day3'!$B42)</f>
        <v>#VALUE!</v>
      </c>
      <c r="P42" s="7" t="e">
        <f>averageResponseTimePorter(Dates!P$8,Dates!P$9,'Day3'!$B42)</f>
        <v>#VALUE!</v>
      </c>
      <c r="Q42" s="7" t="e">
        <f>averageResponseTimePorter(Dates!Q$8,Dates!Q$9,'Day3'!$B42)</f>
        <v>#VALUE!</v>
      </c>
      <c r="R42" s="7" t="e">
        <f>averageResponseTimePorter(Dates!R$8,Dates!R$9,'Day3'!$B42)</f>
        <v>#VALUE!</v>
      </c>
      <c r="S42" s="7" t="e">
        <f>averageResponseTimePorter(Dates!S$8,Dates!S$9,'Day3'!$B42)</f>
        <v>#VALUE!</v>
      </c>
      <c r="T42" s="7" t="e">
        <f>averageResponseTimePorter(Dates!T$8,Dates!T$9,'Day3'!$B42)</f>
        <v>#VALUE!</v>
      </c>
      <c r="U42" s="7" t="e">
        <f>averageResponseTimePorter(Dates!$C$8,Dates!$T$9,'Day3'!$B19)</f>
        <v>#VALUE!</v>
      </c>
    </row>
    <row r="43" spans="2:21" x14ac:dyDescent="0.3">
      <c r="B43" s="11" t="str">
        <f t="shared" si="0"/>
        <v>NA20</v>
      </c>
      <c r="C43" s="7" t="e">
        <f>averageResponseTimePorter(Dates!C$8,Dates!C$9,'Day3'!$B43)</f>
        <v>#VALUE!</v>
      </c>
      <c r="D43" s="7" t="e">
        <f>averageResponseTimePorter(Dates!D$8,Dates!D$9,'Day3'!$B43)</f>
        <v>#VALUE!</v>
      </c>
      <c r="E43" s="7" t="e">
        <f>averageResponseTimePorter(Dates!E$8,Dates!E$9,'Day3'!$B43)</f>
        <v>#VALUE!</v>
      </c>
      <c r="F43" s="7" t="e">
        <f>averageResponseTimePorter(Dates!F$8,Dates!F$9,'Day3'!$B43)</f>
        <v>#VALUE!</v>
      </c>
      <c r="G43" s="7" t="e">
        <f>averageResponseTimePorter(Dates!G$8,Dates!G$9,'Day3'!$B43)</f>
        <v>#VALUE!</v>
      </c>
      <c r="H43" s="7" t="e">
        <f>averageResponseTimePorter(Dates!H$8,Dates!H$9,'Day3'!$B43)</f>
        <v>#VALUE!</v>
      </c>
      <c r="I43" s="7" t="e">
        <f>averageResponseTimePorter(Dates!I$8,Dates!I$9,'Day3'!$B43)</f>
        <v>#VALUE!</v>
      </c>
      <c r="J43" s="7" t="e">
        <f>averageResponseTimePorter(Dates!J$8,Dates!J$9,'Day3'!$B43)</f>
        <v>#VALUE!</v>
      </c>
      <c r="K43" s="7" t="e">
        <f>averageResponseTimePorter(Dates!K$8,Dates!K$9,'Day3'!$B43)</f>
        <v>#VALUE!</v>
      </c>
      <c r="L43" s="7" t="e">
        <f>averageResponseTimePorter(Dates!L$8,Dates!L$9,'Day3'!$B43)</f>
        <v>#VALUE!</v>
      </c>
      <c r="M43" s="7" t="e">
        <f>averageResponseTimePorter(Dates!M$8,Dates!M$9,'Day3'!$B43)</f>
        <v>#VALUE!</v>
      </c>
      <c r="N43" s="7" t="e">
        <f>averageResponseTimePorter(Dates!N$8,Dates!N$9,'Day3'!$B43)</f>
        <v>#VALUE!</v>
      </c>
      <c r="O43" s="7" t="e">
        <f>averageResponseTimePorter(Dates!O$8,Dates!O$9,'Day3'!$B43)</f>
        <v>#VALUE!</v>
      </c>
      <c r="P43" s="7" t="e">
        <f>averageResponseTimePorter(Dates!P$8,Dates!P$9,'Day3'!$B43)</f>
        <v>#VALUE!</v>
      </c>
      <c r="Q43" s="7" t="e">
        <f>averageResponseTimePorter(Dates!Q$8,Dates!Q$9,'Day3'!$B43)</f>
        <v>#VALUE!</v>
      </c>
      <c r="R43" s="7" t="e">
        <f>averageResponseTimePorter(Dates!R$8,Dates!R$9,'Day3'!$B43)</f>
        <v>#VALUE!</v>
      </c>
      <c r="S43" s="7" t="e">
        <f>averageResponseTimePorter(Dates!S$8,Dates!S$9,'Day3'!$B43)</f>
        <v>#VALUE!</v>
      </c>
      <c r="T43" s="7" t="e">
        <f>averageResponseTimePorter(Dates!T$8,Dates!T$9,'Day3'!$B43)</f>
        <v>#VALUE!</v>
      </c>
      <c r="U43" s="7" t="e">
        <f>averageResponseTimePorter(Dates!$C$8,Dates!$T$9,'Day3'!$B20)</f>
        <v>#VALUE!</v>
      </c>
    </row>
    <row r="44" spans="2:21" x14ac:dyDescent="0.3">
      <c r="B44" s="11" t="str">
        <f t="shared" si="0"/>
        <v>NA21</v>
      </c>
      <c r="C44" s="7" t="e">
        <f>averageResponseTimePorter(Dates!C$8,Dates!C$9,'Day3'!$B44)</f>
        <v>#VALUE!</v>
      </c>
      <c r="D44" s="7" t="e">
        <f>averageResponseTimePorter(Dates!D$8,Dates!D$9,'Day3'!$B44)</f>
        <v>#VALUE!</v>
      </c>
      <c r="E44" s="7" t="e">
        <f>averageResponseTimePorter(Dates!E$8,Dates!E$9,'Day3'!$B44)</f>
        <v>#VALUE!</v>
      </c>
      <c r="F44" s="7" t="e">
        <f>averageResponseTimePorter(Dates!F$8,Dates!F$9,'Day3'!$B44)</f>
        <v>#VALUE!</v>
      </c>
      <c r="G44" s="7" t="e">
        <f>averageResponseTimePorter(Dates!G$8,Dates!G$9,'Day3'!$B44)</f>
        <v>#VALUE!</v>
      </c>
      <c r="H44" s="7" t="e">
        <f>averageResponseTimePorter(Dates!H$8,Dates!H$9,'Day3'!$B44)</f>
        <v>#VALUE!</v>
      </c>
      <c r="I44" s="7" t="e">
        <f>averageResponseTimePorter(Dates!I$8,Dates!I$9,'Day3'!$B44)</f>
        <v>#VALUE!</v>
      </c>
      <c r="J44" s="7" t="e">
        <f>averageResponseTimePorter(Dates!J$8,Dates!J$9,'Day3'!$B44)</f>
        <v>#VALUE!</v>
      </c>
      <c r="K44" s="7" t="e">
        <f>averageResponseTimePorter(Dates!K$8,Dates!K$9,'Day3'!$B44)</f>
        <v>#VALUE!</v>
      </c>
      <c r="L44" s="7" t="e">
        <f>averageResponseTimePorter(Dates!L$8,Dates!L$9,'Day3'!$B44)</f>
        <v>#VALUE!</v>
      </c>
      <c r="M44" s="7" t="e">
        <f>averageResponseTimePorter(Dates!M$8,Dates!M$9,'Day3'!$B44)</f>
        <v>#VALUE!</v>
      </c>
      <c r="N44" s="7" t="e">
        <f>averageResponseTimePorter(Dates!N$8,Dates!N$9,'Day3'!$B44)</f>
        <v>#VALUE!</v>
      </c>
      <c r="O44" s="7" t="e">
        <f>averageResponseTimePorter(Dates!O$8,Dates!O$9,'Day3'!$B44)</f>
        <v>#VALUE!</v>
      </c>
      <c r="P44" s="7" t="e">
        <f>averageResponseTimePorter(Dates!P$8,Dates!P$9,'Day3'!$B44)</f>
        <v>#VALUE!</v>
      </c>
      <c r="Q44" s="7" t="e">
        <f>averageResponseTimePorter(Dates!Q$8,Dates!Q$9,'Day3'!$B44)</f>
        <v>#VALUE!</v>
      </c>
      <c r="R44" s="7" t="e">
        <f>averageResponseTimePorter(Dates!R$8,Dates!R$9,'Day3'!$B44)</f>
        <v>#VALUE!</v>
      </c>
      <c r="S44" s="7" t="e">
        <f>averageResponseTimePorter(Dates!S$8,Dates!S$9,'Day3'!$B44)</f>
        <v>#VALUE!</v>
      </c>
      <c r="T44" s="7" t="e">
        <f>averageResponseTimePorter(Dates!T$8,Dates!T$9,'Day3'!$B44)</f>
        <v>#VALUE!</v>
      </c>
      <c r="U44" s="7" t="e">
        <f>averageResponseTimePorter(Dates!$C$8,Dates!$T$9,'Day3'!$B21)</f>
        <v>#VALUE!</v>
      </c>
    </row>
    <row r="45" spans="2:21" x14ac:dyDescent="0.3">
      <c r="B45" s="11" t="str">
        <f t="shared" si="0"/>
        <v>NA22</v>
      </c>
      <c r="C45" s="7" t="e">
        <f>averageResponseTimePorter(Dates!C$8,Dates!C$9,'Day3'!$B45)</f>
        <v>#VALUE!</v>
      </c>
      <c r="D45" s="7" t="e">
        <f>averageResponseTimePorter(Dates!D$8,Dates!D$9,'Day3'!$B45)</f>
        <v>#VALUE!</v>
      </c>
      <c r="E45" s="7" t="e">
        <f>averageResponseTimePorter(Dates!E$8,Dates!E$9,'Day3'!$B45)</f>
        <v>#VALUE!</v>
      </c>
      <c r="F45" s="7" t="e">
        <f>averageResponseTimePorter(Dates!F$8,Dates!F$9,'Day3'!$B45)</f>
        <v>#VALUE!</v>
      </c>
      <c r="G45" s="7" t="e">
        <f>averageResponseTimePorter(Dates!G$8,Dates!G$9,'Day3'!$B45)</f>
        <v>#VALUE!</v>
      </c>
      <c r="H45" s="7" t="e">
        <f>averageResponseTimePorter(Dates!H$8,Dates!H$9,'Day3'!$B45)</f>
        <v>#VALUE!</v>
      </c>
      <c r="I45" s="7" t="e">
        <f>averageResponseTimePorter(Dates!I$8,Dates!I$9,'Day3'!$B45)</f>
        <v>#VALUE!</v>
      </c>
      <c r="J45" s="7" t="e">
        <f>averageResponseTimePorter(Dates!J$8,Dates!J$9,'Day3'!$B45)</f>
        <v>#VALUE!</v>
      </c>
      <c r="K45" s="7" t="e">
        <f>averageResponseTimePorter(Dates!K$8,Dates!K$9,'Day3'!$B45)</f>
        <v>#VALUE!</v>
      </c>
      <c r="L45" s="7" t="e">
        <f>averageResponseTimePorter(Dates!L$8,Dates!L$9,'Day3'!$B45)</f>
        <v>#VALUE!</v>
      </c>
      <c r="M45" s="7" t="e">
        <f>averageResponseTimePorter(Dates!M$8,Dates!M$9,'Day3'!$B45)</f>
        <v>#VALUE!</v>
      </c>
      <c r="N45" s="7" t="e">
        <f>averageResponseTimePorter(Dates!N$8,Dates!N$9,'Day3'!$B45)</f>
        <v>#VALUE!</v>
      </c>
      <c r="O45" s="7" t="e">
        <f>averageResponseTimePorter(Dates!O$8,Dates!O$9,'Day3'!$B45)</f>
        <v>#VALUE!</v>
      </c>
      <c r="P45" s="7" t="e">
        <f>averageResponseTimePorter(Dates!P$8,Dates!P$9,'Day3'!$B45)</f>
        <v>#VALUE!</v>
      </c>
      <c r="Q45" s="7" t="e">
        <f>averageResponseTimePorter(Dates!Q$8,Dates!Q$9,'Day3'!$B45)</f>
        <v>#VALUE!</v>
      </c>
      <c r="R45" s="7" t="e">
        <f>averageResponseTimePorter(Dates!R$8,Dates!R$9,'Day3'!$B45)</f>
        <v>#VALUE!</v>
      </c>
      <c r="S45" s="7" t="e">
        <f>averageResponseTimePorter(Dates!S$8,Dates!S$9,'Day3'!$B45)</f>
        <v>#VALUE!</v>
      </c>
      <c r="T45" s="7" t="e">
        <f>averageResponseTimePorter(Dates!T$8,Dates!T$9,'Day3'!$B45)</f>
        <v>#VALUE!</v>
      </c>
      <c r="U45" s="7" t="e">
        <f>averageResponseTimePorter(Dates!$C$8,Dates!$T$9,'Day3'!$B22)</f>
        <v>#VALUE!</v>
      </c>
    </row>
    <row r="46" spans="2:21" x14ac:dyDescent="0.3">
      <c r="B46" s="11" t="str">
        <f t="shared" si="0"/>
        <v>NA23</v>
      </c>
      <c r="C46" s="7" t="e">
        <f>averageResponseTimePorter(Dates!C$8,Dates!C$9,'Day3'!$B46)</f>
        <v>#VALUE!</v>
      </c>
      <c r="D46" s="7" t="e">
        <f>averageResponseTimePorter(Dates!D$8,Dates!D$9,'Day3'!$B46)</f>
        <v>#VALUE!</v>
      </c>
      <c r="E46" s="7" t="e">
        <f>averageResponseTimePorter(Dates!E$8,Dates!E$9,'Day3'!$B46)</f>
        <v>#VALUE!</v>
      </c>
      <c r="F46" s="7" t="e">
        <f>averageResponseTimePorter(Dates!F$8,Dates!F$9,'Day3'!$B46)</f>
        <v>#VALUE!</v>
      </c>
      <c r="G46" s="7" t="e">
        <f>averageResponseTimePorter(Dates!G$8,Dates!G$9,'Day3'!$B46)</f>
        <v>#VALUE!</v>
      </c>
      <c r="H46" s="7" t="e">
        <f>averageResponseTimePorter(Dates!H$8,Dates!H$9,'Day3'!$B46)</f>
        <v>#VALUE!</v>
      </c>
      <c r="I46" s="7" t="e">
        <f>averageResponseTimePorter(Dates!I$8,Dates!I$9,'Day3'!$B46)</f>
        <v>#VALUE!</v>
      </c>
      <c r="J46" s="7" t="e">
        <f>averageResponseTimePorter(Dates!J$8,Dates!J$9,'Day3'!$B46)</f>
        <v>#VALUE!</v>
      </c>
      <c r="K46" s="7" t="e">
        <f>averageResponseTimePorter(Dates!K$8,Dates!K$9,'Day3'!$B46)</f>
        <v>#VALUE!</v>
      </c>
      <c r="L46" s="7" t="e">
        <f>averageResponseTimePorter(Dates!L$8,Dates!L$9,'Day3'!$B46)</f>
        <v>#VALUE!</v>
      </c>
      <c r="M46" s="7" t="e">
        <f>averageResponseTimePorter(Dates!M$8,Dates!M$9,'Day3'!$B46)</f>
        <v>#VALUE!</v>
      </c>
      <c r="N46" s="7" t="e">
        <f>averageResponseTimePorter(Dates!N$8,Dates!N$9,'Day3'!$B46)</f>
        <v>#VALUE!</v>
      </c>
      <c r="O46" s="7" t="e">
        <f>averageResponseTimePorter(Dates!O$8,Dates!O$9,'Day3'!$B46)</f>
        <v>#VALUE!</v>
      </c>
      <c r="P46" s="7" t="e">
        <f>averageResponseTimePorter(Dates!P$8,Dates!P$9,'Day3'!$B46)</f>
        <v>#VALUE!</v>
      </c>
      <c r="Q46" s="7" t="e">
        <f>averageResponseTimePorter(Dates!Q$8,Dates!Q$9,'Day3'!$B46)</f>
        <v>#VALUE!</v>
      </c>
      <c r="R46" s="7" t="e">
        <f>averageResponseTimePorter(Dates!R$8,Dates!R$9,'Day3'!$B46)</f>
        <v>#VALUE!</v>
      </c>
      <c r="S46" s="7" t="e">
        <f>averageResponseTimePorter(Dates!S$8,Dates!S$9,'Day3'!$B46)</f>
        <v>#VALUE!</v>
      </c>
      <c r="T46" s="7" t="e">
        <f>averageResponseTimePorter(Dates!T$8,Dates!T$9,'Day3'!$B46)</f>
        <v>#VALUE!</v>
      </c>
      <c r="U46" s="7" t="e">
        <f>averageResponseTimePorter(Dates!$C$8,Dates!$T$9,'Day3'!$B23)</f>
        <v>#VALUE!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102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111</v>
      </c>
    </row>
    <row r="2" spans="1:21" x14ac:dyDescent="0.3">
      <c r="A2" t="s">
        <v>104</v>
      </c>
      <c r="B2" s="11" t="s">
        <v>106</v>
      </c>
      <c r="C2" s="7" t="e">
        <f>averageCompletionTime(Dates!C10,Dates!C11)</f>
        <v>#VALUE!</v>
      </c>
      <c r="D2" s="7" t="e">
        <f>averageCompletionTime(Dates!D10,Dates!D11)</f>
        <v>#VALUE!</v>
      </c>
      <c r="E2" s="7" t="e">
        <f>averageCompletionTime(Dates!E10,Dates!E11)</f>
        <v>#VALUE!</v>
      </c>
      <c r="F2" s="7" t="e">
        <f>averageCompletionTime(Dates!F10,Dates!F11)</f>
        <v>#VALUE!</v>
      </c>
      <c r="G2" s="7" t="e">
        <f>averageCompletionTime(Dates!G10,Dates!G11)</f>
        <v>#VALUE!</v>
      </c>
      <c r="H2" s="7" t="e">
        <f>averageCompletionTime(Dates!H10,Dates!H11)</f>
        <v>#VALUE!</v>
      </c>
      <c r="I2" s="7" t="e">
        <f>averageCompletionTime(Dates!I10,Dates!I11)</f>
        <v>#VALUE!</v>
      </c>
      <c r="J2" s="7" t="e">
        <f>averageCompletionTime(Dates!J10,Dates!J11)</f>
        <v>#VALUE!</v>
      </c>
      <c r="K2" s="7" t="e">
        <f>averageCompletionTime(Dates!K10,Dates!K11)</f>
        <v>#VALUE!</v>
      </c>
      <c r="L2" s="7" t="e">
        <f>averageCompletionTime(Dates!L10,Dates!L11)</f>
        <v>#VALUE!</v>
      </c>
      <c r="M2" s="7" t="e">
        <f>averageCompletionTime(Dates!M10,Dates!M11)</f>
        <v>#VALUE!</v>
      </c>
      <c r="N2" s="7" t="e">
        <f>averageCompletionTime(Dates!N10,Dates!N11)</f>
        <v>#VALUE!</v>
      </c>
      <c r="O2" s="7" t="e">
        <f>averageCompletionTime(Dates!O10,Dates!O11)</f>
        <v>#VALUE!</v>
      </c>
      <c r="P2" s="7" t="e">
        <f>averageCompletionTime(Dates!P10,Dates!P11)</f>
        <v>#VALUE!</v>
      </c>
      <c r="Q2" s="7" t="e">
        <f>averageCompletionTime(Dates!Q10,Dates!Q11)</f>
        <v>#VALUE!</v>
      </c>
      <c r="R2" s="7" t="e">
        <f>averageCompletionTime(Dates!R10,Dates!R11)</f>
        <v>#VALUE!</v>
      </c>
      <c r="S2" s="7" t="e">
        <f>averageCompletionTime(Dates!S10,Dates!S11)</f>
        <v>#VALUE!</v>
      </c>
      <c r="T2" s="7" t="e">
        <f>averageCompletionTime(Dates!T10,Dates!T11)</f>
        <v>#VALUE!</v>
      </c>
      <c r="U2" s="7" t="e">
        <f>averageCompletionTime(Dates!C10,Dates!T11)</f>
        <v>#VALUE!</v>
      </c>
    </row>
    <row r="3" spans="1:21" x14ac:dyDescent="0.3">
      <c r="A3" s="10" t="s">
        <v>105</v>
      </c>
      <c r="B3" s="12"/>
      <c r="C3" s="7" t="e">
        <f>averageCompletionTimePorter(Dates!C$10,Dates!C$11,'Day4'!$B3)</f>
        <v>#VALUE!</v>
      </c>
      <c r="D3" s="7" t="e">
        <f>averageCompletionTimePorter(Dates!D$10,Dates!D$11,'Day4'!$B3)</f>
        <v>#VALUE!</v>
      </c>
      <c r="E3" s="7" t="e">
        <f>averageCompletionTimePorter(Dates!E$10,Dates!E$11,'Day4'!$B3)</f>
        <v>#VALUE!</v>
      </c>
      <c r="F3" s="7" t="e">
        <f>averageCompletionTimePorter(Dates!F$10,Dates!F$11,'Day4'!$B3)</f>
        <v>#VALUE!</v>
      </c>
      <c r="G3" s="7" t="e">
        <f>averageCompletionTimePorter(Dates!G$10,Dates!G$11,'Day4'!$B3)</f>
        <v>#VALUE!</v>
      </c>
      <c r="H3" s="7" t="e">
        <f>averageCompletionTimePorter(Dates!H$10,Dates!H$11,'Day4'!$B3)</f>
        <v>#VALUE!</v>
      </c>
      <c r="I3" s="7" t="e">
        <f>averageCompletionTimePorter(Dates!I$10,Dates!I$11,'Day4'!$B3)</f>
        <v>#VALUE!</v>
      </c>
      <c r="J3" s="7" t="e">
        <f>averageCompletionTimePorter(Dates!J$10,Dates!J$11,'Day4'!$B3)</f>
        <v>#VALUE!</v>
      </c>
      <c r="K3" s="7" t="e">
        <f>averageCompletionTimePorter(Dates!K$10,Dates!K$11,'Day4'!$B3)</f>
        <v>#VALUE!</v>
      </c>
      <c r="L3" s="7" t="e">
        <f>averageCompletionTimePorter(Dates!L$10,Dates!L$11,'Day4'!$B3)</f>
        <v>#VALUE!</v>
      </c>
      <c r="M3" s="7" t="e">
        <f>averageCompletionTimePorter(Dates!M$10,Dates!M$11,'Day4'!$B3)</f>
        <v>#VALUE!</v>
      </c>
      <c r="N3" s="7" t="e">
        <f>averageCompletionTimePorter(Dates!N$10,Dates!N$11,'Day4'!$B3)</f>
        <v>#VALUE!</v>
      </c>
      <c r="O3" s="7" t="e">
        <f>averageCompletionTimePorter(Dates!O$10,Dates!O$11,'Day4'!$B3)</f>
        <v>#VALUE!</v>
      </c>
      <c r="P3" s="7" t="e">
        <f>averageCompletionTimePorter(Dates!P$10,Dates!P$11,'Day4'!$B3)</f>
        <v>#VALUE!</v>
      </c>
      <c r="Q3" s="7" t="e">
        <f>averageCompletionTimePorter(Dates!Q$10,Dates!Q$11,'Day4'!$B3)</f>
        <v>#VALUE!</v>
      </c>
      <c r="R3" s="7" t="e">
        <f>averageCompletionTimePorter(Dates!R$10,Dates!R$11,'Day4'!$B3)</f>
        <v>#VALUE!</v>
      </c>
      <c r="S3" s="7" t="e">
        <f>averageCompletionTimePorter(Dates!S$10,Dates!S$11,'Day4'!$B3)</f>
        <v>#VALUE!</v>
      </c>
      <c r="T3" s="7" t="e">
        <f>averageCompletionTimePorter(Dates!T$10,Dates!T$11,'Day4'!$B3)</f>
        <v>#VALUE!</v>
      </c>
      <c r="U3" s="7" t="e">
        <f>averageCompletionTimePorter(Dates!$C$10,Dates!$T$11,'Day4'!$B3)</f>
        <v>#VALUE!</v>
      </c>
    </row>
    <row r="4" spans="1:21" x14ac:dyDescent="0.3">
      <c r="A4" s="10"/>
      <c r="B4" s="12" t="s">
        <v>372</v>
      </c>
      <c r="C4" s="7" t="e">
        <f>averageCompletionTimePorter(Dates!C$10,Dates!C$11,'Day4'!$B4)</f>
        <v>#VALUE!</v>
      </c>
      <c r="D4" s="7" t="e">
        <f>averageCompletionTimePorter(Dates!D$10,Dates!D$11,'Day4'!$B4)</f>
        <v>#VALUE!</v>
      </c>
      <c r="E4" s="7" t="e">
        <f>averageCompletionTimePorter(Dates!E$10,Dates!E$11,'Day4'!$B4)</f>
        <v>#VALUE!</v>
      </c>
      <c r="F4" s="7" t="e">
        <f>averageCompletionTimePorter(Dates!F$10,Dates!F$11,'Day4'!$B4)</f>
        <v>#VALUE!</v>
      </c>
      <c r="G4" s="7" t="e">
        <f>averageCompletionTimePorter(Dates!G$10,Dates!G$11,'Day4'!$B4)</f>
        <v>#VALUE!</v>
      </c>
      <c r="H4" s="7" t="e">
        <f>averageCompletionTimePorter(Dates!H$10,Dates!H$11,'Day4'!$B4)</f>
        <v>#VALUE!</v>
      </c>
      <c r="I4" s="7" t="e">
        <f>averageCompletionTimePorter(Dates!I$10,Dates!I$11,'Day4'!$B4)</f>
        <v>#VALUE!</v>
      </c>
      <c r="J4" s="7" t="e">
        <f>averageCompletionTimePorter(Dates!J$10,Dates!J$11,'Day4'!$B4)</f>
        <v>#VALUE!</v>
      </c>
      <c r="K4" s="7" t="e">
        <f>averageCompletionTimePorter(Dates!K$10,Dates!K$11,'Day4'!$B4)</f>
        <v>#VALUE!</v>
      </c>
      <c r="L4" s="7" t="e">
        <f>averageCompletionTimePorter(Dates!L$10,Dates!L$11,'Day4'!$B4)</f>
        <v>#VALUE!</v>
      </c>
      <c r="M4" s="7" t="e">
        <f>averageCompletionTimePorter(Dates!M$10,Dates!M$11,'Day4'!$B4)</f>
        <v>#VALUE!</v>
      </c>
      <c r="N4" s="7" t="e">
        <f>averageCompletionTimePorter(Dates!N$10,Dates!N$11,'Day4'!$B4)</f>
        <v>#VALUE!</v>
      </c>
      <c r="O4" s="7" t="e">
        <f>averageCompletionTimePorter(Dates!O$10,Dates!O$11,'Day4'!$B4)</f>
        <v>#VALUE!</v>
      </c>
      <c r="P4" s="7" t="e">
        <f>averageCompletionTimePorter(Dates!P$10,Dates!P$11,'Day4'!$B4)</f>
        <v>#VALUE!</v>
      </c>
      <c r="Q4" s="7" t="e">
        <f>averageCompletionTimePorter(Dates!Q$10,Dates!Q$11,'Day4'!$B4)</f>
        <v>#VALUE!</v>
      </c>
      <c r="R4" s="7" t="e">
        <f>averageCompletionTimePorter(Dates!R$10,Dates!R$11,'Day4'!$B4)</f>
        <v>#VALUE!</v>
      </c>
      <c r="S4" s="7" t="e">
        <f>averageCompletionTimePorter(Dates!S$10,Dates!S$11,'Day4'!$B4)</f>
        <v>#VALUE!</v>
      </c>
      <c r="T4" s="7" t="e">
        <f>averageCompletionTimePorter(Dates!T$10,Dates!T$11,'Day4'!$B4)</f>
        <v>#VALUE!</v>
      </c>
      <c r="U4" s="7" t="e">
        <f>averageCompletionTimePorter(Dates!$C$10,Dates!$T$11,'Day4'!$B4)</f>
        <v>#VALUE!</v>
      </c>
    </row>
    <row r="5" spans="1:21" x14ac:dyDescent="0.3">
      <c r="A5" s="10"/>
      <c r="B5" s="12" t="s">
        <v>373</v>
      </c>
      <c r="C5" s="7" t="e">
        <f>averageCompletionTimePorter(Dates!C$10,Dates!C$11,'Day4'!$B5)</f>
        <v>#VALUE!</v>
      </c>
      <c r="D5" s="7" t="e">
        <f>averageCompletionTimePorter(Dates!D$10,Dates!D$11,'Day4'!$B5)</f>
        <v>#VALUE!</v>
      </c>
      <c r="E5" s="7" t="e">
        <f>averageCompletionTimePorter(Dates!E$10,Dates!E$11,'Day4'!$B5)</f>
        <v>#VALUE!</v>
      </c>
      <c r="F5" s="7" t="e">
        <f>averageCompletionTimePorter(Dates!F$10,Dates!F$11,'Day4'!$B5)</f>
        <v>#VALUE!</v>
      </c>
      <c r="G5" s="7" t="e">
        <f>averageCompletionTimePorter(Dates!G$10,Dates!G$11,'Day4'!$B5)</f>
        <v>#VALUE!</v>
      </c>
      <c r="H5" s="7" t="e">
        <f>averageCompletionTimePorter(Dates!H$10,Dates!H$11,'Day4'!$B5)</f>
        <v>#VALUE!</v>
      </c>
      <c r="I5" s="7" t="e">
        <f>averageCompletionTimePorter(Dates!I$10,Dates!I$11,'Day4'!$B5)</f>
        <v>#VALUE!</v>
      </c>
      <c r="J5" s="7" t="e">
        <f>averageCompletionTimePorter(Dates!J$10,Dates!J$11,'Day4'!$B5)</f>
        <v>#VALUE!</v>
      </c>
      <c r="K5" s="7" t="e">
        <f>averageCompletionTimePorter(Dates!K$10,Dates!K$11,'Day4'!$B5)</f>
        <v>#VALUE!</v>
      </c>
      <c r="L5" s="7" t="e">
        <f>averageCompletionTimePorter(Dates!L$10,Dates!L$11,'Day4'!$B5)</f>
        <v>#VALUE!</v>
      </c>
      <c r="M5" s="7" t="e">
        <f>averageCompletionTimePorter(Dates!M$10,Dates!M$11,'Day4'!$B5)</f>
        <v>#VALUE!</v>
      </c>
      <c r="N5" s="7" t="e">
        <f>averageCompletionTimePorter(Dates!N$10,Dates!N$11,'Day4'!$B5)</f>
        <v>#VALUE!</v>
      </c>
      <c r="O5" s="7" t="e">
        <f>averageCompletionTimePorter(Dates!O$10,Dates!O$11,'Day4'!$B5)</f>
        <v>#VALUE!</v>
      </c>
      <c r="P5" s="7" t="e">
        <f>averageCompletionTimePorter(Dates!P$10,Dates!P$11,'Day4'!$B5)</f>
        <v>#VALUE!</v>
      </c>
      <c r="Q5" s="7" t="e">
        <f>averageCompletionTimePorter(Dates!Q$10,Dates!Q$11,'Day4'!$B5)</f>
        <v>#VALUE!</v>
      </c>
      <c r="R5" s="7" t="e">
        <f>averageCompletionTimePorter(Dates!R$10,Dates!R$11,'Day4'!$B5)</f>
        <v>#VALUE!</v>
      </c>
      <c r="S5" s="7" t="e">
        <f>averageCompletionTimePorter(Dates!S$10,Dates!S$11,'Day4'!$B5)</f>
        <v>#VALUE!</v>
      </c>
      <c r="T5" s="7" t="e">
        <f>averageCompletionTimePorter(Dates!T$10,Dates!T$11,'Day4'!$B5)</f>
        <v>#VALUE!</v>
      </c>
      <c r="U5" s="7" t="e">
        <f>averageCompletionTimePorter(Dates!$C$10,Dates!$T$11,'Day4'!$B5)</f>
        <v>#VALUE!</v>
      </c>
    </row>
    <row r="6" spans="1:21" x14ac:dyDescent="0.3">
      <c r="A6" s="10"/>
      <c r="B6" s="12" t="s">
        <v>374</v>
      </c>
      <c r="C6" s="7" t="e">
        <f>averageCompletionTimePorter(Dates!C$10,Dates!C$11,'Day4'!$B6)</f>
        <v>#VALUE!</v>
      </c>
      <c r="D6" s="7" t="e">
        <f>averageCompletionTimePorter(Dates!D$10,Dates!D$11,'Day4'!$B6)</f>
        <v>#VALUE!</v>
      </c>
      <c r="E6" s="7" t="e">
        <f>averageCompletionTimePorter(Dates!E$10,Dates!E$11,'Day4'!$B6)</f>
        <v>#VALUE!</v>
      </c>
      <c r="F6" s="7" t="e">
        <f>averageCompletionTimePorter(Dates!F$10,Dates!F$11,'Day4'!$B6)</f>
        <v>#VALUE!</v>
      </c>
      <c r="G6" s="7" t="e">
        <f>averageCompletionTimePorter(Dates!G$10,Dates!G$11,'Day4'!$B6)</f>
        <v>#VALUE!</v>
      </c>
      <c r="H6" s="7" t="e">
        <f>averageCompletionTimePorter(Dates!H$10,Dates!H$11,'Day4'!$B6)</f>
        <v>#VALUE!</v>
      </c>
      <c r="I6" s="7" t="e">
        <f>averageCompletionTimePorter(Dates!I$10,Dates!I$11,'Day4'!$B6)</f>
        <v>#VALUE!</v>
      </c>
      <c r="J6" s="7" t="e">
        <f>averageCompletionTimePorter(Dates!J$10,Dates!J$11,'Day4'!$B6)</f>
        <v>#VALUE!</v>
      </c>
      <c r="K6" s="7" t="e">
        <f>averageCompletionTimePorter(Dates!K$10,Dates!K$11,'Day4'!$B6)</f>
        <v>#VALUE!</v>
      </c>
      <c r="L6" s="7" t="e">
        <f>averageCompletionTimePorter(Dates!L$10,Dates!L$11,'Day4'!$B6)</f>
        <v>#VALUE!</v>
      </c>
      <c r="M6" s="7" t="e">
        <f>averageCompletionTimePorter(Dates!M$10,Dates!M$11,'Day4'!$B6)</f>
        <v>#VALUE!</v>
      </c>
      <c r="N6" s="7" t="e">
        <f>averageCompletionTimePorter(Dates!N$10,Dates!N$11,'Day4'!$B6)</f>
        <v>#VALUE!</v>
      </c>
      <c r="O6" s="7" t="e">
        <f>averageCompletionTimePorter(Dates!O$10,Dates!O$11,'Day4'!$B6)</f>
        <v>#VALUE!</v>
      </c>
      <c r="P6" s="7" t="e">
        <f>averageCompletionTimePorter(Dates!P$10,Dates!P$11,'Day4'!$B6)</f>
        <v>#VALUE!</v>
      </c>
      <c r="Q6" s="7" t="e">
        <f>averageCompletionTimePorter(Dates!Q$10,Dates!Q$11,'Day4'!$B6)</f>
        <v>#VALUE!</v>
      </c>
      <c r="R6" s="7" t="e">
        <f>averageCompletionTimePorter(Dates!R$10,Dates!R$11,'Day4'!$B6)</f>
        <v>#VALUE!</v>
      </c>
      <c r="S6" s="7" t="e">
        <f>averageCompletionTimePorter(Dates!S$10,Dates!S$11,'Day4'!$B6)</f>
        <v>#VALUE!</v>
      </c>
      <c r="T6" s="7" t="e">
        <f>averageCompletionTimePorter(Dates!T$10,Dates!T$11,'Day4'!$B6)</f>
        <v>#VALUE!</v>
      </c>
      <c r="U6" s="7" t="e">
        <f>averageCompletionTimePorter(Dates!$C$10,Dates!$T$11,'Day4'!$B6)</f>
        <v>#VALUE!</v>
      </c>
    </row>
    <row r="7" spans="1:21" x14ac:dyDescent="0.3">
      <c r="A7" s="10"/>
      <c r="B7" s="12" t="s">
        <v>375</v>
      </c>
      <c r="C7" s="7" t="e">
        <f>averageCompletionTimePorter(Dates!C$10,Dates!C$11,'Day4'!$B7)</f>
        <v>#VALUE!</v>
      </c>
      <c r="D7" s="7" t="e">
        <f>averageCompletionTimePorter(Dates!D$10,Dates!D$11,'Day4'!$B7)</f>
        <v>#VALUE!</v>
      </c>
      <c r="E7" s="7" t="e">
        <f>averageCompletionTimePorter(Dates!E$10,Dates!E$11,'Day4'!$B7)</f>
        <v>#VALUE!</v>
      </c>
      <c r="F7" s="7" t="e">
        <f>averageCompletionTimePorter(Dates!F$10,Dates!F$11,'Day4'!$B7)</f>
        <v>#VALUE!</v>
      </c>
      <c r="G7" s="7" t="e">
        <f>averageCompletionTimePorter(Dates!G$10,Dates!G$11,'Day4'!$B7)</f>
        <v>#VALUE!</v>
      </c>
      <c r="H7" s="7" t="e">
        <f>averageCompletionTimePorter(Dates!H$10,Dates!H$11,'Day4'!$B7)</f>
        <v>#VALUE!</v>
      </c>
      <c r="I7" s="7" t="e">
        <f>averageCompletionTimePorter(Dates!I$10,Dates!I$11,'Day4'!$B7)</f>
        <v>#VALUE!</v>
      </c>
      <c r="J7" s="7" t="e">
        <f>averageCompletionTimePorter(Dates!J$10,Dates!J$11,'Day4'!$B7)</f>
        <v>#VALUE!</v>
      </c>
      <c r="K7" s="7" t="e">
        <f>averageCompletionTimePorter(Dates!K$10,Dates!K$11,'Day4'!$B7)</f>
        <v>#VALUE!</v>
      </c>
      <c r="L7" s="7" t="e">
        <f>averageCompletionTimePorter(Dates!L$10,Dates!L$11,'Day4'!$B7)</f>
        <v>#VALUE!</v>
      </c>
      <c r="M7" s="7" t="e">
        <f>averageCompletionTimePorter(Dates!M$10,Dates!M$11,'Day4'!$B7)</f>
        <v>#VALUE!</v>
      </c>
      <c r="N7" s="7" t="e">
        <f>averageCompletionTimePorter(Dates!N$10,Dates!N$11,'Day4'!$B7)</f>
        <v>#VALUE!</v>
      </c>
      <c r="O7" s="7" t="e">
        <f>averageCompletionTimePorter(Dates!O$10,Dates!O$11,'Day4'!$B7)</f>
        <v>#VALUE!</v>
      </c>
      <c r="P7" s="7" t="e">
        <f>averageCompletionTimePorter(Dates!P$10,Dates!P$11,'Day4'!$B7)</f>
        <v>#VALUE!</v>
      </c>
      <c r="Q7" s="7" t="e">
        <f>averageCompletionTimePorter(Dates!Q$10,Dates!Q$11,'Day4'!$B7)</f>
        <v>#VALUE!</v>
      </c>
      <c r="R7" s="7" t="e">
        <f>averageCompletionTimePorter(Dates!R$10,Dates!R$11,'Day4'!$B7)</f>
        <v>#VALUE!</v>
      </c>
      <c r="S7" s="7" t="e">
        <f>averageCompletionTimePorter(Dates!S$10,Dates!S$11,'Day4'!$B7)</f>
        <v>#VALUE!</v>
      </c>
      <c r="T7" s="7" t="e">
        <f>averageCompletionTimePorter(Dates!T$10,Dates!T$11,'Day4'!$B7)</f>
        <v>#VALUE!</v>
      </c>
      <c r="U7" s="7" t="e">
        <f>averageCompletionTimePorter(Dates!$C$10,Dates!$T$11,'Day4'!$B7)</f>
        <v>#VALUE!</v>
      </c>
    </row>
    <row r="8" spans="1:21" x14ac:dyDescent="0.3">
      <c r="A8" s="10"/>
      <c r="B8" s="12" t="s">
        <v>376</v>
      </c>
      <c r="C8" s="7" t="e">
        <f>averageCompletionTimePorter(Dates!C$10,Dates!C$11,'Day4'!$B8)</f>
        <v>#VALUE!</v>
      </c>
      <c r="D8" s="7" t="e">
        <f>averageCompletionTimePorter(Dates!D$10,Dates!D$11,'Day4'!$B8)</f>
        <v>#VALUE!</v>
      </c>
      <c r="E8" s="7" t="e">
        <f>averageCompletionTimePorter(Dates!E$10,Dates!E$11,'Day4'!$B8)</f>
        <v>#VALUE!</v>
      </c>
      <c r="F8" s="7" t="e">
        <f>averageCompletionTimePorter(Dates!F$10,Dates!F$11,'Day4'!$B8)</f>
        <v>#VALUE!</v>
      </c>
      <c r="G8" s="7" t="e">
        <f>averageCompletionTimePorter(Dates!G$10,Dates!G$11,'Day4'!$B8)</f>
        <v>#VALUE!</v>
      </c>
      <c r="H8" s="7" t="e">
        <f>averageCompletionTimePorter(Dates!H$10,Dates!H$11,'Day4'!$B8)</f>
        <v>#VALUE!</v>
      </c>
      <c r="I8" s="7" t="e">
        <f>averageCompletionTimePorter(Dates!I$10,Dates!I$11,'Day4'!$B8)</f>
        <v>#VALUE!</v>
      </c>
      <c r="J8" s="7" t="e">
        <f>averageCompletionTimePorter(Dates!J$10,Dates!J$11,'Day4'!$B8)</f>
        <v>#VALUE!</v>
      </c>
      <c r="K8" s="7" t="e">
        <f>averageCompletionTimePorter(Dates!K$10,Dates!K$11,'Day4'!$B8)</f>
        <v>#VALUE!</v>
      </c>
      <c r="L8" s="7" t="e">
        <f>averageCompletionTimePorter(Dates!L$10,Dates!L$11,'Day4'!$B8)</f>
        <v>#VALUE!</v>
      </c>
      <c r="M8" s="7" t="e">
        <f>averageCompletionTimePorter(Dates!M$10,Dates!M$11,'Day4'!$B8)</f>
        <v>#VALUE!</v>
      </c>
      <c r="N8" s="7" t="e">
        <f>averageCompletionTimePorter(Dates!N$10,Dates!N$11,'Day4'!$B8)</f>
        <v>#VALUE!</v>
      </c>
      <c r="O8" s="7" t="e">
        <f>averageCompletionTimePorter(Dates!O$10,Dates!O$11,'Day4'!$B8)</f>
        <v>#VALUE!</v>
      </c>
      <c r="P8" s="7" t="e">
        <f>averageCompletionTimePorter(Dates!P$10,Dates!P$11,'Day4'!$B8)</f>
        <v>#VALUE!</v>
      </c>
      <c r="Q8" s="7" t="e">
        <f>averageCompletionTimePorter(Dates!Q$10,Dates!Q$11,'Day4'!$B8)</f>
        <v>#VALUE!</v>
      </c>
      <c r="R8" s="7" t="e">
        <f>averageCompletionTimePorter(Dates!R$10,Dates!R$11,'Day4'!$B8)</f>
        <v>#VALUE!</v>
      </c>
      <c r="S8" s="7" t="e">
        <f>averageCompletionTimePorter(Dates!S$10,Dates!S$11,'Day4'!$B8)</f>
        <v>#VALUE!</v>
      </c>
      <c r="T8" s="7" t="e">
        <f>averageCompletionTimePorter(Dates!T$10,Dates!T$11,'Day4'!$B8)</f>
        <v>#VALUE!</v>
      </c>
      <c r="U8" s="7" t="e">
        <f>averageCompletionTimePorter(Dates!$C$10,Dates!$T$11,'Day4'!$B8)</f>
        <v>#VALUE!</v>
      </c>
    </row>
    <row r="9" spans="1:21" x14ac:dyDescent="0.3">
      <c r="A9" s="10"/>
      <c r="B9" s="12" t="s">
        <v>377</v>
      </c>
      <c r="C9" s="7" t="e">
        <f>averageCompletionTimePorter(Dates!C$10,Dates!C$11,'Day4'!$B9)</f>
        <v>#VALUE!</v>
      </c>
      <c r="D9" s="7" t="e">
        <f>averageCompletionTimePorter(Dates!D$10,Dates!D$11,'Day4'!$B9)</f>
        <v>#VALUE!</v>
      </c>
      <c r="E9" s="7" t="e">
        <f>averageCompletionTimePorter(Dates!E$10,Dates!E$11,'Day4'!$B9)</f>
        <v>#VALUE!</v>
      </c>
      <c r="F9" s="7" t="e">
        <f>averageCompletionTimePorter(Dates!F$10,Dates!F$11,'Day4'!$B9)</f>
        <v>#VALUE!</v>
      </c>
      <c r="G9" s="7" t="e">
        <f>averageCompletionTimePorter(Dates!G$10,Dates!G$11,'Day4'!$B9)</f>
        <v>#VALUE!</v>
      </c>
      <c r="H9" s="7" t="e">
        <f>averageCompletionTimePorter(Dates!H$10,Dates!H$11,'Day4'!$B9)</f>
        <v>#VALUE!</v>
      </c>
      <c r="I9" s="7" t="e">
        <f>averageCompletionTimePorter(Dates!I$10,Dates!I$11,'Day4'!$B9)</f>
        <v>#VALUE!</v>
      </c>
      <c r="J9" s="7" t="e">
        <f>averageCompletionTimePorter(Dates!J$10,Dates!J$11,'Day4'!$B9)</f>
        <v>#VALUE!</v>
      </c>
      <c r="K9" s="7" t="e">
        <f>averageCompletionTimePorter(Dates!K$10,Dates!K$11,'Day4'!$B9)</f>
        <v>#VALUE!</v>
      </c>
      <c r="L9" s="7" t="e">
        <f>averageCompletionTimePorter(Dates!L$10,Dates!L$11,'Day4'!$B9)</f>
        <v>#VALUE!</v>
      </c>
      <c r="M9" s="7" t="e">
        <f>averageCompletionTimePorter(Dates!M$10,Dates!M$11,'Day4'!$B9)</f>
        <v>#VALUE!</v>
      </c>
      <c r="N9" s="7" t="e">
        <f>averageCompletionTimePorter(Dates!N$10,Dates!N$11,'Day4'!$B9)</f>
        <v>#VALUE!</v>
      </c>
      <c r="O9" s="7" t="e">
        <f>averageCompletionTimePorter(Dates!O$10,Dates!O$11,'Day4'!$B9)</f>
        <v>#VALUE!</v>
      </c>
      <c r="P9" s="7" t="e">
        <f>averageCompletionTimePorter(Dates!P$10,Dates!P$11,'Day4'!$B9)</f>
        <v>#VALUE!</v>
      </c>
      <c r="Q9" s="7" t="e">
        <f>averageCompletionTimePorter(Dates!Q$10,Dates!Q$11,'Day4'!$B9)</f>
        <v>#VALUE!</v>
      </c>
      <c r="R9" s="7" t="e">
        <f>averageCompletionTimePorter(Dates!R$10,Dates!R$11,'Day4'!$B9)</f>
        <v>#VALUE!</v>
      </c>
      <c r="S9" s="7" t="e">
        <f>averageCompletionTimePorter(Dates!S$10,Dates!S$11,'Day4'!$B9)</f>
        <v>#VALUE!</v>
      </c>
      <c r="T9" s="7" t="e">
        <f>averageCompletionTimePorter(Dates!T$10,Dates!T$11,'Day4'!$B9)</f>
        <v>#VALUE!</v>
      </c>
      <c r="U9" s="7" t="e">
        <f>averageCompletionTimePorter(Dates!$C$10,Dates!$T$11,'Day4'!$B9)</f>
        <v>#VALUE!</v>
      </c>
    </row>
    <row r="10" spans="1:21" x14ac:dyDescent="0.3">
      <c r="A10" s="10"/>
      <c r="B10" s="12" t="s">
        <v>378</v>
      </c>
      <c r="C10" s="7" t="e">
        <f>averageCompletionTimePorter(Dates!C$10,Dates!C$11,'Day4'!$B10)</f>
        <v>#VALUE!</v>
      </c>
      <c r="D10" s="7" t="e">
        <f>averageCompletionTimePorter(Dates!D$10,Dates!D$11,'Day4'!$B10)</f>
        <v>#VALUE!</v>
      </c>
      <c r="E10" s="7" t="e">
        <f>averageCompletionTimePorter(Dates!E$10,Dates!E$11,'Day4'!$B10)</f>
        <v>#VALUE!</v>
      </c>
      <c r="F10" s="7" t="e">
        <f>averageCompletionTimePorter(Dates!F$10,Dates!F$11,'Day4'!$B10)</f>
        <v>#VALUE!</v>
      </c>
      <c r="G10" s="7" t="e">
        <f>averageCompletionTimePorter(Dates!G$10,Dates!G$11,'Day4'!$B10)</f>
        <v>#VALUE!</v>
      </c>
      <c r="H10" s="7" t="e">
        <f>averageCompletionTimePorter(Dates!H$10,Dates!H$11,'Day4'!$B10)</f>
        <v>#VALUE!</v>
      </c>
      <c r="I10" s="7" t="e">
        <f>averageCompletionTimePorter(Dates!I$10,Dates!I$11,'Day4'!$B10)</f>
        <v>#VALUE!</v>
      </c>
      <c r="J10" s="7" t="e">
        <f>averageCompletionTimePorter(Dates!J$10,Dates!J$11,'Day4'!$B10)</f>
        <v>#VALUE!</v>
      </c>
      <c r="K10" s="7" t="e">
        <f>averageCompletionTimePorter(Dates!K$10,Dates!K$11,'Day4'!$B10)</f>
        <v>#VALUE!</v>
      </c>
      <c r="L10" s="7" t="e">
        <f>averageCompletionTimePorter(Dates!L$10,Dates!L$11,'Day4'!$B10)</f>
        <v>#VALUE!</v>
      </c>
      <c r="M10" s="7" t="e">
        <f>averageCompletionTimePorter(Dates!M$10,Dates!M$11,'Day4'!$B10)</f>
        <v>#VALUE!</v>
      </c>
      <c r="N10" s="7" t="e">
        <f>averageCompletionTimePorter(Dates!N$10,Dates!N$11,'Day4'!$B10)</f>
        <v>#VALUE!</v>
      </c>
      <c r="O10" s="7" t="e">
        <f>averageCompletionTimePorter(Dates!O$10,Dates!O$11,'Day4'!$B10)</f>
        <v>#VALUE!</v>
      </c>
      <c r="P10" s="7" t="e">
        <f>averageCompletionTimePorter(Dates!P$10,Dates!P$11,'Day4'!$B10)</f>
        <v>#VALUE!</v>
      </c>
      <c r="Q10" s="7" t="e">
        <f>averageCompletionTimePorter(Dates!Q$10,Dates!Q$11,'Day4'!$B10)</f>
        <v>#VALUE!</v>
      </c>
      <c r="R10" s="7" t="e">
        <f>averageCompletionTimePorter(Dates!R$10,Dates!R$11,'Day4'!$B10)</f>
        <v>#VALUE!</v>
      </c>
      <c r="S10" s="7" t="e">
        <f>averageCompletionTimePorter(Dates!S$10,Dates!S$11,'Day4'!$B10)</f>
        <v>#VALUE!</v>
      </c>
      <c r="T10" s="7" t="e">
        <f>averageCompletionTimePorter(Dates!T$10,Dates!T$11,'Day4'!$B10)</f>
        <v>#VALUE!</v>
      </c>
      <c r="U10" s="7" t="e">
        <f>averageCompletionTimePorter(Dates!$C$10,Dates!$T$11,'Day4'!$B10)</f>
        <v>#VALUE!</v>
      </c>
    </row>
    <row r="11" spans="1:21" x14ac:dyDescent="0.3">
      <c r="A11" s="10"/>
      <c r="B11" s="12" t="s">
        <v>379</v>
      </c>
      <c r="C11" s="7" t="e">
        <f>averageCompletionTimePorter(Dates!C$10,Dates!C$11,'Day4'!$B11)</f>
        <v>#VALUE!</v>
      </c>
      <c r="D11" s="7" t="e">
        <f>averageCompletionTimePorter(Dates!D$10,Dates!D$11,'Day4'!$B11)</f>
        <v>#VALUE!</v>
      </c>
      <c r="E11" s="7" t="e">
        <f>averageCompletionTimePorter(Dates!E$10,Dates!E$11,'Day4'!$B11)</f>
        <v>#VALUE!</v>
      </c>
      <c r="F11" s="7" t="e">
        <f>averageCompletionTimePorter(Dates!F$10,Dates!F$11,'Day4'!$B11)</f>
        <v>#VALUE!</v>
      </c>
      <c r="G11" s="7" t="e">
        <f>averageCompletionTimePorter(Dates!G$10,Dates!G$11,'Day4'!$B11)</f>
        <v>#VALUE!</v>
      </c>
      <c r="H11" s="7" t="e">
        <f>averageCompletionTimePorter(Dates!H$10,Dates!H$11,'Day4'!$B11)</f>
        <v>#VALUE!</v>
      </c>
      <c r="I11" s="7" t="e">
        <f>averageCompletionTimePorter(Dates!I$10,Dates!I$11,'Day4'!$B11)</f>
        <v>#VALUE!</v>
      </c>
      <c r="J11" s="7" t="e">
        <f>averageCompletionTimePorter(Dates!J$10,Dates!J$11,'Day4'!$B11)</f>
        <v>#VALUE!</v>
      </c>
      <c r="K11" s="7" t="e">
        <f>averageCompletionTimePorter(Dates!K$10,Dates!K$11,'Day4'!$B11)</f>
        <v>#VALUE!</v>
      </c>
      <c r="L11" s="7" t="e">
        <f>averageCompletionTimePorter(Dates!L$10,Dates!L$11,'Day4'!$B11)</f>
        <v>#VALUE!</v>
      </c>
      <c r="M11" s="7" t="e">
        <f>averageCompletionTimePorter(Dates!M$10,Dates!M$11,'Day4'!$B11)</f>
        <v>#VALUE!</v>
      </c>
      <c r="N11" s="7" t="e">
        <f>averageCompletionTimePorter(Dates!N$10,Dates!N$11,'Day4'!$B11)</f>
        <v>#VALUE!</v>
      </c>
      <c r="O11" s="7" t="e">
        <f>averageCompletionTimePorter(Dates!O$10,Dates!O$11,'Day4'!$B11)</f>
        <v>#VALUE!</v>
      </c>
      <c r="P11" s="7" t="e">
        <f>averageCompletionTimePorter(Dates!P$10,Dates!P$11,'Day4'!$B11)</f>
        <v>#VALUE!</v>
      </c>
      <c r="Q11" s="7" t="e">
        <f>averageCompletionTimePorter(Dates!Q$10,Dates!Q$11,'Day4'!$B11)</f>
        <v>#VALUE!</v>
      </c>
      <c r="R11" s="7" t="e">
        <f>averageCompletionTimePorter(Dates!R$10,Dates!R$11,'Day4'!$B11)</f>
        <v>#VALUE!</v>
      </c>
      <c r="S11" s="7" t="e">
        <f>averageCompletionTimePorter(Dates!S$10,Dates!S$11,'Day4'!$B11)</f>
        <v>#VALUE!</v>
      </c>
      <c r="T11" s="7" t="e">
        <f>averageCompletionTimePorter(Dates!T$10,Dates!T$11,'Day4'!$B11)</f>
        <v>#VALUE!</v>
      </c>
      <c r="U11" s="7" t="e">
        <f>averageCompletionTimePorter(Dates!$C$10,Dates!$T$11,'Day4'!$B11)</f>
        <v>#VALUE!</v>
      </c>
    </row>
    <row r="12" spans="1:21" x14ac:dyDescent="0.3">
      <c r="A12" s="10"/>
      <c r="B12" s="12" t="s">
        <v>380</v>
      </c>
      <c r="C12" s="7" t="e">
        <f>averageCompletionTimePorter(Dates!C$10,Dates!C$11,'Day4'!$B12)</f>
        <v>#VALUE!</v>
      </c>
      <c r="D12" s="7" t="e">
        <f>averageCompletionTimePorter(Dates!D$10,Dates!D$11,'Day4'!$B12)</f>
        <v>#VALUE!</v>
      </c>
      <c r="E12" s="7" t="e">
        <f>averageCompletionTimePorter(Dates!E$10,Dates!E$11,'Day4'!$B12)</f>
        <v>#VALUE!</v>
      </c>
      <c r="F12" s="7" t="e">
        <f>averageCompletionTimePorter(Dates!F$10,Dates!F$11,'Day4'!$B12)</f>
        <v>#VALUE!</v>
      </c>
      <c r="G12" s="7" t="e">
        <f>averageCompletionTimePorter(Dates!G$10,Dates!G$11,'Day4'!$B12)</f>
        <v>#VALUE!</v>
      </c>
      <c r="H12" s="7" t="e">
        <f>averageCompletionTimePorter(Dates!H$10,Dates!H$11,'Day4'!$B12)</f>
        <v>#VALUE!</v>
      </c>
      <c r="I12" s="7" t="e">
        <f>averageCompletionTimePorter(Dates!I$10,Dates!I$11,'Day4'!$B12)</f>
        <v>#VALUE!</v>
      </c>
      <c r="J12" s="7" t="e">
        <f>averageCompletionTimePorter(Dates!J$10,Dates!J$11,'Day4'!$B12)</f>
        <v>#VALUE!</v>
      </c>
      <c r="K12" s="7" t="e">
        <f>averageCompletionTimePorter(Dates!K$10,Dates!K$11,'Day4'!$B12)</f>
        <v>#VALUE!</v>
      </c>
      <c r="L12" s="7" t="e">
        <f>averageCompletionTimePorter(Dates!L$10,Dates!L$11,'Day4'!$B12)</f>
        <v>#VALUE!</v>
      </c>
      <c r="M12" s="7" t="e">
        <f>averageCompletionTimePorter(Dates!M$10,Dates!M$11,'Day4'!$B12)</f>
        <v>#VALUE!</v>
      </c>
      <c r="N12" s="7" t="e">
        <f>averageCompletionTimePorter(Dates!N$10,Dates!N$11,'Day4'!$B12)</f>
        <v>#VALUE!</v>
      </c>
      <c r="O12" s="7" t="e">
        <f>averageCompletionTimePorter(Dates!O$10,Dates!O$11,'Day4'!$B12)</f>
        <v>#VALUE!</v>
      </c>
      <c r="P12" s="7" t="e">
        <f>averageCompletionTimePorter(Dates!P$10,Dates!P$11,'Day4'!$B12)</f>
        <v>#VALUE!</v>
      </c>
      <c r="Q12" s="7" t="e">
        <f>averageCompletionTimePorter(Dates!Q$10,Dates!Q$11,'Day4'!$B12)</f>
        <v>#VALUE!</v>
      </c>
      <c r="R12" s="7" t="e">
        <f>averageCompletionTimePorter(Dates!R$10,Dates!R$11,'Day4'!$B12)</f>
        <v>#VALUE!</v>
      </c>
      <c r="S12" s="7" t="e">
        <f>averageCompletionTimePorter(Dates!S$10,Dates!S$11,'Day4'!$B12)</f>
        <v>#VALUE!</v>
      </c>
      <c r="T12" s="7" t="e">
        <f>averageCompletionTimePorter(Dates!T$10,Dates!T$11,'Day4'!$B12)</f>
        <v>#VALUE!</v>
      </c>
      <c r="U12" s="7" t="e">
        <f>averageCompletionTimePorter(Dates!$C$10,Dates!$T$11,'Day4'!$B12)</f>
        <v>#VALUE!</v>
      </c>
    </row>
    <row r="13" spans="1:21" x14ac:dyDescent="0.3">
      <c r="A13" s="10"/>
      <c r="B13" s="12" t="s">
        <v>381</v>
      </c>
      <c r="C13" s="7" t="e">
        <f>averageCompletionTimePorter(Dates!C$10,Dates!C$11,'Day4'!$B13)</f>
        <v>#VALUE!</v>
      </c>
      <c r="D13" s="7" t="e">
        <f>averageCompletionTimePorter(Dates!D$10,Dates!D$11,'Day4'!$B13)</f>
        <v>#VALUE!</v>
      </c>
      <c r="E13" s="7" t="e">
        <f>averageCompletionTimePorter(Dates!E$10,Dates!E$11,'Day4'!$B13)</f>
        <v>#VALUE!</v>
      </c>
      <c r="F13" s="7" t="e">
        <f>averageCompletionTimePorter(Dates!F$10,Dates!F$11,'Day4'!$B13)</f>
        <v>#VALUE!</v>
      </c>
      <c r="G13" s="7" t="e">
        <f>averageCompletionTimePorter(Dates!G$10,Dates!G$11,'Day4'!$B13)</f>
        <v>#VALUE!</v>
      </c>
      <c r="H13" s="7" t="e">
        <f>averageCompletionTimePorter(Dates!H$10,Dates!H$11,'Day4'!$B13)</f>
        <v>#VALUE!</v>
      </c>
      <c r="I13" s="7" t="e">
        <f>averageCompletionTimePorter(Dates!I$10,Dates!I$11,'Day4'!$B13)</f>
        <v>#VALUE!</v>
      </c>
      <c r="J13" s="7" t="e">
        <f>averageCompletionTimePorter(Dates!J$10,Dates!J$11,'Day4'!$B13)</f>
        <v>#VALUE!</v>
      </c>
      <c r="K13" s="7" t="e">
        <f>averageCompletionTimePorter(Dates!K$10,Dates!K$11,'Day4'!$B13)</f>
        <v>#VALUE!</v>
      </c>
      <c r="L13" s="7" t="e">
        <f>averageCompletionTimePorter(Dates!L$10,Dates!L$11,'Day4'!$B13)</f>
        <v>#VALUE!</v>
      </c>
      <c r="M13" s="7" t="e">
        <f>averageCompletionTimePorter(Dates!M$10,Dates!M$11,'Day4'!$B13)</f>
        <v>#VALUE!</v>
      </c>
      <c r="N13" s="7" t="e">
        <f>averageCompletionTimePorter(Dates!N$10,Dates!N$11,'Day4'!$B13)</f>
        <v>#VALUE!</v>
      </c>
      <c r="O13" s="7" t="e">
        <f>averageCompletionTimePorter(Dates!O$10,Dates!O$11,'Day4'!$B13)</f>
        <v>#VALUE!</v>
      </c>
      <c r="P13" s="7" t="e">
        <f>averageCompletionTimePorter(Dates!P$10,Dates!P$11,'Day4'!$B13)</f>
        <v>#VALUE!</v>
      </c>
      <c r="Q13" s="7" t="e">
        <f>averageCompletionTimePorter(Dates!Q$10,Dates!Q$11,'Day4'!$B13)</f>
        <v>#VALUE!</v>
      </c>
      <c r="R13" s="7" t="e">
        <f>averageCompletionTimePorter(Dates!R$10,Dates!R$11,'Day4'!$B13)</f>
        <v>#VALUE!</v>
      </c>
      <c r="S13" s="7" t="e">
        <f>averageCompletionTimePorter(Dates!S$10,Dates!S$11,'Day4'!$B13)</f>
        <v>#VALUE!</v>
      </c>
      <c r="T13" s="7" t="e">
        <f>averageCompletionTimePorter(Dates!T$10,Dates!T$11,'Day4'!$B13)</f>
        <v>#VALUE!</v>
      </c>
      <c r="U13" s="7" t="e">
        <f>averageCompletionTimePorter(Dates!$C$10,Dates!$T$11,'Day4'!$B13)</f>
        <v>#VALUE!</v>
      </c>
    </row>
    <row r="14" spans="1:21" x14ac:dyDescent="0.3">
      <c r="B14" s="12" t="s">
        <v>113</v>
      </c>
      <c r="C14" s="7" t="e">
        <f>averageCompletionTimePorter(Dates!C$10,Dates!C$11,'Day4'!$B14)</f>
        <v>#VALUE!</v>
      </c>
      <c r="D14" s="7" t="e">
        <f>averageCompletionTimePorter(Dates!D$10,Dates!D$11,'Day4'!$B14)</f>
        <v>#VALUE!</v>
      </c>
      <c r="E14" s="7" t="e">
        <f>averageCompletionTimePorter(Dates!E$10,Dates!E$11,'Day4'!$B14)</f>
        <v>#VALUE!</v>
      </c>
      <c r="F14" s="7" t="e">
        <f>averageCompletionTimePorter(Dates!F$10,Dates!F$11,'Day4'!$B14)</f>
        <v>#VALUE!</v>
      </c>
      <c r="G14" s="7" t="e">
        <f>averageCompletionTimePorter(Dates!G$10,Dates!G$11,'Day4'!$B14)</f>
        <v>#VALUE!</v>
      </c>
      <c r="H14" s="7" t="e">
        <f>averageCompletionTimePorter(Dates!H$10,Dates!H$11,'Day4'!$B14)</f>
        <v>#VALUE!</v>
      </c>
      <c r="I14" s="7" t="e">
        <f>averageCompletionTimePorter(Dates!I$10,Dates!I$11,'Day4'!$B14)</f>
        <v>#VALUE!</v>
      </c>
      <c r="J14" s="7" t="e">
        <f>averageCompletionTimePorter(Dates!J$10,Dates!J$11,'Day4'!$B14)</f>
        <v>#VALUE!</v>
      </c>
      <c r="K14" s="7" t="e">
        <f>averageCompletionTimePorter(Dates!K$10,Dates!K$11,'Day4'!$B14)</f>
        <v>#VALUE!</v>
      </c>
      <c r="L14" s="7" t="e">
        <f>averageCompletionTimePorter(Dates!L$10,Dates!L$11,'Day4'!$B14)</f>
        <v>#VALUE!</v>
      </c>
      <c r="M14" s="7" t="e">
        <f>averageCompletionTimePorter(Dates!M$10,Dates!M$11,'Day4'!$B14)</f>
        <v>#VALUE!</v>
      </c>
      <c r="N14" s="7" t="e">
        <f>averageCompletionTimePorter(Dates!N$10,Dates!N$11,'Day4'!$B14)</f>
        <v>#VALUE!</v>
      </c>
      <c r="O14" s="7" t="e">
        <f>averageCompletionTimePorter(Dates!O$10,Dates!O$11,'Day4'!$B14)</f>
        <v>#VALUE!</v>
      </c>
      <c r="P14" s="7" t="e">
        <f>averageCompletionTimePorter(Dates!P$10,Dates!P$11,'Day4'!$B14)</f>
        <v>#VALUE!</v>
      </c>
      <c r="Q14" s="7" t="e">
        <f>averageCompletionTimePorter(Dates!Q$10,Dates!Q$11,'Day4'!$B14)</f>
        <v>#VALUE!</v>
      </c>
      <c r="R14" s="7" t="e">
        <f>averageCompletionTimePorter(Dates!R$10,Dates!R$11,'Day4'!$B14)</f>
        <v>#VALUE!</v>
      </c>
      <c r="S14" s="7" t="e">
        <f>averageCompletionTimePorter(Dates!S$10,Dates!S$11,'Day4'!$B14)</f>
        <v>#VALUE!</v>
      </c>
      <c r="T14" s="7" t="e">
        <f>averageCompletionTimePorter(Dates!T$10,Dates!T$11,'Day4'!$B14)</f>
        <v>#VALUE!</v>
      </c>
      <c r="U14" s="7" t="e">
        <f>averageCompletionTimePorter(Dates!$C$10,Dates!$T$11,'Day4'!$B14)</f>
        <v>#VALUE!</v>
      </c>
    </row>
    <row r="15" spans="1:21" x14ac:dyDescent="0.3">
      <c r="B15" s="12" t="s">
        <v>114</v>
      </c>
      <c r="C15" s="7" t="e">
        <f>averageCompletionTimePorter(Dates!C$10,Dates!C$11,'Day4'!$B15)</f>
        <v>#VALUE!</v>
      </c>
      <c r="D15" s="7" t="e">
        <f>averageCompletionTimePorter(Dates!D$10,Dates!D$11,'Day4'!$B15)</f>
        <v>#VALUE!</v>
      </c>
      <c r="E15" s="7" t="e">
        <f>averageCompletionTimePorter(Dates!E$10,Dates!E$11,'Day4'!$B15)</f>
        <v>#VALUE!</v>
      </c>
      <c r="F15" s="7" t="e">
        <f>averageCompletionTimePorter(Dates!F$10,Dates!F$11,'Day4'!$B15)</f>
        <v>#VALUE!</v>
      </c>
      <c r="G15" s="7" t="e">
        <f>averageCompletionTimePorter(Dates!G$10,Dates!G$11,'Day4'!$B15)</f>
        <v>#VALUE!</v>
      </c>
      <c r="H15" s="7" t="e">
        <f>averageCompletionTimePorter(Dates!H$10,Dates!H$11,'Day4'!$B15)</f>
        <v>#VALUE!</v>
      </c>
      <c r="I15" s="7" t="e">
        <f>averageCompletionTimePorter(Dates!I$10,Dates!I$11,'Day4'!$B15)</f>
        <v>#VALUE!</v>
      </c>
      <c r="J15" s="7" t="e">
        <f>averageCompletionTimePorter(Dates!J$10,Dates!J$11,'Day4'!$B15)</f>
        <v>#VALUE!</v>
      </c>
      <c r="K15" s="7" t="e">
        <f>averageCompletionTimePorter(Dates!K$10,Dates!K$11,'Day4'!$B15)</f>
        <v>#VALUE!</v>
      </c>
      <c r="L15" s="7" t="e">
        <f>averageCompletionTimePorter(Dates!L$10,Dates!L$11,'Day4'!$B15)</f>
        <v>#VALUE!</v>
      </c>
      <c r="M15" s="7" t="e">
        <f>averageCompletionTimePorter(Dates!M$10,Dates!M$11,'Day4'!$B15)</f>
        <v>#VALUE!</v>
      </c>
      <c r="N15" s="7" t="e">
        <f>averageCompletionTimePorter(Dates!N$10,Dates!N$11,'Day4'!$B15)</f>
        <v>#VALUE!</v>
      </c>
      <c r="O15" s="7" t="e">
        <f>averageCompletionTimePorter(Dates!O$10,Dates!O$11,'Day4'!$B15)</f>
        <v>#VALUE!</v>
      </c>
      <c r="P15" s="7" t="e">
        <f>averageCompletionTimePorter(Dates!P$10,Dates!P$11,'Day4'!$B15)</f>
        <v>#VALUE!</v>
      </c>
      <c r="Q15" s="7" t="e">
        <f>averageCompletionTimePorter(Dates!Q$10,Dates!Q$11,'Day4'!$B15)</f>
        <v>#VALUE!</v>
      </c>
      <c r="R15" s="7" t="e">
        <f>averageCompletionTimePorter(Dates!R$10,Dates!R$11,'Day4'!$B15)</f>
        <v>#VALUE!</v>
      </c>
      <c r="S15" s="7" t="e">
        <f>averageCompletionTimePorter(Dates!S$10,Dates!S$11,'Day4'!$B15)</f>
        <v>#VALUE!</v>
      </c>
      <c r="T15" s="7" t="e">
        <f>averageCompletionTimePorter(Dates!T$10,Dates!T$11,'Day4'!$B15)</f>
        <v>#VALUE!</v>
      </c>
      <c r="U15" s="7" t="e">
        <f>averageCompletionTimePorter(Dates!$C$10,Dates!$T$11,'Day4'!$B15)</f>
        <v>#VALUE!</v>
      </c>
    </row>
    <row r="16" spans="1:21" x14ac:dyDescent="0.3">
      <c r="B16" s="12" t="s">
        <v>115</v>
      </c>
      <c r="C16" s="7" t="e">
        <f>averageCompletionTimePorter(Dates!C$10,Dates!C$11,'Day4'!$B16)</f>
        <v>#VALUE!</v>
      </c>
      <c r="D16" s="7" t="e">
        <f>averageCompletionTimePorter(Dates!D$10,Dates!D$11,'Day4'!$B16)</f>
        <v>#VALUE!</v>
      </c>
      <c r="E16" s="7" t="e">
        <f>averageCompletionTimePorter(Dates!E$10,Dates!E$11,'Day4'!$B16)</f>
        <v>#VALUE!</v>
      </c>
      <c r="F16" s="7" t="e">
        <f>averageCompletionTimePorter(Dates!F$10,Dates!F$11,'Day4'!$B16)</f>
        <v>#VALUE!</v>
      </c>
      <c r="G16" s="7" t="e">
        <f>averageCompletionTimePorter(Dates!G$10,Dates!G$11,'Day4'!$B16)</f>
        <v>#VALUE!</v>
      </c>
      <c r="H16" s="7" t="e">
        <f>averageCompletionTimePorter(Dates!H$10,Dates!H$11,'Day4'!$B16)</f>
        <v>#VALUE!</v>
      </c>
      <c r="I16" s="7" t="e">
        <f>averageCompletionTimePorter(Dates!I$10,Dates!I$11,'Day4'!$B16)</f>
        <v>#VALUE!</v>
      </c>
      <c r="J16" s="7" t="e">
        <f>averageCompletionTimePorter(Dates!J$10,Dates!J$11,'Day4'!$B16)</f>
        <v>#VALUE!</v>
      </c>
      <c r="K16" s="7" t="e">
        <f>averageCompletionTimePorter(Dates!K$10,Dates!K$11,'Day4'!$B16)</f>
        <v>#VALUE!</v>
      </c>
      <c r="L16" s="7" t="e">
        <f>averageCompletionTimePorter(Dates!L$10,Dates!L$11,'Day4'!$B16)</f>
        <v>#VALUE!</v>
      </c>
      <c r="M16" s="7" t="e">
        <f>averageCompletionTimePorter(Dates!M$10,Dates!M$11,'Day4'!$B16)</f>
        <v>#VALUE!</v>
      </c>
      <c r="N16" s="7" t="e">
        <f>averageCompletionTimePorter(Dates!N$10,Dates!N$11,'Day4'!$B16)</f>
        <v>#VALUE!</v>
      </c>
      <c r="O16" s="7" t="e">
        <f>averageCompletionTimePorter(Dates!O$10,Dates!O$11,'Day4'!$B16)</f>
        <v>#VALUE!</v>
      </c>
      <c r="P16" s="7" t="e">
        <f>averageCompletionTimePorter(Dates!P$10,Dates!P$11,'Day4'!$B16)</f>
        <v>#VALUE!</v>
      </c>
      <c r="Q16" s="7" t="e">
        <f>averageCompletionTimePorter(Dates!Q$10,Dates!Q$11,'Day4'!$B16)</f>
        <v>#VALUE!</v>
      </c>
      <c r="R16" s="7" t="e">
        <f>averageCompletionTimePorter(Dates!R$10,Dates!R$11,'Day4'!$B16)</f>
        <v>#VALUE!</v>
      </c>
      <c r="S16" s="7" t="e">
        <f>averageCompletionTimePorter(Dates!S$10,Dates!S$11,'Day4'!$B16)</f>
        <v>#VALUE!</v>
      </c>
      <c r="T16" s="7" t="e">
        <f>averageCompletionTimePorter(Dates!T$10,Dates!T$11,'Day4'!$B16)</f>
        <v>#VALUE!</v>
      </c>
      <c r="U16" s="7" t="e">
        <f>averageCompletionTimePorter(Dates!$C$10,Dates!$T$11,'Day4'!$B16)</f>
        <v>#VALUE!</v>
      </c>
    </row>
    <row r="17" spans="2:21" x14ac:dyDescent="0.3">
      <c r="B17" s="12" t="s">
        <v>116</v>
      </c>
      <c r="C17" s="7" t="e">
        <f>averageCompletionTimePorter(Dates!C$10,Dates!C$11,'Day4'!$B17)</f>
        <v>#VALUE!</v>
      </c>
      <c r="D17" s="7" t="e">
        <f>averageCompletionTimePorter(Dates!D$10,Dates!D$11,'Day4'!$B17)</f>
        <v>#VALUE!</v>
      </c>
      <c r="E17" s="7" t="e">
        <f>averageCompletionTimePorter(Dates!E$10,Dates!E$11,'Day4'!$B17)</f>
        <v>#VALUE!</v>
      </c>
      <c r="F17" s="7" t="e">
        <f>averageCompletionTimePorter(Dates!F$10,Dates!F$11,'Day4'!$B17)</f>
        <v>#VALUE!</v>
      </c>
      <c r="G17" s="7" t="e">
        <f>averageCompletionTimePorter(Dates!G$10,Dates!G$11,'Day4'!$B17)</f>
        <v>#VALUE!</v>
      </c>
      <c r="H17" s="7" t="e">
        <f>averageCompletionTimePorter(Dates!H$10,Dates!H$11,'Day4'!$B17)</f>
        <v>#VALUE!</v>
      </c>
      <c r="I17" s="7" t="e">
        <f>averageCompletionTimePorter(Dates!I$10,Dates!I$11,'Day4'!$B17)</f>
        <v>#VALUE!</v>
      </c>
      <c r="J17" s="7" t="e">
        <f>averageCompletionTimePorter(Dates!J$10,Dates!J$11,'Day4'!$B17)</f>
        <v>#VALUE!</v>
      </c>
      <c r="K17" s="7" t="e">
        <f>averageCompletionTimePorter(Dates!K$10,Dates!K$11,'Day4'!$B17)</f>
        <v>#VALUE!</v>
      </c>
      <c r="L17" s="7" t="e">
        <f>averageCompletionTimePorter(Dates!L$10,Dates!L$11,'Day4'!$B17)</f>
        <v>#VALUE!</v>
      </c>
      <c r="M17" s="7" t="e">
        <f>averageCompletionTimePorter(Dates!M$10,Dates!M$11,'Day4'!$B17)</f>
        <v>#VALUE!</v>
      </c>
      <c r="N17" s="7" t="e">
        <f>averageCompletionTimePorter(Dates!N$10,Dates!N$11,'Day4'!$B17)</f>
        <v>#VALUE!</v>
      </c>
      <c r="O17" s="7" t="e">
        <f>averageCompletionTimePorter(Dates!O$10,Dates!O$11,'Day4'!$B17)</f>
        <v>#VALUE!</v>
      </c>
      <c r="P17" s="7" t="e">
        <f>averageCompletionTimePorter(Dates!P$10,Dates!P$11,'Day4'!$B17)</f>
        <v>#VALUE!</v>
      </c>
      <c r="Q17" s="7" t="e">
        <f>averageCompletionTimePorter(Dates!Q$10,Dates!Q$11,'Day4'!$B17)</f>
        <v>#VALUE!</v>
      </c>
      <c r="R17" s="7" t="e">
        <f>averageCompletionTimePorter(Dates!R$10,Dates!R$11,'Day4'!$B17)</f>
        <v>#VALUE!</v>
      </c>
      <c r="S17" s="7" t="e">
        <f>averageCompletionTimePorter(Dates!S$10,Dates!S$11,'Day4'!$B17)</f>
        <v>#VALUE!</v>
      </c>
      <c r="T17" s="7" t="e">
        <f>averageCompletionTimePorter(Dates!T$10,Dates!T$11,'Day4'!$B17)</f>
        <v>#VALUE!</v>
      </c>
      <c r="U17" s="7" t="e">
        <f>averageCompletionTimePorter(Dates!$C$10,Dates!$T$11,'Day4'!$B17)</f>
        <v>#VALUE!</v>
      </c>
    </row>
    <row r="18" spans="2:21" x14ac:dyDescent="0.3">
      <c r="B18" s="12" t="s">
        <v>117</v>
      </c>
      <c r="C18" s="7" t="e">
        <f>averageCompletionTimePorter(Dates!C$10,Dates!C$11,'Day4'!$B18)</f>
        <v>#VALUE!</v>
      </c>
      <c r="D18" s="7" t="e">
        <f>averageCompletionTimePorter(Dates!D$10,Dates!D$11,'Day4'!$B18)</f>
        <v>#VALUE!</v>
      </c>
      <c r="E18" s="7" t="e">
        <f>averageCompletionTimePorter(Dates!E$10,Dates!E$11,'Day4'!$B18)</f>
        <v>#VALUE!</v>
      </c>
      <c r="F18" s="7" t="e">
        <f>averageCompletionTimePorter(Dates!F$10,Dates!F$11,'Day4'!$B18)</f>
        <v>#VALUE!</v>
      </c>
      <c r="G18" s="7" t="e">
        <f>averageCompletionTimePorter(Dates!G$10,Dates!G$11,'Day4'!$B18)</f>
        <v>#VALUE!</v>
      </c>
      <c r="H18" s="7" t="e">
        <f>averageCompletionTimePorter(Dates!H$10,Dates!H$11,'Day4'!$B18)</f>
        <v>#VALUE!</v>
      </c>
      <c r="I18" s="7" t="e">
        <f>averageCompletionTimePorter(Dates!I$10,Dates!I$11,'Day4'!$B18)</f>
        <v>#VALUE!</v>
      </c>
      <c r="J18" s="7" t="e">
        <f>averageCompletionTimePorter(Dates!J$10,Dates!J$11,'Day4'!$B18)</f>
        <v>#VALUE!</v>
      </c>
      <c r="K18" s="7" t="e">
        <f>averageCompletionTimePorter(Dates!K$10,Dates!K$11,'Day4'!$B18)</f>
        <v>#VALUE!</v>
      </c>
      <c r="L18" s="7" t="e">
        <f>averageCompletionTimePorter(Dates!L$10,Dates!L$11,'Day4'!$B18)</f>
        <v>#VALUE!</v>
      </c>
      <c r="M18" s="7" t="e">
        <f>averageCompletionTimePorter(Dates!M$10,Dates!M$11,'Day4'!$B18)</f>
        <v>#VALUE!</v>
      </c>
      <c r="N18" s="7" t="e">
        <f>averageCompletionTimePorter(Dates!N$10,Dates!N$11,'Day4'!$B18)</f>
        <v>#VALUE!</v>
      </c>
      <c r="O18" s="7" t="e">
        <f>averageCompletionTimePorter(Dates!O$10,Dates!O$11,'Day4'!$B18)</f>
        <v>#VALUE!</v>
      </c>
      <c r="P18" s="7" t="e">
        <f>averageCompletionTimePorter(Dates!P$10,Dates!P$11,'Day4'!$B18)</f>
        <v>#VALUE!</v>
      </c>
      <c r="Q18" s="7" t="e">
        <f>averageCompletionTimePorter(Dates!Q$10,Dates!Q$11,'Day4'!$B18)</f>
        <v>#VALUE!</v>
      </c>
      <c r="R18" s="7" t="e">
        <f>averageCompletionTimePorter(Dates!R$10,Dates!R$11,'Day4'!$B18)</f>
        <v>#VALUE!</v>
      </c>
      <c r="S18" s="7" t="e">
        <f>averageCompletionTimePorter(Dates!S$10,Dates!S$11,'Day4'!$B18)</f>
        <v>#VALUE!</v>
      </c>
      <c r="T18" s="7" t="e">
        <f>averageCompletionTimePorter(Dates!T$10,Dates!T$11,'Day4'!$B18)</f>
        <v>#VALUE!</v>
      </c>
      <c r="U18" s="7" t="e">
        <f>averageCompletionTimePorter(Dates!$C$10,Dates!$T$11,'Day4'!$B18)</f>
        <v>#VALUE!</v>
      </c>
    </row>
    <row r="19" spans="2:21" x14ac:dyDescent="0.3">
      <c r="B19" s="12" t="s">
        <v>118</v>
      </c>
      <c r="C19" s="7" t="e">
        <f>averageCompletionTimePorter(Dates!C$10,Dates!C$11,'Day4'!$B19)</f>
        <v>#VALUE!</v>
      </c>
      <c r="D19" s="7" t="e">
        <f>averageCompletionTimePorter(Dates!D$10,Dates!D$11,'Day4'!$B19)</f>
        <v>#VALUE!</v>
      </c>
      <c r="E19" s="7" t="e">
        <f>averageCompletionTimePorter(Dates!E$10,Dates!E$11,'Day4'!$B19)</f>
        <v>#VALUE!</v>
      </c>
      <c r="F19" s="7" t="e">
        <f>averageCompletionTimePorter(Dates!F$10,Dates!F$11,'Day4'!$B19)</f>
        <v>#VALUE!</v>
      </c>
      <c r="G19" s="7" t="e">
        <f>averageCompletionTimePorter(Dates!G$10,Dates!G$11,'Day4'!$B19)</f>
        <v>#VALUE!</v>
      </c>
      <c r="H19" s="7" t="e">
        <f>averageCompletionTimePorter(Dates!H$10,Dates!H$11,'Day4'!$B19)</f>
        <v>#VALUE!</v>
      </c>
      <c r="I19" s="7" t="e">
        <f>averageCompletionTimePorter(Dates!I$10,Dates!I$11,'Day4'!$B19)</f>
        <v>#VALUE!</v>
      </c>
      <c r="J19" s="7" t="e">
        <f>averageCompletionTimePorter(Dates!J$10,Dates!J$11,'Day4'!$B19)</f>
        <v>#VALUE!</v>
      </c>
      <c r="K19" s="7" t="e">
        <f>averageCompletionTimePorter(Dates!K$10,Dates!K$11,'Day4'!$B19)</f>
        <v>#VALUE!</v>
      </c>
      <c r="L19" s="7" t="e">
        <f>averageCompletionTimePorter(Dates!L$10,Dates!L$11,'Day4'!$B19)</f>
        <v>#VALUE!</v>
      </c>
      <c r="M19" s="7" t="e">
        <f>averageCompletionTimePorter(Dates!M$10,Dates!M$11,'Day4'!$B19)</f>
        <v>#VALUE!</v>
      </c>
      <c r="N19" s="7" t="e">
        <f>averageCompletionTimePorter(Dates!N$10,Dates!N$11,'Day4'!$B19)</f>
        <v>#VALUE!</v>
      </c>
      <c r="O19" s="7" t="e">
        <f>averageCompletionTimePorter(Dates!O$10,Dates!O$11,'Day4'!$B19)</f>
        <v>#VALUE!</v>
      </c>
      <c r="P19" s="7" t="e">
        <f>averageCompletionTimePorter(Dates!P$10,Dates!P$11,'Day4'!$B19)</f>
        <v>#VALUE!</v>
      </c>
      <c r="Q19" s="7" t="e">
        <f>averageCompletionTimePorter(Dates!Q$10,Dates!Q$11,'Day4'!$B19)</f>
        <v>#VALUE!</v>
      </c>
      <c r="R19" s="7" t="e">
        <f>averageCompletionTimePorter(Dates!R$10,Dates!R$11,'Day4'!$B19)</f>
        <v>#VALUE!</v>
      </c>
      <c r="S19" s="7" t="e">
        <f>averageCompletionTimePorter(Dates!S$10,Dates!S$11,'Day4'!$B19)</f>
        <v>#VALUE!</v>
      </c>
      <c r="T19" s="7" t="e">
        <f>averageCompletionTimePorter(Dates!T$10,Dates!T$11,'Day4'!$B19)</f>
        <v>#VALUE!</v>
      </c>
      <c r="U19" s="7" t="e">
        <f>averageCompletionTimePorter(Dates!$C$10,Dates!$T$11,'Day4'!$B19)</f>
        <v>#VALUE!</v>
      </c>
    </row>
    <row r="20" spans="2:21" x14ac:dyDescent="0.3">
      <c r="B20" s="12" t="s">
        <v>119</v>
      </c>
      <c r="C20" s="7" t="e">
        <f>averageCompletionTimePorter(Dates!C$10,Dates!C$11,'Day4'!$B20)</f>
        <v>#VALUE!</v>
      </c>
      <c r="D20" s="7" t="e">
        <f>averageCompletionTimePorter(Dates!D$10,Dates!D$11,'Day4'!$B20)</f>
        <v>#VALUE!</v>
      </c>
      <c r="E20" s="7" t="e">
        <f>averageCompletionTimePorter(Dates!E$10,Dates!E$11,'Day4'!$B20)</f>
        <v>#VALUE!</v>
      </c>
      <c r="F20" s="7" t="e">
        <f>averageCompletionTimePorter(Dates!F$10,Dates!F$11,'Day4'!$B20)</f>
        <v>#VALUE!</v>
      </c>
      <c r="G20" s="7" t="e">
        <f>averageCompletionTimePorter(Dates!G$10,Dates!G$11,'Day4'!$B20)</f>
        <v>#VALUE!</v>
      </c>
      <c r="H20" s="7" t="e">
        <f>averageCompletionTimePorter(Dates!H$10,Dates!H$11,'Day4'!$B20)</f>
        <v>#VALUE!</v>
      </c>
      <c r="I20" s="7" t="e">
        <f>averageCompletionTimePorter(Dates!I$10,Dates!I$11,'Day4'!$B20)</f>
        <v>#VALUE!</v>
      </c>
      <c r="J20" s="7" t="e">
        <f>averageCompletionTimePorter(Dates!J$10,Dates!J$11,'Day4'!$B20)</f>
        <v>#VALUE!</v>
      </c>
      <c r="K20" s="7" t="e">
        <f>averageCompletionTimePorter(Dates!K$10,Dates!K$11,'Day4'!$B20)</f>
        <v>#VALUE!</v>
      </c>
      <c r="L20" s="7" t="e">
        <f>averageCompletionTimePorter(Dates!L$10,Dates!L$11,'Day4'!$B20)</f>
        <v>#VALUE!</v>
      </c>
      <c r="M20" s="7" t="e">
        <f>averageCompletionTimePorter(Dates!M$10,Dates!M$11,'Day4'!$B20)</f>
        <v>#VALUE!</v>
      </c>
      <c r="N20" s="7" t="e">
        <f>averageCompletionTimePorter(Dates!N$10,Dates!N$11,'Day4'!$B20)</f>
        <v>#VALUE!</v>
      </c>
      <c r="O20" s="7" t="e">
        <f>averageCompletionTimePorter(Dates!O$10,Dates!O$11,'Day4'!$B20)</f>
        <v>#VALUE!</v>
      </c>
      <c r="P20" s="7" t="e">
        <f>averageCompletionTimePorter(Dates!P$10,Dates!P$11,'Day4'!$B20)</f>
        <v>#VALUE!</v>
      </c>
      <c r="Q20" s="7" t="e">
        <f>averageCompletionTimePorter(Dates!Q$10,Dates!Q$11,'Day4'!$B20)</f>
        <v>#VALUE!</v>
      </c>
      <c r="R20" s="7" t="e">
        <f>averageCompletionTimePorter(Dates!R$10,Dates!R$11,'Day4'!$B20)</f>
        <v>#VALUE!</v>
      </c>
      <c r="S20" s="7" t="e">
        <f>averageCompletionTimePorter(Dates!S$10,Dates!S$11,'Day4'!$B20)</f>
        <v>#VALUE!</v>
      </c>
      <c r="T20" s="7" t="e">
        <f>averageCompletionTimePorter(Dates!T$10,Dates!T$11,'Day4'!$B20)</f>
        <v>#VALUE!</v>
      </c>
      <c r="U20" s="7" t="e">
        <f>averageCompletionTimePorter(Dates!$C$10,Dates!$T$11,'Day4'!$B20)</f>
        <v>#VALUE!</v>
      </c>
    </row>
    <row r="21" spans="2:21" x14ac:dyDescent="0.3">
      <c r="B21" s="12" t="s">
        <v>120</v>
      </c>
      <c r="C21" s="7" t="e">
        <f>averageCompletionTimePorter(Dates!C$10,Dates!C$11,'Day4'!$B21)</f>
        <v>#VALUE!</v>
      </c>
      <c r="D21" s="7" t="e">
        <f>averageCompletionTimePorter(Dates!D$10,Dates!D$11,'Day4'!$B21)</f>
        <v>#VALUE!</v>
      </c>
      <c r="E21" s="7" t="e">
        <f>averageCompletionTimePorter(Dates!E$10,Dates!E$11,'Day4'!$B21)</f>
        <v>#VALUE!</v>
      </c>
      <c r="F21" s="7" t="e">
        <f>averageCompletionTimePorter(Dates!F$10,Dates!F$11,'Day4'!$B21)</f>
        <v>#VALUE!</v>
      </c>
      <c r="G21" s="7" t="e">
        <f>averageCompletionTimePorter(Dates!G$10,Dates!G$11,'Day4'!$B21)</f>
        <v>#VALUE!</v>
      </c>
      <c r="H21" s="7" t="e">
        <f>averageCompletionTimePorter(Dates!H$10,Dates!H$11,'Day4'!$B21)</f>
        <v>#VALUE!</v>
      </c>
      <c r="I21" s="7" t="e">
        <f>averageCompletionTimePorter(Dates!I$10,Dates!I$11,'Day4'!$B21)</f>
        <v>#VALUE!</v>
      </c>
      <c r="J21" s="7" t="e">
        <f>averageCompletionTimePorter(Dates!J$10,Dates!J$11,'Day4'!$B21)</f>
        <v>#VALUE!</v>
      </c>
      <c r="K21" s="7" t="e">
        <f>averageCompletionTimePorter(Dates!K$10,Dates!K$11,'Day4'!$B21)</f>
        <v>#VALUE!</v>
      </c>
      <c r="L21" s="7" t="e">
        <f>averageCompletionTimePorter(Dates!L$10,Dates!L$11,'Day4'!$B21)</f>
        <v>#VALUE!</v>
      </c>
      <c r="M21" s="7" t="e">
        <f>averageCompletionTimePorter(Dates!M$10,Dates!M$11,'Day4'!$B21)</f>
        <v>#VALUE!</v>
      </c>
      <c r="N21" s="7" t="e">
        <f>averageCompletionTimePorter(Dates!N$10,Dates!N$11,'Day4'!$B21)</f>
        <v>#VALUE!</v>
      </c>
      <c r="O21" s="7" t="e">
        <f>averageCompletionTimePorter(Dates!O$10,Dates!O$11,'Day4'!$B21)</f>
        <v>#VALUE!</v>
      </c>
      <c r="P21" s="7" t="e">
        <f>averageCompletionTimePorter(Dates!P$10,Dates!P$11,'Day4'!$B21)</f>
        <v>#VALUE!</v>
      </c>
      <c r="Q21" s="7" t="e">
        <f>averageCompletionTimePorter(Dates!Q$10,Dates!Q$11,'Day4'!$B21)</f>
        <v>#VALUE!</v>
      </c>
      <c r="R21" s="7" t="e">
        <f>averageCompletionTimePorter(Dates!R$10,Dates!R$11,'Day4'!$B21)</f>
        <v>#VALUE!</v>
      </c>
      <c r="S21" s="7" t="e">
        <f>averageCompletionTimePorter(Dates!S$10,Dates!S$11,'Day4'!$B21)</f>
        <v>#VALUE!</v>
      </c>
      <c r="T21" s="7" t="e">
        <f>averageCompletionTimePorter(Dates!T$10,Dates!T$11,'Day4'!$B21)</f>
        <v>#VALUE!</v>
      </c>
      <c r="U21" s="7" t="e">
        <f>averageCompletionTimePorter(Dates!$C$10,Dates!$T$11,'Day4'!$B21)</f>
        <v>#VALUE!</v>
      </c>
    </row>
    <row r="22" spans="2:21" x14ac:dyDescent="0.3">
      <c r="B22" s="12" t="s">
        <v>121</v>
      </c>
      <c r="C22" s="7" t="e">
        <f>averageCompletionTimePorter(Dates!C$10,Dates!C$11,'Day4'!$B22)</f>
        <v>#VALUE!</v>
      </c>
      <c r="D22" s="7" t="e">
        <f>averageCompletionTimePorter(Dates!D$10,Dates!D$11,'Day4'!$B22)</f>
        <v>#VALUE!</v>
      </c>
      <c r="E22" s="7" t="e">
        <f>averageCompletionTimePorter(Dates!E$10,Dates!E$11,'Day4'!$B22)</f>
        <v>#VALUE!</v>
      </c>
      <c r="F22" s="7" t="e">
        <f>averageCompletionTimePorter(Dates!F$10,Dates!F$11,'Day4'!$B22)</f>
        <v>#VALUE!</v>
      </c>
      <c r="G22" s="7" t="e">
        <f>averageCompletionTimePorter(Dates!G$10,Dates!G$11,'Day4'!$B22)</f>
        <v>#VALUE!</v>
      </c>
      <c r="H22" s="7" t="e">
        <f>averageCompletionTimePorter(Dates!H$10,Dates!H$11,'Day4'!$B22)</f>
        <v>#VALUE!</v>
      </c>
      <c r="I22" s="7" t="e">
        <f>averageCompletionTimePorter(Dates!I$10,Dates!I$11,'Day4'!$B22)</f>
        <v>#VALUE!</v>
      </c>
      <c r="J22" s="7" t="e">
        <f>averageCompletionTimePorter(Dates!J$10,Dates!J$11,'Day4'!$B22)</f>
        <v>#VALUE!</v>
      </c>
      <c r="K22" s="7" t="e">
        <f>averageCompletionTimePorter(Dates!K$10,Dates!K$11,'Day4'!$B22)</f>
        <v>#VALUE!</v>
      </c>
      <c r="L22" s="7" t="e">
        <f>averageCompletionTimePorter(Dates!L$10,Dates!L$11,'Day4'!$B22)</f>
        <v>#VALUE!</v>
      </c>
      <c r="M22" s="7" t="e">
        <f>averageCompletionTimePorter(Dates!M$10,Dates!M$11,'Day4'!$B22)</f>
        <v>#VALUE!</v>
      </c>
      <c r="N22" s="7" t="e">
        <f>averageCompletionTimePorter(Dates!N$10,Dates!N$11,'Day4'!$B22)</f>
        <v>#VALUE!</v>
      </c>
      <c r="O22" s="7" t="e">
        <f>averageCompletionTimePorter(Dates!O$10,Dates!O$11,'Day4'!$B22)</f>
        <v>#VALUE!</v>
      </c>
      <c r="P22" s="7" t="e">
        <f>averageCompletionTimePorter(Dates!P$10,Dates!P$11,'Day4'!$B22)</f>
        <v>#VALUE!</v>
      </c>
      <c r="Q22" s="7" t="e">
        <f>averageCompletionTimePorter(Dates!Q$10,Dates!Q$11,'Day4'!$B22)</f>
        <v>#VALUE!</v>
      </c>
      <c r="R22" s="7" t="e">
        <f>averageCompletionTimePorter(Dates!R$10,Dates!R$11,'Day4'!$B22)</f>
        <v>#VALUE!</v>
      </c>
      <c r="S22" s="7" t="e">
        <f>averageCompletionTimePorter(Dates!S$10,Dates!S$11,'Day4'!$B22)</f>
        <v>#VALUE!</v>
      </c>
      <c r="T22" s="7" t="e">
        <f>averageCompletionTimePorter(Dates!T$10,Dates!T$11,'Day4'!$B22)</f>
        <v>#VALUE!</v>
      </c>
      <c r="U22" s="7" t="e">
        <f>averageCompletionTimePorter(Dates!$C$10,Dates!$T$11,'Day4'!$B22)</f>
        <v>#VALUE!</v>
      </c>
    </row>
    <row r="23" spans="2:21" x14ac:dyDescent="0.3">
      <c r="B23" s="12" t="s">
        <v>122</v>
      </c>
      <c r="C23" s="7" t="e">
        <f>averageCompletionTimePorter(Dates!C$10,Dates!C$11,'Day4'!$B23)</f>
        <v>#VALUE!</v>
      </c>
      <c r="D23" s="7" t="e">
        <f>averageCompletionTimePorter(Dates!D$10,Dates!D$11,'Day4'!$B23)</f>
        <v>#VALUE!</v>
      </c>
      <c r="E23" s="7" t="e">
        <f>averageCompletionTimePorter(Dates!E$10,Dates!E$11,'Day4'!$B23)</f>
        <v>#VALUE!</v>
      </c>
      <c r="F23" s="7" t="e">
        <f>averageCompletionTimePorter(Dates!F$10,Dates!F$11,'Day4'!$B23)</f>
        <v>#VALUE!</v>
      </c>
      <c r="G23" s="7" t="e">
        <f>averageCompletionTimePorter(Dates!G$10,Dates!G$11,'Day4'!$B23)</f>
        <v>#VALUE!</v>
      </c>
      <c r="H23" s="7" t="e">
        <f>averageCompletionTimePorter(Dates!H$10,Dates!H$11,'Day4'!$B23)</f>
        <v>#VALUE!</v>
      </c>
      <c r="I23" s="7" t="e">
        <f>averageCompletionTimePorter(Dates!I$10,Dates!I$11,'Day4'!$B23)</f>
        <v>#VALUE!</v>
      </c>
      <c r="J23" s="7" t="e">
        <f>averageCompletionTimePorter(Dates!J$10,Dates!J$11,'Day4'!$B23)</f>
        <v>#VALUE!</v>
      </c>
      <c r="K23" s="7" t="e">
        <f>averageCompletionTimePorter(Dates!K$10,Dates!K$11,'Day4'!$B23)</f>
        <v>#VALUE!</v>
      </c>
      <c r="L23" s="7" t="e">
        <f>averageCompletionTimePorter(Dates!L$10,Dates!L$11,'Day4'!$B23)</f>
        <v>#VALUE!</v>
      </c>
      <c r="M23" s="7" t="e">
        <f>averageCompletionTimePorter(Dates!M$10,Dates!M$11,'Day4'!$B23)</f>
        <v>#VALUE!</v>
      </c>
      <c r="N23" s="7" t="e">
        <f>averageCompletionTimePorter(Dates!N$10,Dates!N$11,'Day4'!$B23)</f>
        <v>#VALUE!</v>
      </c>
      <c r="O23" s="7" t="e">
        <f>averageCompletionTimePorter(Dates!O$10,Dates!O$11,'Day4'!$B23)</f>
        <v>#VALUE!</v>
      </c>
      <c r="P23" s="7" t="e">
        <f>averageCompletionTimePorter(Dates!P$10,Dates!P$11,'Day4'!$B23)</f>
        <v>#VALUE!</v>
      </c>
      <c r="Q23" s="7" t="e">
        <f>averageCompletionTimePorter(Dates!Q$10,Dates!Q$11,'Day4'!$B23)</f>
        <v>#VALUE!</v>
      </c>
      <c r="R23" s="7" t="e">
        <f>averageCompletionTimePorter(Dates!R$10,Dates!R$11,'Day4'!$B23)</f>
        <v>#VALUE!</v>
      </c>
      <c r="S23" s="7" t="e">
        <f>averageCompletionTimePorter(Dates!S$10,Dates!S$11,'Day4'!$B23)</f>
        <v>#VALUE!</v>
      </c>
      <c r="T23" s="7" t="e">
        <f>averageCompletionTimePorter(Dates!T$10,Dates!T$11,'Day4'!$B23)</f>
        <v>#VALUE!</v>
      </c>
      <c r="U23" s="7" t="e">
        <f>averageCompletionTimePorter(Dates!$C$10,Dates!$T$11,'Day4'!$B23)</f>
        <v>#VALUE!</v>
      </c>
    </row>
    <row r="25" spans="2:21" x14ac:dyDescent="0.3">
      <c r="B25" s="11" t="s">
        <v>112</v>
      </c>
      <c r="C25" s="7" t="e">
        <f>averageResponseTime(Dates!C10,Dates!C11)</f>
        <v>#VALUE!</v>
      </c>
      <c r="D25" s="7" t="e">
        <f>averageResponseTime(Dates!D10,Dates!D11)</f>
        <v>#VALUE!</v>
      </c>
      <c r="E25" s="7" t="e">
        <f>averageResponseTime(Dates!E10,Dates!E11)</f>
        <v>#VALUE!</v>
      </c>
      <c r="F25" s="7" t="e">
        <f>averageResponseTime(Dates!F10,Dates!F11)</f>
        <v>#VALUE!</v>
      </c>
      <c r="G25" s="7" t="e">
        <f>averageResponseTime(Dates!G10,Dates!G11)</f>
        <v>#VALUE!</v>
      </c>
      <c r="H25" s="7" t="e">
        <f>averageResponseTime(Dates!H10,Dates!H11)</f>
        <v>#VALUE!</v>
      </c>
      <c r="I25" s="7" t="e">
        <f>averageResponseTime(Dates!I10,Dates!I11)</f>
        <v>#VALUE!</v>
      </c>
      <c r="J25" s="7" t="e">
        <f>averageResponseTime(Dates!J10,Dates!J11)</f>
        <v>#VALUE!</v>
      </c>
      <c r="K25" s="7" t="e">
        <f>averageResponseTime(Dates!K10,Dates!K11)</f>
        <v>#VALUE!</v>
      </c>
      <c r="L25" s="7" t="e">
        <f>averageResponseTime(Dates!L10,Dates!L11)</f>
        <v>#VALUE!</v>
      </c>
      <c r="M25" s="7" t="e">
        <f>averageResponseTime(Dates!M10,Dates!M11)</f>
        <v>#VALUE!</v>
      </c>
      <c r="N25" s="7" t="e">
        <f>averageResponseTime(Dates!N10,Dates!N11)</f>
        <v>#VALUE!</v>
      </c>
      <c r="O25" s="7" t="e">
        <f>averageResponseTime(Dates!O10,Dates!O11)</f>
        <v>#VALUE!</v>
      </c>
      <c r="P25" s="7" t="e">
        <f>averageResponseTime(Dates!P10,Dates!P11)</f>
        <v>#VALUE!</v>
      </c>
      <c r="Q25" s="7" t="e">
        <f>averageResponseTime(Dates!Q10,Dates!Q11)</f>
        <v>#VALUE!</v>
      </c>
      <c r="R25" s="7" t="e">
        <f>averageResponseTime(Dates!R10,Dates!R11)</f>
        <v>#VALUE!</v>
      </c>
      <c r="S25" s="7" t="e">
        <f>averageResponseTime(Dates!S10,Dates!S11)</f>
        <v>#VALUE!</v>
      </c>
      <c r="T25" s="7" t="e">
        <f>averageResponseTime(Dates!T10,Dates!T11)</f>
        <v>#VALUE!</v>
      </c>
      <c r="U25" s="7" t="e">
        <f>averageResponseTime(Dates!C10,Dates!T11)</f>
        <v>#VALUE!</v>
      </c>
    </row>
    <row r="26" spans="2:21" x14ac:dyDescent="0.3">
      <c r="B26" s="11">
        <f>B3</f>
        <v>0</v>
      </c>
      <c r="C26" s="7" t="e">
        <f>averageResponseTimePorter(Dates!C$10,Dates!C$11,'Day4'!$B26)</f>
        <v>#VALUE!</v>
      </c>
      <c r="D26" s="7" t="e">
        <f>averageResponseTimePorter(Dates!D$10,Dates!D$11,'Day4'!$B26)</f>
        <v>#VALUE!</v>
      </c>
      <c r="E26" s="7" t="e">
        <f>averageResponseTimePorter(Dates!E$10,Dates!E$11,'Day4'!$B26)</f>
        <v>#VALUE!</v>
      </c>
      <c r="F26" s="7" t="e">
        <f>averageResponseTimePorter(Dates!F$10,Dates!F$11,'Day4'!$B26)</f>
        <v>#VALUE!</v>
      </c>
      <c r="G26" s="7" t="e">
        <f>averageResponseTimePorter(Dates!G$10,Dates!G$11,'Day4'!$B26)</f>
        <v>#VALUE!</v>
      </c>
      <c r="H26" s="7" t="e">
        <f>averageResponseTimePorter(Dates!H$10,Dates!H$11,'Day4'!$B26)</f>
        <v>#VALUE!</v>
      </c>
      <c r="I26" s="7" t="e">
        <f>averageResponseTimePorter(Dates!I$10,Dates!I$11,'Day4'!$B26)</f>
        <v>#VALUE!</v>
      </c>
      <c r="J26" s="7" t="e">
        <f>averageResponseTimePorter(Dates!J$10,Dates!J$11,'Day4'!$B26)</f>
        <v>#VALUE!</v>
      </c>
      <c r="K26" s="7" t="e">
        <f>averageResponseTimePorter(Dates!K$10,Dates!K$11,'Day4'!$B26)</f>
        <v>#VALUE!</v>
      </c>
      <c r="L26" s="7" t="e">
        <f>averageResponseTimePorter(Dates!L$10,Dates!L$11,'Day4'!$B26)</f>
        <v>#VALUE!</v>
      </c>
      <c r="M26" s="7" t="e">
        <f>averageResponseTimePorter(Dates!M$10,Dates!M$11,'Day4'!$B26)</f>
        <v>#VALUE!</v>
      </c>
      <c r="N26" s="7" t="e">
        <f>averageResponseTimePorter(Dates!N$10,Dates!N$11,'Day4'!$B26)</f>
        <v>#VALUE!</v>
      </c>
      <c r="O26" s="7" t="e">
        <f>averageResponseTimePorter(Dates!O$10,Dates!O$11,'Day4'!$B26)</f>
        <v>#VALUE!</v>
      </c>
      <c r="P26" s="7" t="e">
        <f>averageResponseTimePorter(Dates!P$10,Dates!P$11,'Day4'!$B26)</f>
        <v>#VALUE!</v>
      </c>
      <c r="Q26" s="7" t="e">
        <f>averageResponseTimePorter(Dates!Q$10,Dates!Q$11,'Day4'!$B26)</f>
        <v>#VALUE!</v>
      </c>
      <c r="R26" s="7" t="e">
        <f>averageResponseTimePorter(Dates!R$10,Dates!R$11,'Day4'!$B26)</f>
        <v>#VALUE!</v>
      </c>
      <c r="S26" s="7" t="e">
        <f>averageResponseTimePorter(Dates!S$10,Dates!S$11,'Day4'!$B26)</f>
        <v>#VALUE!</v>
      </c>
      <c r="T26" s="7" t="e">
        <f>averageResponseTimePorter(Dates!T$10,Dates!T$11,'Day4'!$B26)</f>
        <v>#VALUE!</v>
      </c>
      <c r="U26" s="7" t="e">
        <f>averageResponseTimePorter(Dates!$C$10,Dates!$T$11,'Day4'!$B3)</f>
        <v>#VALUE!</v>
      </c>
    </row>
    <row r="27" spans="2:21" x14ac:dyDescent="0.3">
      <c r="B27" s="11" t="str">
        <f t="shared" ref="B27:B46" si="0">B4</f>
        <v>NA4</v>
      </c>
      <c r="C27" s="7" t="e">
        <f>averageResponseTimePorter(Dates!C$10,Dates!C$11,'Day4'!$B27)</f>
        <v>#VALUE!</v>
      </c>
      <c r="D27" s="7" t="e">
        <f>averageResponseTimePorter(Dates!D$10,Dates!D$11,'Day4'!$B27)</f>
        <v>#VALUE!</v>
      </c>
      <c r="E27" s="7" t="e">
        <f>averageResponseTimePorter(Dates!E$10,Dates!E$11,'Day4'!$B27)</f>
        <v>#VALUE!</v>
      </c>
      <c r="F27" s="7" t="e">
        <f>averageResponseTimePorter(Dates!F$10,Dates!F$11,'Day4'!$B27)</f>
        <v>#VALUE!</v>
      </c>
      <c r="G27" s="7" t="e">
        <f>averageResponseTimePorter(Dates!G$10,Dates!G$11,'Day4'!$B27)</f>
        <v>#VALUE!</v>
      </c>
      <c r="H27" s="7" t="e">
        <f>averageResponseTimePorter(Dates!H$10,Dates!H$11,'Day4'!$B27)</f>
        <v>#VALUE!</v>
      </c>
      <c r="I27" s="7" t="e">
        <f>averageResponseTimePorter(Dates!I$10,Dates!I$11,'Day4'!$B27)</f>
        <v>#VALUE!</v>
      </c>
      <c r="J27" s="7" t="e">
        <f>averageResponseTimePorter(Dates!J$10,Dates!J$11,'Day4'!$B27)</f>
        <v>#VALUE!</v>
      </c>
      <c r="K27" s="7" t="e">
        <f>averageResponseTimePorter(Dates!K$10,Dates!K$11,'Day4'!$B27)</f>
        <v>#VALUE!</v>
      </c>
      <c r="L27" s="7" t="e">
        <f>averageResponseTimePorter(Dates!L$10,Dates!L$11,'Day4'!$B27)</f>
        <v>#VALUE!</v>
      </c>
      <c r="M27" s="7" t="e">
        <f>averageResponseTimePorter(Dates!M$10,Dates!M$11,'Day4'!$B27)</f>
        <v>#VALUE!</v>
      </c>
      <c r="N27" s="7" t="e">
        <f>averageResponseTimePorter(Dates!N$10,Dates!N$11,'Day4'!$B27)</f>
        <v>#VALUE!</v>
      </c>
      <c r="O27" s="7" t="e">
        <f>averageResponseTimePorter(Dates!O$10,Dates!O$11,'Day4'!$B27)</f>
        <v>#VALUE!</v>
      </c>
      <c r="P27" s="7" t="e">
        <f>averageResponseTimePorter(Dates!P$10,Dates!P$11,'Day4'!$B27)</f>
        <v>#VALUE!</v>
      </c>
      <c r="Q27" s="7" t="e">
        <f>averageResponseTimePorter(Dates!Q$10,Dates!Q$11,'Day4'!$B27)</f>
        <v>#VALUE!</v>
      </c>
      <c r="R27" s="7" t="e">
        <f>averageResponseTimePorter(Dates!R$10,Dates!R$11,'Day4'!$B27)</f>
        <v>#VALUE!</v>
      </c>
      <c r="S27" s="7" t="e">
        <f>averageResponseTimePorter(Dates!S$10,Dates!S$11,'Day4'!$B27)</f>
        <v>#VALUE!</v>
      </c>
      <c r="T27" s="7" t="e">
        <f>averageResponseTimePorter(Dates!T$10,Dates!T$11,'Day4'!$B27)</f>
        <v>#VALUE!</v>
      </c>
      <c r="U27" s="7" t="e">
        <f>averageResponseTimePorter(Dates!$C$10,Dates!$T$11,'Day4'!$B4)</f>
        <v>#VALUE!</v>
      </c>
    </row>
    <row r="28" spans="2:21" x14ac:dyDescent="0.3">
      <c r="B28" s="11" t="str">
        <f t="shared" si="0"/>
        <v>NA5</v>
      </c>
      <c r="C28" s="7" t="e">
        <f>averageResponseTimePorter(Dates!C$10,Dates!C$11,'Day4'!$B28)</f>
        <v>#VALUE!</v>
      </c>
      <c r="D28" s="7" t="e">
        <f>averageResponseTimePorter(Dates!D$10,Dates!D$11,'Day4'!$B28)</f>
        <v>#VALUE!</v>
      </c>
      <c r="E28" s="7" t="e">
        <f>averageResponseTimePorter(Dates!E$10,Dates!E$11,'Day4'!$B28)</f>
        <v>#VALUE!</v>
      </c>
      <c r="F28" s="7" t="e">
        <f>averageResponseTimePorter(Dates!F$10,Dates!F$11,'Day4'!$B28)</f>
        <v>#VALUE!</v>
      </c>
      <c r="G28" s="7" t="e">
        <f>averageResponseTimePorter(Dates!G$10,Dates!G$11,'Day4'!$B28)</f>
        <v>#VALUE!</v>
      </c>
      <c r="H28" s="7" t="e">
        <f>averageResponseTimePorter(Dates!H$10,Dates!H$11,'Day4'!$B28)</f>
        <v>#VALUE!</v>
      </c>
      <c r="I28" s="7" t="e">
        <f>averageResponseTimePorter(Dates!I$10,Dates!I$11,'Day4'!$B28)</f>
        <v>#VALUE!</v>
      </c>
      <c r="J28" s="7" t="e">
        <f>averageResponseTimePorter(Dates!J$10,Dates!J$11,'Day4'!$B28)</f>
        <v>#VALUE!</v>
      </c>
      <c r="K28" s="7" t="e">
        <f>averageResponseTimePorter(Dates!K$10,Dates!K$11,'Day4'!$B28)</f>
        <v>#VALUE!</v>
      </c>
      <c r="L28" s="7" t="e">
        <f>averageResponseTimePorter(Dates!L$10,Dates!L$11,'Day4'!$B28)</f>
        <v>#VALUE!</v>
      </c>
      <c r="M28" s="7" t="e">
        <f>averageResponseTimePorter(Dates!M$10,Dates!M$11,'Day4'!$B28)</f>
        <v>#VALUE!</v>
      </c>
      <c r="N28" s="7" t="e">
        <f>averageResponseTimePorter(Dates!N$10,Dates!N$11,'Day4'!$B28)</f>
        <v>#VALUE!</v>
      </c>
      <c r="O28" s="7" t="e">
        <f>averageResponseTimePorter(Dates!O$10,Dates!O$11,'Day4'!$B28)</f>
        <v>#VALUE!</v>
      </c>
      <c r="P28" s="7" t="e">
        <f>averageResponseTimePorter(Dates!P$10,Dates!P$11,'Day4'!$B28)</f>
        <v>#VALUE!</v>
      </c>
      <c r="Q28" s="7" t="e">
        <f>averageResponseTimePorter(Dates!Q$10,Dates!Q$11,'Day4'!$B28)</f>
        <v>#VALUE!</v>
      </c>
      <c r="R28" s="7" t="e">
        <f>averageResponseTimePorter(Dates!R$10,Dates!R$11,'Day4'!$B28)</f>
        <v>#VALUE!</v>
      </c>
      <c r="S28" s="7" t="e">
        <f>averageResponseTimePorter(Dates!S$10,Dates!S$11,'Day4'!$B28)</f>
        <v>#VALUE!</v>
      </c>
      <c r="T28" s="7" t="e">
        <f>averageResponseTimePorter(Dates!T$10,Dates!T$11,'Day4'!$B28)</f>
        <v>#VALUE!</v>
      </c>
      <c r="U28" s="7" t="e">
        <f>averageResponseTimePorter(Dates!$C$10,Dates!$T$11,'Day4'!$B5)</f>
        <v>#VALUE!</v>
      </c>
    </row>
    <row r="29" spans="2:21" x14ac:dyDescent="0.3">
      <c r="B29" s="11" t="str">
        <f t="shared" si="0"/>
        <v>NA6</v>
      </c>
      <c r="C29" s="7" t="e">
        <f>averageResponseTimePorter(Dates!C$10,Dates!C$11,'Day4'!$B29)</f>
        <v>#VALUE!</v>
      </c>
      <c r="D29" s="7" t="e">
        <f>averageResponseTimePorter(Dates!D$10,Dates!D$11,'Day4'!$B29)</f>
        <v>#VALUE!</v>
      </c>
      <c r="E29" s="7" t="e">
        <f>averageResponseTimePorter(Dates!E$10,Dates!E$11,'Day4'!$B29)</f>
        <v>#VALUE!</v>
      </c>
      <c r="F29" s="7" t="e">
        <f>averageResponseTimePorter(Dates!F$10,Dates!F$11,'Day4'!$B29)</f>
        <v>#VALUE!</v>
      </c>
      <c r="G29" s="7" t="e">
        <f>averageResponseTimePorter(Dates!G$10,Dates!G$11,'Day4'!$B29)</f>
        <v>#VALUE!</v>
      </c>
      <c r="H29" s="7" t="e">
        <f>averageResponseTimePorter(Dates!H$10,Dates!H$11,'Day4'!$B29)</f>
        <v>#VALUE!</v>
      </c>
      <c r="I29" s="7" t="e">
        <f>averageResponseTimePorter(Dates!I$10,Dates!I$11,'Day4'!$B29)</f>
        <v>#VALUE!</v>
      </c>
      <c r="J29" s="7" t="e">
        <f>averageResponseTimePorter(Dates!J$10,Dates!J$11,'Day4'!$B29)</f>
        <v>#VALUE!</v>
      </c>
      <c r="K29" s="7" t="e">
        <f>averageResponseTimePorter(Dates!K$10,Dates!K$11,'Day4'!$B29)</f>
        <v>#VALUE!</v>
      </c>
      <c r="L29" s="7" t="e">
        <f>averageResponseTimePorter(Dates!L$10,Dates!L$11,'Day4'!$B29)</f>
        <v>#VALUE!</v>
      </c>
      <c r="M29" s="7" t="e">
        <f>averageResponseTimePorter(Dates!M$10,Dates!M$11,'Day4'!$B29)</f>
        <v>#VALUE!</v>
      </c>
      <c r="N29" s="7" t="e">
        <f>averageResponseTimePorter(Dates!N$10,Dates!N$11,'Day4'!$B29)</f>
        <v>#VALUE!</v>
      </c>
      <c r="O29" s="7" t="e">
        <f>averageResponseTimePorter(Dates!O$10,Dates!O$11,'Day4'!$B29)</f>
        <v>#VALUE!</v>
      </c>
      <c r="P29" s="7" t="e">
        <f>averageResponseTimePorter(Dates!P$10,Dates!P$11,'Day4'!$B29)</f>
        <v>#VALUE!</v>
      </c>
      <c r="Q29" s="7" t="e">
        <f>averageResponseTimePorter(Dates!Q$10,Dates!Q$11,'Day4'!$B29)</f>
        <v>#VALUE!</v>
      </c>
      <c r="R29" s="7" t="e">
        <f>averageResponseTimePorter(Dates!R$10,Dates!R$11,'Day4'!$B29)</f>
        <v>#VALUE!</v>
      </c>
      <c r="S29" s="7" t="e">
        <f>averageResponseTimePorter(Dates!S$10,Dates!S$11,'Day4'!$B29)</f>
        <v>#VALUE!</v>
      </c>
      <c r="T29" s="7" t="e">
        <f>averageResponseTimePorter(Dates!T$10,Dates!T$11,'Day4'!$B29)</f>
        <v>#VALUE!</v>
      </c>
      <c r="U29" s="7" t="e">
        <f>averageResponseTimePorter(Dates!$C$10,Dates!$T$11,'Day4'!$B6)</f>
        <v>#VALUE!</v>
      </c>
    </row>
    <row r="30" spans="2:21" x14ac:dyDescent="0.3">
      <c r="B30" s="11" t="str">
        <f t="shared" si="0"/>
        <v>NA7</v>
      </c>
      <c r="C30" s="7" t="e">
        <f>averageResponseTimePorter(Dates!C$10,Dates!C$11,'Day4'!$B30)</f>
        <v>#VALUE!</v>
      </c>
      <c r="D30" s="7" t="e">
        <f>averageResponseTimePorter(Dates!D$10,Dates!D$11,'Day4'!$B30)</f>
        <v>#VALUE!</v>
      </c>
      <c r="E30" s="7" t="e">
        <f>averageResponseTimePorter(Dates!E$10,Dates!E$11,'Day4'!$B30)</f>
        <v>#VALUE!</v>
      </c>
      <c r="F30" s="7" t="e">
        <f>averageResponseTimePorter(Dates!F$10,Dates!F$11,'Day4'!$B30)</f>
        <v>#VALUE!</v>
      </c>
      <c r="G30" s="7" t="e">
        <f>averageResponseTimePorter(Dates!G$10,Dates!G$11,'Day4'!$B30)</f>
        <v>#VALUE!</v>
      </c>
      <c r="H30" s="7" t="e">
        <f>averageResponseTimePorter(Dates!H$10,Dates!H$11,'Day4'!$B30)</f>
        <v>#VALUE!</v>
      </c>
      <c r="I30" s="7" t="e">
        <f>averageResponseTimePorter(Dates!I$10,Dates!I$11,'Day4'!$B30)</f>
        <v>#VALUE!</v>
      </c>
      <c r="J30" s="7" t="e">
        <f>averageResponseTimePorter(Dates!J$10,Dates!J$11,'Day4'!$B30)</f>
        <v>#VALUE!</v>
      </c>
      <c r="K30" s="7" t="e">
        <f>averageResponseTimePorter(Dates!K$10,Dates!K$11,'Day4'!$B30)</f>
        <v>#VALUE!</v>
      </c>
      <c r="L30" s="7" t="e">
        <f>averageResponseTimePorter(Dates!L$10,Dates!L$11,'Day4'!$B30)</f>
        <v>#VALUE!</v>
      </c>
      <c r="M30" s="7" t="e">
        <f>averageResponseTimePorter(Dates!M$10,Dates!M$11,'Day4'!$B30)</f>
        <v>#VALUE!</v>
      </c>
      <c r="N30" s="7" t="e">
        <f>averageResponseTimePorter(Dates!N$10,Dates!N$11,'Day4'!$B30)</f>
        <v>#VALUE!</v>
      </c>
      <c r="O30" s="7" t="e">
        <f>averageResponseTimePorter(Dates!O$10,Dates!O$11,'Day4'!$B30)</f>
        <v>#VALUE!</v>
      </c>
      <c r="P30" s="7" t="e">
        <f>averageResponseTimePorter(Dates!P$10,Dates!P$11,'Day4'!$B30)</f>
        <v>#VALUE!</v>
      </c>
      <c r="Q30" s="7" t="e">
        <f>averageResponseTimePorter(Dates!Q$10,Dates!Q$11,'Day4'!$B30)</f>
        <v>#VALUE!</v>
      </c>
      <c r="R30" s="7" t="e">
        <f>averageResponseTimePorter(Dates!R$10,Dates!R$11,'Day4'!$B30)</f>
        <v>#VALUE!</v>
      </c>
      <c r="S30" s="7" t="e">
        <f>averageResponseTimePorter(Dates!S$10,Dates!S$11,'Day4'!$B30)</f>
        <v>#VALUE!</v>
      </c>
      <c r="T30" s="7" t="e">
        <f>averageResponseTimePorter(Dates!T$10,Dates!T$11,'Day4'!$B30)</f>
        <v>#VALUE!</v>
      </c>
      <c r="U30" s="7" t="e">
        <f>averageResponseTimePorter(Dates!$C$10,Dates!$T$11,'Day4'!$B7)</f>
        <v>#VALUE!</v>
      </c>
    </row>
    <row r="31" spans="2:21" x14ac:dyDescent="0.3">
      <c r="B31" s="11" t="str">
        <f t="shared" si="0"/>
        <v>NA8</v>
      </c>
      <c r="C31" s="7" t="e">
        <f>averageResponseTimePorter(Dates!C$10,Dates!C$11,'Day4'!$B31)</f>
        <v>#VALUE!</v>
      </c>
      <c r="D31" s="7" t="e">
        <f>averageResponseTimePorter(Dates!D$10,Dates!D$11,'Day4'!$B31)</f>
        <v>#VALUE!</v>
      </c>
      <c r="E31" s="7" t="e">
        <f>averageResponseTimePorter(Dates!E$10,Dates!E$11,'Day4'!$B31)</f>
        <v>#VALUE!</v>
      </c>
      <c r="F31" s="7" t="e">
        <f>averageResponseTimePorter(Dates!F$10,Dates!F$11,'Day4'!$B31)</f>
        <v>#VALUE!</v>
      </c>
      <c r="G31" s="7" t="e">
        <f>averageResponseTimePorter(Dates!G$10,Dates!G$11,'Day4'!$B31)</f>
        <v>#VALUE!</v>
      </c>
      <c r="H31" s="7" t="e">
        <f>averageResponseTimePorter(Dates!H$10,Dates!H$11,'Day4'!$B31)</f>
        <v>#VALUE!</v>
      </c>
      <c r="I31" s="7" t="e">
        <f>averageResponseTimePorter(Dates!I$10,Dates!I$11,'Day4'!$B31)</f>
        <v>#VALUE!</v>
      </c>
      <c r="J31" s="7" t="e">
        <f>averageResponseTimePorter(Dates!J$10,Dates!J$11,'Day4'!$B31)</f>
        <v>#VALUE!</v>
      </c>
      <c r="K31" s="7" t="e">
        <f>averageResponseTimePorter(Dates!K$10,Dates!K$11,'Day4'!$B31)</f>
        <v>#VALUE!</v>
      </c>
      <c r="L31" s="7" t="e">
        <f>averageResponseTimePorter(Dates!L$10,Dates!L$11,'Day4'!$B31)</f>
        <v>#VALUE!</v>
      </c>
      <c r="M31" s="7" t="e">
        <f>averageResponseTimePorter(Dates!M$10,Dates!M$11,'Day4'!$B31)</f>
        <v>#VALUE!</v>
      </c>
      <c r="N31" s="7" t="e">
        <f>averageResponseTimePorter(Dates!N$10,Dates!N$11,'Day4'!$B31)</f>
        <v>#VALUE!</v>
      </c>
      <c r="O31" s="7" t="e">
        <f>averageResponseTimePorter(Dates!O$10,Dates!O$11,'Day4'!$B31)</f>
        <v>#VALUE!</v>
      </c>
      <c r="P31" s="7" t="e">
        <f>averageResponseTimePorter(Dates!P$10,Dates!P$11,'Day4'!$B31)</f>
        <v>#VALUE!</v>
      </c>
      <c r="Q31" s="7" t="e">
        <f>averageResponseTimePorter(Dates!Q$10,Dates!Q$11,'Day4'!$B31)</f>
        <v>#VALUE!</v>
      </c>
      <c r="R31" s="7" t="e">
        <f>averageResponseTimePorter(Dates!R$10,Dates!R$11,'Day4'!$B31)</f>
        <v>#VALUE!</v>
      </c>
      <c r="S31" s="7" t="e">
        <f>averageResponseTimePorter(Dates!S$10,Dates!S$11,'Day4'!$B31)</f>
        <v>#VALUE!</v>
      </c>
      <c r="T31" s="7" t="e">
        <f>averageResponseTimePorter(Dates!T$10,Dates!T$11,'Day4'!$B31)</f>
        <v>#VALUE!</v>
      </c>
      <c r="U31" s="7" t="e">
        <f>averageResponseTimePorter(Dates!$C$10,Dates!$T$11,'Day4'!$B8)</f>
        <v>#VALUE!</v>
      </c>
    </row>
    <row r="32" spans="2:21" x14ac:dyDescent="0.3">
      <c r="B32" s="11" t="str">
        <f t="shared" si="0"/>
        <v>NA9</v>
      </c>
      <c r="C32" s="7" t="e">
        <f>averageResponseTimePorter(Dates!C$10,Dates!C$11,'Day4'!$B32)</f>
        <v>#VALUE!</v>
      </c>
      <c r="D32" s="7" t="e">
        <f>averageResponseTimePorter(Dates!D$10,Dates!D$11,'Day4'!$B32)</f>
        <v>#VALUE!</v>
      </c>
      <c r="E32" s="7" t="e">
        <f>averageResponseTimePorter(Dates!E$10,Dates!E$11,'Day4'!$B32)</f>
        <v>#VALUE!</v>
      </c>
      <c r="F32" s="7" t="e">
        <f>averageResponseTimePorter(Dates!F$10,Dates!F$11,'Day4'!$B32)</f>
        <v>#VALUE!</v>
      </c>
      <c r="G32" s="7" t="e">
        <f>averageResponseTimePorter(Dates!G$10,Dates!G$11,'Day4'!$B32)</f>
        <v>#VALUE!</v>
      </c>
      <c r="H32" s="7" t="e">
        <f>averageResponseTimePorter(Dates!H$10,Dates!H$11,'Day4'!$B32)</f>
        <v>#VALUE!</v>
      </c>
      <c r="I32" s="7" t="e">
        <f>averageResponseTimePorter(Dates!I$10,Dates!I$11,'Day4'!$B32)</f>
        <v>#VALUE!</v>
      </c>
      <c r="J32" s="7" t="e">
        <f>averageResponseTimePorter(Dates!J$10,Dates!J$11,'Day4'!$B32)</f>
        <v>#VALUE!</v>
      </c>
      <c r="K32" s="7" t="e">
        <f>averageResponseTimePorter(Dates!K$10,Dates!K$11,'Day4'!$B32)</f>
        <v>#VALUE!</v>
      </c>
      <c r="L32" s="7" t="e">
        <f>averageResponseTimePorter(Dates!L$10,Dates!L$11,'Day4'!$B32)</f>
        <v>#VALUE!</v>
      </c>
      <c r="M32" s="7" t="e">
        <f>averageResponseTimePorter(Dates!M$10,Dates!M$11,'Day4'!$B32)</f>
        <v>#VALUE!</v>
      </c>
      <c r="N32" s="7" t="e">
        <f>averageResponseTimePorter(Dates!N$10,Dates!N$11,'Day4'!$B32)</f>
        <v>#VALUE!</v>
      </c>
      <c r="O32" s="7" t="e">
        <f>averageResponseTimePorter(Dates!O$10,Dates!O$11,'Day4'!$B32)</f>
        <v>#VALUE!</v>
      </c>
      <c r="P32" s="7" t="e">
        <f>averageResponseTimePorter(Dates!P$10,Dates!P$11,'Day4'!$B32)</f>
        <v>#VALUE!</v>
      </c>
      <c r="Q32" s="7" t="e">
        <f>averageResponseTimePorter(Dates!Q$10,Dates!Q$11,'Day4'!$B32)</f>
        <v>#VALUE!</v>
      </c>
      <c r="R32" s="7" t="e">
        <f>averageResponseTimePorter(Dates!R$10,Dates!R$11,'Day4'!$B32)</f>
        <v>#VALUE!</v>
      </c>
      <c r="S32" s="7" t="e">
        <f>averageResponseTimePorter(Dates!S$10,Dates!S$11,'Day4'!$B32)</f>
        <v>#VALUE!</v>
      </c>
      <c r="T32" s="7" t="e">
        <f>averageResponseTimePorter(Dates!T$10,Dates!T$11,'Day4'!$B32)</f>
        <v>#VALUE!</v>
      </c>
      <c r="U32" s="7" t="e">
        <f>averageResponseTimePorter(Dates!$C$10,Dates!$T$11,'Day4'!$B9)</f>
        <v>#VALUE!</v>
      </c>
    </row>
    <row r="33" spans="2:21" x14ac:dyDescent="0.3">
      <c r="B33" s="11" t="str">
        <f t="shared" si="0"/>
        <v>NA10</v>
      </c>
      <c r="C33" s="7" t="e">
        <f>averageResponseTimePorter(Dates!C$10,Dates!C$11,'Day4'!$B33)</f>
        <v>#VALUE!</v>
      </c>
      <c r="D33" s="7" t="e">
        <f>averageResponseTimePorter(Dates!D$10,Dates!D$11,'Day4'!$B33)</f>
        <v>#VALUE!</v>
      </c>
      <c r="E33" s="7" t="e">
        <f>averageResponseTimePorter(Dates!E$10,Dates!E$11,'Day4'!$B33)</f>
        <v>#VALUE!</v>
      </c>
      <c r="F33" s="7" t="e">
        <f>averageResponseTimePorter(Dates!F$10,Dates!F$11,'Day4'!$B33)</f>
        <v>#VALUE!</v>
      </c>
      <c r="G33" s="7" t="e">
        <f>averageResponseTimePorter(Dates!G$10,Dates!G$11,'Day4'!$B33)</f>
        <v>#VALUE!</v>
      </c>
      <c r="H33" s="7" t="e">
        <f>averageResponseTimePorter(Dates!H$10,Dates!H$11,'Day4'!$B33)</f>
        <v>#VALUE!</v>
      </c>
      <c r="I33" s="7" t="e">
        <f>averageResponseTimePorter(Dates!I$10,Dates!I$11,'Day4'!$B33)</f>
        <v>#VALUE!</v>
      </c>
      <c r="J33" s="7" t="e">
        <f>averageResponseTimePorter(Dates!J$10,Dates!J$11,'Day4'!$B33)</f>
        <v>#VALUE!</v>
      </c>
      <c r="K33" s="7" t="e">
        <f>averageResponseTimePorter(Dates!K$10,Dates!K$11,'Day4'!$B33)</f>
        <v>#VALUE!</v>
      </c>
      <c r="L33" s="7" t="e">
        <f>averageResponseTimePorter(Dates!L$10,Dates!L$11,'Day4'!$B33)</f>
        <v>#VALUE!</v>
      </c>
      <c r="M33" s="7" t="e">
        <f>averageResponseTimePorter(Dates!M$10,Dates!M$11,'Day4'!$B33)</f>
        <v>#VALUE!</v>
      </c>
      <c r="N33" s="7" t="e">
        <f>averageResponseTimePorter(Dates!N$10,Dates!N$11,'Day4'!$B33)</f>
        <v>#VALUE!</v>
      </c>
      <c r="O33" s="7" t="e">
        <f>averageResponseTimePorter(Dates!O$10,Dates!O$11,'Day4'!$B33)</f>
        <v>#VALUE!</v>
      </c>
      <c r="P33" s="7" t="e">
        <f>averageResponseTimePorter(Dates!P$10,Dates!P$11,'Day4'!$B33)</f>
        <v>#VALUE!</v>
      </c>
      <c r="Q33" s="7" t="e">
        <f>averageResponseTimePorter(Dates!Q$10,Dates!Q$11,'Day4'!$B33)</f>
        <v>#VALUE!</v>
      </c>
      <c r="R33" s="7" t="e">
        <f>averageResponseTimePorter(Dates!R$10,Dates!R$11,'Day4'!$B33)</f>
        <v>#VALUE!</v>
      </c>
      <c r="S33" s="7" t="e">
        <f>averageResponseTimePorter(Dates!S$10,Dates!S$11,'Day4'!$B33)</f>
        <v>#VALUE!</v>
      </c>
      <c r="T33" s="7" t="e">
        <f>averageResponseTimePorter(Dates!T$10,Dates!T$11,'Day4'!$B33)</f>
        <v>#VALUE!</v>
      </c>
      <c r="U33" s="7" t="e">
        <f>averageResponseTimePorter(Dates!$C$10,Dates!$T$11,'Day4'!$B10)</f>
        <v>#VALUE!</v>
      </c>
    </row>
    <row r="34" spans="2:21" x14ac:dyDescent="0.3">
      <c r="B34" s="11" t="str">
        <f t="shared" si="0"/>
        <v>NA11</v>
      </c>
      <c r="C34" s="7" t="e">
        <f>averageResponseTimePorter(Dates!C$10,Dates!C$11,'Day4'!$B34)</f>
        <v>#VALUE!</v>
      </c>
      <c r="D34" s="7" t="e">
        <f>averageResponseTimePorter(Dates!D$10,Dates!D$11,'Day4'!$B34)</f>
        <v>#VALUE!</v>
      </c>
      <c r="E34" s="7" t="e">
        <f>averageResponseTimePorter(Dates!E$10,Dates!E$11,'Day4'!$B34)</f>
        <v>#VALUE!</v>
      </c>
      <c r="F34" s="7" t="e">
        <f>averageResponseTimePorter(Dates!F$10,Dates!F$11,'Day4'!$B34)</f>
        <v>#VALUE!</v>
      </c>
      <c r="G34" s="7" t="e">
        <f>averageResponseTimePorter(Dates!G$10,Dates!G$11,'Day4'!$B34)</f>
        <v>#VALUE!</v>
      </c>
      <c r="H34" s="7" t="e">
        <f>averageResponseTimePorter(Dates!H$10,Dates!H$11,'Day4'!$B34)</f>
        <v>#VALUE!</v>
      </c>
      <c r="I34" s="7" t="e">
        <f>averageResponseTimePorter(Dates!I$10,Dates!I$11,'Day4'!$B34)</f>
        <v>#VALUE!</v>
      </c>
      <c r="J34" s="7" t="e">
        <f>averageResponseTimePorter(Dates!J$10,Dates!J$11,'Day4'!$B34)</f>
        <v>#VALUE!</v>
      </c>
      <c r="K34" s="7" t="e">
        <f>averageResponseTimePorter(Dates!K$10,Dates!K$11,'Day4'!$B34)</f>
        <v>#VALUE!</v>
      </c>
      <c r="L34" s="7" t="e">
        <f>averageResponseTimePorter(Dates!L$10,Dates!L$11,'Day4'!$B34)</f>
        <v>#VALUE!</v>
      </c>
      <c r="M34" s="7" t="e">
        <f>averageResponseTimePorter(Dates!M$10,Dates!M$11,'Day4'!$B34)</f>
        <v>#VALUE!</v>
      </c>
      <c r="N34" s="7" t="e">
        <f>averageResponseTimePorter(Dates!N$10,Dates!N$11,'Day4'!$B34)</f>
        <v>#VALUE!</v>
      </c>
      <c r="O34" s="7" t="e">
        <f>averageResponseTimePorter(Dates!O$10,Dates!O$11,'Day4'!$B34)</f>
        <v>#VALUE!</v>
      </c>
      <c r="P34" s="7" t="e">
        <f>averageResponseTimePorter(Dates!P$10,Dates!P$11,'Day4'!$B34)</f>
        <v>#VALUE!</v>
      </c>
      <c r="Q34" s="7" t="e">
        <f>averageResponseTimePorter(Dates!Q$10,Dates!Q$11,'Day4'!$B34)</f>
        <v>#VALUE!</v>
      </c>
      <c r="R34" s="7" t="e">
        <f>averageResponseTimePorter(Dates!R$10,Dates!R$11,'Day4'!$B34)</f>
        <v>#VALUE!</v>
      </c>
      <c r="S34" s="7" t="e">
        <f>averageResponseTimePorter(Dates!S$10,Dates!S$11,'Day4'!$B34)</f>
        <v>#VALUE!</v>
      </c>
      <c r="T34" s="7" t="e">
        <f>averageResponseTimePorter(Dates!T$10,Dates!T$11,'Day4'!$B34)</f>
        <v>#VALUE!</v>
      </c>
      <c r="U34" s="7" t="e">
        <f>averageResponseTimePorter(Dates!$C$10,Dates!$T$11,'Day4'!$B11)</f>
        <v>#VALUE!</v>
      </c>
    </row>
    <row r="35" spans="2:21" x14ac:dyDescent="0.3">
      <c r="B35" s="11" t="str">
        <f t="shared" si="0"/>
        <v>NA12</v>
      </c>
      <c r="C35" s="7" t="e">
        <f>averageResponseTimePorter(Dates!C$10,Dates!C$11,'Day4'!$B35)</f>
        <v>#VALUE!</v>
      </c>
      <c r="D35" s="7" t="e">
        <f>averageResponseTimePorter(Dates!D$10,Dates!D$11,'Day4'!$B35)</f>
        <v>#VALUE!</v>
      </c>
      <c r="E35" s="7" t="e">
        <f>averageResponseTimePorter(Dates!E$10,Dates!E$11,'Day4'!$B35)</f>
        <v>#VALUE!</v>
      </c>
      <c r="F35" s="7" t="e">
        <f>averageResponseTimePorter(Dates!F$10,Dates!F$11,'Day4'!$B35)</f>
        <v>#VALUE!</v>
      </c>
      <c r="G35" s="7" t="e">
        <f>averageResponseTimePorter(Dates!G$10,Dates!G$11,'Day4'!$B35)</f>
        <v>#VALUE!</v>
      </c>
      <c r="H35" s="7" t="e">
        <f>averageResponseTimePorter(Dates!H$10,Dates!H$11,'Day4'!$B35)</f>
        <v>#VALUE!</v>
      </c>
      <c r="I35" s="7" t="e">
        <f>averageResponseTimePorter(Dates!I$10,Dates!I$11,'Day4'!$B35)</f>
        <v>#VALUE!</v>
      </c>
      <c r="J35" s="7" t="e">
        <f>averageResponseTimePorter(Dates!J$10,Dates!J$11,'Day4'!$B35)</f>
        <v>#VALUE!</v>
      </c>
      <c r="K35" s="7" t="e">
        <f>averageResponseTimePorter(Dates!K$10,Dates!K$11,'Day4'!$B35)</f>
        <v>#VALUE!</v>
      </c>
      <c r="L35" s="7" t="e">
        <f>averageResponseTimePorter(Dates!L$10,Dates!L$11,'Day4'!$B35)</f>
        <v>#VALUE!</v>
      </c>
      <c r="M35" s="7" t="e">
        <f>averageResponseTimePorter(Dates!M$10,Dates!M$11,'Day4'!$B35)</f>
        <v>#VALUE!</v>
      </c>
      <c r="N35" s="7" t="e">
        <f>averageResponseTimePorter(Dates!N$10,Dates!N$11,'Day4'!$B35)</f>
        <v>#VALUE!</v>
      </c>
      <c r="O35" s="7" t="e">
        <f>averageResponseTimePorter(Dates!O$10,Dates!O$11,'Day4'!$B35)</f>
        <v>#VALUE!</v>
      </c>
      <c r="P35" s="7" t="e">
        <f>averageResponseTimePorter(Dates!P$10,Dates!P$11,'Day4'!$B35)</f>
        <v>#VALUE!</v>
      </c>
      <c r="Q35" s="7" t="e">
        <f>averageResponseTimePorter(Dates!Q$10,Dates!Q$11,'Day4'!$B35)</f>
        <v>#VALUE!</v>
      </c>
      <c r="R35" s="7" t="e">
        <f>averageResponseTimePorter(Dates!R$10,Dates!R$11,'Day4'!$B35)</f>
        <v>#VALUE!</v>
      </c>
      <c r="S35" s="7" t="e">
        <f>averageResponseTimePorter(Dates!S$10,Dates!S$11,'Day4'!$B35)</f>
        <v>#VALUE!</v>
      </c>
      <c r="T35" s="7" t="e">
        <f>averageResponseTimePorter(Dates!T$10,Dates!T$11,'Day4'!$B35)</f>
        <v>#VALUE!</v>
      </c>
      <c r="U35" s="7" t="e">
        <f>averageResponseTimePorter(Dates!$C$10,Dates!$T$11,'Day4'!$B12)</f>
        <v>#VALUE!</v>
      </c>
    </row>
    <row r="36" spans="2:21" x14ac:dyDescent="0.3">
      <c r="B36" s="11" t="str">
        <f t="shared" si="0"/>
        <v>NA13</v>
      </c>
      <c r="C36" s="7" t="e">
        <f>averageResponseTimePorter(Dates!C$10,Dates!C$11,'Day4'!$B36)</f>
        <v>#VALUE!</v>
      </c>
      <c r="D36" s="7" t="e">
        <f>averageResponseTimePorter(Dates!D$10,Dates!D$11,'Day4'!$B36)</f>
        <v>#VALUE!</v>
      </c>
      <c r="E36" s="7" t="e">
        <f>averageResponseTimePorter(Dates!E$10,Dates!E$11,'Day4'!$B36)</f>
        <v>#VALUE!</v>
      </c>
      <c r="F36" s="7" t="e">
        <f>averageResponseTimePorter(Dates!F$10,Dates!F$11,'Day4'!$B36)</f>
        <v>#VALUE!</v>
      </c>
      <c r="G36" s="7" t="e">
        <f>averageResponseTimePorter(Dates!G$10,Dates!G$11,'Day4'!$B36)</f>
        <v>#VALUE!</v>
      </c>
      <c r="H36" s="7" t="e">
        <f>averageResponseTimePorter(Dates!H$10,Dates!H$11,'Day4'!$B36)</f>
        <v>#VALUE!</v>
      </c>
      <c r="I36" s="7" t="e">
        <f>averageResponseTimePorter(Dates!I$10,Dates!I$11,'Day4'!$B36)</f>
        <v>#VALUE!</v>
      </c>
      <c r="J36" s="7" t="e">
        <f>averageResponseTimePorter(Dates!J$10,Dates!J$11,'Day4'!$B36)</f>
        <v>#VALUE!</v>
      </c>
      <c r="K36" s="7" t="e">
        <f>averageResponseTimePorter(Dates!K$10,Dates!K$11,'Day4'!$B36)</f>
        <v>#VALUE!</v>
      </c>
      <c r="L36" s="7" t="e">
        <f>averageResponseTimePorter(Dates!L$10,Dates!L$11,'Day4'!$B36)</f>
        <v>#VALUE!</v>
      </c>
      <c r="M36" s="7" t="e">
        <f>averageResponseTimePorter(Dates!M$10,Dates!M$11,'Day4'!$B36)</f>
        <v>#VALUE!</v>
      </c>
      <c r="N36" s="7" t="e">
        <f>averageResponseTimePorter(Dates!N$10,Dates!N$11,'Day4'!$B36)</f>
        <v>#VALUE!</v>
      </c>
      <c r="O36" s="7" t="e">
        <f>averageResponseTimePorter(Dates!O$10,Dates!O$11,'Day4'!$B36)</f>
        <v>#VALUE!</v>
      </c>
      <c r="P36" s="7" t="e">
        <f>averageResponseTimePorter(Dates!P$10,Dates!P$11,'Day4'!$B36)</f>
        <v>#VALUE!</v>
      </c>
      <c r="Q36" s="7" t="e">
        <f>averageResponseTimePorter(Dates!Q$10,Dates!Q$11,'Day4'!$B36)</f>
        <v>#VALUE!</v>
      </c>
      <c r="R36" s="7" t="e">
        <f>averageResponseTimePorter(Dates!R$10,Dates!R$11,'Day4'!$B36)</f>
        <v>#VALUE!</v>
      </c>
      <c r="S36" s="7" t="e">
        <f>averageResponseTimePorter(Dates!S$10,Dates!S$11,'Day4'!$B36)</f>
        <v>#VALUE!</v>
      </c>
      <c r="T36" s="7" t="e">
        <f>averageResponseTimePorter(Dates!T$10,Dates!T$11,'Day4'!$B36)</f>
        <v>#VALUE!</v>
      </c>
      <c r="U36" s="7" t="e">
        <f>averageResponseTimePorter(Dates!$C$10,Dates!$T$11,'Day4'!$B13)</f>
        <v>#VALUE!</v>
      </c>
    </row>
    <row r="37" spans="2:21" x14ac:dyDescent="0.3">
      <c r="B37" s="11" t="str">
        <f t="shared" si="0"/>
        <v>NA14</v>
      </c>
      <c r="C37" s="7" t="e">
        <f>averageResponseTimePorter(Dates!C$10,Dates!C$11,'Day4'!$B37)</f>
        <v>#VALUE!</v>
      </c>
      <c r="D37" s="7" t="e">
        <f>averageResponseTimePorter(Dates!D$10,Dates!D$11,'Day4'!$B37)</f>
        <v>#VALUE!</v>
      </c>
      <c r="E37" s="7" t="e">
        <f>averageResponseTimePorter(Dates!E$10,Dates!E$11,'Day4'!$B37)</f>
        <v>#VALUE!</v>
      </c>
      <c r="F37" s="7" t="e">
        <f>averageResponseTimePorter(Dates!F$10,Dates!F$11,'Day4'!$B37)</f>
        <v>#VALUE!</v>
      </c>
      <c r="G37" s="7" t="e">
        <f>averageResponseTimePorter(Dates!G$10,Dates!G$11,'Day4'!$B37)</f>
        <v>#VALUE!</v>
      </c>
      <c r="H37" s="7" t="e">
        <f>averageResponseTimePorter(Dates!H$10,Dates!H$11,'Day4'!$B37)</f>
        <v>#VALUE!</v>
      </c>
      <c r="I37" s="7" t="e">
        <f>averageResponseTimePorter(Dates!I$10,Dates!I$11,'Day4'!$B37)</f>
        <v>#VALUE!</v>
      </c>
      <c r="J37" s="7" t="e">
        <f>averageResponseTimePorter(Dates!J$10,Dates!J$11,'Day4'!$B37)</f>
        <v>#VALUE!</v>
      </c>
      <c r="K37" s="7" t="e">
        <f>averageResponseTimePorter(Dates!K$10,Dates!K$11,'Day4'!$B37)</f>
        <v>#VALUE!</v>
      </c>
      <c r="L37" s="7" t="e">
        <f>averageResponseTimePorter(Dates!L$10,Dates!L$11,'Day4'!$B37)</f>
        <v>#VALUE!</v>
      </c>
      <c r="M37" s="7" t="e">
        <f>averageResponseTimePorter(Dates!M$10,Dates!M$11,'Day4'!$B37)</f>
        <v>#VALUE!</v>
      </c>
      <c r="N37" s="7" t="e">
        <f>averageResponseTimePorter(Dates!N$10,Dates!N$11,'Day4'!$B37)</f>
        <v>#VALUE!</v>
      </c>
      <c r="O37" s="7" t="e">
        <f>averageResponseTimePorter(Dates!O$10,Dates!O$11,'Day4'!$B37)</f>
        <v>#VALUE!</v>
      </c>
      <c r="P37" s="7" t="e">
        <f>averageResponseTimePorter(Dates!P$10,Dates!P$11,'Day4'!$B37)</f>
        <v>#VALUE!</v>
      </c>
      <c r="Q37" s="7" t="e">
        <f>averageResponseTimePorter(Dates!Q$10,Dates!Q$11,'Day4'!$B37)</f>
        <v>#VALUE!</v>
      </c>
      <c r="R37" s="7" t="e">
        <f>averageResponseTimePorter(Dates!R$10,Dates!R$11,'Day4'!$B37)</f>
        <v>#VALUE!</v>
      </c>
      <c r="S37" s="7" t="e">
        <f>averageResponseTimePorter(Dates!S$10,Dates!S$11,'Day4'!$B37)</f>
        <v>#VALUE!</v>
      </c>
      <c r="T37" s="7" t="e">
        <f>averageResponseTimePorter(Dates!T$10,Dates!T$11,'Day4'!$B37)</f>
        <v>#VALUE!</v>
      </c>
      <c r="U37" s="7" t="e">
        <f>averageResponseTimePorter(Dates!$C$10,Dates!$T$11,'Day4'!$B14)</f>
        <v>#VALUE!</v>
      </c>
    </row>
    <row r="38" spans="2:21" x14ac:dyDescent="0.3">
      <c r="B38" s="11" t="str">
        <f t="shared" si="0"/>
        <v>NA15</v>
      </c>
      <c r="C38" s="7" t="e">
        <f>averageResponseTimePorter(Dates!C$10,Dates!C$11,'Day4'!$B38)</f>
        <v>#VALUE!</v>
      </c>
      <c r="D38" s="7" t="e">
        <f>averageResponseTimePorter(Dates!D$10,Dates!D$11,'Day4'!$B38)</f>
        <v>#VALUE!</v>
      </c>
      <c r="E38" s="7" t="e">
        <f>averageResponseTimePorter(Dates!E$10,Dates!E$11,'Day4'!$B38)</f>
        <v>#VALUE!</v>
      </c>
      <c r="F38" s="7" t="e">
        <f>averageResponseTimePorter(Dates!F$10,Dates!F$11,'Day4'!$B38)</f>
        <v>#VALUE!</v>
      </c>
      <c r="G38" s="7" t="e">
        <f>averageResponseTimePorter(Dates!G$10,Dates!G$11,'Day4'!$B38)</f>
        <v>#VALUE!</v>
      </c>
      <c r="H38" s="7" t="e">
        <f>averageResponseTimePorter(Dates!H$10,Dates!H$11,'Day4'!$B38)</f>
        <v>#VALUE!</v>
      </c>
      <c r="I38" s="7" t="e">
        <f>averageResponseTimePorter(Dates!I$10,Dates!I$11,'Day4'!$B38)</f>
        <v>#VALUE!</v>
      </c>
      <c r="J38" s="7" t="e">
        <f>averageResponseTimePorter(Dates!J$10,Dates!J$11,'Day4'!$B38)</f>
        <v>#VALUE!</v>
      </c>
      <c r="K38" s="7" t="e">
        <f>averageResponseTimePorter(Dates!K$10,Dates!K$11,'Day4'!$B38)</f>
        <v>#VALUE!</v>
      </c>
      <c r="L38" s="7" t="e">
        <f>averageResponseTimePorter(Dates!L$10,Dates!L$11,'Day4'!$B38)</f>
        <v>#VALUE!</v>
      </c>
      <c r="M38" s="7" t="e">
        <f>averageResponseTimePorter(Dates!M$10,Dates!M$11,'Day4'!$B38)</f>
        <v>#VALUE!</v>
      </c>
      <c r="N38" s="7" t="e">
        <f>averageResponseTimePorter(Dates!N$10,Dates!N$11,'Day4'!$B38)</f>
        <v>#VALUE!</v>
      </c>
      <c r="O38" s="7" t="e">
        <f>averageResponseTimePorter(Dates!O$10,Dates!O$11,'Day4'!$B38)</f>
        <v>#VALUE!</v>
      </c>
      <c r="P38" s="7" t="e">
        <f>averageResponseTimePorter(Dates!P$10,Dates!P$11,'Day4'!$B38)</f>
        <v>#VALUE!</v>
      </c>
      <c r="Q38" s="7" t="e">
        <f>averageResponseTimePorter(Dates!Q$10,Dates!Q$11,'Day4'!$B38)</f>
        <v>#VALUE!</v>
      </c>
      <c r="R38" s="7" t="e">
        <f>averageResponseTimePorter(Dates!R$10,Dates!R$11,'Day4'!$B38)</f>
        <v>#VALUE!</v>
      </c>
      <c r="S38" s="7" t="e">
        <f>averageResponseTimePorter(Dates!S$10,Dates!S$11,'Day4'!$B38)</f>
        <v>#VALUE!</v>
      </c>
      <c r="T38" s="7" t="e">
        <f>averageResponseTimePorter(Dates!T$10,Dates!T$11,'Day4'!$B38)</f>
        <v>#VALUE!</v>
      </c>
      <c r="U38" s="7" t="e">
        <f>averageResponseTimePorter(Dates!$C$10,Dates!$T$11,'Day4'!$B15)</f>
        <v>#VALUE!</v>
      </c>
    </row>
    <row r="39" spans="2:21" x14ac:dyDescent="0.3">
      <c r="B39" s="11" t="str">
        <f t="shared" si="0"/>
        <v>NA16</v>
      </c>
      <c r="C39" s="7" t="e">
        <f>averageResponseTimePorter(Dates!C$10,Dates!C$11,'Day4'!$B39)</f>
        <v>#VALUE!</v>
      </c>
      <c r="D39" s="7" t="e">
        <f>averageResponseTimePorter(Dates!D$10,Dates!D$11,'Day4'!$B39)</f>
        <v>#VALUE!</v>
      </c>
      <c r="E39" s="7" t="e">
        <f>averageResponseTimePorter(Dates!E$10,Dates!E$11,'Day4'!$B39)</f>
        <v>#VALUE!</v>
      </c>
      <c r="F39" s="7" t="e">
        <f>averageResponseTimePorter(Dates!F$10,Dates!F$11,'Day4'!$B39)</f>
        <v>#VALUE!</v>
      </c>
      <c r="G39" s="7" t="e">
        <f>averageResponseTimePorter(Dates!G$10,Dates!G$11,'Day4'!$B39)</f>
        <v>#VALUE!</v>
      </c>
      <c r="H39" s="7" t="e">
        <f>averageResponseTimePorter(Dates!H$10,Dates!H$11,'Day4'!$B39)</f>
        <v>#VALUE!</v>
      </c>
      <c r="I39" s="7" t="e">
        <f>averageResponseTimePorter(Dates!I$10,Dates!I$11,'Day4'!$B39)</f>
        <v>#VALUE!</v>
      </c>
      <c r="J39" s="7" t="e">
        <f>averageResponseTimePorter(Dates!J$10,Dates!J$11,'Day4'!$B39)</f>
        <v>#VALUE!</v>
      </c>
      <c r="K39" s="7" t="e">
        <f>averageResponseTimePorter(Dates!K$10,Dates!K$11,'Day4'!$B39)</f>
        <v>#VALUE!</v>
      </c>
      <c r="L39" s="7" t="e">
        <f>averageResponseTimePorter(Dates!L$10,Dates!L$11,'Day4'!$B39)</f>
        <v>#VALUE!</v>
      </c>
      <c r="M39" s="7" t="e">
        <f>averageResponseTimePorter(Dates!M$10,Dates!M$11,'Day4'!$B39)</f>
        <v>#VALUE!</v>
      </c>
      <c r="N39" s="7" t="e">
        <f>averageResponseTimePorter(Dates!N$10,Dates!N$11,'Day4'!$B39)</f>
        <v>#VALUE!</v>
      </c>
      <c r="O39" s="7" t="e">
        <f>averageResponseTimePorter(Dates!O$10,Dates!O$11,'Day4'!$B39)</f>
        <v>#VALUE!</v>
      </c>
      <c r="P39" s="7" t="e">
        <f>averageResponseTimePorter(Dates!P$10,Dates!P$11,'Day4'!$B39)</f>
        <v>#VALUE!</v>
      </c>
      <c r="Q39" s="7" t="e">
        <f>averageResponseTimePorter(Dates!Q$10,Dates!Q$11,'Day4'!$B39)</f>
        <v>#VALUE!</v>
      </c>
      <c r="R39" s="7" t="e">
        <f>averageResponseTimePorter(Dates!R$10,Dates!R$11,'Day4'!$B39)</f>
        <v>#VALUE!</v>
      </c>
      <c r="S39" s="7" t="e">
        <f>averageResponseTimePorter(Dates!S$10,Dates!S$11,'Day4'!$B39)</f>
        <v>#VALUE!</v>
      </c>
      <c r="T39" s="7" t="e">
        <f>averageResponseTimePorter(Dates!T$10,Dates!T$11,'Day4'!$B39)</f>
        <v>#VALUE!</v>
      </c>
      <c r="U39" s="7" t="e">
        <f>averageResponseTimePorter(Dates!$C$10,Dates!$T$11,'Day4'!$B16)</f>
        <v>#VALUE!</v>
      </c>
    </row>
    <row r="40" spans="2:21" x14ac:dyDescent="0.3">
      <c r="B40" s="11" t="str">
        <f t="shared" si="0"/>
        <v>NA17</v>
      </c>
      <c r="C40" s="7" t="e">
        <f>averageResponseTimePorter(Dates!C$10,Dates!C$11,'Day4'!$B40)</f>
        <v>#VALUE!</v>
      </c>
      <c r="D40" s="7" t="e">
        <f>averageResponseTimePorter(Dates!D$10,Dates!D$11,'Day4'!$B40)</f>
        <v>#VALUE!</v>
      </c>
      <c r="E40" s="7" t="e">
        <f>averageResponseTimePorter(Dates!E$10,Dates!E$11,'Day4'!$B40)</f>
        <v>#VALUE!</v>
      </c>
      <c r="F40" s="7" t="e">
        <f>averageResponseTimePorter(Dates!F$10,Dates!F$11,'Day4'!$B40)</f>
        <v>#VALUE!</v>
      </c>
      <c r="G40" s="7" t="e">
        <f>averageResponseTimePorter(Dates!G$10,Dates!G$11,'Day4'!$B40)</f>
        <v>#VALUE!</v>
      </c>
      <c r="H40" s="7" t="e">
        <f>averageResponseTimePorter(Dates!H$10,Dates!H$11,'Day4'!$B40)</f>
        <v>#VALUE!</v>
      </c>
      <c r="I40" s="7" t="e">
        <f>averageResponseTimePorter(Dates!I$10,Dates!I$11,'Day4'!$B40)</f>
        <v>#VALUE!</v>
      </c>
      <c r="J40" s="7" t="e">
        <f>averageResponseTimePorter(Dates!J$10,Dates!J$11,'Day4'!$B40)</f>
        <v>#VALUE!</v>
      </c>
      <c r="K40" s="7" t="e">
        <f>averageResponseTimePorter(Dates!K$10,Dates!K$11,'Day4'!$B40)</f>
        <v>#VALUE!</v>
      </c>
      <c r="L40" s="7" t="e">
        <f>averageResponseTimePorter(Dates!L$10,Dates!L$11,'Day4'!$B40)</f>
        <v>#VALUE!</v>
      </c>
      <c r="M40" s="7" t="e">
        <f>averageResponseTimePorter(Dates!M$10,Dates!M$11,'Day4'!$B40)</f>
        <v>#VALUE!</v>
      </c>
      <c r="N40" s="7" t="e">
        <f>averageResponseTimePorter(Dates!N$10,Dates!N$11,'Day4'!$B40)</f>
        <v>#VALUE!</v>
      </c>
      <c r="O40" s="7" t="e">
        <f>averageResponseTimePorter(Dates!O$10,Dates!O$11,'Day4'!$B40)</f>
        <v>#VALUE!</v>
      </c>
      <c r="P40" s="7" t="e">
        <f>averageResponseTimePorter(Dates!P$10,Dates!P$11,'Day4'!$B40)</f>
        <v>#VALUE!</v>
      </c>
      <c r="Q40" s="7" t="e">
        <f>averageResponseTimePorter(Dates!Q$10,Dates!Q$11,'Day4'!$B40)</f>
        <v>#VALUE!</v>
      </c>
      <c r="R40" s="7" t="e">
        <f>averageResponseTimePorter(Dates!R$10,Dates!R$11,'Day4'!$B40)</f>
        <v>#VALUE!</v>
      </c>
      <c r="S40" s="7" t="e">
        <f>averageResponseTimePorter(Dates!S$10,Dates!S$11,'Day4'!$B40)</f>
        <v>#VALUE!</v>
      </c>
      <c r="T40" s="7" t="e">
        <f>averageResponseTimePorter(Dates!T$10,Dates!T$11,'Day4'!$B40)</f>
        <v>#VALUE!</v>
      </c>
      <c r="U40" s="7" t="e">
        <f>averageResponseTimePorter(Dates!$C$10,Dates!$T$11,'Day4'!$B17)</f>
        <v>#VALUE!</v>
      </c>
    </row>
    <row r="41" spans="2:21" x14ac:dyDescent="0.3">
      <c r="B41" s="11" t="str">
        <f t="shared" si="0"/>
        <v>NA18</v>
      </c>
      <c r="C41" s="7" t="e">
        <f>averageResponseTimePorter(Dates!C$10,Dates!C$11,'Day4'!$B41)</f>
        <v>#VALUE!</v>
      </c>
      <c r="D41" s="7" t="e">
        <f>averageResponseTimePorter(Dates!D$10,Dates!D$11,'Day4'!$B41)</f>
        <v>#VALUE!</v>
      </c>
      <c r="E41" s="7" t="e">
        <f>averageResponseTimePorter(Dates!E$10,Dates!E$11,'Day4'!$B41)</f>
        <v>#VALUE!</v>
      </c>
      <c r="F41" s="7" t="e">
        <f>averageResponseTimePorter(Dates!F$10,Dates!F$11,'Day4'!$B41)</f>
        <v>#VALUE!</v>
      </c>
      <c r="G41" s="7" t="e">
        <f>averageResponseTimePorter(Dates!G$10,Dates!G$11,'Day4'!$B41)</f>
        <v>#VALUE!</v>
      </c>
      <c r="H41" s="7" t="e">
        <f>averageResponseTimePorter(Dates!H$10,Dates!H$11,'Day4'!$B41)</f>
        <v>#VALUE!</v>
      </c>
      <c r="I41" s="7" t="e">
        <f>averageResponseTimePorter(Dates!I$10,Dates!I$11,'Day4'!$B41)</f>
        <v>#VALUE!</v>
      </c>
      <c r="J41" s="7" t="e">
        <f>averageResponseTimePorter(Dates!J$10,Dates!J$11,'Day4'!$B41)</f>
        <v>#VALUE!</v>
      </c>
      <c r="K41" s="7" t="e">
        <f>averageResponseTimePorter(Dates!K$10,Dates!K$11,'Day4'!$B41)</f>
        <v>#VALUE!</v>
      </c>
      <c r="L41" s="7" t="e">
        <f>averageResponseTimePorter(Dates!L$10,Dates!L$11,'Day4'!$B41)</f>
        <v>#VALUE!</v>
      </c>
      <c r="M41" s="7" t="e">
        <f>averageResponseTimePorter(Dates!M$10,Dates!M$11,'Day4'!$B41)</f>
        <v>#VALUE!</v>
      </c>
      <c r="N41" s="7" t="e">
        <f>averageResponseTimePorter(Dates!N$10,Dates!N$11,'Day4'!$B41)</f>
        <v>#VALUE!</v>
      </c>
      <c r="O41" s="7" t="e">
        <f>averageResponseTimePorter(Dates!O$10,Dates!O$11,'Day4'!$B41)</f>
        <v>#VALUE!</v>
      </c>
      <c r="P41" s="7" t="e">
        <f>averageResponseTimePorter(Dates!P$10,Dates!P$11,'Day4'!$B41)</f>
        <v>#VALUE!</v>
      </c>
      <c r="Q41" s="7" t="e">
        <f>averageResponseTimePorter(Dates!Q$10,Dates!Q$11,'Day4'!$B41)</f>
        <v>#VALUE!</v>
      </c>
      <c r="R41" s="7" t="e">
        <f>averageResponseTimePorter(Dates!R$10,Dates!R$11,'Day4'!$B41)</f>
        <v>#VALUE!</v>
      </c>
      <c r="S41" s="7" t="e">
        <f>averageResponseTimePorter(Dates!S$10,Dates!S$11,'Day4'!$B41)</f>
        <v>#VALUE!</v>
      </c>
      <c r="T41" s="7" t="e">
        <f>averageResponseTimePorter(Dates!T$10,Dates!T$11,'Day4'!$B41)</f>
        <v>#VALUE!</v>
      </c>
      <c r="U41" s="7" t="e">
        <f>averageResponseTimePorter(Dates!$C$10,Dates!$T$11,'Day4'!$B18)</f>
        <v>#VALUE!</v>
      </c>
    </row>
    <row r="42" spans="2:21" x14ac:dyDescent="0.3">
      <c r="B42" s="11" t="str">
        <f t="shared" si="0"/>
        <v>NA19</v>
      </c>
      <c r="C42" s="7" t="e">
        <f>averageResponseTimePorter(Dates!C$10,Dates!C$11,'Day4'!$B42)</f>
        <v>#VALUE!</v>
      </c>
      <c r="D42" s="7" t="e">
        <f>averageResponseTimePorter(Dates!D$10,Dates!D$11,'Day4'!$B42)</f>
        <v>#VALUE!</v>
      </c>
      <c r="E42" s="7" t="e">
        <f>averageResponseTimePorter(Dates!E$10,Dates!E$11,'Day4'!$B42)</f>
        <v>#VALUE!</v>
      </c>
      <c r="F42" s="7" t="e">
        <f>averageResponseTimePorter(Dates!F$10,Dates!F$11,'Day4'!$B42)</f>
        <v>#VALUE!</v>
      </c>
      <c r="G42" s="7" t="e">
        <f>averageResponseTimePorter(Dates!G$10,Dates!G$11,'Day4'!$B42)</f>
        <v>#VALUE!</v>
      </c>
      <c r="H42" s="7" t="e">
        <f>averageResponseTimePorter(Dates!H$10,Dates!H$11,'Day4'!$B42)</f>
        <v>#VALUE!</v>
      </c>
      <c r="I42" s="7" t="e">
        <f>averageResponseTimePorter(Dates!I$10,Dates!I$11,'Day4'!$B42)</f>
        <v>#VALUE!</v>
      </c>
      <c r="J42" s="7" t="e">
        <f>averageResponseTimePorter(Dates!J$10,Dates!J$11,'Day4'!$B42)</f>
        <v>#VALUE!</v>
      </c>
      <c r="K42" s="7" t="e">
        <f>averageResponseTimePorter(Dates!K$10,Dates!K$11,'Day4'!$B42)</f>
        <v>#VALUE!</v>
      </c>
      <c r="L42" s="7" t="e">
        <f>averageResponseTimePorter(Dates!L$10,Dates!L$11,'Day4'!$B42)</f>
        <v>#VALUE!</v>
      </c>
      <c r="M42" s="7" t="e">
        <f>averageResponseTimePorter(Dates!M$10,Dates!M$11,'Day4'!$B42)</f>
        <v>#VALUE!</v>
      </c>
      <c r="N42" s="7" t="e">
        <f>averageResponseTimePorter(Dates!N$10,Dates!N$11,'Day4'!$B42)</f>
        <v>#VALUE!</v>
      </c>
      <c r="O42" s="7" t="e">
        <f>averageResponseTimePorter(Dates!O$10,Dates!O$11,'Day4'!$B42)</f>
        <v>#VALUE!</v>
      </c>
      <c r="P42" s="7" t="e">
        <f>averageResponseTimePorter(Dates!P$10,Dates!P$11,'Day4'!$B42)</f>
        <v>#VALUE!</v>
      </c>
      <c r="Q42" s="7" t="e">
        <f>averageResponseTimePorter(Dates!Q$10,Dates!Q$11,'Day4'!$B42)</f>
        <v>#VALUE!</v>
      </c>
      <c r="R42" s="7" t="e">
        <f>averageResponseTimePorter(Dates!R$10,Dates!R$11,'Day4'!$B42)</f>
        <v>#VALUE!</v>
      </c>
      <c r="S42" s="7" t="e">
        <f>averageResponseTimePorter(Dates!S$10,Dates!S$11,'Day4'!$B42)</f>
        <v>#VALUE!</v>
      </c>
      <c r="T42" s="7" t="e">
        <f>averageResponseTimePorter(Dates!T$10,Dates!T$11,'Day4'!$B42)</f>
        <v>#VALUE!</v>
      </c>
      <c r="U42" s="7" t="e">
        <f>averageResponseTimePorter(Dates!$C$10,Dates!$T$11,'Day4'!$B19)</f>
        <v>#VALUE!</v>
      </c>
    </row>
    <row r="43" spans="2:21" x14ac:dyDescent="0.3">
      <c r="B43" s="11" t="str">
        <f t="shared" si="0"/>
        <v>NA20</v>
      </c>
      <c r="C43" s="7" t="e">
        <f>averageResponseTimePorter(Dates!C$10,Dates!C$11,'Day4'!$B43)</f>
        <v>#VALUE!</v>
      </c>
      <c r="D43" s="7" t="e">
        <f>averageResponseTimePorter(Dates!D$10,Dates!D$11,'Day4'!$B43)</f>
        <v>#VALUE!</v>
      </c>
      <c r="E43" s="7" t="e">
        <f>averageResponseTimePorter(Dates!E$10,Dates!E$11,'Day4'!$B43)</f>
        <v>#VALUE!</v>
      </c>
      <c r="F43" s="7" t="e">
        <f>averageResponseTimePorter(Dates!F$10,Dates!F$11,'Day4'!$B43)</f>
        <v>#VALUE!</v>
      </c>
      <c r="G43" s="7" t="e">
        <f>averageResponseTimePorter(Dates!G$10,Dates!G$11,'Day4'!$B43)</f>
        <v>#VALUE!</v>
      </c>
      <c r="H43" s="7" t="e">
        <f>averageResponseTimePorter(Dates!H$10,Dates!H$11,'Day4'!$B43)</f>
        <v>#VALUE!</v>
      </c>
      <c r="I43" s="7" t="e">
        <f>averageResponseTimePorter(Dates!I$10,Dates!I$11,'Day4'!$B43)</f>
        <v>#VALUE!</v>
      </c>
      <c r="J43" s="7" t="e">
        <f>averageResponseTimePorter(Dates!J$10,Dates!J$11,'Day4'!$B43)</f>
        <v>#VALUE!</v>
      </c>
      <c r="K43" s="7" t="e">
        <f>averageResponseTimePorter(Dates!K$10,Dates!K$11,'Day4'!$B43)</f>
        <v>#VALUE!</v>
      </c>
      <c r="L43" s="7" t="e">
        <f>averageResponseTimePorter(Dates!L$10,Dates!L$11,'Day4'!$B43)</f>
        <v>#VALUE!</v>
      </c>
      <c r="M43" s="7" t="e">
        <f>averageResponseTimePorter(Dates!M$10,Dates!M$11,'Day4'!$B43)</f>
        <v>#VALUE!</v>
      </c>
      <c r="N43" s="7" t="e">
        <f>averageResponseTimePorter(Dates!N$10,Dates!N$11,'Day4'!$B43)</f>
        <v>#VALUE!</v>
      </c>
      <c r="O43" s="7" t="e">
        <f>averageResponseTimePorter(Dates!O$10,Dates!O$11,'Day4'!$B43)</f>
        <v>#VALUE!</v>
      </c>
      <c r="P43" s="7" t="e">
        <f>averageResponseTimePorter(Dates!P$10,Dates!P$11,'Day4'!$B43)</f>
        <v>#VALUE!</v>
      </c>
      <c r="Q43" s="7" t="e">
        <f>averageResponseTimePorter(Dates!Q$10,Dates!Q$11,'Day4'!$B43)</f>
        <v>#VALUE!</v>
      </c>
      <c r="R43" s="7" t="e">
        <f>averageResponseTimePorter(Dates!R$10,Dates!R$11,'Day4'!$B43)</f>
        <v>#VALUE!</v>
      </c>
      <c r="S43" s="7" t="e">
        <f>averageResponseTimePorter(Dates!S$10,Dates!S$11,'Day4'!$B43)</f>
        <v>#VALUE!</v>
      </c>
      <c r="T43" s="7" t="e">
        <f>averageResponseTimePorter(Dates!T$10,Dates!T$11,'Day4'!$B43)</f>
        <v>#VALUE!</v>
      </c>
      <c r="U43" s="7" t="e">
        <f>averageResponseTimePorter(Dates!$C$10,Dates!$T$11,'Day4'!$B20)</f>
        <v>#VALUE!</v>
      </c>
    </row>
    <row r="44" spans="2:21" x14ac:dyDescent="0.3">
      <c r="B44" s="11" t="str">
        <f t="shared" si="0"/>
        <v>NA21</v>
      </c>
      <c r="C44" s="7" t="e">
        <f>averageResponseTimePorter(Dates!C$10,Dates!C$11,'Day4'!$B44)</f>
        <v>#VALUE!</v>
      </c>
      <c r="D44" s="7" t="e">
        <f>averageResponseTimePorter(Dates!D$10,Dates!D$11,'Day4'!$B44)</f>
        <v>#VALUE!</v>
      </c>
      <c r="E44" s="7" t="e">
        <f>averageResponseTimePorter(Dates!E$10,Dates!E$11,'Day4'!$B44)</f>
        <v>#VALUE!</v>
      </c>
      <c r="F44" s="7" t="e">
        <f>averageResponseTimePorter(Dates!F$10,Dates!F$11,'Day4'!$B44)</f>
        <v>#VALUE!</v>
      </c>
      <c r="G44" s="7" t="e">
        <f>averageResponseTimePorter(Dates!G$10,Dates!G$11,'Day4'!$B44)</f>
        <v>#VALUE!</v>
      </c>
      <c r="H44" s="7" t="e">
        <f>averageResponseTimePorter(Dates!H$10,Dates!H$11,'Day4'!$B44)</f>
        <v>#VALUE!</v>
      </c>
      <c r="I44" s="7" t="e">
        <f>averageResponseTimePorter(Dates!I$10,Dates!I$11,'Day4'!$B44)</f>
        <v>#VALUE!</v>
      </c>
      <c r="J44" s="7" t="e">
        <f>averageResponseTimePorter(Dates!J$10,Dates!J$11,'Day4'!$B44)</f>
        <v>#VALUE!</v>
      </c>
      <c r="K44" s="7" t="e">
        <f>averageResponseTimePorter(Dates!K$10,Dates!K$11,'Day4'!$B44)</f>
        <v>#VALUE!</v>
      </c>
      <c r="L44" s="7" t="e">
        <f>averageResponseTimePorter(Dates!L$10,Dates!L$11,'Day4'!$B44)</f>
        <v>#VALUE!</v>
      </c>
      <c r="M44" s="7" t="e">
        <f>averageResponseTimePorter(Dates!M$10,Dates!M$11,'Day4'!$B44)</f>
        <v>#VALUE!</v>
      </c>
      <c r="N44" s="7" t="e">
        <f>averageResponseTimePorter(Dates!N$10,Dates!N$11,'Day4'!$B44)</f>
        <v>#VALUE!</v>
      </c>
      <c r="O44" s="7" t="e">
        <f>averageResponseTimePorter(Dates!O$10,Dates!O$11,'Day4'!$B44)</f>
        <v>#VALUE!</v>
      </c>
      <c r="P44" s="7" t="e">
        <f>averageResponseTimePorter(Dates!P$10,Dates!P$11,'Day4'!$B44)</f>
        <v>#VALUE!</v>
      </c>
      <c r="Q44" s="7" t="e">
        <f>averageResponseTimePorter(Dates!Q$10,Dates!Q$11,'Day4'!$B44)</f>
        <v>#VALUE!</v>
      </c>
      <c r="R44" s="7" t="e">
        <f>averageResponseTimePorter(Dates!R$10,Dates!R$11,'Day4'!$B44)</f>
        <v>#VALUE!</v>
      </c>
      <c r="S44" s="7" t="e">
        <f>averageResponseTimePorter(Dates!S$10,Dates!S$11,'Day4'!$B44)</f>
        <v>#VALUE!</v>
      </c>
      <c r="T44" s="7" t="e">
        <f>averageResponseTimePorter(Dates!T$10,Dates!T$11,'Day4'!$B44)</f>
        <v>#VALUE!</v>
      </c>
      <c r="U44" s="7" t="e">
        <f>averageResponseTimePorter(Dates!$C$10,Dates!$T$11,'Day4'!$B21)</f>
        <v>#VALUE!</v>
      </c>
    </row>
    <row r="45" spans="2:21" x14ac:dyDescent="0.3">
      <c r="B45" s="11" t="str">
        <f t="shared" si="0"/>
        <v>NA22</v>
      </c>
      <c r="C45" s="7" t="e">
        <f>averageResponseTimePorter(Dates!C$10,Dates!C$11,'Day4'!$B45)</f>
        <v>#VALUE!</v>
      </c>
      <c r="D45" s="7" t="e">
        <f>averageResponseTimePorter(Dates!D$10,Dates!D$11,'Day4'!$B45)</f>
        <v>#VALUE!</v>
      </c>
      <c r="E45" s="7" t="e">
        <f>averageResponseTimePorter(Dates!E$10,Dates!E$11,'Day4'!$B45)</f>
        <v>#VALUE!</v>
      </c>
      <c r="F45" s="7" t="e">
        <f>averageResponseTimePorter(Dates!F$10,Dates!F$11,'Day4'!$B45)</f>
        <v>#VALUE!</v>
      </c>
      <c r="G45" s="7" t="e">
        <f>averageResponseTimePorter(Dates!G$10,Dates!G$11,'Day4'!$B45)</f>
        <v>#VALUE!</v>
      </c>
      <c r="H45" s="7" t="e">
        <f>averageResponseTimePorter(Dates!H$10,Dates!H$11,'Day4'!$B45)</f>
        <v>#VALUE!</v>
      </c>
      <c r="I45" s="7" t="e">
        <f>averageResponseTimePorter(Dates!I$10,Dates!I$11,'Day4'!$B45)</f>
        <v>#VALUE!</v>
      </c>
      <c r="J45" s="7" t="e">
        <f>averageResponseTimePorter(Dates!J$10,Dates!J$11,'Day4'!$B45)</f>
        <v>#VALUE!</v>
      </c>
      <c r="K45" s="7" t="e">
        <f>averageResponseTimePorter(Dates!K$10,Dates!K$11,'Day4'!$B45)</f>
        <v>#VALUE!</v>
      </c>
      <c r="L45" s="7" t="e">
        <f>averageResponseTimePorter(Dates!L$10,Dates!L$11,'Day4'!$B45)</f>
        <v>#VALUE!</v>
      </c>
      <c r="M45" s="7" t="e">
        <f>averageResponseTimePorter(Dates!M$10,Dates!M$11,'Day4'!$B45)</f>
        <v>#VALUE!</v>
      </c>
      <c r="N45" s="7" t="e">
        <f>averageResponseTimePorter(Dates!N$10,Dates!N$11,'Day4'!$B45)</f>
        <v>#VALUE!</v>
      </c>
      <c r="O45" s="7" t="e">
        <f>averageResponseTimePorter(Dates!O$10,Dates!O$11,'Day4'!$B45)</f>
        <v>#VALUE!</v>
      </c>
      <c r="P45" s="7" t="e">
        <f>averageResponseTimePorter(Dates!P$10,Dates!P$11,'Day4'!$B45)</f>
        <v>#VALUE!</v>
      </c>
      <c r="Q45" s="7" t="e">
        <f>averageResponseTimePorter(Dates!Q$10,Dates!Q$11,'Day4'!$B45)</f>
        <v>#VALUE!</v>
      </c>
      <c r="R45" s="7" t="e">
        <f>averageResponseTimePorter(Dates!R$10,Dates!R$11,'Day4'!$B45)</f>
        <v>#VALUE!</v>
      </c>
      <c r="S45" s="7" t="e">
        <f>averageResponseTimePorter(Dates!S$10,Dates!S$11,'Day4'!$B45)</f>
        <v>#VALUE!</v>
      </c>
      <c r="T45" s="7" t="e">
        <f>averageResponseTimePorter(Dates!T$10,Dates!T$11,'Day4'!$B45)</f>
        <v>#VALUE!</v>
      </c>
      <c r="U45" s="7" t="e">
        <f>averageResponseTimePorter(Dates!$C$10,Dates!$T$11,'Day4'!$B22)</f>
        <v>#VALUE!</v>
      </c>
    </row>
    <row r="46" spans="2:21" x14ac:dyDescent="0.3">
      <c r="B46" s="11" t="str">
        <f t="shared" si="0"/>
        <v>NA23</v>
      </c>
      <c r="C46" s="7" t="e">
        <f>averageResponseTimePorter(Dates!C$10,Dates!C$11,'Day4'!$B46)</f>
        <v>#VALUE!</v>
      </c>
      <c r="D46" s="7" t="e">
        <f>averageResponseTimePorter(Dates!D$10,Dates!D$11,'Day4'!$B46)</f>
        <v>#VALUE!</v>
      </c>
      <c r="E46" s="7" t="e">
        <f>averageResponseTimePorter(Dates!E$10,Dates!E$11,'Day4'!$B46)</f>
        <v>#VALUE!</v>
      </c>
      <c r="F46" s="7" t="e">
        <f>averageResponseTimePorter(Dates!F$10,Dates!F$11,'Day4'!$B46)</f>
        <v>#VALUE!</v>
      </c>
      <c r="G46" s="7" t="e">
        <f>averageResponseTimePorter(Dates!G$10,Dates!G$11,'Day4'!$B46)</f>
        <v>#VALUE!</v>
      </c>
      <c r="H46" s="7" t="e">
        <f>averageResponseTimePorter(Dates!H$10,Dates!H$11,'Day4'!$B46)</f>
        <v>#VALUE!</v>
      </c>
      <c r="I46" s="7" t="e">
        <f>averageResponseTimePorter(Dates!I$10,Dates!I$11,'Day4'!$B46)</f>
        <v>#VALUE!</v>
      </c>
      <c r="J46" s="7" t="e">
        <f>averageResponseTimePorter(Dates!J$10,Dates!J$11,'Day4'!$B46)</f>
        <v>#VALUE!</v>
      </c>
      <c r="K46" s="7" t="e">
        <f>averageResponseTimePorter(Dates!K$10,Dates!K$11,'Day4'!$B46)</f>
        <v>#VALUE!</v>
      </c>
      <c r="L46" s="7" t="e">
        <f>averageResponseTimePorter(Dates!L$10,Dates!L$11,'Day4'!$B46)</f>
        <v>#VALUE!</v>
      </c>
      <c r="M46" s="7" t="e">
        <f>averageResponseTimePorter(Dates!M$10,Dates!M$11,'Day4'!$B46)</f>
        <v>#VALUE!</v>
      </c>
      <c r="N46" s="7" t="e">
        <f>averageResponseTimePorter(Dates!N$10,Dates!N$11,'Day4'!$B46)</f>
        <v>#VALUE!</v>
      </c>
      <c r="O46" s="7" t="e">
        <f>averageResponseTimePorter(Dates!O$10,Dates!O$11,'Day4'!$B46)</f>
        <v>#VALUE!</v>
      </c>
      <c r="P46" s="7" t="e">
        <f>averageResponseTimePorter(Dates!P$10,Dates!P$11,'Day4'!$B46)</f>
        <v>#VALUE!</v>
      </c>
      <c r="Q46" s="7" t="e">
        <f>averageResponseTimePorter(Dates!Q$10,Dates!Q$11,'Day4'!$B46)</f>
        <v>#VALUE!</v>
      </c>
      <c r="R46" s="7" t="e">
        <f>averageResponseTimePorter(Dates!R$10,Dates!R$11,'Day4'!$B46)</f>
        <v>#VALUE!</v>
      </c>
      <c r="S46" s="7" t="e">
        <f>averageResponseTimePorter(Dates!S$10,Dates!S$11,'Day4'!$B46)</f>
        <v>#VALUE!</v>
      </c>
      <c r="T46" s="7" t="e">
        <f>averageResponseTimePorter(Dates!T$10,Dates!T$11,'Day4'!$B46)</f>
        <v>#VALUE!</v>
      </c>
      <c r="U46" s="7" t="e">
        <f>averageResponseTimePorter(Dates!$C$10,Dates!$T$11,'Day4'!$B23)</f>
        <v>#VALUE!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="50" zoomScaleNormal="50" workbookViewId="0">
      <selection activeCell="N42" sqref="N42"/>
    </sheetView>
  </sheetViews>
  <sheetFormatPr defaultRowHeight="14.4" x14ac:dyDescent="0.3"/>
  <cols>
    <col min="2" max="2" width="27.21875" style="11" customWidth="1"/>
    <col min="7" max="7" width="10.21875" customWidth="1"/>
  </cols>
  <sheetData>
    <row r="1" spans="1:21" x14ac:dyDescent="0.3">
      <c r="C1" s="4" t="s">
        <v>102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111</v>
      </c>
    </row>
    <row r="2" spans="1:21" x14ac:dyDescent="0.3">
      <c r="A2" t="s">
        <v>104</v>
      </c>
      <c r="B2" s="11" t="s">
        <v>106</v>
      </c>
      <c r="C2" s="7" t="e">
        <f>averageCompletionTime(Dates!C12,Dates!C13)</f>
        <v>#VALUE!</v>
      </c>
      <c r="D2" s="7" t="e">
        <f>averageCompletionTime(Dates!D12,Dates!D13)</f>
        <v>#VALUE!</v>
      </c>
      <c r="E2" s="7" t="e">
        <f>averageCompletionTime(Dates!E12,Dates!E13)</f>
        <v>#VALUE!</v>
      </c>
      <c r="F2" s="7" t="e">
        <f>averageCompletionTime(Dates!F12,Dates!F13)</f>
        <v>#VALUE!</v>
      </c>
      <c r="G2" s="7" t="e">
        <f>averageCompletionTime(Dates!G12,Dates!G13)</f>
        <v>#VALUE!</v>
      </c>
      <c r="H2" s="7" t="e">
        <f>averageCompletionTime(Dates!H12,Dates!H13)</f>
        <v>#VALUE!</v>
      </c>
      <c r="I2" s="7" t="e">
        <f>averageCompletionTime(Dates!I12,Dates!I13)</f>
        <v>#VALUE!</v>
      </c>
      <c r="J2" s="7" t="e">
        <f>averageCompletionTime(Dates!J12,Dates!J13)</f>
        <v>#VALUE!</v>
      </c>
      <c r="K2" s="7" t="e">
        <f>averageCompletionTime(Dates!K12,Dates!K13)</f>
        <v>#VALUE!</v>
      </c>
      <c r="L2" s="7" t="e">
        <f>averageCompletionTime(Dates!L12,Dates!L13)</f>
        <v>#VALUE!</v>
      </c>
      <c r="M2" s="7" t="e">
        <f>averageCompletionTime(Dates!M12,Dates!M13)</f>
        <v>#VALUE!</v>
      </c>
      <c r="N2" s="7" t="e">
        <f>averageCompletionTime(Dates!N12,Dates!N13)</f>
        <v>#VALUE!</v>
      </c>
      <c r="O2" s="7" t="e">
        <f>averageCompletionTime(Dates!O12,Dates!O13)</f>
        <v>#VALUE!</v>
      </c>
      <c r="P2" s="7" t="e">
        <f>averageCompletionTime(Dates!P12,Dates!P13)</f>
        <v>#VALUE!</v>
      </c>
      <c r="Q2" s="7" t="e">
        <f>averageCompletionTime(Dates!Q12,Dates!Q13)</f>
        <v>#VALUE!</v>
      </c>
      <c r="R2" s="7" t="e">
        <f>averageCompletionTime(Dates!R12,Dates!R13)</f>
        <v>#VALUE!</v>
      </c>
      <c r="S2" s="7" t="e">
        <f>averageCompletionTime(Dates!S12,Dates!S13)</f>
        <v>#VALUE!</v>
      </c>
      <c r="T2" s="7" t="e">
        <f>averageCompletionTime(Dates!T12,Dates!T13)</f>
        <v>#VALUE!</v>
      </c>
      <c r="U2" s="7" t="e">
        <f>averageCompletionTime(Dates!C12,Dates!T13)</f>
        <v>#VALUE!</v>
      </c>
    </row>
    <row r="3" spans="1:21" x14ac:dyDescent="0.3">
      <c r="A3" s="10" t="s">
        <v>105</v>
      </c>
      <c r="B3" s="12"/>
      <c r="C3" s="7" t="e">
        <f>averageCompletionTimePorter(Dates!C$12,Dates!C$13,'Day5'!$B3)</f>
        <v>#VALUE!</v>
      </c>
      <c r="D3" s="7" t="e">
        <f>averageCompletionTimePorter(Dates!D$12,Dates!D$13,'Day5'!$B3)</f>
        <v>#VALUE!</v>
      </c>
      <c r="E3" s="7" t="e">
        <f>averageCompletionTimePorter(Dates!E$12,Dates!E$13,'Day5'!$B3)</f>
        <v>#VALUE!</v>
      </c>
      <c r="F3" s="7" t="e">
        <f>averageCompletionTimePorter(Dates!F$12,Dates!F$13,'Day5'!$B3)</f>
        <v>#VALUE!</v>
      </c>
      <c r="G3" s="7" t="e">
        <f>averageCompletionTimePorter(Dates!G$12,Dates!G$13,'Day5'!$B3)</f>
        <v>#VALUE!</v>
      </c>
      <c r="H3" s="7" t="e">
        <f>averageCompletionTimePorter(Dates!H$12,Dates!H$13,'Day5'!$B3)</f>
        <v>#VALUE!</v>
      </c>
      <c r="I3" s="7" t="e">
        <f>averageCompletionTimePorter(Dates!I$12,Dates!I$13,'Day5'!$B3)</f>
        <v>#VALUE!</v>
      </c>
      <c r="J3" s="7" t="e">
        <f>averageCompletionTimePorter(Dates!J$12,Dates!J$13,'Day5'!$B3)</f>
        <v>#VALUE!</v>
      </c>
      <c r="K3" s="7" t="e">
        <f>averageCompletionTimePorter(Dates!K$12,Dates!K$13,'Day5'!$B3)</f>
        <v>#VALUE!</v>
      </c>
      <c r="L3" s="7" t="e">
        <f>averageCompletionTimePorter(Dates!L$12,Dates!L$13,'Day5'!$B3)</f>
        <v>#VALUE!</v>
      </c>
      <c r="M3" s="7" t="e">
        <f>averageCompletionTimePorter(Dates!M$12,Dates!M$13,'Day5'!$B3)</f>
        <v>#VALUE!</v>
      </c>
      <c r="N3" s="7" t="e">
        <f>averageCompletionTimePorter(Dates!N$12,Dates!N$13,'Day5'!$B3)</f>
        <v>#VALUE!</v>
      </c>
      <c r="O3" s="7" t="e">
        <f>averageCompletionTimePorter(Dates!O$12,Dates!O$13,'Day5'!$B3)</f>
        <v>#VALUE!</v>
      </c>
      <c r="P3" s="7" t="e">
        <f>averageCompletionTimePorter(Dates!P$12,Dates!P$13,'Day5'!$B3)</f>
        <v>#VALUE!</v>
      </c>
      <c r="Q3" s="7" t="e">
        <f>averageCompletionTimePorter(Dates!Q$12,Dates!Q$13,'Day5'!$B3)</f>
        <v>#VALUE!</v>
      </c>
      <c r="R3" s="7" t="e">
        <f>averageCompletionTimePorter(Dates!R$12,Dates!R$13,'Day5'!$B3)</f>
        <v>#VALUE!</v>
      </c>
      <c r="S3" s="7" t="e">
        <f>averageCompletionTimePorter(Dates!S$12,Dates!S$13,'Day5'!$B3)</f>
        <v>#VALUE!</v>
      </c>
      <c r="T3" s="7" t="e">
        <f>averageCompletionTimePorter(Dates!T$12,Dates!T$13,'Day5'!$B3)</f>
        <v>#VALUE!</v>
      </c>
      <c r="U3" s="7" t="e">
        <f>averageCompletionTimePorter(Dates!$C$12,Dates!$T$13,'Day5'!$B3)</f>
        <v>#VALUE!</v>
      </c>
    </row>
    <row r="4" spans="1:21" x14ac:dyDescent="0.3">
      <c r="A4" s="10"/>
      <c r="B4" s="12" t="s">
        <v>372</v>
      </c>
      <c r="C4" s="7" t="e">
        <f>averageCompletionTimePorter(Dates!C$12,Dates!C$13,'Day5'!$B4)</f>
        <v>#VALUE!</v>
      </c>
      <c r="D4" s="7" t="e">
        <f>averageCompletionTimePorter(Dates!D$12,Dates!D$13,'Day5'!$B4)</f>
        <v>#VALUE!</v>
      </c>
      <c r="E4" s="7" t="e">
        <f>averageCompletionTimePorter(Dates!E$12,Dates!E$13,'Day5'!$B4)</f>
        <v>#VALUE!</v>
      </c>
      <c r="F4" s="7" t="e">
        <f>averageCompletionTimePorter(Dates!F$12,Dates!F$13,'Day5'!$B4)</f>
        <v>#VALUE!</v>
      </c>
      <c r="G4" s="7" t="e">
        <f>averageCompletionTimePorter(Dates!G$12,Dates!G$13,'Day5'!$B4)</f>
        <v>#VALUE!</v>
      </c>
      <c r="H4" s="7" t="e">
        <f>averageCompletionTimePorter(Dates!H$12,Dates!H$13,'Day5'!$B4)</f>
        <v>#VALUE!</v>
      </c>
      <c r="I4" s="7" t="e">
        <f>averageCompletionTimePorter(Dates!I$12,Dates!I$13,'Day5'!$B4)</f>
        <v>#VALUE!</v>
      </c>
      <c r="J4" s="7" t="e">
        <f>averageCompletionTimePorter(Dates!J$12,Dates!J$13,'Day5'!$B4)</f>
        <v>#VALUE!</v>
      </c>
      <c r="K4" s="7" t="e">
        <f>averageCompletionTimePorter(Dates!K$12,Dates!K$13,'Day5'!$B4)</f>
        <v>#VALUE!</v>
      </c>
      <c r="L4" s="7" t="e">
        <f>averageCompletionTimePorter(Dates!L$12,Dates!L$13,'Day5'!$B4)</f>
        <v>#VALUE!</v>
      </c>
      <c r="M4" s="7" t="e">
        <f>averageCompletionTimePorter(Dates!M$12,Dates!M$13,'Day5'!$B4)</f>
        <v>#VALUE!</v>
      </c>
      <c r="N4" s="7" t="e">
        <f>averageCompletionTimePorter(Dates!N$12,Dates!N$13,'Day5'!$B4)</f>
        <v>#VALUE!</v>
      </c>
      <c r="O4" s="7" t="e">
        <f>averageCompletionTimePorter(Dates!O$12,Dates!O$13,'Day5'!$B4)</f>
        <v>#VALUE!</v>
      </c>
      <c r="P4" s="7" t="e">
        <f>averageCompletionTimePorter(Dates!P$12,Dates!P$13,'Day5'!$B4)</f>
        <v>#VALUE!</v>
      </c>
      <c r="Q4" s="7" t="e">
        <f>averageCompletionTimePorter(Dates!Q$12,Dates!Q$13,'Day5'!$B4)</f>
        <v>#VALUE!</v>
      </c>
      <c r="R4" s="7" t="e">
        <f>averageCompletionTimePorter(Dates!R$12,Dates!R$13,'Day5'!$B4)</f>
        <v>#VALUE!</v>
      </c>
      <c r="S4" s="7" t="e">
        <f>averageCompletionTimePorter(Dates!S$12,Dates!S$13,'Day5'!$B4)</f>
        <v>#VALUE!</v>
      </c>
      <c r="T4" s="7" t="e">
        <f>averageCompletionTimePorter(Dates!T$12,Dates!T$13,'Day5'!$B4)</f>
        <v>#VALUE!</v>
      </c>
      <c r="U4" s="7" t="e">
        <f>averageCompletionTimePorter(Dates!$C$12,Dates!$T$13,'Day5'!$B4)</f>
        <v>#VALUE!</v>
      </c>
    </row>
    <row r="5" spans="1:21" x14ac:dyDescent="0.3">
      <c r="A5" s="10"/>
      <c r="B5" s="12" t="s">
        <v>373</v>
      </c>
      <c r="C5" s="7" t="e">
        <f>averageCompletionTimePorter(Dates!C$12,Dates!C$13,'Day5'!$B5)</f>
        <v>#VALUE!</v>
      </c>
      <c r="D5" s="7" t="e">
        <f>averageCompletionTimePorter(Dates!D$12,Dates!D$13,'Day5'!$B5)</f>
        <v>#VALUE!</v>
      </c>
      <c r="E5" s="7" t="e">
        <f>averageCompletionTimePorter(Dates!E$12,Dates!E$13,'Day5'!$B5)</f>
        <v>#VALUE!</v>
      </c>
      <c r="F5" s="7" t="e">
        <f>averageCompletionTimePorter(Dates!F$12,Dates!F$13,'Day5'!$B5)</f>
        <v>#VALUE!</v>
      </c>
      <c r="G5" s="7" t="e">
        <f>averageCompletionTimePorter(Dates!G$12,Dates!G$13,'Day5'!$B5)</f>
        <v>#VALUE!</v>
      </c>
      <c r="H5" s="7" t="e">
        <f>averageCompletionTimePorter(Dates!H$12,Dates!H$13,'Day5'!$B5)</f>
        <v>#VALUE!</v>
      </c>
      <c r="I5" s="7" t="e">
        <f>averageCompletionTimePorter(Dates!I$12,Dates!I$13,'Day5'!$B5)</f>
        <v>#VALUE!</v>
      </c>
      <c r="J5" s="7" t="e">
        <f>averageCompletionTimePorter(Dates!J$12,Dates!J$13,'Day5'!$B5)</f>
        <v>#VALUE!</v>
      </c>
      <c r="K5" s="7" t="e">
        <f>averageCompletionTimePorter(Dates!K$12,Dates!K$13,'Day5'!$B5)</f>
        <v>#VALUE!</v>
      </c>
      <c r="L5" s="7" t="e">
        <f>averageCompletionTimePorter(Dates!L$12,Dates!L$13,'Day5'!$B5)</f>
        <v>#VALUE!</v>
      </c>
      <c r="M5" s="7" t="e">
        <f>averageCompletionTimePorter(Dates!M$12,Dates!M$13,'Day5'!$B5)</f>
        <v>#VALUE!</v>
      </c>
      <c r="N5" s="7" t="e">
        <f>averageCompletionTimePorter(Dates!N$12,Dates!N$13,'Day5'!$B5)</f>
        <v>#VALUE!</v>
      </c>
      <c r="O5" s="7" t="e">
        <f>averageCompletionTimePorter(Dates!O$12,Dates!O$13,'Day5'!$B5)</f>
        <v>#VALUE!</v>
      </c>
      <c r="P5" s="7" t="e">
        <f>averageCompletionTimePorter(Dates!P$12,Dates!P$13,'Day5'!$B5)</f>
        <v>#VALUE!</v>
      </c>
      <c r="Q5" s="7" t="e">
        <f>averageCompletionTimePorter(Dates!Q$12,Dates!Q$13,'Day5'!$B5)</f>
        <v>#VALUE!</v>
      </c>
      <c r="R5" s="7" t="e">
        <f>averageCompletionTimePorter(Dates!R$12,Dates!R$13,'Day5'!$B5)</f>
        <v>#VALUE!</v>
      </c>
      <c r="S5" s="7" t="e">
        <f>averageCompletionTimePorter(Dates!S$12,Dates!S$13,'Day5'!$B5)</f>
        <v>#VALUE!</v>
      </c>
      <c r="T5" s="7" t="e">
        <f>averageCompletionTimePorter(Dates!T$12,Dates!T$13,'Day5'!$B5)</f>
        <v>#VALUE!</v>
      </c>
      <c r="U5" s="7" t="e">
        <f>averageCompletionTimePorter(Dates!$C$12,Dates!$T$13,'Day5'!$B5)</f>
        <v>#VALUE!</v>
      </c>
    </row>
    <row r="6" spans="1:21" x14ac:dyDescent="0.3">
      <c r="A6" s="10"/>
      <c r="B6" s="12" t="s">
        <v>374</v>
      </c>
      <c r="C6" s="7" t="e">
        <f>averageCompletionTimePorter(Dates!C$12,Dates!C$13,'Day5'!$B6)</f>
        <v>#VALUE!</v>
      </c>
      <c r="D6" s="7" t="e">
        <f>averageCompletionTimePorter(Dates!D$12,Dates!D$13,'Day5'!$B6)</f>
        <v>#VALUE!</v>
      </c>
      <c r="E6" s="7" t="e">
        <f>averageCompletionTimePorter(Dates!E$12,Dates!E$13,'Day5'!$B6)</f>
        <v>#VALUE!</v>
      </c>
      <c r="F6" s="7" t="e">
        <f>averageCompletionTimePorter(Dates!F$12,Dates!F$13,'Day5'!$B6)</f>
        <v>#VALUE!</v>
      </c>
      <c r="G6" s="7" t="e">
        <f>averageCompletionTimePorter(Dates!G$12,Dates!G$13,'Day5'!$B6)</f>
        <v>#VALUE!</v>
      </c>
      <c r="H6" s="7" t="e">
        <f>averageCompletionTimePorter(Dates!H$12,Dates!H$13,'Day5'!$B6)</f>
        <v>#VALUE!</v>
      </c>
      <c r="I6" s="7" t="e">
        <f>averageCompletionTimePorter(Dates!I$12,Dates!I$13,'Day5'!$B6)</f>
        <v>#VALUE!</v>
      </c>
      <c r="J6" s="7" t="e">
        <f>averageCompletionTimePorter(Dates!J$12,Dates!J$13,'Day5'!$B6)</f>
        <v>#VALUE!</v>
      </c>
      <c r="K6" s="7" t="e">
        <f>averageCompletionTimePorter(Dates!K$12,Dates!K$13,'Day5'!$B6)</f>
        <v>#VALUE!</v>
      </c>
      <c r="L6" s="7" t="e">
        <f>averageCompletionTimePorter(Dates!L$12,Dates!L$13,'Day5'!$B6)</f>
        <v>#VALUE!</v>
      </c>
      <c r="M6" s="7" t="e">
        <f>averageCompletionTimePorter(Dates!M$12,Dates!M$13,'Day5'!$B6)</f>
        <v>#VALUE!</v>
      </c>
      <c r="N6" s="7" t="e">
        <f>averageCompletionTimePorter(Dates!N$12,Dates!N$13,'Day5'!$B6)</f>
        <v>#VALUE!</v>
      </c>
      <c r="O6" s="7" t="e">
        <f>averageCompletionTimePorter(Dates!O$12,Dates!O$13,'Day5'!$B6)</f>
        <v>#VALUE!</v>
      </c>
      <c r="P6" s="7" t="e">
        <f>averageCompletionTimePorter(Dates!P$12,Dates!P$13,'Day5'!$B6)</f>
        <v>#VALUE!</v>
      </c>
      <c r="Q6" s="7" t="e">
        <f>averageCompletionTimePorter(Dates!Q$12,Dates!Q$13,'Day5'!$B6)</f>
        <v>#VALUE!</v>
      </c>
      <c r="R6" s="7" t="e">
        <f>averageCompletionTimePorter(Dates!R$12,Dates!R$13,'Day5'!$B6)</f>
        <v>#VALUE!</v>
      </c>
      <c r="S6" s="7" t="e">
        <f>averageCompletionTimePorter(Dates!S$12,Dates!S$13,'Day5'!$B6)</f>
        <v>#VALUE!</v>
      </c>
      <c r="T6" s="7" t="e">
        <f>averageCompletionTimePorter(Dates!T$12,Dates!T$13,'Day5'!$B6)</f>
        <v>#VALUE!</v>
      </c>
      <c r="U6" s="7" t="e">
        <f>averageCompletionTimePorter(Dates!$C$12,Dates!$T$13,'Day5'!$B6)</f>
        <v>#VALUE!</v>
      </c>
    </row>
    <row r="7" spans="1:21" x14ac:dyDescent="0.3">
      <c r="A7" s="10"/>
      <c r="B7" s="12" t="s">
        <v>375</v>
      </c>
      <c r="C7" s="7" t="e">
        <f>averageCompletionTimePorter(Dates!C$12,Dates!C$13,'Day5'!$B7)</f>
        <v>#VALUE!</v>
      </c>
      <c r="D7" s="7" t="e">
        <f>averageCompletionTimePorter(Dates!D$12,Dates!D$13,'Day5'!$B7)</f>
        <v>#VALUE!</v>
      </c>
      <c r="E7" s="7" t="e">
        <f>averageCompletionTimePorter(Dates!E$12,Dates!E$13,'Day5'!$B7)</f>
        <v>#VALUE!</v>
      </c>
      <c r="F7" s="7" t="e">
        <f>averageCompletionTimePorter(Dates!F$12,Dates!F$13,'Day5'!$B7)</f>
        <v>#VALUE!</v>
      </c>
      <c r="G7" s="7" t="e">
        <f>averageCompletionTimePorter(Dates!G$12,Dates!G$13,'Day5'!$B7)</f>
        <v>#VALUE!</v>
      </c>
      <c r="H7" s="7" t="e">
        <f>averageCompletionTimePorter(Dates!H$12,Dates!H$13,'Day5'!$B7)</f>
        <v>#VALUE!</v>
      </c>
      <c r="I7" s="7" t="e">
        <f>averageCompletionTimePorter(Dates!I$12,Dates!I$13,'Day5'!$B7)</f>
        <v>#VALUE!</v>
      </c>
      <c r="J7" s="7" t="e">
        <f>averageCompletionTimePorter(Dates!J$12,Dates!J$13,'Day5'!$B7)</f>
        <v>#VALUE!</v>
      </c>
      <c r="K7" s="7" t="e">
        <f>averageCompletionTimePorter(Dates!K$12,Dates!K$13,'Day5'!$B7)</f>
        <v>#VALUE!</v>
      </c>
      <c r="L7" s="7" t="e">
        <f>averageCompletionTimePorter(Dates!L$12,Dates!L$13,'Day5'!$B7)</f>
        <v>#VALUE!</v>
      </c>
      <c r="M7" s="7" t="e">
        <f>averageCompletionTimePorter(Dates!M$12,Dates!M$13,'Day5'!$B7)</f>
        <v>#VALUE!</v>
      </c>
      <c r="N7" s="7" t="e">
        <f>averageCompletionTimePorter(Dates!N$12,Dates!N$13,'Day5'!$B7)</f>
        <v>#VALUE!</v>
      </c>
      <c r="O7" s="7" t="e">
        <f>averageCompletionTimePorter(Dates!O$12,Dates!O$13,'Day5'!$B7)</f>
        <v>#VALUE!</v>
      </c>
      <c r="P7" s="7" t="e">
        <f>averageCompletionTimePorter(Dates!P$12,Dates!P$13,'Day5'!$B7)</f>
        <v>#VALUE!</v>
      </c>
      <c r="Q7" s="7" t="e">
        <f>averageCompletionTimePorter(Dates!Q$12,Dates!Q$13,'Day5'!$B7)</f>
        <v>#VALUE!</v>
      </c>
      <c r="R7" s="7" t="e">
        <f>averageCompletionTimePorter(Dates!R$12,Dates!R$13,'Day5'!$B7)</f>
        <v>#VALUE!</v>
      </c>
      <c r="S7" s="7" t="e">
        <f>averageCompletionTimePorter(Dates!S$12,Dates!S$13,'Day5'!$B7)</f>
        <v>#VALUE!</v>
      </c>
      <c r="T7" s="7" t="e">
        <f>averageCompletionTimePorter(Dates!T$12,Dates!T$13,'Day5'!$B7)</f>
        <v>#VALUE!</v>
      </c>
      <c r="U7" s="7" t="e">
        <f>averageCompletionTimePorter(Dates!$C$12,Dates!$T$13,'Day5'!$B7)</f>
        <v>#VALUE!</v>
      </c>
    </row>
    <row r="8" spans="1:21" x14ac:dyDescent="0.3">
      <c r="A8" s="10"/>
      <c r="B8" s="12" t="s">
        <v>376</v>
      </c>
      <c r="C8" s="7" t="e">
        <f>averageCompletionTimePorter(Dates!C$12,Dates!C$13,'Day5'!$B8)</f>
        <v>#VALUE!</v>
      </c>
      <c r="D8" s="7" t="e">
        <f>averageCompletionTimePorter(Dates!D$12,Dates!D$13,'Day5'!$B8)</f>
        <v>#VALUE!</v>
      </c>
      <c r="E8" s="7" t="e">
        <f>averageCompletionTimePorter(Dates!E$12,Dates!E$13,'Day5'!$B8)</f>
        <v>#VALUE!</v>
      </c>
      <c r="F8" s="7" t="e">
        <f>averageCompletionTimePorter(Dates!F$12,Dates!F$13,'Day5'!$B8)</f>
        <v>#VALUE!</v>
      </c>
      <c r="G8" s="7" t="e">
        <f>averageCompletionTimePorter(Dates!G$12,Dates!G$13,'Day5'!$B8)</f>
        <v>#VALUE!</v>
      </c>
      <c r="H8" s="7" t="e">
        <f>averageCompletionTimePorter(Dates!H$12,Dates!H$13,'Day5'!$B8)</f>
        <v>#VALUE!</v>
      </c>
      <c r="I8" s="7" t="e">
        <f>averageCompletionTimePorter(Dates!I$12,Dates!I$13,'Day5'!$B8)</f>
        <v>#VALUE!</v>
      </c>
      <c r="J8" s="7" t="e">
        <f>averageCompletionTimePorter(Dates!J$12,Dates!J$13,'Day5'!$B8)</f>
        <v>#VALUE!</v>
      </c>
      <c r="K8" s="7" t="e">
        <f>averageCompletionTimePorter(Dates!K$12,Dates!K$13,'Day5'!$B8)</f>
        <v>#VALUE!</v>
      </c>
      <c r="L8" s="7" t="e">
        <f>averageCompletionTimePorter(Dates!L$12,Dates!L$13,'Day5'!$B8)</f>
        <v>#VALUE!</v>
      </c>
      <c r="M8" s="7" t="e">
        <f>averageCompletionTimePorter(Dates!M$12,Dates!M$13,'Day5'!$B8)</f>
        <v>#VALUE!</v>
      </c>
      <c r="N8" s="7" t="e">
        <f>averageCompletionTimePorter(Dates!N$12,Dates!N$13,'Day5'!$B8)</f>
        <v>#VALUE!</v>
      </c>
      <c r="O8" s="7" t="e">
        <f>averageCompletionTimePorter(Dates!O$12,Dates!O$13,'Day5'!$B8)</f>
        <v>#VALUE!</v>
      </c>
      <c r="P8" s="7" t="e">
        <f>averageCompletionTimePorter(Dates!P$12,Dates!P$13,'Day5'!$B8)</f>
        <v>#VALUE!</v>
      </c>
      <c r="Q8" s="7" t="e">
        <f>averageCompletionTimePorter(Dates!Q$12,Dates!Q$13,'Day5'!$B8)</f>
        <v>#VALUE!</v>
      </c>
      <c r="R8" s="7" t="e">
        <f>averageCompletionTimePorter(Dates!R$12,Dates!R$13,'Day5'!$B8)</f>
        <v>#VALUE!</v>
      </c>
      <c r="S8" s="7" t="e">
        <f>averageCompletionTimePorter(Dates!S$12,Dates!S$13,'Day5'!$B8)</f>
        <v>#VALUE!</v>
      </c>
      <c r="T8" s="7" t="e">
        <f>averageCompletionTimePorter(Dates!T$12,Dates!T$13,'Day5'!$B8)</f>
        <v>#VALUE!</v>
      </c>
      <c r="U8" s="7" t="e">
        <f>averageCompletionTimePorter(Dates!$C$12,Dates!$T$13,'Day5'!$B8)</f>
        <v>#VALUE!</v>
      </c>
    </row>
    <row r="9" spans="1:21" x14ac:dyDescent="0.3">
      <c r="A9" s="10"/>
      <c r="B9" s="12" t="s">
        <v>377</v>
      </c>
      <c r="C9" s="7" t="e">
        <f>averageCompletionTimePorter(Dates!C$12,Dates!C$13,'Day5'!$B9)</f>
        <v>#VALUE!</v>
      </c>
      <c r="D9" s="7" t="e">
        <f>averageCompletionTimePorter(Dates!D$12,Dates!D$13,'Day5'!$B9)</f>
        <v>#VALUE!</v>
      </c>
      <c r="E9" s="7" t="e">
        <f>averageCompletionTimePorter(Dates!E$12,Dates!E$13,'Day5'!$B9)</f>
        <v>#VALUE!</v>
      </c>
      <c r="F9" s="7" t="e">
        <f>averageCompletionTimePorter(Dates!F$12,Dates!F$13,'Day5'!$B9)</f>
        <v>#VALUE!</v>
      </c>
      <c r="G9" s="7" t="e">
        <f>averageCompletionTimePorter(Dates!G$12,Dates!G$13,'Day5'!$B9)</f>
        <v>#VALUE!</v>
      </c>
      <c r="H9" s="7" t="e">
        <f>averageCompletionTimePorter(Dates!H$12,Dates!H$13,'Day5'!$B9)</f>
        <v>#VALUE!</v>
      </c>
      <c r="I9" s="7" t="e">
        <f>averageCompletionTimePorter(Dates!I$12,Dates!I$13,'Day5'!$B9)</f>
        <v>#VALUE!</v>
      </c>
      <c r="J9" s="7" t="e">
        <f>averageCompletionTimePorter(Dates!J$12,Dates!J$13,'Day5'!$B9)</f>
        <v>#VALUE!</v>
      </c>
      <c r="K9" s="7" t="e">
        <f>averageCompletionTimePorter(Dates!K$12,Dates!K$13,'Day5'!$B9)</f>
        <v>#VALUE!</v>
      </c>
      <c r="L9" s="7" t="e">
        <f>averageCompletionTimePorter(Dates!L$12,Dates!L$13,'Day5'!$B9)</f>
        <v>#VALUE!</v>
      </c>
      <c r="M9" s="7" t="e">
        <f>averageCompletionTimePorter(Dates!M$12,Dates!M$13,'Day5'!$B9)</f>
        <v>#VALUE!</v>
      </c>
      <c r="N9" s="7" t="e">
        <f>averageCompletionTimePorter(Dates!N$12,Dates!N$13,'Day5'!$B9)</f>
        <v>#VALUE!</v>
      </c>
      <c r="O9" s="7" t="e">
        <f>averageCompletionTimePorter(Dates!O$12,Dates!O$13,'Day5'!$B9)</f>
        <v>#VALUE!</v>
      </c>
      <c r="P9" s="7" t="e">
        <f>averageCompletionTimePorter(Dates!P$12,Dates!P$13,'Day5'!$B9)</f>
        <v>#VALUE!</v>
      </c>
      <c r="Q9" s="7" t="e">
        <f>averageCompletionTimePorter(Dates!Q$12,Dates!Q$13,'Day5'!$B9)</f>
        <v>#VALUE!</v>
      </c>
      <c r="R9" s="7" t="e">
        <f>averageCompletionTimePorter(Dates!R$12,Dates!R$13,'Day5'!$B9)</f>
        <v>#VALUE!</v>
      </c>
      <c r="S9" s="7" t="e">
        <f>averageCompletionTimePorter(Dates!S$12,Dates!S$13,'Day5'!$B9)</f>
        <v>#VALUE!</v>
      </c>
      <c r="T9" s="7" t="e">
        <f>averageCompletionTimePorter(Dates!T$12,Dates!T$13,'Day5'!$B9)</f>
        <v>#VALUE!</v>
      </c>
      <c r="U9" s="7" t="e">
        <f>averageCompletionTimePorter(Dates!$C$12,Dates!$T$13,'Day5'!$B9)</f>
        <v>#VALUE!</v>
      </c>
    </row>
    <row r="10" spans="1:21" x14ac:dyDescent="0.3">
      <c r="A10" s="10"/>
      <c r="B10" s="12" t="s">
        <v>378</v>
      </c>
      <c r="C10" s="7" t="e">
        <f>averageCompletionTimePorter(Dates!C$12,Dates!C$13,'Day5'!$B10)</f>
        <v>#VALUE!</v>
      </c>
      <c r="D10" s="7" t="e">
        <f>averageCompletionTimePorter(Dates!D$12,Dates!D$13,'Day5'!$B10)</f>
        <v>#VALUE!</v>
      </c>
      <c r="E10" s="7" t="e">
        <f>averageCompletionTimePorter(Dates!E$12,Dates!E$13,'Day5'!$B10)</f>
        <v>#VALUE!</v>
      </c>
      <c r="F10" s="7" t="e">
        <f>averageCompletionTimePorter(Dates!F$12,Dates!F$13,'Day5'!$B10)</f>
        <v>#VALUE!</v>
      </c>
      <c r="G10" s="7" t="e">
        <f>averageCompletionTimePorter(Dates!G$12,Dates!G$13,'Day5'!$B10)</f>
        <v>#VALUE!</v>
      </c>
      <c r="H10" s="7" t="e">
        <f>averageCompletionTimePorter(Dates!H$12,Dates!H$13,'Day5'!$B10)</f>
        <v>#VALUE!</v>
      </c>
      <c r="I10" s="7" t="e">
        <f>averageCompletionTimePorter(Dates!I$12,Dates!I$13,'Day5'!$B10)</f>
        <v>#VALUE!</v>
      </c>
      <c r="J10" s="7" t="e">
        <f>averageCompletionTimePorter(Dates!J$12,Dates!J$13,'Day5'!$B10)</f>
        <v>#VALUE!</v>
      </c>
      <c r="K10" s="7" t="e">
        <f>averageCompletionTimePorter(Dates!K$12,Dates!K$13,'Day5'!$B10)</f>
        <v>#VALUE!</v>
      </c>
      <c r="L10" s="7" t="e">
        <f>averageCompletionTimePorter(Dates!L$12,Dates!L$13,'Day5'!$B10)</f>
        <v>#VALUE!</v>
      </c>
      <c r="M10" s="7" t="e">
        <f>averageCompletionTimePorter(Dates!M$12,Dates!M$13,'Day5'!$B10)</f>
        <v>#VALUE!</v>
      </c>
      <c r="N10" s="7" t="e">
        <f>averageCompletionTimePorter(Dates!N$12,Dates!N$13,'Day5'!$B10)</f>
        <v>#VALUE!</v>
      </c>
      <c r="O10" s="7" t="e">
        <f>averageCompletionTimePorter(Dates!O$12,Dates!O$13,'Day5'!$B10)</f>
        <v>#VALUE!</v>
      </c>
      <c r="P10" s="7" t="e">
        <f>averageCompletionTimePorter(Dates!P$12,Dates!P$13,'Day5'!$B10)</f>
        <v>#VALUE!</v>
      </c>
      <c r="Q10" s="7" t="e">
        <f>averageCompletionTimePorter(Dates!Q$12,Dates!Q$13,'Day5'!$B10)</f>
        <v>#VALUE!</v>
      </c>
      <c r="R10" s="7" t="e">
        <f>averageCompletionTimePorter(Dates!R$12,Dates!R$13,'Day5'!$B10)</f>
        <v>#VALUE!</v>
      </c>
      <c r="S10" s="7" t="e">
        <f>averageCompletionTimePorter(Dates!S$12,Dates!S$13,'Day5'!$B10)</f>
        <v>#VALUE!</v>
      </c>
      <c r="T10" s="7" t="e">
        <f>averageCompletionTimePorter(Dates!T$12,Dates!T$13,'Day5'!$B10)</f>
        <v>#VALUE!</v>
      </c>
      <c r="U10" s="7" t="e">
        <f>averageCompletionTimePorter(Dates!$C$12,Dates!$T$13,'Day5'!$B10)</f>
        <v>#VALUE!</v>
      </c>
    </row>
    <row r="11" spans="1:21" x14ac:dyDescent="0.3">
      <c r="A11" s="10"/>
      <c r="B11" s="12" t="s">
        <v>379</v>
      </c>
      <c r="C11" s="7" t="e">
        <f>averageCompletionTimePorter(Dates!C$12,Dates!C$13,'Day5'!$B11)</f>
        <v>#VALUE!</v>
      </c>
      <c r="D11" s="7" t="e">
        <f>averageCompletionTimePorter(Dates!D$12,Dates!D$13,'Day5'!$B11)</f>
        <v>#VALUE!</v>
      </c>
      <c r="E11" s="7" t="e">
        <f>averageCompletionTimePorter(Dates!E$12,Dates!E$13,'Day5'!$B11)</f>
        <v>#VALUE!</v>
      </c>
      <c r="F11" s="7" t="e">
        <f>averageCompletionTimePorter(Dates!F$12,Dates!F$13,'Day5'!$B11)</f>
        <v>#VALUE!</v>
      </c>
      <c r="G11" s="7" t="e">
        <f>averageCompletionTimePorter(Dates!G$12,Dates!G$13,'Day5'!$B11)</f>
        <v>#VALUE!</v>
      </c>
      <c r="H11" s="7" t="e">
        <f>averageCompletionTimePorter(Dates!H$12,Dates!H$13,'Day5'!$B11)</f>
        <v>#VALUE!</v>
      </c>
      <c r="I11" s="7" t="e">
        <f>averageCompletionTimePorter(Dates!I$12,Dates!I$13,'Day5'!$B11)</f>
        <v>#VALUE!</v>
      </c>
      <c r="J11" s="7" t="e">
        <f>averageCompletionTimePorter(Dates!J$12,Dates!J$13,'Day5'!$B11)</f>
        <v>#VALUE!</v>
      </c>
      <c r="K11" s="7" t="e">
        <f>averageCompletionTimePorter(Dates!K$12,Dates!K$13,'Day5'!$B11)</f>
        <v>#VALUE!</v>
      </c>
      <c r="L11" s="7" t="e">
        <f>averageCompletionTimePorter(Dates!L$12,Dates!L$13,'Day5'!$B11)</f>
        <v>#VALUE!</v>
      </c>
      <c r="M11" s="7" t="e">
        <f>averageCompletionTimePorter(Dates!M$12,Dates!M$13,'Day5'!$B11)</f>
        <v>#VALUE!</v>
      </c>
      <c r="N11" s="7" t="e">
        <f>averageCompletionTimePorter(Dates!N$12,Dates!N$13,'Day5'!$B11)</f>
        <v>#VALUE!</v>
      </c>
      <c r="O11" s="7" t="e">
        <f>averageCompletionTimePorter(Dates!O$12,Dates!O$13,'Day5'!$B11)</f>
        <v>#VALUE!</v>
      </c>
      <c r="P11" s="7" t="e">
        <f>averageCompletionTimePorter(Dates!P$12,Dates!P$13,'Day5'!$B11)</f>
        <v>#VALUE!</v>
      </c>
      <c r="Q11" s="7" t="e">
        <f>averageCompletionTimePorter(Dates!Q$12,Dates!Q$13,'Day5'!$B11)</f>
        <v>#VALUE!</v>
      </c>
      <c r="R11" s="7" t="e">
        <f>averageCompletionTimePorter(Dates!R$12,Dates!R$13,'Day5'!$B11)</f>
        <v>#VALUE!</v>
      </c>
      <c r="S11" s="7" t="e">
        <f>averageCompletionTimePorter(Dates!S$12,Dates!S$13,'Day5'!$B11)</f>
        <v>#VALUE!</v>
      </c>
      <c r="T11" s="7" t="e">
        <f>averageCompletionTimePorter(Dates!T$12,Dates!T$13,'Day5'!$B11)</f>
        <v>#VALUE!</v>
      </c>
      <c r="U11" s="7" t="e">
        <f>averageCompletionTimePorter(Dates!$C$12,Dates!$T$13,'Day5'!$B11)</f>
        <v>#VALUE!</v>
      </c>
    </row>
    <row r="12" spans="1:21" x14ac:dyDescent="0.3">
      <c r="A12" s="10"/>
      <c r="B12" s="12" t="s">
        <v>380</v>
      </c>
      <c r="C12" s="7" t="e">
        <f>averageCompletionTimePorter(Dates!C$12,Dates!C$13,'Day5'!$B12)</f>
        <v>#VALUE!</v>
      </c>
      <c r="D12" s="7" t="e">
        <f>averageCompletionTimePorter(Dates!D$12,Dates!D$13,'Day5'!$B12)</f>
        <v>#VALUE!</v>
      </c>
      <c r="E12" s="7" t="e">
        <f>averageCompletionTimePorter(Dates!E$12,Dates!E$13,'Day5'!$B12)</f>
        <v>#VALUE!</v>
      </c>
      <c r="F12" s="7" t="e">
        <f>averageCompletionTimePorter(Dates!F$12,Dates!F$13,'Day5'!$B12)</f>
        <v>#VALUE!</v>
      </c>
      <c r="G12" s="7" t="e">
        <f>averageCompletionTimePorter(Dates!G$12,Dates!G$13,'Day5'!$B12)</f>
        <v>#VALUE!</v>
      </c>
      <c r="H12" s="7" t="e">
        <f>averageCompletionTimePorter(Dates!H$12,Dates!H$13,'Day5'!$B12)</f>
        <v>#VALUE!</v>
      </c>
      <c r="I12" s="7" t="e">
        <f>averageCompletionTimePorter(Dates!I$12,Dates!I$13,'Day5'!$B12)</f>
        <v>#VALUE!</v>
      </c>
      <c r="J12" s="7" t="e">
        <f>averageCompletionTimePorter(Dates!J$12,Dates!J$13,'Day5'!$B12)</f>
        <v>#VALUE!</v>
      </c>
      <c r="K12" s="7" t="e">
        <f>averageCompletionTimePorter(Dates!K$12,Dates!K$13,'Day5'!$B12)</f>
        <v>#VALUE!</v>
      </c>
      <c r="L12" s="7" t="e">
        <f>averageCompletionTimePorter(Dates!L$12,Dates!L$13,'Day5'!$B12)</f>
        <v>#VALUE!</v>
      </c>
      <c r="M12" s="7" t="e">
        <f>averageCompletionTimePorter(Dates!M$12,Dates!M$13,'Day5'!$B12)</f>
        <v>#VALUE!</v>
      </c>
      <c r="N12" s="7" t="e">
        <f>averageCompletionTimePorter(Dates!N$12,Dates!N$13,'Day5'!$B12)</f>
        <v>#VALUE!</v>
      </c>
      <c r="O12" s="7" t="e">
        <f>averageCompletionTimePorter(Dates!O$12,Dates!O$13,'Day5'!$B12)</f>
        <v>#VALUE!</v>
      </c>
      <c r="P12" s="7" t="e">
        <f>averageCompletionTimePorter(Dates!P$12,Dates!P$13,'Day5'!$B12)</f>
        <v>#VALUE!</v>
      </c>
      <c r="Q12" s="7" t="e">
        <f>averageCompletionTimePorter(Dates!Q$12,Dates!Q$13,'Day5'!$B12)</f>
        <v>#VALUE!</v>
      </c>
      <c r="R12" s="7" t="e">
        <f>averageCompletionTimePorter(Dates!R$12,Dates!R$13,'Day5'!$B12)</f>
        <v>#VALUE!</v>
      </c>
      <c r="S12" s="7" t="e">
        <f>averageCompletionTimePorter(Dates!S$12,Dates!S$13,'Day5'!$B12)</f>
        <v>#VALUE!</v>
      </c>
      <c r="T12" s="7" t="e">
        <f>averageCompletionTimePorter(Dates!T$12,Dates!T$13,'Day5'!$B12)</f>
        <v>#VALUE!</v>
      </c>
      <c r="U12" s="7" t="e">
        <f>averageCompletionTimePorter(Dates!$C$12,Dates!$T$13,'Day5'!$B12)</f>
        <v>#VALUE!</v>
      </c>
    </row>
    <row r="13" spans="1:21" x14ac:dyDescent="0.3">
      <c r="A13" s="10"/>
      <c r="B13" s="12" t="s">
        <v>381</v>
      </c>
      <c r="C13" s="7" t="e">
        <f>averageCompletionTimePorter(Dates!C$12,Dates!C$13,'Day5'!$B13)</f>
        <v>#VALUE!</v>
      </c>
      <c r="D13" s="7" t="e">
        <f>averageCompletionTimePorter(Dates!D$12,Dates!D$13,'Day5'!$B13)</f>
        <v>#VALUE!</v>
      </c>
      <c r="E13" s="7" t="e">
        <f>averageCompletionTimePorter(Dates!E$12,Dates!E$13,'Day5'!$B13)</f>
        <v>#VALUE!</v>
      </c>
      <c r="F13" s="7" t="e">
        <f>averageCompletionTimePorter(Dates!F$12,Dates!F$13,'Day5'!$B13)</f>
        <v>#VALUE!</v>
      </c>
      <c r="G13" s="7" t="e">
        <f>averageCompletionTimePorter(Dates!G$12,Dates!G$13,'Day5'!$B13)</f>
        <v>#VALUE!</v>
      </c>
      <c r="H13" s="7" t="e">
        <f>averageCompletionTimePorter(Dates!H$12,Dates!H$13,'Day5'!$B13)</f>
        <v>#VALUE!</v>
      </c>
      <c r="I13" s="7" t="e">
        <f>averageCompletionTimePorter(Dates!I$12,Dates!I$13,'Day5'!$B13)</f>
        <v>#VALUE!</v>
      </c>
      <c r="J13" s="7" t="e">
        <f>averageCompletionTimePorter(Dates!J$12,Dates!J$13,'Day5'!$B13)</f>
        <v>#VALUE!</v>
      </c>
      <c r="K13" s="7" t="e">
        <f>averageCompletionTimePorter(Dates!K$12,Dates!K$13,'Day5'!$B13)</f>
        <v>#VALUE!</v>
      </c>
      <c r="L13" s="7" t="e">
        <f>averageCompletionTimePorter(Dates!L$12,Dates!L$13,'Day5'!$B13)</f>
        <v>#VALUE!</v>
      </c>
      <c r="M13" s="7" t="e">
        <f>averageCompletionTimePorter(Dates!M$12,Dates!M$13,'Day5'!$B13)</f>
        <v>#VALUE!</v>
      </c>
      <c r="N13" s="7" t="e">
        <f>averageCompletionTimePorter(Dates!N$12,Dates!N$13,'Day5'!$B13)</f>
        <v>#VALUE!</v>
      </c>
      <c r="O13" s="7" t="e">
        <f>averageCompletionTimePorter(Dates!O$12,Dates!O$13,'Day5'!$B13)</f>
        <v>#VALUE!</v>
      </c>
      <c r="P13" s="7" t="e">
        <f>averageCompletionTimePorter(Dates!P$12,Dates!P$13,'Day5'!$B13)</f>
        <v>#VALUE!</v>
      </c>
      <c r="Q13" s="7" t="e">
        <f>averageCompletionTimePorter(Dates!Q$12,Dates!Q$13,'Day5'!$B13)</f>
        <v>#VALUE!</v>
      </c>
      <c r="R13" s="7" t="e">
        <f>averageCompletionTimePorter(Dates!R$12,Dates!R$13,'Day5'!$B13)</f>
        <v>#VALUE!</v>
      </c>
      <c r="S13" s="7" t="e">
        <f>averageCompletionTimePorter(Dates!S$12,Dates!S$13,'Day5'!$B13)</f>
        <v>#VALUE!</v>
      </c>
      <c r="T13" s="7" t="e">
        <f>averageCompletionTimePorter(Dates!T$12,Dates!T$13,'Day5'!$B13)</f>
        <v>#VALUE!</v>
      </c>
      <c r="U13" s="7" t="e">
        <f>averageCompletionTimePorter(Dates!$C$12,Dates!$T$13,'Day5'!$B13)</f>
        <v>#VALUE!</v>
      </c>
    </row>
    <row r="14" spans="1:21" x14ac:dyDescent="0.3">
      <c r="B14" s="12" t="s">
        <v>113</v>
      </c>
      <c r="C14" s="7" t="e">
        <f>averageCompletionTimePorter(Dates!C$12,Dates!C$13,'Day5'!$B14)</f>
        <v>#VALUE!</v>
      </c>
      <c r="D14" s="7" t="e">
        <f>averageCompletionTimePorter(Dates!D$12,Dates!D$13,'Day5'!$B14)</f>
        <v>#VALUE!</v>
      </c>
      <c r="E14" s="7" t="e">
        <f>averageCompletionTimePorter(Dates!E$12,Dates!E$13,'Day5'!$B14)</f>
        <v>#VALUE!</v>
      </c>
      <c r="F14" s="7" t="e">
        <f>averageCompletionTimePorter(Dates!F$12,Dates!F$13,'Day5'!$B14)</f>
        <v>#VALUE!</v>
      </c>
      <c r="G14" s="7" t="e">
        <f>averageCompletionTimePorter(Dates!G$12,Dates!G$13,'Day5'!$B14)</f>
        <v>#VALUE!</v>
      </c>
      <c r="H14" s="7" t="e">
        <f>averageCompletionTimePorter(Dates!H$12,Dates!H$13,'Day5'!$B14)</f>
        <v>#VALUE!</v>
      </c>
      <c r="I14" s="7" t="e">
        <f>averageCompletionTimePorter(Dates!I$12,Dates!I$13,'Day5'!$B14)</f>
        <v>#VALUE!</v>
      </c>
      <c r="J14" s="7" t="e">
        <f>averageCompletionTimePorter(Dates!J$12,Dates!J$13,'Day5'!$B14)</f>
        <v>#VALUE!</v>
      </c>
      <c r="K14" s="7" t="e">
        <f>averageCompletionTimePorter(Dates!K$12,Dates!K$13,'Day5'!$B14)</f>
        <v>#VALUE!</v>
      </c>
      <c r="L14" s="7" t="e">
        <f>averageCompletionTimePorter(Dates!L$12,Dates!L$13,'Day5'!$B14)</f>
        <v>#VALUE!</v>
      </c>
      <c r="M14" s="7" t="e">
        <f>averageCompletionTimePorter(Dates!M$12,Dates!M$13,'Day5'!$B14)</f>
        <v>#VALUE!</v>
      </c>
      <c r="N14" s="7" t="e">
        <f>averageCompletionTimePorter(Dates!N$12,Dates!N$13,'Day5'!$B14)</f>
        <v>#VALUE!</v>
      </c>
      <c r="O14" s="7" t="e">
        <f>averageCompletionTimePorter(Dates!O$12,Dates!O$13,'Day5'!$B14)</f>
        <v>#VALUE!</v>
      </c>
      <c r="P14" s="7" t="e">
        <f>averageCompletionTimePorter(Dates!P$12,Dates!P$13,'Day5'!$B14)</f>
        <v>#VALUE!</v>
      </c>
      <c r="Q14" s="7" t="e">
        <f>averageCompletionTimePorter(Dates!Q$12,Dates!Q$13,'Day5'!$B14)</f>
        <v>#VALUE!</v>
      </c>
      <c r="R14" s="7" t="e">
        <f>averageCompletionTimePorter(Dates!R$12,Dates!R$13,'Day5'!$B14)</f>
        <v>#VALUE!</v>
      </c>
      <c r="S14" s="7" t="e">
        <f>averageCompletionTimePorter(Dates!S$12,Dates!S$13,'Day5'!$B14)</f>
        <v>#VALUE!</v>
      </c>
      <c r="T14" s="7" t="e">
        <f>averageCompletionTimePorter(Dates!T$12,Dates!T$13,'Day5'!$B14)</f>
        <v>#VALUE!</v>
      </c>
      <c r="U14" s="7" t="e">
        <f>averageCompletionTimePorter(Dates!$C$12,Dates!$T$13,'Day5'!$B14)</f>
        <v>#VALUE!</v>
      </c>
    </row>
    <row r="15" spans="1:21" x14ac:dyDescent="0.3">
      <c r="B15" s="12" t="s">
        <v>114</v>
      </c>
      <c r="C15" s="7" t="e">
        <f>averageCompletionTimePorter(Dates!C$12,Dates!C$13,'Day5'!$B15)</f>
        <v>#VALUE!</v>
      </c>
      <c r="D15" s="7" t="e">
        <f>averageCompletionTimePorter(Dates!D$12,Dates!D$13,'Day5'!$B15)</f>
        <v>#VALUE!</v>
      </c>
      <c r="E15" s="7" t="e">
        <f>averageCompletionTimePorter(Dates!E$12,Dates!E$13,'Day5'!$B15)</f>
        <v>#VALUE!</v>
      </c>
      <c r="F15" s="7" t="e">
        <f>averageCompletionTimePorter(Dates!F$12,Dates!F$13,'Day5'!$B15)</f>
        <v>#VALUE!</v>
      </c>
      <c r="G15" s="7" t="e">
        <f>averageCompletionTimePorter(Dates!G$12,Dates!G$13,'Day5'!$B15)</f>
        <v>#VALUE!</v>
      </c>
      <c r="H15" s="7" t="e">
        <f>averageCompletionTimePorter(Dates!H$12,Dates!H$13,'Day5'!$B15)</f>
        <v>#VALUE!</v>
      </c>
      <c r="I15" s="7" t="e">
        <f>averageCompletionTimePorter(Dates!I$12,Dates!I$13,'Day5'!$B15)</f>
        <v>#VALUE!</v>
      </c>
      <c r="J15" s="7" t="e">
        <f>averageCompletionTimePorter(Dates!J$12,Dates!J$13,'Day5'!$B15)</f>
        <v>#VALUE!</v>
      </c>
      <c r="K15" s="7" t="e">
        <f>averageCompletionTimePorter(Dates!K$12,Dates!K$13,'Day5'!$B15)</f>
        <v>#VALUE!</v>
      </c>
      <c r="L15" s="7" t="e">
        <f>averageCompletionTimePorter(Dates!L$12,Dates!L$13,'Day5'!$B15)</f>
        <v>#VALUE!</v>
      </c>
      <c r="M15" s="7" t="e">
        <f>averageCompletionTimePorter(Dates!M$12,Dates!M$13,'Day5'!$B15)</f>
        <v>#VALUE!</v>
      </c>
      <c r="N15" s="7" t="e">
        <f>averageCompletionTimePorter(Dates!N$12,Dates!N$13,'Day5'!$B15)</f>
        <v>#VALUE!</v>
      </c>
      <c r="O15" s="7" t="e">
        <f>averageCompletionTimePorter(Dates!O$12,Dates!O$13,'Day5'!$B15)</f>
        <v>#VALUE!</v>
      </c>
      <c r="P15" s="7" t="e">
        <f>averageCompletionTimePorter(Dates!P$12,Dates!P$13,'Day5'!$B15)</f>
        <v>#VALUE!</v>
      </c>
      <c r="Q15" s="7" t="e">
        <f>averageCompletionTimePorter(Dates!Q$12,Dates!Q$13,'Day5'!$B15)</f>
        <v>#VALUE!</v>
      </c>
      <c r="R15" s="7" t="e">
        <f>averageCompletionTimePorter(Dates!R$12,Dates!R$13,'Day5'!$B15)</f>
        <v>#VALUE!</v>
      </c>
      <c r="S15" s="7" t="e">
        <f>averageCompletionTimePorter(Dates!S$12,Dates!S$13,'Day5'!$B15)</f>
        <v>#VALUE!</v>
      </c>
      <c r="T15" s="7" t="e">
        <f>averageCompletionTimePorter(Dates!T$12,Dates!T$13,'Day5'!$B15)</f>
        <v>#VALUE!</v>
      </c>
      <c r="U15" s="7" t="e">
        <f>averageCompletionTimePorter(Dates!$C$12,Dates!$T$13,'Day5'!$B15)</f>
        <v>#VALUE!</v>
      </c>
    </row>
    <row r="16" spans="1:21" x14ac:dyDescent="0.3">
      <c r="B16" s="12" t="s">
        <v>115</v>
      </c>
      <c r="C16" s="7" t="e">
        <f>averageCompletionTimePorter(Dates!C$12,Dates!C$13,'Day5'!$B16)</f>
        <v>#VALUE!</v>
      </c>
      <c r="D16" s="7" t="e">
        <f>averageCompletionTimePorter(Dates!D$12,Dates!D$13,'Day5'!$B16)</f>
        <v>#VALUE!</v>
      </c>
      <c r="E16" s="7" t="e">
        <f>averageCompletionTimePorter(Dates!E$12,Dates!E$13,'Day5'!$B16)</f>
        <v>#VALUE!</v>
      </c>
      <c r="F16" s="7" t="e">
        <f>averageCompletionTimePorter(Dates!F$12,Dates!F$13,'Day5'!$B16)</f>
        <v>#VALUE!</v>
      </c>
      <c r="G16" s="7" t="e">
        <f>averageCompletionTimePorter(Dates!G$12,Dates!G$13,'Day5'!$B16)</f>
        <v>#VALUE!</v>
      </c>
      <c r="H16" s="7" t="e">
        <f>averageCompletionTimePorter(Dates!H$12,Dates!H$13,'Day5'!$B16)</f>
        <v>#VALUE!</v>
      </c>
      <c r="I16" s="7" t="e">
        <f>averageCompletionTimePorter(Dates!I$12,Dates!I$13,'Day5'!$B16)</f>
        <v>#VALUE!</v>
      </c>
      <c r="J16" s="7" t="e">
        <f>averageCompletionTimePorter(Dates!J$12,Dates!J$13,'Day5'!$B16)</f>
        <v>#VALUE!</v>
      </c>
      <c r="K16" s="7" t="e">
        <f>averageCompletionTimePorter(Dates!K$12,Dates!K$13,'Day5'!$B16)</f>
        <v>#VALUE!</v>
      </c>
      <c r="L16" s="7" t="e">
        <f>averageCompletionTimePorter(Dates!L$12,Dates!L$13,'Day5'!$B16)</f>
        <v>#VALUE!</v>
      </c>
      <c r="M16" s="7" t="e">
        <f>averageCompletionTimePorter(Dates!M$12,Dates!M$13,'Day5'!$B16)</f>
        <v>#VALUE!</v>
      </c>
      <c r="N16" s="7" t="e">
        <f>averageCompletionTimePorter(Dates!N$12,Dates!N$13,'Day5'!$B16)</f>
        <v>#VALUE!</v>
      </c>
      <c r="O16" s="7" t="e">
        <f>averageCompletionTimePorter(Dates!O$12,Dates!O$13,'Day5'!$B16)</f>
        <v>#VALUE!</v>
      </c>
      <c r="P16" s="7" t="e">
        <f>averageCompletionTimePorter(Dates!P$12,Dates!P$13,'Day5'!$B16)</f>
        <v>#VALUE!</v>
      </c>
      <c r="Q16" s="7" t="e">
        <f>averageCompletionTimePorter(Dates!Q$12,Dates!Q$13,'Day5'!$B16)</f>
        <v>#VALUE!</v>
      </c>
      <c r="R16" s="7" t="e">
        <f>averageCompletionTimePorter(Dates!R$12,Dates!R$13,'Day5'!$B16)</f>
        <v>#VALUE!</v>
      </c>
      <c r="S16" s="7" t="e">
        <f>averageCompletionTimePorter(Dates!S$12,Dates!S$13,'Day5'!$B16)</f>
        <v>#VALUE!</v>
      </c>
      <c r="T16" s="7" t="e">
        <f>averageCompletionTimePorter(Dates!T$12,Dates!T$13,'Day5'!$B16)</f>
        <v>#VALUE!</v>
      </c>
      <c r="U16" s="7" t="e">
        <f>averageCompletionTimePorter(Dates!$C$12,Dates!$T$13,'Day5'!$B16)</f>
        <v>#VALUE!</v>
      </c>
    </row>
    <row r="17" spans="2:21" x14ac:dyDescent="0.3">
      <c r="B17" s="12" t="s">
        <v>116</v>
      </c>
      <c r="C17" s="7" t="e">
        <f>averageCompletionTimePorter(Dates!C$12,Dates!C$13,'Day5'!$B17)</f>
        <v>#VALUE!</v>
      </c>
      <c r="D17" s="7" t="e">
        <f>averageCompletionTimePorter(Dates!D$12,Dates!D$13,'Day5'!$B17)</f>
        <v>#VALUE!</v>
      </c>
      <c r="E17" s="7" t="e">
        <f>averageCompletionTimePorter(Dates!E$12,Dates!E$13,'Day5'!$B17)</f>
        <v>#VALUE!</v>
      </c>
      <c r="F17" s="7" t="e">
        <f>averageCompletionTimePorter(Dates!F$12,Dates!F$13,'Day5'!$B17)</f>
        <v>#VALUE!</v>
      </c>
      <c r="G17" s="7" t="e">
        <f>averageCompletionTimePorter(Dates!G$12,Dates!G$13,'Day5'!$B17)</f>
        <v>#VALUE!</v>
      </c>
      <c r="H17" s="7" t="e">
        <f>averageCompletionTimePorter(Dates!H$12,Dates!H$13,'Day5'!$B17)</f>
        <v>#VALUE!</v>
      </c>
      <c r="I17" s="7" t="e">
        <f>averageCompletionTimePorter(Dates!I$12,Dates!I$13,'Day5'!$B17)</f>
        <v>#VALUE!</v>
      </c>
      <c r="J17" s="7" t="e">
        <f>averageCompletionTimePorter(Dates!J$12,Dates!J$13,'Day5'!$B17)</f>
        <v>#VALUE!</v>
      </c>
      <c r="K17" s="7" t="e">
        <f>averageCompletionTimePorter(Dates!K$12,Dates!K$13,'Day5'!$B17)</f>
        <v>#VALUE!</v>
      </c>
      <c r="L17" s="7" t="e">
        <f>averageCompletionTimePorter(Dates!L$12,Dates!L$13,'Day5'!$B17)</f>
        <v>#VALUE!</v>
      </c>
      <c r="M17" s="7" t="e">
        <f>averageCompletionTimePorter(Dates!M$12,Dates!M$13,'Day5'!$B17)</f>
        <v>#VALUE!</v>
      </c>
      <c r="N17" s="7" t="e">
        <f>averageCompletionTimePorter(Dates!N$12,Dates!N$13,'Day5'!$B17)</f>
        <v>#VALUE!</v>
      </c>
      <c r="O17" s="7" t="e">
        <f>averageCompletionTimePorter(Dates!O$12,Dates!O$13,'Day5'!$B17)</f>
        <v>#VALUE!</v>
      </c>
      <c r="P17" s="7" t="e">
        <f>averageCompletionTimePorter(Dates!P$12,Dates!P$13,'Day5'!$B17)</f>
        <v>#VALUE!</v>
      </c>
      <c r="Q17" s="7" t="e">
        <f>averageCompletionTimePorter(Dates!Q$12,Dates!Q$13,'Day5'!$B17)</f>
        <v>#VALUE!</v>
      </c>
      <c r="R17" s="7" t="e">
        <f>averageCompletionTimePorter(Dates!R$12,Dates!R$13,'Day5'!$B17)</f>
        <v>#VALUE!</v>
      </c>
      <c r="S17" s="7" t="e">
        <f>averageCompletionTimePorter(Dates!S$12,Dates!S$13,'Day5'!$B17)</f>
        <v>#VALUE!</v>
      </c>
      <c r="T17" s="7" t="e">
        <f>averageCompletionTimePorter(Dates!T$12,Dates!T$13,'Day5'!$B17)</f>
        <v>#VALUE!</v>
      </c>
      <c r="U17" s="7" t="e">
        <f>averageCompletionTimePorter(Dates!$C$12,Dates!$T$13,'Day5'!$B17)</f>
        <v>#VALUE!</v>
      </c>
    </row>
    <row r="18" spans="2:21" x14ac:dyDescent="0.3">
      <c r="B18" s="12" t="s">
        <v>117</v>
      </c>
      <c r="C18" s="7" t="e">
        <f>averageCompletionTimePorter(Dates!C$12,Dates!C$13,'Day5'!$B18)</f>
        <v>#VALUE!</v>
      </c>
      <c r="D18" s="7" t="e">
        <f>averageCompletionTimePorter(Dates!D$12,Dates!D$13,'Day5'!$B18)</f>
        <v>#VALUE!</v>
      </c>
      <c r="E18" s="7" t="e">
        <f>averageCompletionTimePorter(Dates!E$12,Dates!E$13,'Day5'!$B18)</f>
        <v>#VALUE!</v>
      </c>
      <c r="F18" s="7" t="e">
        <f>averageCompletionTimePorter(Dates!F$12,Dates!F$13,'Day5'!$B18)</f>
        <v>#VALUE!</v>
      </c>
      <c r="G18" s="7" t="e">
        <f>averageCompletionTimePorter(Dates!G$12,Dates!G$13,'Day5'!$B18)</f>
        <v>#VALUE!</v>
      </c>
      <c r="H18" s="7" t="e">
        <f>averageCompletionTimePorter(Dates!H$12,Dates!H$13,'Day5'!$B18)</f>
        <v>#VALUE!</v>
      </c>
      <c r="I18" s="7" t="e">
        <f>averageCompletionTimePorter(Dates!I$12,Dates!I$13,'Day5'!$B18)</f>
        <v>#VALUE!</v>
      </c>
      <c r="J18" s="7" t="e">
        <f>averageCompletionTimePorter(Dates!J$12,Dates!J$13,'Day5'!$B18)</f>
        <v>#VALUE!</v>
      </c>
      <c r="K18" s="7" t="e">
        <f>averageCompletionTimePorter(Dates!K$12,Dates!K$13,'Day5'!$B18)</f>
        <v>#VALUE!</v>
      </c>
      <c r="L18" s="7" t="e">
        <f>averageCompletionTimePorter(Dates!L$12,Dates!L$13,'Day5'!$B18)</f>
        <v>#VALUE!</v>
      </c>
      <c r="M18" s="7" t="e">
        <f>averageCompletionTimePorter(Dates!M$12,Dates!M$13,'Day5'!$B18)</f>
        <v>#VALUE!</v>
      </c>
      <c r="N18" s="7" t="e">
        <f>averageCompletionTimePorter(Dates!N$12,Dates!N$13,'Day5'!$B18)</f>
        <v>#VALUE!</v>
      </c>
      <c r="O18" s="7" t="e">
        <f>averageCompletionTimePorter(Dates!O$12,Dates!O$13,'Day5'!$B18)</f>
        <v>#VALUE!</v>
      </c>
      <c r="P18" s="7" t="e">
        <f>averageCompletionTimePorter(Dates!P$12,Dates!P$13,'Day5'!$B18)</f>
        <v>#VALUE!</v>
      </c>
      <c r="Q18" s="7" t="e">
        <f>averageCompletionTimePorter(Dates!Q$12,Dates!Q$13,'Day5'!$B18)</f>
        <v>#VALUE!</v>
      </c>
      <c r="R18" s="7" t="e">
        <f>averageCompletionTimePorter(Dates!R$12,Dates!R$13,'Day5'!$B18)</f>
        <v>#VALUE!</v>
      </c>
      <c r="S18" s="7" t="e">
        <f>averageCompletionTimePorter(Dates!S$12,Dates!S$13,'Day5'!$B18)</f>
        <v>#VALUE!</v>
      </c>
      <c r="T18" s="7" t="e">
        <f>averageCompletionTimePorter(Dates!T$12,Dates!T$13,'Day5'!$B18)</f>
        <v>#VALUE!</v>
      </c>
      <c r="U18" s="7" t="e">
        <f>averageCompletionTimePorter(Dates!$C$12,Dates!$T$13,'Day5'!$B18)</f>
        <v>#VALUE!</v>
      </c>
    </row>
    <row r="19" spans="2:21" x14ac:dyDescent="0.3">
      <c r="B19" s="12" t="s">
        <v>118</v>
      </c>
      <c r="C19" s="7" t="e">
        <f>averageCompletionTimePorter(Dates!C$12,Dates!C$13,'Day5'!$B19)</f>
        <v>#VALUE!</v>
      </c>
      <c r="D19" s="7" t="e">
        <f>averageCompletionTimePorter(Dates!D$12,Dates!D$13,'Day5'!$B19)</f>
        <v>#VALUE!</v>
      </c>
      <c r="E19" s="7" t="e">
        <f>averageCompletionTimePorter(Dates!E$12,Dates!E$13,'Day5'!$B19)</f>
        <v>#VALUE!</v>
      </c>
      <c r="F19" s="7" t="e">
        <f>averageCompletionTimePorter(Dates!F$12,Dates!F$13,'Day5'!$B19)</f>
        <v>#VALUE!</v>
      </c>
      <c r="G19" s="7" t="e">
        <f>averageCompletionTimePorter(Dates!G$12,Dates!G$13,'Day5'!$B19)</f>
        <v>#VALUE!</v>
      </c>
      <c r="H19" s="7" t="e">
        <f>averageCompletionTimePorter(Dates!H$12,Dates!H$13,'Day5'!$B19)</f>
        <v>#VALUE!</v>
      </c>
      <c r="I19" s="7" t="e">
        <f>averageCompletionTimePorter(Dates!I$12,Dates!I$13,'Day5'!$B19)</f>
        <v>#VALUE!</v>
      </c>
      <c r="J19" s="7" t="e">
        <f>averageCompletionTimePorter(Dates!J$12,Dates!J$13,'Day5'!$B19)</f>
        <v>#VALUE!</v>
      </c>
      <c r="K19" s="7" t="e">
        <f>averageCompletionTimePorter(Dates!K$12,Dates!K$13,'Day5'!$B19)</f>
        <v>#VALUE!</v>
      </c>
      <c r="L19" s="7" t="e">
        <f>averageCompletionTimePorter(Dates!L$12,Dates!L$13,'Day5'!$B19)</f>
        <v>#VALUE!</v>
      </c>
      <c r="M19" s="7" t="e">
        <f>averageCompletionTimePorter(Dates!M$12,Dates!M$13,'Day5'!$B19)</f>
        <v>#VALUE!</v>
      </c>
      <c r="N19" s="7" t="e">
        <f>averageCompletionTimePorter(Dates!N$12,Dates!N$13,'Day5'!$B19)</f>
        <v>#VALUE!</v>
      </c>
      <c r="O19" s="7" t="e">
        <f>averageCompletionTimePorter(Dates!O$12,Dates!O$13,'Day5'!$B19)</f>
        <v>#VALUE!</v>
      </c>
      <c r="P19" s="7" t="e">
        <f>averageCompletionTimePorter(Dates!P$12,Dates!P$13,'Day5'!$B19)</f>
        <v>#VALUE!</v>
      </c>
      <c r="Q19" s="7" t="e">
        <f>averageCompletionTimePorter(Dates!Q$12,Dates!Q$13,'Day5'!$B19)</f>
        <v>#VALUE!</v>
      </c>
      <c r="R19" s="7" t="e">
        <f>averageCompletionTimePorter(Dates!R$12,Dates!R$13,'Day5'!$B19)</f>
        <v>#VALUE!</v>
      </c>
      <c r="S19" s="7" t="e">
        <f>averageCompletionTimePorter(Dates!S$12,Dates!S$13,'Day5'!$B19)</f>
        <v>#VALUE!</v>
      </c>
      <c r="T19" s="7" t="e">
        <f>averageCompletionTimePorter(Dates!T$12,Dates!T$13,'Day5'!$B19)</f>
        <v>#VALUE!</v>
      </c>
      <c r="U19" s="7" t="e">
        <f>averageCompletionTimePorter(Dates!$C$12,Dates!$T$13,'Day5'!$B19)</f>
        <v>#VALUE!</v>
      </c>
    </row>
    <row r="20" spans="2:21" x14ac:dyDescent="0.3">
      <c r="B20" s="12" t="s">
        <v>119</v>
      </c>
      <c r="C20" s="7" t="e">
        <f>averageCompletionTimePorter(Dates!C$12,Dates!C$13,'Day5'!$B20)</f>
        <v>#VALUE!</v>
      </c>
      <c r="D20" s="7" t="e">
        <f>averageCompletionTimePorter(Dates!D$12,Dates!D$13,'Day5'!$B20)</f>
        <v>#VALUE!</v>
      </c>
      <c r="E20" s="7" t="e">
        <f>averageCompletionTimePorter(Dates!E$12,Dates!E$13,'Day5'!$B20)</f>
        <v>#VALUE!</v>
      </c>
      <c r="F20" s="7" t="e">
        <f>averageCompletionTimePorter(Dates!F$12,Dates!F$13,'Day5'!$B20)</f>
        <v>#VALUE!</v>
      </c>
      <c r="G20" s="7" t="e">
        <f>averageCompletionTimePorter(Dates!G$12,Dates!G$13,'Day5'!$B20)</f>
        <v>#VALUE!</v>
      </c>
      <c r="H20" s="7" t="e">
        <f>averageCompletionTimePorter(Dates!H$12,Dates!H$13,'Day5'!$B20)</f>
        <v>#VALUE!</v>
      </c>
      <c r="I20" s="7" t="e">
        <f>averageCompletionTimePorter(Dates!I$12,Dates!I$13,'Day5'!$B20)</f>
        <v>#VALUE!</v>
      </c>
      <c r="J20" s="7" t="e">
        <f>averageCompletionTimePorter(Dates!J$12,Dates!J$13,'Day5'!$B20)</f>
        <v>#VALUE!</v>
      </c>
      <c r="K20" s="7" t="e">
        <f>averageCompletionTimePorter(Dates!K$12,Dates!K$13,'Day5'!$B20)</f>
        <v>#VALUE!</v>
      </c>
      <c r="L20" s="7" t="e">
        <f>averageCompletionTimePorter(Dates!L$12,Dates!L$13,'Day5'!$B20)</f>
        <v>#VALUE!</v>
      </c>
      <c r="M20" s="7" t="e">
        <f>averageCompletionTimePorter(Dates!M$12,Dates!M$13,'Day5'!$B20)</f>
        <v>#VALUE!</v>
      </c>
      <c r="N20" s="7" t="e">
        <f>averageCompletionTimePorter(Dates!N$12,Dates!N$13,'Day5'!$B20)</f>
        <v>#VALUE!</v>
      </c>
      <c r="O20" s="7" t="e">
        <f>averageCompletionTimePorter(Dates!O$12,Dates!O$13,'Day5'!$B20)</f>
        <v>#VALUE!</v>
      </c>
      <c r="P20" s="7" t="e">
        <f>averageCompletionTimePorter(Dates!P$12,Dates!P$13,'Day5'!$B20)</f>
        <v>#VALUE!</v>
      </c>
      <c r="Q20" s="7" t="e">
        <f>averageCompletionTimePorter(Dates!Q$12,Dates!Q$13,'Day5'!$B20)</f>
        <v>#VALUE!</v>
      </c>
      <c r="R20" s="7" t="e">
        <f>averageCompletionTimePorter(Dates!R$12,Dates!R$13,'Day5'!$B20)</f>
        <v>#VALUE!</v>
      </c>
      <c r="S20" s="7" t="e">
        <f>averageCompletionTimePorter(Dates!S$12,Dates!S$13,'Day5'!$B20)</f>
        <v>#VALUE!</v>
      </c>
      <c r="T20" s="7" t="e">
        <f>averageCompletionTimePorter(Dates!T$12,Dates!T$13,'Day5'!$B20)</f>
        <v>#VALUE!</v>
      </c>
      <c r="U20" s="7" t="e">
        <f>averageCompletionTimePorter(Dates!$C$12,Dates!$T$13,'Day5'!$B20)</f>
        <v>#VALUE!</v>
      </c>
    </row>
    <row r="21" spans="2:21" x14ac:dyDescent="0.3">
      <c r="B21" s="12" t="s">
        <v>120</v>
      </c>
      <c r="C21" s="7" t="e">
        <f>averageCompletionTimePorter(Dates!C$12,Dates!C$13,'Day5'!$B21)</f>
        <v>#VALUE!</v>
      </c>
      <c r="D21" s="7" t="e">
        <f>averageCompletionTimePorter(Dates!D$12,Dates!D$13,'Day5'!$B21)</f>
        <v>#VALUE!</v>
      </c>
      <c r="E21" s="7" t="e">
        <f>averageCompletionTimePorter(Dates!E$12,Dates!E$13,'Day5'!$B21)</f>
        <v>#VALUE!</v>
      </c>
      <c r="F21" s="7" t="e">
        <f>averageCompletionTimePorter(Dates!F$12,Dates!F$13,'Day5'!$B21)</f>
        <v>#VALUE!</v>
      </c>
      <c r="G21" s="7" t="e">
        <f>averageCompletionTimePorter(Dates!G$12,Dates!G$13,'Day5'!$B21)</f>
        <v>#VALUE!</v>
      </c>
      <c r="H21" s="7" t="e">
        <f>averageCompletionTimePorter(Dates!H$12,Dates!H$13,'Day5'!$B21)</f>
        <v>#VALUE!</v>
      </c>
      <c r="I21" s="7" t="e">
        <f>averageCompletionTimePorter(Dates!I$12,Dates!I$13,'Day5'!$B21)</f>
        <v>#VALUE!</v>
      </c>
      <c r="J21" s="7" t="e">
        <f>averageCompletionTimePorter(Dates!J$12,Dates!J$13,'Day5'!$B21)</f>
        <v>#VALUE!</v>
      </c>
      <c r="K21" s="7" t="e">
        <f>averageCompletionTimePorter(Dates!K$12,Dates!K$13,'Day5'!$B21)</f>
        <v>#VALUE!</v>
      </c>
      <c r="L21" s="7" t="e">
        <f>averageCompletionTimePorter(Dates!L$12,Dates!L$13,'Day5'!$B21)</f>
        <v>#VALUE!</v>
      </c>
      <c r="M21" s="7" t="e">
        <f>averageCompletionTimePorter(Dates!M$12,Dates!M$13,'Day5'!$B21)</f>
        <v>#VALUE!</v>
      </c>
      <c r="N21" s="7" t="e">
        <f>averageCompletionTimePorter(Dates!N$12,Dates!N$13,'Day5'!$B21)</f>
        <v>#VALUE!</v>
      </c>
      <c r="O21" s="7" t="e">
        <f>averageCompletionTimePorter(Dates!O$12,Dates!O$13,'Day5'!$B21)</f>
        <v>#VALUE!</v>
      </c>
      <c r="P21" s="7" t="e">
        <f>averageCompletionTimePorter(Dates!P$12,Dates!P$13,'Day5'!$B21)</f>
        <v>#VALUE!</v>
      </c>
      <c r="Q21" s="7" t="e">
        <f>averageCompletionTimePorter(Dates!Q$12,Dates!Q$13,'Day5'!$B21)</f>
        <v>#VALUE!</v>
      </c>
      <c r="R21" s="7" t="e">
        <f>averageCompletionTimePorter(Dates!R$12,Dates!R$13,'Day5'!$B21)</f>
        <v>#VALUE!</v>
      </c>
      <c r="S21" s="7" t="e">
        <f>averageCompletionTimePorter(Dates!S$12,Dates!S$13,'Day5'!$B21)</f>
        <v>#VALUE!</v>
      </c>
      <c r="T21" s="7" t="e">
        <f>averageCompletionTimePorter(Dates!T$12,Dates!T$13,'Day5'!$B21)</f>
        <v>#VALUE!</v>
      </c>
      <c r="U21" s="7" t="e">
        <f>averageCompletionTimePorter(Dates!$C$12,Dates!$T$13,'Day5'!$B21)</f>
        <v>#VALUE!</v>
      </c>
    </row>
    <row r="22" spans="2:21" x14ac:dyDescent="0.3">
      <c r="B22" s="12" t="s">
        <v>121</v>
      </c>
      <c r="C22" s="7" t="e">
        <f>averageCompletionTimePorter(Dates!C$12,Dates!C$13,'Day5'!$B22)</f>
        <v>#VALUE!</v>
      </c>
      <c r="D22" s="7" t="e">
        <f>averageCompletionTimePorter(Dates!D$12,Dates!D$13,'Day5'!$B22)</f>
        <v>#VALUE!</v>
      </c>
      <c r="E22" s="7" t="e">
        <f>averageCompletionTimePorter(Dates!E$12,Dates!E$13,'Day5'!$B22)</f>
        <v>#VALUE!</v>
      </c>
      <c r="F22" s="7" t="e">
        <f>averageCompletionTimePorter(Dates!F$12,Dates!F$13,'Day5'!$B22)</f>
        <v>#VALUE!</v>
      </c>
      <c r="G22" s="7" t="e">
        <f>averageCompletionTimePorter(Dates!G$12,Dates!G$13,'Day5'!$B22)</f>
        <v>#VALUE!</v>
      </c>
      <c r="H22" s="7" t="e">
        <f>averageCompletionTimePorter(Dates!H$12,Dates!H$13,'Day5'!$B22)</f>
        <v>#VALUE!</v>
      </c>
      <c r="I22" s="7" t="e">
        <f>averageCompletionTimePorter(Dates!I$12,Dates!I$13,'Day5'!$B22)</f>
        <v>#VALUE!</v>
      </c>
      <c r="J22" s="7" t="e">
        <f>averageCompletionTimePorter(Dates!J$12,Dates!J$13,'Day5'!$B22)</f>
        <v>#VALUE!</v>
      </c>
      <c r="K22" s="7" t="e">
        <f>averageCompletionTimePorter(Dates!K$12,Dates!K$13,'Day5'!$B22)</f>
        <v>#VALUE!</v>
      </c>
      <c r="L22" s="7" t="e">
        <f>averageCompletionTimePorter(Dates!L$12,Dates!L$13,'Day5'!$B22)</f>
        <v>#VALUE!</v>
      </c>
      <c r="M22" s="7" t="e">
        <f>averageCompletionTimePorter(Dates!M$12,Dates!M$13,'Day5'!$B22)</f>
        <v>#VALUE!</v>
      </c>
      <c r="N22" s="7" t="e">
        <f>averageCompletionTimePorter(Dates!N$12,Dates!N$13,'Day5'!$B22)</f>
        <v>#VALUE!</v>
      </c>
      <c r="O22" s="7" t="e">
        <f>averageCompletionTimePorter(Dates!O$12,Dates!O$13,'Day5'!$B22)</f>
        <v>#VALUE!</v>
      </c>
      <c r="P22" s="7" t="e">
        <f>averageCompletionTimePorter(Dates!P$12,Dates!P$13,'Day5'!$B22)</f>
        <v>#VALUE!</v>
      </c>
      <c r="Q22" s="7" t="e">
        <f>averageCompletionTimePorter(Dates!Q$12,Dates!Q$13,'Day5'!$B22)</f>
        <v>#VALUE!</v>
      </c>
      <c r="R22" s="7" t="e">
        <f>averageCompletionTimePorter(Dates!R$12,Dates!R$13,'Day5'!$B22)</f>
        <v>#VALUE!</v>
      </c>
      <c r="S22" s="7" t="e">
        <f>averageCompletionTimePorter(Dates!S$12,Dates!S$13,'Day5'!$B22)</f>
        <v>#VALUE!</v>
      </c>
      <c r="T22" s="7" t="e">
        <f>averageCompletionTimePorter(Dates!T$12,Dates!T$13,'Day5'!$B22)</f>
        <v>#VALUE!</v>
      </c>
      <c r="U22" s="7" t="e">
        <f>averageCompletionTimePorter(Dates!$C$12,Dates!$T$13,'Day5'!$B22)</f>
        <v>#VALUE!</v>
      </c>
    </row>
    <row r="23" spans="2:21" x14ac:dyDescent="0.3">
      <c r="B23" s="12" t="s">
        <v>122</v>
      </c>
      <c r="C23" s="7" t="e">
        <f>averageCompletionTimePorter(Dates!C$12,Dates!C$13,'Day5'!$B23)</f>
        <v>#VALUE!</v>
      </c>
      <c r="D23" s="7" t="e">
        <f>averageCompletionTimePorter(Dates!D$12,Dates!D$13,'Day5'!$B23)</f>
        <v>#VALUE!</v>
      </c>
      <c r="E23" s="7" t="e">
        <f>averageCompletionTimePorter(Dates!E$12,Dates!E$13,'Day5'!$B23)</f>
        <v>#VALUE!</v>
      </c>
      <c r="F23" s="7" t="e">
        <f>averageCompletionTimePorter(Dates!F$12,Dates!F$13,'Day5'!$B23)</f>
        <v>#VALUE!</v>
      </c>
      <c r="G23" s="7" t="e">
        <f>averageCompletionTimePorter(Dates!G$12,Dates!G$13,'Day5'!$B23)</f>
        <v>#VALUE!</v>
      </c>
      <c r="H23" s="7" t="e">
        <f>averageCompletionTimePorter(Dates!H$12,Dates!H$13,'Day5'!$B23)</f>
        <v>#VALUE!</v>
      </c>
      <c r="I23" s="7" t="e">
        <f>averageCompletionTimePorter(Dates!I$12,Dates!I$13,'Day5'!$B23)</f>
        <v>#VALUE!</v>
      </c>
      <c r="J23" s="7" t="e">
        <f>averageCompletionTimePorter(Dates!J$12,Dates!J$13,'Day5'!$B23)</f>
        <v>#VALUE!</v>
      </c>
      <c r="K23" s="7" t="e">
        <f>averageCompletionTimePorter(Dates!K$12,Dates!K$13,'Day5'!$B23)</f>
        <v>#VALUE!</v>
      </c>
      <c r="L23" s="7" t="e">
        <f>averageCompletionTimePorter(Dates!L$12,Dates!L$13,'Day5'!$B23)</f>
        <v>#VALUE!</v>
      </c>
      <c r="M23" s="7" t="e">
        <f>averageCompletionTimePorter(Dates!M$12,Dates!M$13,'Day5'!$B23)</f>
        <v>#VALUE!</v>
      </c>
      <c r="N23" s="7" t="e">
        <f>averageCompletionTimePorter(Dates!N$12,Dates!N$13,'Day5'!$B23)</f>
        <v>#VALUE!</v>
      </c>
      <c r="O23" s="7" t="e">
        <f>averageCompletionTimePorter(Dates!O$12,Dates!O$13,'Day5'!$B23)</f>
        <v>#VALUE!</v>
      </c>
      <c r="P23" s="7" t="e">
        <f>averageCompletionTimePorter(Dates!P$12,Dates!P$13,'Day5'!$B23)</f>
        <v>#VALUE!</v>
      </c>
      <c r="Q23" s="7" t="e">
        <f>averageCompletionTimePorter(Dates!Q$12,Dates!Q$13,'Day5'!$B23)</f>
        <v>#VALUE!</v>
      </c>
      <c r="R23" s="7" t="e">
        <f>averageCompletionTimePorter(Dates!R$12,Dates!R$13,'Day5'!$B23)</f>
        <v>#VALUE!</v>
      </c>
      <c r="S23" s="7" t="e">
        <f>averageCompletionTimePorter(Dates!S$12,Dates!S$13,'Day5'!$B23)</f>
        <v>#VALUE!</v>
      </c>
      <c r="T23" s="7" t="e">
        <f>averageCompletionTimePorter(Dates!T$12,Dates!T$13,'Day5'!$B23)</f>
        <v>#VALUE!</v>
      </c>
      <c r="U23" s="7" t="e">
        <f>averageCompletionTimePorter(Dates!$C$12,Dates!$T$13,'Day5'!$B23)</f>
        <v>#VALUE!</v>
      </c>
    </row>
    <row r="25" spans="2:21" x14ac:dyDescent="0.3">
      <c r="B25" s="11" t="s">
        <v>112</v>
      </c>
      <c r="C25" s="7" t="e">
        <f>averageResponseTime(Dates!C12,Dates!C13)</f>
        <v>#VALUE!</v>
      </c>
      <c r="D25" s="7" t="e">
        <f>averageResponseTime(Dates!D12,Dates!D13)</f>
        <v>#VALUE!</v>
      </c>
      <c r="E25" s="7" t="e">
        <f>averageResponseTime(Dates!E12,Dates!E13)</f>
        <v>#VALUE!</v>
      </c>
      <c r="F25" s="7" t="e">
        <f>averageResponseTime(Dates!F12,Dates!F13)</f>
        <v>#VALUE!</v>
      </c>
      <c r="G25" s="7" t="e">
        <f>averageResponseTime(Dates!G12,Dates!G13)</f>
        <v>#VALUE!</v>
      </c>
      <c r="H25" s="7" t="e">
        <f>averageResponseTime(Dates!H12,Dates!H13)</f>
        <v>#VALUE!</v>
      </c>
      <c r="I25" s="7" t="e">
        <f>averageResponseTime(Dates!I12,Dates!I13)</f>
        <v>#VALUE!</v>
      </c>
      <c r="J25" s="7" t="e">
        <f>averageResponseTime(Dates!J12,Dates!J13)</f>
        <v>#VALUE!</v>
      </c>
      <c r="K25" s="7" t="e">
        <f>averageResponseTime(Dates!K12,Dates!K13)</f>
        <v>#VALUE!</v>
      </c>
      <c r="L25" s="7" t="e">
        <f>averageResponseTime(Dates!L12,Dates!L13)</f>
        <v>#VALUE!</v>
      </c>
      <c r="M25" s="7" t="e">
        <f>averageResponseTime(Dates!M12,Dates!M13)</f>
        <v>#VALUE!</v>
      </c>
      <c r="N25" s="7" t="e">
        <f>averageResponseTime(Dates!N12,Dates!N13)</f>
        <v>#VALUE!</v>
      </c>
      <c r="O25" s="7" t="e">
        <f>averageResponseTime(Dates!O12,Dates!O13)</f>
        <v>#VALUE!</v>
      </c>
      <c r="P25" s="7" t="e">
        <f>averageResponseTime(Dates!P12,Dates!P13)</f>
        <v>#VALUE!</v>
      </c>
      <c r="Q25" s="7" t="e">
        <f>averageResponseTime(Dates!Q12,Dates!Q13)</f>
        <v>#VALUE!</v>
      </c>
      <c r="R25" s="7" t="e">
        <f>averageResponseTime(Dates!R12,Dates!R13)</f>
        <v>#VALUE!</v>
      </c>
      <c r="S25" s="7" t="e">
        <f>averageResponseTime(Dates!S12,Dates!S13)</f>
        <v>#VALUE!</v>
      </c>
      <c r="T25" s="7" t="e">
        <f>averageResponseTime(Dates!T12,Dates!T13)</f>
        <v>#VALUE!</v>
      </c>
      <c r="U25" s="7" t="e">
        <f>averageResponseTime(Dates!C12,Dates!T13)</f>
        <v>#VALUE!</v>
      </c>
    </row>
    <row r="26" spans="2:21" x14ac:dyDescent="0.3">
      <c r="B26" s="11">
        <f>B3</f>
        <v>0</v>
      </c>
      <c r="C26" s="7" t="e">
        <f>averageResponseTimePorter(Dates!C$12,Dates!C$13,'Day5'!$B26)</f>
        <v>#VALUE!</v>
      </c>
      <c r="D26" s="7" t="e">
        <f>averageResponseTimePorter(Dates!D$12,Dates!D$13,'Day5'!$B26)</f>
        <v>#VALUE!</v>
      </c>
      <c r="E26" s="7" t="e">
        <f>averageResponseTimePorter(Dates!E$12,Dates!E$13,'Day5'!$B26)</f>
        <v>#VALUE!</v>
      </c>
      <c r="F26" s="7" t="e">
        <f>averageResponseTimePorter(Dates!F$12,Dates!F$13,'Day5'!$B26)</f>
        <v>#VALUE!</v>
      </c>
      <c r="G26" s="7" t="e">
        <f>averageResponseTimePorter(Dates!G$12,Dates!G$13,'Day5'!$B26)</f>
        <v>#VALUE!</v>
      </c>
      <c r="H26" s="7" t="e">
        <f>averageResponseTimePorter(Dates!H$12,Dates!H$13,'Day5'!$B26)</f>
        <v>#VALUE!</v>
      </c>
      <c r="I26" s="7" t="e">
        <f>averageResponseTimePorter(Dates!I$12,Dates!I$13,'Day5'!$B26)</f>
        <v>#VALUE!</v>
      </c>
      <c r="J26" s="7" t="e">
        <f>averageResponseTimePorter(Dates!J$12,Dates!J$13,'Day5'!$B26)</f>
        <v>#VALUE!</v>
      </c>
      <c r="K26" s="7" t="e">
        <f>averageResponseTimePorter(Dates!K$12,Dates!K$13,'Day5'!$B26)</f>
        <v>#VALUE!</v>
      </c>
      <c r="L26" s="7" t="e">
        <f>averageResponseTimePorter(Dates!L$12,Dates!L$13,'Day5'!$B26)</f>
        <v>#VALUE!</v>
      </c>
      <c r="M26" s="7" t="e">
        <f>averageResponseTimePorter(Dates!M$12,Dates!M$13,'Day5'!$B26)</f>
        <v>#VALUE!</v>
      </c>
      <c r="N26" s="7" t="e">
        <f>averageResponseTimePorter(Dates!N$12,Dates!N$13,'Day5'!$B26)</f>
        <v>#VALUE!</v>
      </c>
      <c r="O26" s="7" t="e">
        <f>averageResponseTimePorter(Dates!O$12,Dates!O$13,'Day5'!$B26)</f>
        <v>#VALUE!</v>
      </c>
      <c r="P26" s="7" t="e">
        <f>averageResponseTimePorter(Dates!P$12,Dates!P$13,'Day5'!$B26)</f>
        <v>#VALUE!</v>
      </c>
      <c r="Q26" s="7" t="e">
        <f>averageResponseTimePorter(Dates!Q$12,Dates!Q$13,'Day5'!$B26)</f>
        <v>#VALUE!</v>
      </c>
      <c r="R26" s="7" t="e">
        <f>averageResponseTimePorter(Dates!R$12,Dates!R$13,'Day5'!$B26)</f>
        <v>#VALUE!</v>
      </c>
      <c r="S26" s="7" t="e">
        <f>averageResponseTimePorter(Dates!S$12,Dates!S$13,'Day5'!$B26)</f>
        <v>#VALUE!</v>
      </c>
      <c r="T26" s="7" t="e">
        <f>averageResponseTimePorter(Dates!T$12,Dates!T$13,'Day5'!$B26)</f>
        <v>#VALUE!</v>
      </c>
      <c r="U26" s="7" t="e">
        <f>averageResponseTimePorter(Dates!$C$12,Dates!$T$13,'Day5'!$B3)</f>
        <v>#VALUE!</v>
      </c>
    </row>
    <row r="27" spans="2:21" x14ac:dyDescent="0.3">
      <c r="B27" s="11" t="str">
        <f t="shared" ref="B27:B46" si="0">B4</f>
        <v>NA4</v>
      </c>
      <c r="C27" s="7" t="e">
        <f>averageResponseTimePorter(Dates!C$12,Dates!C$13,'Day5'!$B27)</f>
        <v>#VALUE!</v>
      </c>
      <c r="D27" s="7" t="e">
        <f>averageResponseTimePorter(Dates!D$12,Dates!D$13,'Day5'!$B27)</f>
        <v>#VALUE!</v>
      </c>
      <c r="E27" s="7" t="e">
        <f>averageResponseTimePorter(Dates!E$12,Dates!E$13,'Day5'!$B27)</f>
        <v>#VALUE!</v>
      </c>
      <c r="F27" s="7" t="e">
        <f>averageResponseTimePorter(Dates!F$12,Dates!F$13,'Day5'!$B27)</f>
        <v>#VALUE!</v>
      </c>
      <c r="G27" s="7" t="e">
        <f>averageResponseTimePorter(Dates!G$12,Dates!G$13,'Day5'!$B27)</f>
        <v>#VALUE!</v>
      </c>
      <c r="H27" s="7" t="e">
        <f>averageResponseTimePorter(Dates!H$12,Dates!H$13,'Day5'!$B27)</f>
        <v>#VALUE!</v>
      </c>
      <c r="I27" s="7" t="e">
        <f>averageResponseTimePorter(Dates!I$12,Dates!I$13,'Day5'!$B27)</f>
        <v>#VALUE!</v>
      </c>
      <c r="J27" s="7" t="e">
        <f>averageResponseTimePorter(Dates!J$12,Dates!J$13,'Day5'!$B27)</f>
        <v>#VALUE!</v>
      </c>
      <c r="K27" s="7" t="e">
        <f>averageResponseTimePorter(Dates!K$12,Dates!K$13,'Day5'!$B27)</f>
        <v>#VALUE!</v>
      </c>
      <c r="L27" s="7" t="e">
        <f>averageResponseTimePorter(Dates!L$12,Dates!L$13,'Day5'!$B27)</f>
        <v>#VALUE!</v>
      </c>
      <c r="M27" s="7" t="e">
        <f>averageResponseTimePorter(Dates!M$12,Dates!M$13,'Day5'!$B27)</f>
        <v>#VALUE!</v>
      </c>
      <c r="N27" s="7" t="e">
        <f>averageResponseTimePorter(Dates!N$12,Dates!N$13,'Day5'!$B27)</f>
        <v>#VALUE!</v>
      </c>
      <c r="O27" s="7" t="e">
        <f>averageResponseTimePorter(Dates!O$12,Dates!O$13,'Day5'!$B27)</f>
        <v>#VALUE!</v>
      </c>
      <c r="P27" s="7" t="e">
        <f>averageResponseTimePorter(Dates!P$12,Dates!P$13,'Day5'!$B27)</f>
        <v>#VALUE!</v>
      </c>
      <c r="Q27" s="7" t="e">
        <f>averageResponseTimePorter(Dates!Q$12,Dates!Q$13,'Day5'!$B27)</f>
        <v>#VALUE!</v>
      </c>
      <c r="R27" s="7" t="e">
        <f>averageResponseTimePorter(Dates!R$12,Dates!R$13,'Day5'!$B27)</f>
        <v>#VALUE!</v>
      </c>
      <c r="S27" s="7" t="e">
        <f>averageResponseTimePorter(Dates!S$12,Dates!S$13,'Day5'!$B27)</f>
        <v>#VALUE!</v>
      </c>
      <c r="T27" s="7" t="e">
        <f>averageResponseTimePorter(Dates!T$12,Dates!T$13,'Day5'!$B27)</f>
        <v>#VALUE!</v>
      </c>
      <c r="U27" s="7" t="e">
        <f>averageResponseTimePorter(Dates!$C$12,Dates!$T$13,'Day5'!$B4)</f>
        <v>#VALUE!</v>
      </c>
    </row>
    <row r="28" spans="2:21" x14ac:dyDescent="0.3">
      <c r="B28" s="11" t="str">
        <f t="shared" si="0"/>
        <v>NA5</v>
      </c>
      <c r="C28" s="7" t="e">
        <f>averageResponseTimePorter(Dates!C$12,Dates!C$13,'Day5'!$B28)</f>
        <v>#VALUE!</v>
      </c>
      <c r="D28" s="7" t="e">
        <f>averageResponseTimePorter(Dates!D$12,Dates!D$13,'Day5'!$B28)</f>
        <v>#VALUE!</v>
      </c>
      <c r="E28" s="7" t="e">
        <f>averageResponseTimePorter(Dates!E$12,Dates!E$13,'Day5'!$B28)</f>
        <v>#VALUE!</v>
      </c>
      <c r="F28" s="7" t="e">
        <f>averageResponseTimePorter(Dates!F$12,Dates!F$13,'Day5'!$B28)</f>
        <v>#VALUE!</v>
      </c>
      <c r="G28" s="7" t="e">
        <f>averageResponseTimePorter(Dates!G$12,Dates!G$13,'Day5'!$B28)</f>
        <v>#VALUE!</v>
      </c>
      <c r="H28" s="7" t="e">
        <f>averageResponseTimePorter(Dates!H$12,Dates!H$13,'Day5'!$B28)</f>
        <v>#VALUE!</v>
      </c>
      <c r="I28" s="7" t="e">
        <f>averageResponseTimePorter(Dates!I$12,Dates!I$13,'Day5'!$B28)</f>
        <v>#VALUE!</v>
      </c>
      <c r="J28" s="7" t="e">
        <f>averageResponseTimePorter(Dates!J$12,Dates!J$13,'Day5'!$B28)</f>
        <v>#VALUE!</v>
      </c>
      <c r="K28" s="7" t="e">
        <f>averageResponseTimePorter(Dates!K$12,Dates!K$13,'Day5'!$B28)</f>
        <v>#VALUE!</v>
      </c>
      <c r="L28" s="7" t="e">
        <f>averageResponseTimePorter(Dates!L$12,Dates!L$13,'Day5'!$B28)</f>
        <v>#VALUE!</v>
      </c>
      <c r="M28" s="7" t="e">
        <f>averageResponseTimePorter(Dates!M$12,Dates!M$13,'Day5'!$B28)</f>
        <v>#VALUE!</v>
      </c>
      <c r="N28" s="7" t="e">
        <f>averageResponseTimePorter(Dates!N$12,Dates!N$13,'Day5'!$B28)</f>
        <v>#VALUE!</v>
      </c>
      <c r="O28" s="7" t="e">
        <f>averageResponseTimePorter(Dates!O$12,Dates!O$13,'Day5'!$B28)</f>
        <v>#VALUE!</v>
      </c>
      <c r="P28" s="7" t="e">
        <f>averageResponseTimePorter(Dates!P$12,Dates!P$13,'Day5'!$B28)</f>
        <v>#VALUE!</v>
      </c>
      <c r="Q28" s="7" t="e">
        <f>averageResponseTimePorter(Dates!Q$12,Dates!Q$13,'Day5'!$B28)</f>
        <v>#VALUE!</v>
      </c>
      <c r="R28" s="7" t="e">
        <f>averageResponseTimePorter(Dates!R$12,Dates!R$13,'Day5'!$B28)</f>
        <v>#VALUE!</v>
      </c>
      <c r="S28" s="7" t="e">
        <f>averageResponseTimePorter(Dates!S$12,Dates!S$13,'Day5'!$B28)</f>
        <v>#VALUE!</v>
      </c>
      <c r="T28" s="7" t="e">
        <f>averageResponseTimePorter(Dates!T$12,Dates!T$13,'Day5'!$B28)</f>
        <v>#VALUE!</v>
      </c>
      <c r="U28" s="7" t="e">
        <f>averageResponseTimePorter(Dates!$C$12,Dates!$T$13,'Day5'!$B5)</f>
        <v>#VALUE!</v>
      </c>
    </row>
    <row r="29" spans="2:21" x14ac:dyDescent="0.3">
      <c r="B29" s="11" t="str">
        <f t="shared" si="0"/>
        <v>NA6</v>
      </c>
      <c r="C29" s="7" t="e">
        <f>averageResponseTimePorter(Dates!C$12,Dates!C$13,'Day5'!$B29)</f>
        <v>#VALUE!</v>
      </c>
      <c r="D29" s="7" t="e">
        <f>averageResponseTimePorter(Dates!D$12,Dates!D$13,'Day5'!$B29)</f>
        <v>#VALUE!</v>
      </c>
      <c r="E29" s="7" t="e">
        <f>averageResponseTimePorter(Dates!E$12,Dates!E$13,'Day5'!$B29)</f>
        <v>#VALUE!</v>
      </c>
      <c r="F29" s="7" t="e">
        <f>averageResponseTimePorter(Dates!F$12,Dates!F$13,'Day5'!$B29)</f>
        <v>#VALUE!</v>
      </c>
      <c r="G29" s="7" t="e">
        <f>averageResponseTimePorter(Dates!G$12,Dates!G$13,'Day5'!$B29)</f>
        <v>#VALUE!</v>
      </c>
      <c r="H29" s="7" t="e">
        <f>averageResponseTimePorter(Dates!H$12,Dates!H$13,'Day5'!$B29)</f>
        <v>#VALUE!</v>
      </c>
      <c r="I29" s="7" t="e">
        <f>averageResponseTimePorter(Dates!I$12,Dates!I$13,'Day5'!$B29)</f>
        <v>#VALUE!</v>
      </c>
      <c r="J29" s="7" t="e">
        <f>averageResponseTimePorter(Dates!J$12,Dates!J$13,'Day5'!$B29)</f>
        <v>#VALUE!</v>
      </c>
      <c r="K29" s="7" t="e">
        <f>averageResponseTimePorter(Dates!K$12,Dates!K$13,'Day5'!$B29)</f>
        <v>#VALUE!</v>
      </c>
      <c r="L29" s="7" t="e">
        <f>averageResponseTimePorter(Dates!L$12,Dates!L$13,'Day5'!$B29)</f>
        <v>#VALUE!</v>
      </c>
      <c r="M29" s="7" t="e">
        <f>averageResponseTimePorter(Dates!M$12,Dates!M$13,'Day5'!$B29)</f>
        <v>#VALUE!</v>
      </c>
      <c r="N29" s="7" t="e">
        <f>averageResponseTimePorter(Dates!N$12,Dates!N$13,'Day5'!$B29)</f>
        <v>#VALUE!</v>
      </c>
      <c r="O29" s="7" t="e">
        <f>averageResponseTimePorter(Dates!O$12,Dates!O$13,'Day5'!$B29)</f>
        <v>#VALUE!</v>
      </c>
      <c r="P29" s="7" t="e">
        <f>averageResponseTimePorter(Dates!P$12,Dates!P$13,'Day5'!$B29)</f>
        <v>#VALUE!</v>
      </c>
      <c r="Q29" s="7" t="e">
        <f>averageResponseTimePorter(Dates!Q$12,Dates!Q$13,'Day5'!$B29)</f>
        <v>#VALUE!</v>
      </c>
      <c r="R29" s="7" t="e">
        <f>averageResponseTimePorter(Dates!R$12,Dates!R$13,'Day5'!$B29)</f>
        <v>#VALUE!</v>
      </c>
      <c r="S29" s="7" t="e">
        <f>averageResponseTimePorter(Dates!S$12,Dates!S$13,'Day5'!$B29)</f>
        <v>#VALUE!</v>
      </c>
      <c r="T29" s="7" t="e">
        <f>averageResponseTimePorter(Dates!T$12,Dates!T$13,'Day5'!$B29)</f>
        <v>#VALUE!</v>
      </c>
      <c r="U29" s="7" t="e">
        <f>averageResponseTimePorter(Dates!$C$12,Dates!$T$13,'Day5'!$B6)</f>
        <v>#VALUE!</v>
      </c>
    </row>
    <row r="30" spans="2:21" x14ac:dyDescent="0.3">
      <c r="B30" s="11" t="str">
        <f t="shared" si="0"/>
        <v>NA7</v>
      </c>
      <c r="C30" s="7" t="e">
        <f>averageResponseTimePorter(Dates!C$12,Dates!C$13,'Day5'!$B30)</f>
        <v>#VALUE!</v>
      </c>
      <c r="D30" s="7" t="e">
        <f>averageResponseTimePorter(Dates!D$12,Dates!D$13,'Day5'!$B30)</f>
        <v>#VALUE!</v>
      </c>
      <c r="E30" s="7" t="e">
        <f>averageResponseTimePorter(Dates!E$12,Dates!E$13,'Day5'!$B30)</f>
        <v>#VALUE!</v>
      </c>
      <c r="F30" s="7" t="e">
        <f>averageResponseTimePorter(Dates!F$12,Dates!F$13,'Day5'!$B30)</f>
        <v>#VALUE!</v>
      </c>
      <c r="G30" s="7" t="e">
        <f>averageResponseTimePorter(Dates!G$12,Dates!G$13,'Day5'!$B30)</f>
        <v>#VALUE!</v>
      </c>
      <c r="H30" s="7" t="e">
        <f>averageResponseTimePorter(Dates!H$12,Dates!H$13,'Day5'!$B30)</f>
        <v>#VALUE!</v>
      </c>
      <c r="I30" s="7" t="e">
        <f>averageResponseTimePorter(Dates!I$12,Dates!I$13,'Day5'!$B30)</f>
        <v>#VALUE!</v>
      </c>
      <c r="J30" s="7" t="e">
        <f>averageResponseTimePorter(Dates!J$12,Dates!J$13,'Day5'!$B30)</f>
        <v>#VALUE!</v>
      </c>
      <c r="K30" s="7" t="e">
        <f>averageResponseTimePorter(Dates!K$12,Dates!K$13,'Day5'!$B30)</f>
        <v>#VALUE!</v>
      </c>
      <c r="L30" s="7" t="e">
        <f>averageResponseTimePorter(Dates!L$12,Dates!L$13,'Day5'!$B30)</f>
        <v>#VALUE!</v>
      </c>
      <c r="M30" s="7" t="e">
        <f>averageResponseTimePorter(Dates!M$12,Dates!M$13,'Day5'!$B30)</f>
        <v>#VALUE!</v>
      </c>
      <c r="N30" s="7" t="e">
        <f>averageResponseTimePorter(Dates!N$12,Dates!N$13,'Day5'!$B30)</f>
        <v>#VALUE!</v>
      </c>
      <c r="O30" s="7" t="e">
        <f>averageResponseTimePorter(Dates!O$12,Dates!O$13,'Day5'!$B30)</f>
        <v>#VALUE!</v>
      </c>
      <c r="P30" s="7" t="e">
        <f>averageResponseTimePorter(Dates!P$12,Dates!P$13,'Day5'!$B30)</f>
        <v>#VALUE!</v>
      </c>
      <c r="Q30" s="7" t="e">
        <f>averageResponseTimePorter(Dates!Q$12,Dates!Q$13,'Day5'!$B30)</f>
        <v>#VALUE!</v>
      </c>
      <c r="R30" s="7" t="e">
        <f>averageResponseTimePorter(Dates!R$12,Dates!R$13,'Day5'!$B30)</f>
        <v>#VALUE!</v>
      </c>
      <c r="S30" s="7" t="e">
        <f>averageResponseTimePorter(Dates!S$12,Dates!S$13,'Day5'!$B30)</f>
        <v>#VALUE!</v>
      </c>
      <c r="T30" s="7" t="e">
        <f>averageResponseTimePorter(Dates!T$12,Dates!T$13,'Day5'!$B30)</f>
        <v>#VALUE!</v>
      </c>
      <c r="U30" s="7" t="e">
        <f>averageResponseTimePorter(Dates!$C$12,Dates!$T$13,'Day5'!$B7)</f>
        <v>#VALUE!</v>
      </c>
    </row>
    <row r="31" spans="2:21" x14ac:dyDescent="0.3">
      <c r="B31" s="11" t="str">
        <f t="shared" si="0"/>
        <v>NA8</v>
      </c>
      <c r="C31" s="7" t="e">
        <f>averageResponseTimePorter(Dates!C$12,Dates!C$13,'Day5'!$B31)</f>
        <v>#VALUE!</v>
      </c>
      <c r="D31" s="7" t="e">
        <f>averageResponseTimePorter(Dates!D$12,Dates!D$13,'Day5'!$B31)</f>
        <v>#VALUE!</v>
      </c>
      <c r="E31" s="7" t="e">
        <f>averageResponseTimePorter(Dates!E$12,Dates!E$13,'Day5'!$B31)</f>
        <v>#VALUE!</v>
      </c>
      <c r="F31" s="7" t="e">
        <f>averageResponseTimePorter(Dates!F$12,Dates!F$13,'Day5'!$B31)</f>
        <v>#VALUE!</v>
      </c>
      <c r="G31" s="7" t="e">
        <f>averageResponseTimePorter(Dates!G$12,Dates!G$13,'Day5'!$B31)</f>
        <v>#VALUE!</v>
      </c>
      <c r="H31" s="7" t="e">
        <f>averageResponseTimePorter(Dates!H$12,Dates!H$13,'Day5'!$B31)</f>
        <v>#VALUE!</v>
      </c>
      <c r="I31" s="7" t="e">
        <f>averageResponseTimePorter(Dates!I$12,Dates!I$13,'Day5'!$B31)</f>
        <v>#VALUE!</v>
      </c>
      <c r="J31" s="7" t="e">
        <f>averageResponseTimePorter(Dates!J$12,Dates!J$13,'Day5'!$B31)</f>
        <v>#VALUE!</v>
      </c>
      <c r="K31" s="7" t="e">
        <f>averageResponseTimePorter(Dates!K$12,Dates!K$13,'Day5'!$B31)</f>
        <v>#VALUE!</v>
      </c>
      <c r="L31" s="7" t="e">
        <f>averageResponseTimePorter(Dates!L$12,Dates!L$13,'Day5'!$B31)</f>
        <v>#VALUE!</v>
      </c>
      <c r="M31" s="7" t="e">
        <f>averageResponseTimePorter(Dates!M$12,Dates!M$13,'Day5'!$B31)</f>
        <v>#VALUE!</v>
      </c>
      <c r="N31" s="7" t="e">
        <f>averageResponseTimePorter(Dates!N$12,Dates!N$13,'Day5'!$B31)</f>
        <v>#VALUE!</v>
      </c>
      <c r="O31" s="7" t="e">
        <f>averageResponseTimePorter(Dates!O$12,Dates!O$13,'Day5'!$B31)</f>
        <v>#VALUE!</v>
      </c>
      <c r="P31" s="7" t="e">
        <f>averageResponseTimePorter(Dates!P$12,Dates!P$13,'Day5'!$B31)</f>
        <v>#VALUE!</v>
      </c>
      <c r="Q31" s="7" t="e">
        <f>averageResponseTimePorter(Dates!Q$12,Dates!Q$13,'Day5'!$B31)</f>
        <v>#VALUE!</v>
      </c>
      <c r="R31" s="7" t="e">
        <f>averageResponseTimePorter(Dates!R$12,Dates!R$13,'Day5'!$B31)</f>
        <v>#VALUE!</v>
      </c>
      <c r="S31" s="7" t="e">
        <f>averageResponseTimePorter(Dates!S$12,Dates!S$13,'Day5'!$B31)</f>
        <v>#VALUE!</v>
      </c>
      <c r="T31" s="7" t="e">
        <f>averageResponseTimePorter(Dates!T$12,Dates!T$13,'Day5'!$B31)</f>
        <v>#VALUE!</v>
      </c>
      <c r="U31" s="7" t="e">
        <f>averageResponseTimePorter(Dates!$C$12,Dates!$T$13,'Day5'!$B8)</f>
        <v>#VALUE!</v>
      </c>
    </row>
    <row r="32" spans="2:21" x14ac:dyDescent="0.3">
      <c r="B32" s="11" t="str">
        <f t="shared" si="0"/>
        <v>NA9</v>
      </c>
      <c r="C32" s="7" t="e">
        <f>averageResponseTimePorter(Dates!C$12,Dates!C$13,'Day5'!$B32)</f>
        <v>#VALUE!</v>
      </c>
      <c r="D32" s="7" t="e">
        <f>averageResponseTimePorter(Dates!D$12,Dates!D$13,'Day5'!$B32)</f>
        <v>#VALUE!</v>
      </c>
      <c r="E32" s="7" t="e">
        <f>averageResponseTimePorter(Dates!E$12,Dates!E$13,'Day5'!$B32)</f>
        <v>#VALUE!</v>
      </c>
      <c r="F32" s="7" t="e">
        <f>averageResponseTimePorter(Dates!F$12,Dates!F$13,'Day5'!$B32)</f>
        <v>#VALUE!</v>
      </c>
      <c r="G32" s="7" t="e">
        <f>averageResponseTimePorter(Dates!G$12,Dates!G$13,'Day5'!$B32)</f>
        <v>#VALUE!</v>
      </c>
      <c r="H32" s="7" t="e">
        <f>averageResponseTimePorter(Dates!H$12,Dates!H$13,'Day5'!$B32)</f>
        <v>#VALUE!</v>
      </c>
      <c r="I32" s="7" t="e">
        <f>averageResponseTimePorter(Dates!I$12,Dates!I$13,'Day5'!$B32)</f>
        <v>#VALUE!</v>
      </c>
      <c r="J32" s="7" t="e">
        <f>averageResponseTimePorter(Dates!J$12,Dates!J$13,'Day5'!$B32)</f>
        <v>#VALUE!</v>
      </c>
      <c r="K32" s="7" t="e">
        <f>averageResponseTimePorter(Dates!K$12,Dates!K$13,'Day5'!$B32)</f>
        <v>#VALUE!</v>
      </c>
      <c r="L32" s="7" t="e">
        <f>averageResponseTimePorter(Dates!L$12,Dates!L$13,'Day5'!$B32)</f>
        <v>#VALUE!</v>
      </c>
      <c r="M32" s="7" t="e">
        <f>averageResponseTimePorter(Dates!M$12,Dates!M$13,'Day5'!$B32)</f>
        <v>#VALUE!</v>
      </c>
      <c r="N32" s="7" t="e">
        <f>averageResponseTimePorter(Dates!N$12,Dates!N$13,'Day5'!$B32)</f>
        <v>#VALUE!</v>
      </c>
      <c r="O32" s="7" t="e">
        <f>averageResponseTimePorter(Dates!O$12,Dates!O$13,'Day5'!$B32)</f>
        <v>#VALUE!</v>
      </c>
      <c r="P32" s="7" t="e">
        <f>averageResponseTimePorter(Dates!P$12,Dates!P$13,'Day5'!$B32)</f>
        <v>#VALUE!</v>
      </c>
      <c r="Q32" s="7" t="e">
        <f>averageResponseTimePorter(Dates!Q$12,Dates!Q$13,'Day5'!$B32)</f>
        <v>#VALUE!</v>
      </c>
      <c r="R32" s="7" t="e">
        <f>averageResponseTimePorter(Dates!R$12,Dates!R$13,'Day5'!$B32)</f>
        <v>#VALUE!</v>
      </c>
      <c r="S32" s="7" t="e">
        <f>averageResponseTimePorter(Dates!S$12,Dates!S$13,'Day5'!$B32)</f>
        <v>#VALUE!</v>
      </c>
      <c r="T32" s="7" t="e">
        <f>averageResponseTimePorter(Dates!T$12,Dates!T$13,'Day5'!$B32)</f>
        <v>#VALUE!</v>
      </c>
      <c r="U32" s="7" t="e">
        <f>averageResponseTimePorter(Dates!$C$12,Dates!$T$13,'Day5'!$B9)</f>
        <v>#VALUE!</v>
      </c>
    </row>
    <row r="33" spans="2:21" x14ac:dyDescent="0.3">
      <c r="B33" s="11" t="str">
        <f t="shared" si="0"/>
        <v>NA10</v>
      </c>
      <c r="C33" s="7" t="e">
        <f>averageResponseTimePorter(Dates!C$12,Dates!C$13,'Day5'!$B33)</f>
        <v>#VALUE!</v>
      </c>
      <c r="D33" s="7" t="e">
        <f>averageResponseTimePorter(Dates!D$12,Dates!D$13,'Day5'!$B33)</f>
        <v>#VALUE!</v>
      </c>
      <c r="E33" s="7" t="e">
        <f>averageResponseTimePorter(Dates!E$12,Dates!E$13,'Day5'!$B33)</f>
        <v>#VALUE!</v>
      </c>
      <c r="F33" s="7" t="e">
        <f>averageResponseTimePorter(Dates!F$12,Dates!F$13,'Day5'!$B33)</f>
        <v>#VALUE!</v>
      </c>
      <c r="G33" s="7" t="e">
        <f>averageResponseTimePorter(Dates!G$12,Dates!G$13,'Day5'!$B33)</f>
        <v>#VALUE!</v>
      </c>
      <c r="H33" s="7" t="e">
        <f>averageResponseTimePorter(Dates!H$12,Dates!H$13,'Day5'!$B33)</f>
        <v>#VALUE!</v>
      </c>
      <c r="I33" s="7" t="e">
        <f>averageResponseTimePorter(Dates!I$12,Dates!I$13,'Day5'!$B33)</f>
        <v>#VALUE!</v>
      </c>
      <c r="J33" s="7" t="e">
        <f>averageResponseTimePorter(Dates!J$12,Dates!J$13,'Day5'!$B33)</f>
        <v>#VALUE!</v>
      </c>
      <c r="K33" s="7" t="e">
        <f>averageResponseTimePorter(Dates!K$12,Dates!K$13,'Day5'!$B33)</f>
        <v>#VALUE!</v>
      </c>
      <c r="L33" s="7" t="e">
        <f>averageResponseTimePorter(Dates!L$12,Dates!L$13,'Day5'!$B33)</f>
        <v>#VALUE!</v>
      </c>
      <c r="M33" s="7" t="e">
        <f>averageResponseTimePorter(Dates!M$12,Dates!M$13,'Day5'!$B33)</f>
        <v>#VALUE!</v>
      </c>
      <c r="N33" s="7" t="e">
        <f>averageResponseTimePorter(Dates!N$12,Dates!N$13,'Day5'!$B33)</f>
        <v>#VALUE!</v>
      </c>
      <c r="O33" s="7" t="e">
        <f>averageResponseTimePorter(Dates!O$12,Dates!O$13,'Day5'!$B33)</f>
        <v>#VALUE!</v>
      </c>
      <c r="P33" s="7" t="e">
        <f>averageResponseTimePorter(Dates!P$12,Dates!P$13,'Day5'!$B33)</f>
        <v>#VALUE!</v>
      </c>
      <c r="Q33" s="7" t="e">
        <f>averageResponseTimePorter(Dates!Q$12,Dates!Q$13,'Day5'!$B33)</f>
        <v>#VALUE!</v>
      </c>
      <c r="R33" s="7" t="e">
        <f>averageResponseTimePorter(Dates!R$12,Dates!R$13,'Day5'!$B33)</f>
        <v>#VALUE!</v>
      </c>
      <c r="S33" s="7" t="e">
        <f>averageResponseTimePorter(Dates!S$12,Dates!S$13,'Day5'!$B33)</f>
        <v>#VALUE!</v>
      </c>
      <c r="T33" s="7" t="e">
        <f>averageResponseTimePorter(Dates!T$12,Dates!T$13,'Day5'!$B33)</f>
        <v>#VALUE!</v>
      </c>
      <c r="U33" s="7" t="e">
        <f>averageResponseTimePorter(Dates!$C$12,Dates!$T$13,'Day5'!$B10)</f>
        <v>#VALUE!</v>
      </c>
    </row>
    <row r="34" spans="2:21" x14ac:dyDescent="0.3">
      <c r="B34" s="11" t="str">
        <f t="shared" si="0"/>
        <v>NA11</v>
      </c>
      <c r="C34" s="7" t="e">
        <f>averageResponseTimePorter(Dates!C$12,Dates!C$13,'Day5'!$B34)</f>
        <v>#VALUE!</v>
      </c>
      <c r="D34" s="7" t="e">
        <f>averageResponseTimePorter(Dates!D$12,Dates!D$13,'Day5'!$B34)</f>
        <v>#VALUE!</v>
      </c>
      <c r="E34" s="7" t="e">
        <f>averageResponseTimePorter(Dates!E$12,Dates!E$13,'Day5'!$B34)</f>
        <v>#VALUE!</v>
      </c>
      <c r="F34" s="7" t="e">
        <f>averageResponseTimePorter(Dates!F$12,Dates!F$13,'Day5'!$B34)</f>
        <v>#VALUE!</v>
      </c>
      <c r="G34" s="7" t="e">
        <f>averageResponseTimePorter(Dates!G$12,Dates!G$13,'Day5'!$B34)</f>
        <v>#VALUE!</v>
      </c>
      <c r="H34" s="7" t="e">
        <f>averageResponseTimePorter(Dates!H$12,Dates!H$13,'Day5'!$B34)</f>
        <v>#VALUE!</v>
      </c>
      <c r="I34" s="7" t="e">
        <f>averageResponseTimePorter(Dates!I$12,Dates!I$13,'Day5'!$B34)</f>
        <v>#VALUE!</v>
      </c>
      <c r="J34" s="7" t="e">
        <f>averageResponseTimePorter(Dates!J$12,Dates!J$13,'Day5'!$B34)</f>
        <v>#VALUE!</v>
      </c>
      <c r="K34" s="7" t="e">
        <f>averageResponseTimePorter(Dates!K$12,Dates!K$13,'Day5'!$B34)</f>
        <v>#VALUE!</v>
      </c>
      <c r="L34" s="7" t="e">
        <f>averageResponseTimePorter(Dates!L$12,Dates!L$13,'Day5'!$B34)</f>
        <v>#VALUE!</v>
      </c>
      <c r="M34" s="7" t="e">
        <f>averageResponseTimePorter(Dates!M$12,Dates!M$13,'Day5'!$B34)</f>
        <v>#VALUE!</v>
      </c>
      <c r="N34" s="7" t="e">
        <f>averageResponseTimePorter(Dates!N$12,Dates!N$13,'Day5'!$B34)</f>
        <v>#VALUE!</v>
      </c>
      <c r="O34" s="7" t="e">
        <f>averageResponseTimePorter(Dates!O$12,Dates!O$13,'Day5'!$B34)</f>
        <v>#VALUE!</v>
      </c>
      <c r="P34" s="7" t="e">
        <f>averageResponseTimePorter(Dates!P$12,Dates!P$13,'Day5'!$B34)</f>
        <v>#VALUE!</v>
      </c>
      <c r="Q34" s="7" t="e">
        <f>averageResponseTimePorter(Dates!Q$12,Dates!Q$13,'Day5'!$B34)</f>
        <v>#VALUE!</v>
      </c>
      <c r="R34" s="7" t="e">
        <f>averageResponseTimePorter(Dates!R$12,Dates!R$13,'Day5'!$B34)</f>
        <v>#VALUE!</v>
      </c>
      <c r="S34" s="7" t="e">
        <f>averageResponseTimePorter(Dates!S$12,Dates!S$13,'Day5'!$B34)</f>
        <v>#VALUE!</v>
      </c>
      <c r="T34" s="7" t="e">
        <f>averageResponseTimePorter(Dates!T$12,Dates!T$13,'Day5'!$B34)</f>
        <v>#VALUE!</v>
      </c>
      <c r="U34" s="7" t="e">
        <f>averageResponseTimePorter(Dates!$C$12,Dates!$T$13,'Day5'!$B11)</f>
        <v>#VALUE!</v>
      </c>
    </row>
    <row r="35" spans="2:21" x14ac:dyDescent="0.3">
      <c r="B35" s="11" t="str">
        <f t="shared" si="0"/>
        <v>NA12</v>
      </c>
      <c r="C35" s="7" t="e">
        <f>averageResponseTimePorter(Dates!C$12,Dates!C$13,'Day5'!$B35)</f>
        <v>#VALUE!</v>
      </c>
      <c r="D35" s="7" t="e">
        <f>averageResponseTimePorter(Dates!D$12,Dates!D$13,'Day5'!$B35)</f>
        <v>#VALUE!</v>
      </c>
      <c r="E35" s="7" t="e">
        <f>averageResponseTimePorter(Dates!E$12,Dates!E$13,'Day5'!$B35)</f>
        <v>#VALUE!</v>
      </c>
      <c r="F35" s="7" t="e">
        <f>averageResponseTimePorter(Dates!F$12,Dates!F$13,'Day5'!$B35)</f>
        <v>#VALUE!</v>
      </c>
      <c r="G35" s="7" t="e">
        <f>averageResponseTimePorter(Dates!G$12,Dates!G$13,'Day5'!$B35)</f>
        <v>#VALUE!</v>
      </c>
      <c r="H35" s="7" t="e">
        <f>averageResponseTimePorter(Dates!H$12,Dates!H$13,'Day5'!$B35)</f>
        <v>#VALUE!</v>
      </c>
      <c r="I35" s="7" t="e">
        <f>averageResponseTimePorter(Dates!I$12,Dates!I$13,'Day5'!$B35)</f>
        <v>#VALUE!</v>
      </c>
      <c r="J35" s="7" t="e">
        <f>averageResponseTimePorter(Dates!J$12,Dates!J$13,'Day5'!$B35)</f>
        <v>#VALUE!</v>
      </c>
      <c r="K35" s="7" t="e">
        <f>averageResponseTimePorter(Dates!K$12,Dates!K$13,'Day5'!$B35)</f>
        <v>#VALUE!</v>
      </c>
      <c r="L35" s="7" t="e">
        <f>averageResponseTimePorter(Dates!L$12,Dates!L$13,'Day5'!$B35)</f>
        <v>#VALUE!</v>
      </c>
      <c r="M35" s="7" t="e">
        <f>averageResponseTimePorter(Dates!M$12,Dates!M$13,'Day5'!$B35)</f>
        <v>#VALUE!</v>
      </c>
      <c r="N35" s="7" t="e">
        <f>averageResponseTimePorter(Dates!N$12,Dates!N$13,'Day5'!$B35)</f>
        <v>#VALUE!</v>
      </c>
      <c r="O35" s="7" t="e">
        <f>averageResponseTimePorter(Dates!O$12,Dates!O$13,'Day5'!$B35)</f>
        <v>#VALUE!</v>
      </c>
      <c r="P35" s="7" t="e">
        <f>averageResponseTimePorter(Dates!P$12,Dates!P$13,'Day5'!$B35)</f>
        <v>#VALUE!</v>
      </c>
      <c r="Q35" s="7" t="e">
        <f>averageResponseTimePorter(Dates!Q$12,Dates!Q$13,'Day5'!$B35)</f>
        <v>#VALUE!</v>
      </c>
      <c r="R35" s="7" t="e">
        <f>averageResponseTimePorter(Dates!R$12,Dates!R$13,'Day5'!$B35)</f>
        <v>#VALUE!</v>
      </c>
      <c r="S35" s="7" t="e">
        <f>averageResponseTimePorter(Dates!S$12,Dates!S$13,'Day5'!$B35)</f>
        <v>#VALUE!</v>
      </c>
      <c r="T35" s="7" t="e">
        <f>averageResponseTimePorter(Dates!T$12,Dates!T$13,'Day5'!$B35)</f>
        <v>#VALUE!</v>
      </c>
      <c r="U35" s="7" t="e">
        <f>averageResponseTimePorter(Dates!$C$12,Dates!$T$13,'Day5'!$B12)</f>
        <v>#VALUE!</v>
      </c>
    </row>
    <row r="36" spans="2:21" x14ac:dyDescent="0.3">
      <c r="B36" s="11" t="str">
        <f t="shared" si="0"/>
        <v>NA13</v>
      </c>
      <c r="C36" s="7" t="e">
        <f>averageResponseTimePorter(Dates!C$12,Dates!C$13,'Day5'!$B36)</f>
        <v>#VALUE!</v>
      </c>
      <c r="D36" s="7" t="e">
        <f>averageResponseTimePorter(Dates!D$12,Dates!D$13,'Day5'!$B36)</f>
        <v>#VALUE!</v>
      </c>
      <c r="E36" s="7" t="e">
        <f>averageResponseTimePorter(Dates!E$12,Dates!E$13,'Day5'!$B36)</f>
        <v>#VALUE!</v>
      </c>
      <c r="F36" s="7" t="e">
        <f>averageResponseTimePorter(Dates!F$12,Dates!F$13,'Day5'!$B36)</f>
        <v>#VALUE!</v>
      </c>
      <c r="G36" s="7" t="e">
        <f>averageResponseTimePorter(Dates!G$12,Dates!G$13,'Day5'!$B36)</f>
        <v>#VALUE!</v>
      </c>
      <c r="H36" s="7" t="e">
        <f>averageResponseTimePorter(Dates!H$12,Dates!H$13,'Day5'!$B36)</f>
        <v>#VALUE!</v>
      </c>
      <c r="I36" s="7" t="e">
        <f>averageResponseTimePorter(Dates!I$12,Dates!I$13,'Day5'!$B36)</f>
        <v>#VALUE!</v>
      </c>
      <c r="J36" s="7" t="e">
        <f>averageResponseTimePorter(Dates!J$12,Dates!J$13,'Day5'!$B36)</f>
        <v>#VALUE!</v>
      </c>
      <c r="K36" s="7" t="e">
        <f>averageResponseTimePorter(Dates!K$12,Dates!K$13,'Day5'!$B36)</f>
        <v>#VALUE!</v>
      </c>
      <c r="L36" s="7" t="e">
        <f>averageResponseTimePorter(Dates!L$12,Dates!L$13,'Day5'!$B36)</f>
        <v>#VALUE!</v>
      </c>
      <c r="M36" s="7" t="e">
        <f>averageResponseTimePorter(Dates!M$12,Dates!M$13,'Day5'!$B36)</f>
        <v>#VALUE!</v>
      </c>
      <c r="N36" s="7" t="e">
        <f>averageResponseTimePorter(Dates!N$12,Dates!N$13,'Day5'!$B36)</f>
        <v>#VALUE!</v>
      </c>
      <c r="O36" s="7" t="e">
        <f>averageResponseTimePorter(Dates!O$12,Dates!O$13,'Day5'!$B36)</f>
        <v>#VALUE!</v>
      </c>
      <c r="P36" s="7" t="e">
        <f>averageResponseTimePorter(Dates!P$12,Dates!P$13,'Day5'!$B36)</f>
        <v>#VALUE!</v>
      </c>
      <c r="Q36" s="7" t="e">
        <f>averageResponseTimePorter(Dates!Q$12,Dates!Q$13,'Day5'!$B36)</f>
        <v>#VALUE!</v>
      </c>
      <c r="R36" s="7" t="e">
        <f>averageResponseTimePorter(Dates!R$12,Dates!R$13,'Day5'!$B36)</f>
        <v>#VALUE!</v>
      </c>
      <c r="S36" s="7" t="e">
        <f>averageResponseTimePorter(Dates!S$12,Dates!S$13,'Day5'!$B36)</f>
        <v>#VALUE!</v>
      </c>
      <c r="T36" s="7" t="e">
        <f>averageResponseTimePorter(Dates!T$12,Dates!T$13,'Day5'!$B36)</f>
        <v>#VALUE!</v>
      </c>
      <c r="U36" s="7" t="e">
        <f>averageResponseTimePorter(Dates!$C$12,Dates!$T$13,'Day5'!$B13)</f>
        <v>#VALUE!</v>
      </c>
    </row>
    <row r="37" spans="2:21" x14ac:dyDescent="0.3">
      <c r="B37" s="11" t="str">
        <f t="shared" si="0"/>
        <v>NA14</v>
      </c>
      <c r="C37" s="7" t="e">
        <f>averageResponseTimePorter(Dates!C$12,Dates!C$13,'Day5'!$B37)</f>
        <v>#VALUE!</v>
      </c>
      <c r="D37" s="7" t="e">
        <f>averageResponseTimePorter(Dates!D$12,Dates!D$13,'Day5'!$B37)</f>
        <v>#VALUE!</v>
      </c>
      <c r="E37" s="7" t="e">
        <f>averageResponseTimePorter(Dates!E$12,Dates!E$13,'Day5'!$B37)</f>
        <v>#VALUE!</v>
      </c>
      <c r="F37" s="7" t="e">
        <f>averageResponseTimePorter(Dates!F$12,Dates!F$13,'Day5'!$B37)</f>
        <v>#VALUE!</v>
      </c>
      <c r="G37" s="7" t="e">
        <f>averageResponseTimePorter(Dates!G$12,Dates!G$13,'Day5'!$B37)</f>
        <v>#VALUE!</v>
      </c>
      <c r="H37" s="7" t="e">
        <f>averageResponseTimePorter(Dates!H$12,Dates!H$13,'Day5'!$B37)</f>
        <v>#VALUE!</v>
      </c>
      <c r="I37" s="7" t="e">
        <f>averageResponseTimePorter(Dates!I$12,Dates!I$13,'Day5'!$B37)</f>
        <v>#VALUE!</v>
      </c>
      <c r="J37" s="7" t="e">
        <f>averageResponseTimePorter(Dates!J$12,Dates!J$13,'Day5'!$B37)</f>
        <v>#VALUE!</v>
      </c>
      <c r="K37" s="7" t="e">
        <f>averageResponseTimePorter(Dates!K$12,Dates!K$13,'Day5'!$B37)</f>
        <v>#VALUE!</v>
      </c>
      <c r="L37" s="7" t="e">
        <f>averageResponseTimePorter(Dates!L$12,Dates!L$13,'Day5'!$B37)</f>
        <v>#VALUE!</v>
      </c>
      <c r="M37" s="7" t="e">
        <f>averageResponseTimePorter(Dates!M$12,Dates!M$13,'Day5'!$B37)</f>
        <v>#VALUE!</v>
      </c>
      <c r="N37" s="7" t="e">
        <f>averageResponseTimePorter(Dates!N$12,Dates!N$13,'Day5'!$B37)</f>
        <v>#VALUE!</v>
      </c>
      <c r="O37" s="7" t="e">
        <f>averageResponseTimePorter(Dates!O$12,Dates!O$13,'Day5'!$B37)</f>
        <v>#VALUE!</v>
      </c>
      <c r="P37" s="7" t="e">
        <f>averageResponseTimePorter(Dates!P$12,Dates!P$13,'Day5'!$B37)</f>
        <v>#VALUE!</v>
      </c>
      <c r="Q37" s="7" t="e">
        <f>averageResponseTimePorter(Dates!Q$12,Dates!Q$13,'Day5'!$B37)</f>
        <v>#VALUE!</v>
      </c>
      <c r="R37" s="7" t="e">
        <f>averageResponseTimePorter(Dates!R$12,Dates!R$13,'Day5'!$B37)</f>
        <v>#VALUE!</v>
      </c>
      <c r="S37" s="7" t="e">
        <f>averageResponseTimePorter(Dates!S$12,Dates!S$13,'Day5'!$B37)</f>
        <v>#VALUE!</v>
      </c>
      <c r="T37" s="7" t="e">
        <f>averageResponseTimePorter(Dates!T$12,Dates!T$13,'Day5'!$B37)</f>
        <v>#VALUE!</v>
      </c>
      <c r="U37" s="7" t="e">
        <f>averageResponseTimePorter(Dates!$C$12,Dates!$T$13,'Day5'!$B14)</f>
        <v>#VALUE!</v>
      </c>
    </row>
    <row r="38" spans="2:21" x14ac:dyDescent="0.3">
      <c r="B38" s="11" t="str">
        <f t="shared" si="0"/>
        <v>NA15</v>
      </c>
      <c r="C38" s="7" t="e">
        <f>averageResponseTimePorter(Dates!C$12,Dates!C$13,'Day5'!$B38)</f>
        <v>#VALUE!</v>
      </c>
      <c r="D38" s="7" t="e">
        <f>averageResponseTimePorter(Dates!D$12,Dates!D$13,'Day5'!$B38)</f>
        <v>#VALUE!</v>
      </c>
      <c r="E38" s="7" t="e">
        <f>averageResponseTimePorter(Dates!E$12,Dates!E$13,'Day5'!$B38)</f>
        <v>#VALUE!</v>
      </c>
      <c r="F38" s="7" t="e">
        <f>averageResponseTimePorter(Dates!F$12,Dates!F$13,'Day5'!$B38)</f>
        <v>#VALUE!</v>
      </c>
      <c r="G38" s="7" t="e">
        <f>averageResponseTimePorter(Dates!G$12,Dates!G$13,'Day5'!$B38)</f>
        <v>#VALUE!</v>
      </c>
      <c r="H38" s="7" t="e">
        <f>averageResponseTimePorter(Dates!H$12,Dates!H$13,'Day5'!$B38)</f>
        <v>#VALUE!</v>
      </c>
      <c r="I38" s="7" t="e">
        <f>averageResponseTimePorter(Dates!I$12,Dates!I$13,'Day5'!$B38)</f>
        <v>#VALUE!</v>
      </c>
      <c r="J38" s="7" t="e">
        <f>averageResponseTimePorter(Dates!J$12,Dates!J$13,'Day5'!$B38)</f>
        <v>#VALUE!</v>
      </c>
      <c r="K38" s="7" t="e">
        <f>averageResponseTimePorter(Dates!K$12,Dates!K$13,'Day5'!$B38)</f>
        <v>#VALUE!</v>
      </c>
      <c r="L38" s="7" t="e">
        <f>averageResponseTimePorter(Dates!L$12,Dates!L$13,'Day5'!$B38)</f>
        <v>#VALUE!</v>
      </c>
      <c r="M38" s="7" t="e">
        <f>averageResponseTimePorter(Dates!M$12,Dates!M$13,'Day5'!$B38)</f>
        <v>#VALUE!</v>
      </c>
      <c r="N38" s="7" t="e">
        <f>averageResponseTimePorter(Dates!N$12,Dates!N$13,'Day5'!$B38)</f>
        <v>#VALUE!</v>
      </c>
      <c r="O38" s="7" t="e">
        <f>averageResponseTimePorter(Dates!O$12,Dates!O$13,'Day5'!$B38)</f>
        <v>#VALUE!</v>
      </c>
      <c r="P38" s="7" t="e">
        <f>averageResponseTimePorter(Dates!P$12,Dates!P$13,'Day5'!$B38)</f>
        <v>#VALUE!</v>
      </c>
      <c r="Q38" s="7" t="e">
        <f>averageResponseTimePorter(Dates!Q$12,Dates!Q$13,'Day5'!$B38)</f>
        <v>#VALUE!</v>
      </c>
      <c r="R38" s="7" t="e">
        <f>averageResponseTimePorter(Dates!R$12,Dates!R$13,'Day5'!$B38)</f>
        <v>#VALUE!</v>
      </c>
      <c r="S38" s="7" t="e">
        <f>averageResponseTimePorter(Dates!S$12,Dates!S$13,'Day5'!$B38)</f>
        <v>#VALUE!</v>
      </c>
      <c r="T38" s="7" t="e">
        <f>averageResponseTimePorter(Dates!T$12,Dates!T$13,'Day5'!$B38)</f>
        <v>#VALUE!</v>
      </c>
      <c r="U38" s="7" t="e">
        <f>averageResponseTimePorter(Dates!$C$12,Dates!$T$13,'Day5'!$B15)</f>
        <v>#VALUE!</v>
      </c>
    </row>
    <row r="39" spans="2:21" x14ac:dyDescent="0.3">
      <c r="B39" s="11" t="str">
        <f t="shared" si="0"/>
        <v>NA16</v>
      </c>
      <c r="C39" s="7" t="e">
        <f>averageResponseTimePorter(Dates!C$12,Dates!C$13,'Day5'!$B39)</f>
        <v>#VALUE!</v>
      </c>
      <c r="D39" s="7" t="e">
        <f>averageResponseTimePorter(Dates!D$12,Dates!D$13,'Day5'!$B39)</f>
        <v>#VALUE!</v>
      </c>
      <c r="E39" s="7" t="e">
        <f>averageResponseTimePorter(Dates!E$12,Dates!E$13,'Day5'!$B39)</f>
        <v>#VALUE!</v>
      </c>
      <c r="F39" s="7" t="e">
        <f>averageResponseTimePorter(Dates!F$12,Dates!F$13,'Day5'!$B39)</f>
        <v>#VALUE!</v>
      </c>
      <c r="G39" s="7" t="e">
        <f>averageResponseTimePorter(Dates!G$12,Dates!G$13,'Day5'!$B39)</f>
        <v>#VALUE!</v>
      </c>
      <c r="H39" s="7" t="e">
        <f>averageResponseTimePorter(Dates!H$12,Dates!H$13,'Day5'!$B39)</f>
        <v>#VALUE!</v>
      </c>
      <c r="I39" s="7" t="e">
        <f>averageResponseTimePorter(Dates!I$12,Dates!I$13,'Day5'!$B39)</f>
        <v>#VALUE!</v>
      </c>
      <c r="J39" s="7" t="e">
        <f>averageResponseTimePorter(Dates!J$12,Dates!J$13,'Day5'!$B39)</f>
        <v>#VALUE!</v>
      </c>
      <c r="K39" s="7" t="e">
        <f>averageResponseTimePorter(Dates!K$12,Dates!K$13,'Day5'!$B39)</f>
        <v>#VALUE!</v>
      </c>
      <c r="L39" s="7" t="e">
        <f>averageResponseTimePorter(Dates!L$12,Dates!L$13,'Day5'!$B39)</f>
        <v>#VALUE!</v>
      </c>
      <c r="M39" s="7" t="e">
        <f>averageResponseTimePorter(Dates!M$12,Dates!M$13,'Day5'!$B39)</f>
        <v>#VALUE!</v>
      </c>
      <c r="N39" s="7" t="e">
        <f>averageResponseTimePorter(Dates!N$12,Dates!N$13,'Day5'!$B39)</f>
        <v>#VALUE!</v>
      </c>
      <c r="O39" s="7" t="e">
        <f>averageResponseTimePorter(Dates!O$12,Dates!O$13,'Day5'!$B39)</f>
        <v>#VALUE!</v>
      </c>
      <c r="P39" s="7" t="e">
        <f>averageResponseTimePorter(Dates!P$12,Dates!P$13,'Day5'!$B39)</f>
        <v>#VALUE!</v>
      </c>
      <c r="Q39" s="7" t="e">
        <f>averageResponseTimePorter(Dates!Q$12,Dates!Q$13,'Day5'!$B39)</f>
        <v>#VALUE!</v>
      </c>
      <c r="R39" s="7" t="e">
        <f>averageResponseTimePorter(Dates!R$12,Dates!R$13,'Day5'!$B39)</f>
        <v>#VALUE!</v>
      </c>
      <c r="S39" s="7" t="e">
        <f>averageResponseTimePorter(Dates!S$12,Dates!S$13,'Day5'!$B39)</f>
        <v>#VALUE!</v>
      </c>
      <c r="T39" s="7" t="e">
        <f>averageResponseTimePorter(Dates!T$12,Dates!T$13,'Day5'!$B39)</f>
        <v>#VALUE!</v>
      </c>
      <c r="U39" s="7" t="e">
        <f>averageResponseTimePorter(Dates!$C$12,Dates!$T$13,'Day5'!$B16)</f>
        <v>#VALUE!</v>
      </c>
    </row>
    <row r="40" spans="2:21" x14ac:dyDescent="0.3">
      <c r="B40" s="11" t="str">
        <f t="shared" si="0"/>
        <v>NA17</v>
      </c>
      <c r="C40" s="7" t="e">
        <f>averageResponseTimePorter(Dates!C$12,Dates!C$13,'Day5'!$B40)</f>
        <v>#VALUE!</v>
      </c>
      <c r="D40" s="7" t="e">
        <f>averageResponseTimePorter(Dates!D$12,Dates!D$13,'Day5'!$B40)</f>
        <v>#VALUE!</v>
      </c>
      <c r="E40" s="7" t="e">
        <f>averageResponseTimePorter(Dates!E$12,Dates!E$13,'Day5'!$B40)</f>
        <v>#VALUE!</v>
      </c>
      <c r="F40" s="7" t="e">
        <f>averageResponseTimePorter(Dates!F$12,Dates!F$13,'Day5'!$B40)</f>
        <v>#VALUE!</v>
      </c>
      <c r="G40" s="7" t="e">
        <f>averageResponseTimePorter(Dates!G$12,Dates!G$13,'Day5'!$B40)</f>
        <v>#VALUE!</v>
      </c>
      <c r="H40" s="7" t="e">
        <f>averageResponseTimePorter(Dates!H$12,Dates!H$13,'Day5'!$B40)</f>
        <v>#VALUE!</v>
      </c>
      <c r="I40" s="7" t="e">
        <f>averageResponseTimePorter(Dates!I$12,Dates!I$13,'Day5'!$B40)</f>
        <v>#VALUE!</v>
      </c>
      <c r="J40" s="7" t="e">
        <f>averageResponseTimePorter(Dates!J$12,Dates!J$13,'Day5'!$B40)</f>
        <v>#VALUE!</v>
      </c>
      <c r="K40" s="7" t="e">
        <f>averageResponseTimePorter(Dates!K$12,Dates!K$13,'Day5'!$B40)</f>
        <v>#VALUE!</v>
      </c>
      <c r="L40" s="7" t="e">
        <f>averageResponseTimePorter(Dates!L$12,Dates!L$13,'Day5'!$B40)</f>
        <v>#VALUE!</v>
      </c>
      <c r="M40" s="7" t="e">
        <f>averageResponseTimePorter(Dates!M$12,Dates!M$13,'Day5'!$B40)</f>
        <v>#VALUE!</v>
      </c>
      <c r="N40" s="7" t="e">
        <f>averageResponseTimePorter(Dates!N$12,Dates!N$13,'Day5'!$B40)</f>
        <v>#VALUE!</v>
      </c>
      <c r="O40" s="7" t="e">
        <f>averageResponseTimePorter(Dates!O$12,Dates!O$13,'Day5'!$B40)</f>
        <v>#VALUE!</v>
      </c>
      <c r="P40" s="7" t="e">
        <f>averageResponseTimePorter(Dates!P$12,Dates!P$13,'Day5'!$B40)</f>
        <v>#VALUE!</v>
      </c>
      <c r="Q40" s="7" t="e">
        <f>averageResponseTimePorter(Dates!Q$12,Dates!Q$13,'Day5'!$B40)</f>
        <v>#VALUE!</v>
      </c>
      <c r="R40" s="7" t="e">
        <f>averageResponseTimePorter(Dates!R$12,Dates!R$13,'Day5'!$B40)</f>
        <v>#VALUE!</v>
      </c>
      <c r="S40" s="7" t="e">
        <f>averageResponseTimePorter(Dates!S$12,Dates!S$13,'Day5'!$B40)</f>
        <v>#VALUE!</v>
      </c>
      <c r="T40" s="7" t="e">
        <f>averageResponseTimePorter(Dates!T$12,Dates!T$13,'Day5'!$B40)</f>
        <v>#VALUE!</v>
      </c>
      <c r="U40" s="7" t="e">
        <f>averageResponseTimePorter(Dates!$C$12,Dates!$T$13,'Day5'!$B17)</f>
        <v>#VALUE!</v>
      </c>
    </row>
    <row r="41" spans="2:21" x14ac:dyDescent="0.3">
      <c r="B41" s="11" t="str">
        <f t="shared" si="0"/>
        <v>NA18</v>
      </c>
      <c r="C41" s="7" t="e">
        <f>averageResponseTimePorter(Dates!C$12,Dates!C$13,'Day5'!$B41)</f>
        <v>#VALUE!</v>
      </c>
      <c r="D41" s="7" t="e">
        <f>averageResponseTimePorter(Dates!D$12,Dates!D$13,'Day5'!$B41)</f>
        <v>#VALUE!</v>
      </c>
      <c r="E41" s="7" t="e">
        <f>averageResponseTimePorter(Dates!E$12,Dates!E$13,'Day5'!$B41)</f>
        <v>#VALUE!</v>
      </c>
      <c r="F41" s="7" t="e">
        <f>averageResponseTimePorter(Dates!F$12,Dates!F$13,'Day5'!$B41)</f>
        <v>#VALUE!</v>
      </c>
      <c r="G41" s="7" t="e">
        <f>averageResponseTimePorter(Dates!G$12,Dates!G$13,'Day5'!$B41)</f>
        <v>#VALUE!</v>
      </c>
      <c r="H41" s="7" t="e">
        <f>averageResponseTimePorter(Dates!H$12,Dates!H$13,'Day5'!$B41)</f>
        <v>#VALUE!</v>
      </c>
      <c r="I41" s="7" t="e">
        <f>averageResponseTimePorter(Dates!I$12,Dates!I$13,'Day5'!$B41)</f>
        <v>#VALUE!</v>
      </c>
      <c r="J41" s="7" t="e">
        <f>averageResponseTimePorter(Dates!J$12,Dates!J$13,'Day5'!$B41)</f>
        <v>#VALUE!</v>
      </c>
      <c r="K41" s="7" t="e">
        <f>averageResponseTimePorter(Dates!K$12,Dates!K$13,'Day5'!$B41)</f>
        <v>#VALUE!</v>
      </c>
      <c r="L41" s="7" t="e">
        <f>averageResponseTimePorter(Dates!L$12,Dates!L$13,'Day5'!$B41)</f>
        <v>#VALUE!</v>
      </c>
      <c r="M41" s="7" t="e">
        <f>averageResponseTimePorter(Dates!M$12,Dates!M$13,'Day5'!$B41)</f>
        <v>#VALUE!</v>
      </c>
      <c r="N41" s="7" t="e">
        <f>averageResponseTimePorter(Dates!N$12,Dates!N$13,'Day5'!$B41)</f>
        <v>#VALUE!</v>
      </c>
      <c r="O41" s="7" t="e">
        <f>averageResponseTimePorter(Dates!O$12,Dates!O$13,'Day5'!$B41)</f>
        <v>#VALUE!</v>
      </c>
      <c r="P41" s="7" t="e">
        <f>averageResponseTimePorter(Dates!P$12,Dates!P$13,'Day5'!$B41)</f>
        <v>#VALUE!</v>
      </c>
      <c r="Q41" s="7" t="e">
        <f>averageResponseTimePorter(Dates!Q$12,Dates!Q$13,'Day5'!$B41)</f>
        <v>#VALUE!</v>
      </c>
      <c r="R41" s="7" t="e">
        <f>averageResponseTimePorter(Dates!R$12,Dates!R$13,'Day5'!$B41)</f>
        <v>#VALUE!</v>
      </c>
      <c r="S41" s="7" t="e">
        <f>averageResponseTimePorter(Dates!S$12,Dates!S$13,'Day5'!$B41)</f>
        <v>#VALUE!</v>
      </c>
      <c r="T41" s="7" t="e">
        <f>averageResponseTimePorter(Dates!T$12,Dates!T$13,'Day5'!$B41)</f>
        <v>#VALUE!</v>
      </c>
      <c r="U41" s="7" t="e">
        <f>averageResponseTimePorter(Dates!$C$12,Dates!$T$13,'Day5'!$B18)</f>
        <v>#VALUE!</v>
      </c>
    </row>
    <row r="42" spans="2:21" x14ac:dyDescent="0.3">
      <c r="B42" s="11" t="str">
        <f t="shared" si="0"/>
        <v>NA19</v>
      </c>
      <c r="C42" s="7" t="e">
        <f>averageResponseTimePorter(Dates!C$12,Dates!C$13,'Day5'!$B42)</f>
        <v>#VALUE!</v>
      </c>
      <c r="D42" s="7" t="e">
        <f>averageResponseTimePorter(Dates!D$12,Dates!D$13,'Day5'!$B42)</f>
        <v>#VALUE!</v>
      </c>
      <c r="E42" s="7" t="e">
        <f>averageResponseTimePorter(Dates!E$12,Dates!E$13,'Day5'!$B42)</f>
        <v>#VALUE!</v>
      </c>
      <c r="F42" s="7" t="e">
        <f>averageResponseTimePorter(Dates!F$12,Dates!F$13,'Day5'!$B42)</f>
        <v>#VALUE!</v>
      </c>
      <c r="G42" s="7" t="e">
        <f>averageResponseTimePorter(Dates!G$12,Dates!G$13,'Day5'!$B42)</f>
        <v>#VALUE!</v>
      </c>
      <c r="H42" s="7" t="e">
        <f>averageResponseTimePorter(Dates!H$12,Dates!H$13,'Day5'!$B42)</f>
        <v>#VALUE!</v>
      </c>
      <c r="I42" s="7" t="e">
        <f>averageResponseTimePorter(Dates!I$12,Dates!I$13,'Day5'!$B42)</f>
        <v>#VALUE!</v>
      </c>
      <c r="J42" s="7" t="e">
        <f>averageResponseTimePorter(Dates!J$12,Dates!J$13,'Day5'!$B42)</f>
        <v>#VALUE!</v>
      </c>
      <c r="K42" s="7" t="e">
        <f>averageResponseTimePorter(Dates!K$12,Dates!K$13,'Day5'!$B42)</f>
        <v>#VALUE!</v>
      </c>
      <c r="L42" s="7" t="e">
        <f>averageResponseTimePorter(Dates!L$12,Dates!L$13,'Day5'!$B42)</f>
        <v>#VALUE!</v>
      </c>
      <c r="M42" s="7" t="e">
        <f>averageResponseTimePorter(Dates!M$12,Dates!M$13,'Day5'!$B42)</f>
        <v>#VALUE!</v>
      </c>
      <c r="N42" s="7" t="e">
        <f>averageResponseTimePorter(Dates!N$12,Dates!N$13,'Day5'!$B42)</f>
        <v>#VALUE!</v>
      </c>
      <c r="O42" s="7" t="e">
        <f>averageResponseTimePorter(Dates!O$12,Dates!O$13,'Day5'!$B42)</f>
        <v>#VALUE!</v>
      </c>
      <c r="P42" s="7" t="e">
        <f>averageResponseTimePorter(Dates!P$12,Dates!P$13,'Day5'!$B42)</f>
        <v>#VALUE!</v>
      </c>
      <c r="Q42" s="7" t="e">
        <f>averageResponseTimePorter(Dates!Q$12,Dates!Q$13,'Day5'!$B42)</f>
        <v>#VALUE!</v>
      </c>
      <c r="R42" s="7" t="e">
        <f>averageResponseTimePorter(Dates!R$12,Dates!R$13,'Day5'!$B42)</f>
        <v>#VALUE!</v>
      </c>
      <c r="S42" s="7" t="e">
        <f>averageResponseTimePorter(Dates!S$12,Dates!S$13,'Day5'!$B42)</f>
        <v>#VALUE!</v>
      </c>
      <c r="T42" s="7" t="e">
        <f>averageResponseTimePorter(Dates!T$12,Dates!T$13,'Day5'!$B42)</f>
        <v>#VALUE!</v>
      </c>
      <c r="U42" s="7" t="e">
        <f>averageResponseTimePorter(Dates!$C$12,Dates!$T$13,'Day5'!$B19)</f>
        <v>#VALUE!</v>
      </c>
    </row>
    <row r="43" spans="2:21" x14ac:dyDescent="0.3">
      <c r="B43" s="11" t="str">
        <f t="shared" si="0"/>
        <v>NA20</v>
      </c>
      <c r="C43" s="7" t="e">
        <f>averageResponseTimePorter(Dates!C$12,Dates!C$13,'Day5'!$B43)</f>
        <v>#VALUE!</v>
      </c>
      <c r="D43" s="7" t="e">
        <f>averageResponseTimePorter(Dates!D$12,Dates!D$13,'Day5'!$B43)</f>
        <v>#VALUE!</v>
      </c>
      <c r="E43" s="7" t="e">
        <f>averageResponseTimePorter(Dates!E$12,Dates!E$13,'Day5'!$B43)</f>
        <v>#VALUE!</v>
      </c>
      <c r="F43" s="7" t="e">
        <f>averageResponseTimePorter(Dates!F$12,Dates!F$13,'Day5'!$B43)</f>
        <v>#VALUE!</v>
      </c>
      <c r="G43" s="7" t="e">
        <f>averageResponseTimePorter(Dates!G$12,Dates!G$13,'Day5'!$B43)</f>
        <v>#VALUE!</v>
      </c>
      <c r="H43" s="7" t="e">
        <f>averageResponseTimePorter(Dates!H$12,Dates!H$13,'Day5'!$B43)</f>
        <v>#VALUE!</v>
      </c>
      <c r="I43" s="7" t="e">
        <f>averageResponseTimePorter(Dates!I$12,Dates!I$13,'Day5'!$B43)</f>
        <v>#VALUE!</v>
      </c>
      <c r="J43" s="7" t="e">
        <f>averageResponseTimePorter(Dates!J$12,Dates!J$13,'Day5'!$B43)</f>
        <v>#VALUE!</v>
      </c>
      <c r="K43" s="7" t="e">
        <f>averageResponseTimePorter(Dates!K$12,Dates!K$13,'Day5'!$B43)</f>
        <v>#VALUE!</v>
      </c>
      <c r="L43" s="7" t="e">
        <f>averageResponseTimePorter(Dates!L$12,Dates!L$13,'Day5'!$B43)</f>
        <v>#VALUE!</v>
      </c>
      <c r="M43" s="7" t="e">
        <f>averageResponseTimePorter(Dates!M$12,Dates!M$13,'Day5'!$B43)</f>
        <v>#VALUE!</v>
      </c>
      <c r="N43" s="7" t="e">
        <f>averageResponseTimePorter(Dates!N$12,Dates!N$13,'Day5'!$B43)</f>
        <v>#VALUE!</v>
      </c>
      <c r="O43" s="7" t="e">
        <f>averageResponseTimePorter(Dates!O$12,Dates!O$13,'Day5'!$B43)</f>
        <v>#VALUE!</v>
      </c>
      <c r="P43" s="7" t="e">
        <f>averageResponseTimePorter(Dates!P$12,Dates!P$13,'Day5'!$B43)</f>
        <v>#VALUE!</v>
      </c>
      <c r="Q43" s="7" t="e">
        <f>averageResponseTimePorter(Dates!Q$12,Dates!Q$13,'Day5'!$B43)</f>
        <v>#VALUE!</v>
      </c>
      <c r="R43" s="7" t="e">
        <f>averageResponseTimePorter(Dates!R$12,Dates!R$13,'Day5'!$B43)</f>
        <v>#VALUE!</v>
      </c>
      <c r="S43" s="7" t="e">
        <f>averageResponseTimePorter(Dates!S$12,Dates!S$13,'Day5'!$B43)</f>
        <v>#VALUE!</v>
      </c>
      <c r="T43" s="7" t="e">
        <f>averageResponseTimePorter(Dates!T$12,Dates!T$13,'Day5'!$B43)</f>
        <v>#VALUE!</v>
      </c>
      <c r="U43" s="7" t="e">
        <f>averageResponseTimePorter(Dates!$C$12,Dates!$T$13,'Day5'!$B20)</f>
        <v>#VALUE!</v>
      </c>
    </row>
    <row r="44" spans="2:21" x14ac:dyDescent="0.3">
      <c r="B44" s="11" t="str">
        <f t="shared" si="0"/>
        <v>NA21</v>
      </c>
      <c r="C44" s="7" t="e">
        <f>averageResponseTimePorter(Dates!C$12,Dates!C$13,'Day5'!$B44)</f>
        <v>#VALUE!</v>
      </c>
      <c r="D44" s="7" t="e">
        <f>averageResponseTimePorter(Dates!D$12,Dates!D$13,'Day5'!$B44)</f>
        <v>#VALUE!</v>
      </c>
      <c r="E44" s="7" t="e">
        <f>averageResponseTimePorter(Dates!E$12,Dates!E$13,'Day5'!$B44)</f>
        <v>#VALUE!</v>
      </c>
      <c r="F44" s="7" t="e">
        <f>averageResponseTimePorter(Dates!F$12,Dates!F$13,'Day5'!$B44)</f>
        <v>#VALUE!</v>
      </c>
      <c r="G44" s="7" t="e">
        <f>averageResponseTimePorter(Dates!G$12,Dates!G$13,'Day5'!$B44)</f>
        <v>#VALUE!</v>
      </c>
      <c r="H44" s="7" t="e">
        <f>averageResponseTimePorter(Dates!H$12,Dates!H$13,'Day5'!$B44)</f>
        <v>#VALUE!</v>
      </c>
      <c r="I44" s="7" t="e">
        <f>averageResponseTimePorter(Dates!I$12,Dates!I$13,'Day5'!$B44)</f>
        <v>#VALUE!</v>
      </c>
      <c r="J44" s="7" t="e">
        <f>averageResponseTimePorter(Dates!J$12,Dates!J$13,'Day5'!$B44)</f>
        <v>#VALUE!</v>
      </c>
      <c r="K44" s="7" t="e">
        <f>averageResponseTimePorter(Dates!K$12,Dates!K$13,'Day5'!$B44)</f>
        <v>#VALUE!</v>
      </c>
      <c r="L44" s="7" t="e">
        <f>averageResponseTimePorter(Dates!L$12,Dates!L$13,'Day5'!$B44)</f>
        <v>#VALUE!</v>
      </c>
      <c r="M44" s="7" t="e">
        <f>averageResponseTimePorter(Dates!M$12,Dates!M$13,'Day5'!$B44)</f>
        <v>#VALUE!</v>
      </c>
      <c r="N44" s="7" t="e">
        <f>averageResponseTimePorter(Dates!N$12,Dates!N$13,'Day5'!$B44)</f>
        <v>#VALUE!</v>
      </c>
      <c r="O44" s="7" t="e">
        <f>averageResponseTimePorter(Dates!O$12,Dates!O$13,'Day5'!$B44)</f>
        <v>#VALUE!</v>
      </c>
      <c r="P44" s="7" t="e">
        <f>averageResponseTimePorter(Dates!P$12,Dates!P$13,'Day5'!$B44)</f>
        <v>#VALUE!</v>
      </c>
      <c r="Q44" s="7" t="e">
        <f>averageResponseTimePorter(Dates!Q$12,Dates!Q$13,'Day5'!$B44)</f>
        <v>#VALUE!</v>
      </c>
      <c r="R44" s="7" t="e">
        <f>averageResponseTimePorter(Dates!R$12,Dates!R$13,'Day5'!$B44)</f>
        <v>#VALUE!</v>
      </c>
      <c r="S44" s="7" t="e">
        <f>averageResponseTimePorter(Dates!S$12,Dates!S$13,'Day5'!$B44)</f>
        <v>#VALUE!</v>
      </c>
      <c r="T44" s="7" t="e">
        <f>averageResponseTimePorter(Dates!T$12,Dates!T$13,'Day5'!$B44)</f>
        <v>#VALUE!</v>
      </c>
      <c r="U44" s="7" t="e">
        <f>averageResponseTimePorter(Dates!$C$12,Dates!$T$13,'Day5'!$B21)</f>
        <v>#VALUE!</v>
      </c>
    </row>
    <row r="45" spans="2:21" x14ac:dyDescent="0.3">
      <c r="B45" s="11" t="str">
        <f t="shared" si="0"/>
        <v>NA22</v>
      </c>
      <c r="C45" s="7" t="e">
        <f>averageResponseTimePorter(Dates!C$12,Dates!C$13,'Day5'!$B45)</f>
        <v>#VALUE!</v>
      </c>
      <c r="D45" s="7" t="e">
        <f>averageResponseTimePorter(Dates!D$12,Dates!D$13,'Day5'!$B45)</f>
        <v>#VALUE!</v>
      </c>
      <c r="E45" s="7" t="e">
        <f>averageResponseTimePorter(Dates!E$12,Dates!E$13,'Day5'!$B45)</f>
        <v>#VALUE!</v>
      </c>
      <c r="F45" s="7" t="e">
        <f>averageResponseTimePorter(Dates!F$12,Dates!F$13,'Day5'!$B45)</f>
        <v>#VALUE!</v>
      </c>
      <c r="G45" s="7" t="e">
        <f>averageResponseTimePorter(Dates!G$12,Dates!G$13,'Day5'!$B45)</f>
        <v>#VALUE!</v>
      </c>
      <c r="H45" s="7" t="e">
        <f>averageResponseTimePorter(Dates!H$12,Dates!H$13,'Day5'!$B45)</f>
        <v>#VALUE!</v>
      </c>
      <c r="I45" s="7" t="e">
        <f>averageResponseTimePorter(Dates!I$12,Dates!I$13,'Day5'!$B45)</f>
        <v>#VALUE!</v>
      </c>
      <c r="J45" s="7" t="e">
        <f>averageResponseTimePorter(Dates!J$12,Dates!J$13,'Day5'!$B45)</f>
        <v>#VALUE!</v>
      </c>
      <c r="K45" s="7" t="e">
        <f>averageResponseTimePorter(Dates!K$12,Dates!K$13,'Day5'!$B45)</f>
        <v>#VALUE!</v>
      </c>
      <c r="L45" s="7" t="e">
        <f>averageResponseTimePorter(Dates!L$12,Dates!L$13,'Day5'!$B45)</f>
        <v>#VALUE!</v>
      </c>
      <c r="M45" s="7" t="e">
        <f>averageResponseTimePorter(Dates!M$12,Dates!M$13,'Day5'!$B45)</f>
        <v>#VALUE!</v>
      </c>
      <c r="N45" s="7" t="e">
        <f>averageResponseTimePorter(Dates!N$12,Dates!N$13,'Day5'!$B45)</f>
        <v>#VALUE!</v>
      </c>
      <c r="O45" s="7" t="e">
        <f>averageResponseTimePorter(Dates!O$12,Dates!O$13,'Day5'!$B45)</f>
        <v>#VALUE!</v>
      </c>
      <c r="P45" s="7" t="e">
        <f>averageResponseTimePorter(Dates!P$12,Dates!P$13,'Day5'!$B45)</f>
        <v>#VALUE!</v>
      </c>
      <c r="Q45" s="7" t="e">
        <f>averageResponseTimePorter(Dates!Q$12,Dates!Q$13,'Day5'!$B45)</f>
        <v>#VALUE!</v>
      </c>
      <c r="R45" s="7" t="e">
        <f>averageResponseTimePorter(Dates!R$12,Dates!R$13,'Day5'!$B45)</f>
        <v>#VALUE!</v>
      </c>
      <c r="S45" s="7" t="e">
        <f>averageResponseTimePorter(Dates!S$12,Dates!S$13,'Day5'!$B45)</f>
        <v>#VALUE!</v>
      </c>
      <c r="T45" s="7" t="e">
        <f>averageResponseTimePorter(Dates!T$12,Dates!T$13,'Day5'!$B45)</f>
        <v>#VALUE!</v>
      </c>
      <c r="U45" s="7" t="e">
        <f>averageResponseTimePorter(Dates!$C$12,Dates!$T$13,'Day5'!$B22)</f>
        <v>#VALUE!</v>
      </c>
    </row>
    <row r="46" spans="2:21" x14ac:dyDescent="0.3">
      <c r="B46" s="11" t="str">
        <f t="shared" si="0"/>
        <v>NA23</v>
      </c>
      <c r="C46" s="7" t="e">
        <f>averageResponseTimePorter(Dates!C$12,Dates!C$13,'Day5'!$B46)</f>
        <v>#VALUE!</v>
      </c>
      <c r="D46" s="7" t="e">
        <f>averageResponseTimePorter(Dates!D$12,Dates!D$13,'Day5'!$B46)</f>
        <v>#VALUE!</v>
      </c>
      <c r="E46" s="7" t="e">
        <f>averageResponseTimePorter(Dates!E$12,Dates!E$13,'Day5'!$B46)</f>
        <v>#VALUE!</v>
      </c>
      <c r="F46" s="7" t="e">
        <f>averageResponseTimePorter(Dates!F$12,Dates!F$13,'Day5'!$B46)</f>
        <v>#VALUE!</v>
      </c>
      <c r="G46" s="7" t="e">
        <f>averageResponseTimePorter(Dates!G$12,Dates!G$13,'Day5'!$B46)</f>
        <v>#VALUE!</v>
      </c>
      <c r="H46" s="7" t="e">
        <f>averageResponseTimePorter(Dates!H$12,Dates!H$13,'Day5'!$B46)</f>
        <v>#VALUE!</v>
      </c>
      <c r="I46" s="7" t="e">
        <f>averageResponseTimePorter(Dates!I$12,Dates!I$13,'Day5'!$B46)</f>
        <v>#VALUE!</v>
      </c>
      <c r="J46" s="7" t="e">
        <f>averageResponseTimePorter(Dates!J$12,Dates!J$13,'Day5'!$B46)</f>
        <v>#VALUE!</v>
      </c>
      <c r="K46" s="7" t="e">
        <f>averageResponseTimePorter(Dates!K$12,Dates!K$13,'Day5'!$B46)</f>
        <v>#VALUE!</v>
      </c>
      <c r="L46" s="7" t="e">
        <f>averageResponseTimePorter(Dates!L$12,Dates!L$13,'Day5'!$B46)</f>
        <v>#VALUE!</v>
      </c>
      <c r="M46" s="7" t="e">
        <f>averageResponseTimePorter(Dates!M$12,Dates!M$13,'Day5'!$B46)</f>
        <v>#VALUE!</v>
      </c>
      <c r="N46" s="7" t="e">
        <f>averageResponseTimePorter(Dates!N$12,Dates!N$13,'Day5'!$B46)</f>
        <v>#VALUE!</v>
      </c>
      <c r="O46" s="7" t="e">
        <f>averageResponseTimePorter(Dates!O$12,Dates!O$13,'Day5'!$B46)</f>
        <v>#VALUE!</v>
      </c>
      <c r="P46" s="7" t="e">
        <f>averageResponseTimePorter(Dates!P$12,Dates!P$13,'Day5'!$B46)</f>
        <v>#VALUE!</v>
      </c>
      <c r="Q46" s="7" t="e">
        <f>averageResponseTimePorter(Dates!Q$12,Dates!Q$13,'Day5'!$B46)</f>
        <v>#VALUE!</v>
      </c>
      <c r="R46" s="7" t="e">
        <f>averageResponseTimePorter(Dates!R$12,Dates!R$13,'Day5'!$B46)</f>
        <v>#VALUE!</v>
      </c>
      <c r="S46" s="7" t="e">
        <f>averageResponseTimePorter(Dates!S$12,Dates!S$13,'Day5'!$B46)</f>
        <v>#VALUE!</v>
      </c>
      <c r="T46" s="7" t="e">
        <f>averageResponseTimePorter(Dates!T$12,Dates!T$13,'Day5'!$B46)</f>
        <v>#VALUE!</v>
      </c>
      <c r="U46" s="7" t="e">
        <f>averageResponseTimePorter(Dates!$C$12,Dates!$T$13,'Day5'!$B23)</f>
        <v>#VALUE!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zoomScale="60" zoomScaleNormal="60" workbookViewId="0">
      <selection activeCell="N3" sqref="N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9" t="s">
        <v>127</v>
      </c>
      <c r="H1" s="19"/>
      <c r="I1" s="19"/>
      <c r="J1" s="19"/>
      <c r="K1" s="19"/>
      <c r="L1" s="19"/>
    </row>
    <row r="2" spans="2:19" ht="18" x14ac:dyDescent="0.35">
      <c r="G2" s="13" t="s">
        <v>124</v>
      </c>
      <c r="H2" s="13">
        <v>1</v>
      </c>
      <c r="I2" s="13">
        <v>2</v>
      </c>
      <c r="J2" s="13">
        <v>3</v>
      </c>
      <c r="K2" s="13">
        <v>4</v>
      </c>
      <c r="L2" s="13">
        <v>5</v>
      </c>
    </row>
    <row r="3" spans="2:19" ht="18" x14ac:dyDescent="0.35">
      <c r="G3" s="13" t="s">
        <v>125</v>
      </c>
      <c r="H3" s="14" t="e">
        <f>'Day1'!$U$2</f>
        <v>#VALUE!</v>
      </c>
      <c r="I3" s="14" t="e">
        <f>'Day2'!$U$2</f>
        <v>#VALUE!</v>
      </c>
      <c r="J3" s="14" t="e">
        <f>'Day3'!$U$2</f>
        <v>#VALUE!</v>
      </c>
      <c r="K3" s="14" t="e">
        <f>'Day4'!$U$2</f>
        <v>#VALUE!</v>
      </c>
      <c r="L3" s="14" t="e">
        <f>'Day5'!$U$2</f>
        <v>#VALUE!</v>
      </c>
    </row>
    <row r="4" spans="2:19" ht="18" x14ac:dyDescent="0.35">
      <c r="G4" s="13" t="s">
        <v>126</v>
      </c>
      <c r="H4" s="14" t="e">
        <f>'Day1'!$U$25</f>
        <v>#VALUE!</v>
      </c>
      <c r="I4" s="14" t="e">
        <f>'Day2'!$U$25</f>
        <v>#VALUE!</v>
      </c>
      <c r="J4" s="14" t="e">
        <f>'Day3'!$U$25</f>
        <v>#VALUE!</v>
      </c>
      <c r="K4" s="14" t="e">
        <f>'Day4'!$U$25</f>
        <v>#VALUE!</v>
      </c>
      <c r="L4" s="14" t="e">
        <f>'Day5'!$U$25</f>
        <v>#VALUE!</v>
      </c>
    </row>
    <row r="6" spans="2:19" ht="23.4" x14ac:dyDescent="0.45">
      <c r="B6" s="16" t="s">
        <v>123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2014-03-04T19:52:59Z</dcterms:modified>
</cp:coreProperties>
</file>