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firstSheet="8" activeTab="11"/>
  </bookViews>
  <sheets>
    <sheet name="Sheet1" sheetId="1" state="hidden" r:id="rId1"/>
    <sheet name="Dates" sheetId="2" state="hidden" r:id="rId2"/>
    <sheet name="Day1" sheetId="3" state="hidden" r:id="rId3"/>
    <sheet name="Day2" sheetId="18" state="hidden" r:id="rId4"/>
    <sheet name="Day3" sheetId="19" state="hidden" r:id="rId5"/>
    <sheet name="Day4" sheetId="20" state="hidden" r:id="rId6"/>
    <sheet name="Day5" sheetId="21" state="hidden" r:id="rId7"/>
    <sheet name="Dashboard D1" sheetId="12" r:id="rId8"/>
    <sheet name="Dashboard D2" sheetId="22" r:id="rId9"/>
    <sheet name="Dashboard D3" sheetId="23" r:id="rId10"/>
    <sheet name="Dashboard D4" sheetId="24" r:id="rId11"/>
    <sheet name="Dashboard D5" sheetId="25" r:id="rId12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3" i="21" l="1"/>
  <c r="P83" i="21"/>
  <c r="L83" i="21"/>
  <c r="H83" i="21"/>
  <c r="D83" i="21"/>
  <c r="S81" i="21"/>
  <c r="O81" i="21"/>
  <c r="K81" i="21"/>
  <c r="G81" i="21"/>
  <c r="C81" i="21"/>
  <c r="R80" i="21"/>
  <c r="N80" i="21"/>
  <c r="J80" i="21"/>
  <c r="F80" i="21"/>
  <c r="U79" i="21"/>
  <c r="Q79" i="21"/>
  <c r="M79" i="21"/>
  <c r="I79" i="21"/>
  <c r="E79" i="21"/>
  <c r="T78" i="21"/>
  <c r="P78" i="21"/>
  <c r="L78" i="21"/>
  <c r="H78" i="21"/>
  <c r="D78" i="21"/>
  <c r="S77" i="21"/>
  <c r="O77" i="21"/>
  <c r="K77" i="21"/>
  <c r="G77" i="21"/>
  <c r="C77" i="21"/>
  <c r="R76" i="21"/>
  <c r="N76" i="21"/>
  <c r="J76" i="21"/>
  <c r="F76" i="21"/>
  <c r="U75" i="21"/>
  <c r="Q75" i="21"/>
  <c r="M75" i="21"/>
  <c r="I75" i="21"/>
  <c r="E75" i="21"/>
  <c r="T74" i="21"/>
  <c r="P74" i="21"/>
  <c r="L74" i="21"/>
  <c r="H74" i="21"/>
  <c r="D74" i="21"/>
  <c r="S73" i="21"/>
  <c r="O73" i="21"/>
  <c r="K73" i="21"/>
  <c r="G73" i="21"/>
  <c r="C73" i="21"/>
  <c r="R72" i="21"/>
  <c r="N72" i="21"/>
  <c r="J72" i="21"/>
  <c r="F72" i="21"/>
  <c r="U71" i="21"/>
  <c r="Q71" i="21"/>
  <c r="M71" i="21"/>
  <c r="I71" i="21"/>
  <c r="E71" i="21"/>
  <c r="T70" i="21"/>
  <c r="P70" i="21"/>
  <c r="L70" i="21"/>
  <c r="H70" i="21"/>
  <c r="D70" i="21"/>
  <c r="S69" i="21"/>
  <c r="O69" i="21"/>
  <c r="K69" i="21"/>
  <c r="G69" i="21"/>
  <c r="C69" i="21"/>
  <c r="R68" i="21"/>
  <c r="N68" i="21"/>
  <c r="J68" i="21"/>
  <c r="F68" i="21"/>
  <c r="U67" i="21"/>
  <c r="Q67" i="21"/>
  <c r="M67" i="21"/>
  <c r="I67" i="21"/>
  <c r="E67" i="21"/>
  <c r="T66" i="21"/>
  <c r="P66" i="21"/>
  <c r="L66" i="21"/>
  <c r="H66" i="21"/>
  <c r="D66" i="21"/>
  <c r="S65" i="21"/>
  <c r="O65" i="21"/>
  <c r="K65" i="21"/>
  <c r="G65" i="21"/>
  <c r="C65" i="21"/>
  <c r="R64" i="21"/>
  <c r="N64" i="21"/>
  <c r="J64" i="21"/>
  <c r="F64" i="21"/>
  <c r="U63" i="21"/>
  <c r="Q63" i="21"/>
  <c r="M63" i="21"/>
  <c r="I63" i="21"/>
  <c r="E63" i="21"/>
  <c r="T62" i="21"/>
  <c r="P62" i="21"/>
  <c r="L62" i="21"/>
  <c r="H62" i="21"/>
  <c r="D62" i="21"/>
  <c r="S61" i="21"/>
  <c r="O61" i="21"/>
  <c r="K61" i="21"/>
  <c r="G61" i="21"/>
  <c r="C61" i="21"/>
  <c r="R60" i="21"/>
  <c r="N60" i="21"/>
  <c r="J60" i="21"/>
  <c r="F60" i="21"/>
  <c r="U59" i="21"/>
  <c r="Q59" i="21"/>
  <c r="M59" i="21"/>
  <c r="I59" i="21"/>
  <c r="E59" i="21"/>
  <c r="T58" i="21"/>
  <c r="P58" i="21"/>
  <c r="L58" i="21"/>
  <c r="H58" i="21"/>
  <c r="D58" i="21"/>
  <c r="S57" i="21"/>
  <c r="O57" i="21"/>
  <c r="K57" i="21"/>
  <c r="G57" i="21"/>
  <c r="C57" i="21"/>
  <c r="R56" i="21"/>
  <c r="N56" i="21"/>
  <c r="J56" i="21"/>
  <c r="S83" i="21"/>
  <c r="O83" i="21"/>
  <c r="K83" i="21"/>
  <c r="G83" i="21"/>
  <c r="C83" i="21"/>
  <c r="R81" i="21"/>
  <c r="N81" i="21"/>
  <c r="J81" i="21"/>
  <c r="F81" i="21"/>
  <c r="U80" i="21"/>
  <c r="Q80" i="21"/>
  <c r="M80" i="21"/>
  <c r="I80" i="21"/>
  <c r="E80" i="21"/>
  <c r="T79" i="21"/>
  <c r="P79" i="21"/>
  <c r="L79" i="21"/>
  <c r="H79" i="21"/>
  <c r="D79" i="21"/>
  <c r="S78" i="21"/>
  <c r="O78" i="21"/>
  <c r="K78" i="21"/>
  <c r="G78" i="21"/>
  <c r="C78" i="21"/>
  <c r="R77" i="21"/>
  <c r="N77" i="21"/>
  <c r="J77" i="21"/>
  <c r="F77" i="21"/>
  <c r="U76" i="21"/>
  <c r="Q76" i="21"/>
  <c r="M76" i="21"/>
  <c r="I76" i="21"/>
  <c r="E76" i="21"/>
  <c r="T75" i="21"/>
  <c r="P75" i="21"/>
  <c r="L75" i="21"/>
  <c r="H75" i="21"/>
  <c r="D75" i="21"/>
  <c r="S74" i="21"/>
  <c r="O74" i="21"/>
  <c r="K74" i="21"/>
  <c r="G74" i="21"/>
  <c r="C74" i="21"/>
  <c r="R73" i="21"/>
  <c r="N73" i="21"/>
  <c r="J73" i="21"/>
  <c r="F73" i="21"/>
  <c r="U72" i="21"/>
  <c r="Q72" i="21"/>
  <c r="M72" i="21"/>
  <c r="I72" i="21"/>
  <c r="E72" i="21"/>
  <c r="T71" i="21"/>
  <c r="P71" i="21"/>
  <c r="L71" i="21"/>
  <c r="H71" i="21"/>
  <c r="D71" i="21"/>
  <c r="S70" i="21"/>
  <c r="O70" i="21"/>
  <c r="K70" i="21"/>
  <c r="G70" i="21"/>
  <c r="C70" i="21"/>
  <c r="R69" i="21"/>
  <c r="N69" i="21"/>
  <c r="J69" i="21"/>
  <c r="F69" i="21"/>
  <c r="U68" i="21"/>
  <c r="Q68" i="21"/>
  <c r="M68" i="21"/>
  <c r="I68" i="21"/>
  <c r="E68" i="21"/>
  <c r="T67" i="21"/>
  <c r="P67" i="21"/>
  <c r="L67" i="21"/>
  <c r="H67" i="21"/>
  <c r="D67" i="21"/>
  <c r="S66" i="21"/>
  <c r="O66" i="21"/>
  <c r="K66" i="21"/>
  <c r="G66" i="21"/>
  <c r="C66" i="21"/>
  <c r="R65" i="21"/>
  <c r="N65" i="21"/>
  <c r="J65" i="21"/>
  <c r="F65" i="21"/>
  <c r="U64" i="21"/>
  <c r="Q64" i="21"/>
  <c r="M64" i="21"/>
  <c r="I64" i="21"/>
  <c r="E64" i="21"/>
  <c r="T63" i="21"/>
  <c r="P63" i="21"/>
  <c r="L63" i="21"/>
  <c r="H63" i="21"/>
  <c r="D63" i="21"/>
  <c r="S62" i="21"/>
  <c r="O62" i="21"/>
  <c r="K62" i="21"/>
  <c r="G62" i="21"/>
  <c r="C62" i="21"/>
  <c r="R61" i="21"/>
  <c r="N61" i="21"/>
  <c r="J61" i="21"/>
  <c r="F61" i="21"/>
  <c r="U60" i="21"/>
  <c r="Q60" i="21"/>
  <c r="M60" i="21"/>
  <c r="I60" i="21"/>
  <c r="E60" i="21"/>
  <c r="T59" i="21"/>
  <c r="P59" i="21"/>
  <c r="L59" i="21"/>
  <c r="H59" i="21"/>
  <c r="D59" i="21"/>
  <c r="S58" i="21"/>
  <c r="O58" i="21"/>
  <c r="K58" i="21"/>
  <c r="G58" i="21"/>
  <c r="C58" i="21"/>
  <c r="R57" i="21"/>
  <c r="N57" i="21"/>
  <c r="J57" i="21"/>
  <c r="F57" i="21"/>
  <c r="U56" i="21"/>
  <c r="Q56" i="21"/>
  <c r="M56" i="21"/>
  <c r="I56" i="21"/>
  <c r="R83" i="21"/>
  <c r="N83" i="21"/>
  <c r="J83" i="21"/>
  <c r="F83" i="21"/>
  <c r="U81" i="21"/>
  <c r="Q81" i="21"/>
  <c r="M81" i="21"/>
  <c r="I81" i="21"/>
  <c r="E81" i="21"/>
  <c r="T80" i="21"/>
  <c r="P80" i="21"/>
  <c r="L80" i="21"/>
  <c r="H80" i="21"/>
  <c r="D80" i="21"/>
  <c r="S79" i="21"/>
  <c r="O79" i="21"/>
  <c r="K79" i="21"/>
  <c r="G79" i="21"/>
  <c r="C79" i="21"/>
  <c r="R78" i="21"/>
  <c r="N78" i="21"/>
  <c r="J78" i="21"/>
  <c r="F78" i="21"/>
  <c r="U77" i="21"/>
  <c r="Q77" i="21"/>
  <c r="M77" i="21"/>
  <c r="I77" i="21"/>
  <c r="E77" i="21"/>
  <c r="T76" i="21"/>
  <c r="P76" i="21"/>
  <c r="L76" i="21"/>
  <c r="H76" i="21"/>
  <c r="D76" i="21"/>
  <c r="S75" i="21"/>
  <c r="O75" i="21"/>
  <c r="K75" i="21"/>
  <c r="G75" i="21"/>
  <c r="C75" i="21"/>
  <c r="R74" i="21"/>
  <c r="N74" i="21"/>
  <c r="J74" i="21"/>
  <c r="F74" i="21"/>
  <c r="U73" i="21"/>
  <c r="Q73" i="21"/>
  <c r="M73" i="21"/>
  <c r="I73" i="21"/>
  <c r="E73" i="21"/>
  <c r="T72" i="21"/>
  <c r="P72" i="21"/>
  <c r="L72" i="21"/>
  <c r="H72" i="21"/>
  <c r="D72" i="21"/>
  <c r="S71" i="21"/>
  <c r="O71" i="21"/>
  <c r="K71" i="21"/>
  <c r="G71" i="21"/>
  <c r="C71" i="21"/>
  <c r="R70" i="21"/>
  <c r="N70" i="21"/>
  <c r="J70" i="21"/>
  <c r="F70" i="21"/>
  <c r="U69" i="21"/>
  <c r="Q69" i="21"/>
  <c r="M69" i="21"/>
  <c r="I69" i="21"/>
  <c r="E69" i="21"/>
  <c r="T68" i="21"/>
  <c r="P68" i="21"/>
  <c r="L68" i="21"/>
  <c r="H68" i="21"/>
  <c r="D68" i="21"/>
  <c r="S67" i="21"/>
  <c r="O67" i="21"/>
  <c r="K67" i="21"/>
  <c r="G67" i="21"/>
  <c r="C67" i="21"/>
  <c r="R66" i="21"/>
  <c r="N66" i="21"/>
  <c r="J66" i="21"/>
  <c r="F66" i="21"/>
  <c r="U65" i="21"/>
  <c r="Q65" i="21"/>
  <c r="M65" i="21"/>
  <c r="I65" i="21"/>
  <c r="E65" i="21"/>
  <c r="T64" i="21"/>
  <c r="P64" i="21"/>
  <c r="L64" i="21"/>
  <c r="H64" i="21"/>
  <c r="D64" i="21"/>
  <c r="S63" i="21"/>
  <c r="O63" i="21"/>
  <c r="K63" i="21"/>
  <c r="G63" i="21"/>
  <c r="C63" i="21"/>
  <c r="R62" i="21"/>
  <c r="N62" i="21"/>
  <c r="J62" i="21"/>
  <c r="F62" i="21"/>
  <c r="U61" i="21"/>
  <c r="Q61" i="21"/>
  <c r="M61" i="21"/>
  <c r="I61" i="21"/>
  <c r="E61" i="21"/>
  <c r="T60" i="21"/>
  <c r="P60" i="21"/>
  <c r="L60" i="21"/>
  <c r="H60" i="21"/>
  <c r="D60" i="21"/>
  <c r="S59" i="21"/>
  <c r="O59" i="21"/>
  <c r="K59" i="21"/>
  <c r="G59" i="21"/>
  <c r="C59" i="21"/>
  <c r="R58" i="21"/>
  <c r="N58" i="21"/>
  <c r="J58" i="21"/>
  <c r="F58" i="21"/>
  <c r="U57" i="21"/>
  <c r="Q57" i="21"/>
  <c r="M57" i="21"/>
  <c r="I57" i="21"/>
  <c r="E57" i="21"/>
  <c r="T56" i="21"/>
  <c r="P56" i="21"/>
  <c r="L56" i="21"/>
  <c r="H56" i="21"/>
  <c r="Q83" i="21"/>
  <c r="T81" i="21"/>
  <c r="D81" i="21"/>
  <c r="G80" i="21"/>
  <c r="J79" i="21"/>
  <c r="M78" i="21"/>
  <c r="P77" i="21"/>
  <c r="S76" i="21"/>
  <c r="C76" i="21"/>
  <c r="F75" i="21"/>
  <c r="I74" i="21"/>
  <c r="L73" i="21"/>
  <c r="O72" i="21"/>
  <c r="R71" i="21"/>
  <c r="U70" i="21"/>
  <c r="E70" i="21"/>
  <c r="H69" i="21"/>
  <c r="K68" i="21"/>
  <c r="N67" i="21"/>
  <c r="Q66" i="21"/>
  <c r="T65" i="21"/>
  <c r="D65" i="21"/>
  <c r="G64" i="21"/>
  <c r="J63" i="21"/>
  <c r="M62" i="21"/>
  <c r="P61" i="21"/>
  <c r="S60" i="21"/>
  <c r="C60" i="21"/>
  <c r="F59" i="21"/>
  <c r="I58" i="21"/>
  <c r="L57" i="21"/>
  <c r="O56" i="21"/>
  <c r="E56" i="21"/>
  <c r="S54" i="21"/>
  <c r="O54" i="21"/>
  <c r="K54" i="21"/>
  <c r="G54" i="21"/>
  <c r="C54" i="21"/>
  <c r="Q53" i="21"/>
  <c r="M53" i="21"/>
  <c r="I53" i="21"/>
  <c r="E53" i="21"/>
  <c r="S52" i="21"/>
  <c r="O52" i="21"/>
  <c r="K52" i="21"/>
  <c r="G52" i="21"/>
  <c r="C52" i="21"/>
  <c r="Q51" i="21"/>
  <c r="M51" i="21"/>
  <c r="I51" i="21"/>
  <c r="E51" i="21"/>
  <c r="S50" i="21"/>
  <c r="O50" i="21"/>
  <c r="K50" i="21"/>
  <c r="G50" i="21"/>
  <c r="C50" i="21"/>
  <c r="Q49" i="21"/>
  <c r="M49" i="21"/>
  <c r="I49" i="21"/>
  <c r="E49" i="21"/>
  <c r="S48" i="21"/>
  <c r="O48" i="21"/>
  <c r="K48" i="21"/>
  <c r="G48" i="21"/>
  <c r="C48" i="21"/>
  <c r="Q47" i="21"/>
  <c r="M47" i="21"/>
  <c r="I47" i="21"/>
  <c r="E47" i="21"/>
  <c r="S46" i="21"/>
  <c r="O46" i="21"/>
  <c r="K46" i="21"/>
  <c r="G46" i="21"/>
  <c r="C46" i="21"/>
  <c r="Q45" i="21"/>
  <c r="M45" i="21"/>
  <c r="I45" i="21"/>
  <c r="E45" i="21"/>
  <c r="S44" i="21"/>
  <c r="O44" i="21"/>
  <c r="K44" i="21"/>
  <c r="G44" i="21"/>
  <c r="C44" i="21"/>
  <c r="Q43" i="21"/>
  <c r="M43" i="21"/>
  <c r="I43" i="21"/>
  <c r="E43" i="21"/>
  <c r="S42" i="21"/>
  <c r="O42" i="21"/>
  <c r="K42" i="21"/>
  <c r="G42" i="21"/>
  <c r="C42" i="21"/>
  <c r="Q41" i="21"/>
  <c r="M41" i="21"/>
  <c r="I41" i="21"/>
  <c r="E41" i="21"/>
  <c r="S40" i="21"/>
  <c r="O40" i="21"/>
  <c r="K40" i="21"/>
  <c r="G40" i="21"/>
  <c r="C40" i="21"/>
  <c r="Q39" i="21"/>
  <c r="M39" i="21"/>
  <c r="I39" i="21"/>
  <c r="E39" i="21"/>
  <c r="S38" i="21"/>
  <c r="O38" i="21"/>
  <c r="K38" i="21"/>
  <c r="G38" i="21"/>
  <c r="C38" i="21"/>
  <c r="Q37" i="21"/>
  <c r="M37" i="21"/>
  <c r="I37" i="21"/>
  <c r="E37" i="21"/>
  <c r="S36" i="21"/>
  <c r="O36" i="21"/>
  <c r="K36" i="21"/>
  <c r="G36" i="21"/>
  <c r="C36" i="21"/>
  <c r="Q35" i="21"/>
  <c r="M35" i="21"/>
  <c r="I35" i="21"/>
  <c r="E35" i="21"/>
  <c r="S34" i="21"/>
  <c r="O34" i="21"/>
  <c r="K34" i="21"/>
  <c r="G34" i="21"/>
  <c r="C34" i="21"/>
  <c r="M83" i="21"/>
  <c r="P81" i="21"/>
  <c r="S80" i="21"/>
  <c r="C80" i="21"/>
  <c r="F79" i="21"/>
  <c r="I78" i="21"/>
  <c r="L77" i="21"/>
  <c r="O76" i="21"/>
  <c r="R75" i="21"/>
  <c r="U74" i="21"/>
  <c r="E74" i="21"/>
  <c r="H73" i="21"/>
  <c r="K72" i="21"/>
  <c r="N71" i="21"/>
  <c r="Q70" i="21"/>
  <c r="T69" i="21"/>
  <c r="D69" i="21"/>
  <c r="G68" i="21"/>
  <c r="J67" i="21"/>
  <c r="M66" i="21"/>
  <c r="P65" i="21"/>
  <c r="S64" i="21"/>
  <c r="C64" i="21"/>
  <c r="F63" i="21"/>
  <c r="I62" i="21"/>
  <c r="L61" i="21"/>
  <c r="O60" i="21"/>
  <c r="R59" i="21"/>
  <c r="U58" i="21"/>
  <c r="E58" i="21"/>
  <c r="H57" i="21"/>
  <c r="K56" i="21"/>
  <c r="D56" i="21"/>
  <c r="R54" i="21"/>
  <c r="N54" i="21"/>
  <c r="J54" i="21"/>
  <c r="F54" i="21"/>
  <c r="T53" i="21"/>
  <c r="P53" i="21"/>
  <c r="L53" i="21"/>
  <c r="H53" i="21"/>
  <c r="D53" i="21"/>
  <c r="R52" i="21"/>
  <c r="N52" i="21"/>
  <c r="J52" i="21"/>
  <c r="F52" i="21"/>
  <c r="T51" i="21"/>
  <c r="P51" i="21"/>
  <c r="L51" i="21"/>
  <c r="H51" i="21"/>
  <c r="D51" i="21"/>
  <c r="R50" i="21"/>
  <c r="N50" i="21"/>
  <c r="J50" i="21"/>
  <c r="F50" i="21"/>
  <c r="T49" i="21"/>
  <c r="P49" i="21"/>
  <c r="L49" i="21"/>
  <c r="H49" i="21"/>
  <c r="D49" i="21"/>
  <c r="R48" i="21"/>
  <c r="N48" i="21"/>
  <c r="J48" i="21"/>
  <c r="F48" i="21"/>
  <c r="T47" i="21"/>
  <c r="P47" i="21"/>
  <c r="L47" i="21"/>
  <c r="H47" i="21"/>
  <c r="D47" i="21"/>
  <c r="R46" i="21"/>
  <c r="N46" i="21"/>
  <c r="J46" i="21"/>
  <c r="F46" i="21"/>
  <c r="T45" i="21"/>
  <c r="P45" i="21"/>
  <c r="L45" i="21"/>
  <c r="H45" i="21"/>
  <c r="D45" i="21"/>
  <c r="R44" i="21"/>
  <c r="N44" i="21"/>
  <c r="J44" i="21"/>
  <c r="F44" i="21"/>
  <c r="T43" i="21"/>
  <c r="P43" i="21"/>
  <c r="L43" i="21"/>
  <c r="H43" i="21"/>
  <c r="D43" i="21"/>
  <c r="R42" i="21"/>
  <c r="N42" i="21"/>
  <c r="J42" i="21"/>
  <c r="F42" i="21"/>
  <c r="T41" i="21"/>
  <c r="P41" i="21"/>
  <c r="L41" i="21"/>
  <c r="H41" i="21"/>
  <c r="D41" i="21"/>
  <c r="R40" i="21"/>
  <c r="N40" i="21"/>
  <c r="J40" i="21"/>
  <c r="F40" i="21"/>
  <c r="T39" i="21"/>
  <c r="P39" i="21"/>
  <c r="L39" i="21"/>
  <c r="H39" i="21"/>
  <c r="D39" i="21"/>
  <c r="R38" i="21"/>
  <c r="N38" i="21"/>
  <c r="J38" i="21"/>
  <c r="F38" i="21"/>
  <c r="T37" i="21"/>
  <c r="P37" i="21"/>
  <c r="L37" i="21"/>
  <c r="H37" i="21"/>
  <c r="D37" i="21"/>
  <c r="R36" i="21"/>
  <c r="N36" i="21"/>
  <c r="J36" i="21"/>
  <c r="F36" i="21"/>
  <c r="T35" i="21"/>
  <c r="P35" i="21"/>
  <c r="L35" i="21"/>
  <c r="H35" i="21"/>
  <c r="D35" i="21"/>
  <c r="R34" i="21"/>
  <c r="N34" i="21"/>
  <c r="J34" i="21"/>
  <c r="I83" i="21"/>
  <c r="L81" i="21"/>
  <c r="O80" i="21"/>
  <c r="R79" i="21"/>
  <c r="U78" i="21"/>
  <c r="E78" i="21"/>
  <c r="H77" i="21"/>
  <c r="K76" i="21"/>
  <c r="N75" i="21"/>
  <c r="Q74" i="21"/>
  <c r="T73" i="21"/>
  <c r="D73" i="21"/>
  <c r="G72" i="21"/>
  <c r="J71" i="21"/>
  <c r="M70" i="21"/>
  <c r="P69" i="21"/>
  <c r="S68" i="21"/>
  <c r="C68" i="21"/>
  <c r="F67" i="21"/>
  <c r="I66" i="21"/>
  <c r="L65" i="21"/>
  <c r="O64" i="21"/>
  <c r="R63" i="21"/>
  <c r="U62" i="21"/>
  <c r="E62" i="21"/>
  <c r="H61" i="21"/>
  <c r="K60" i="21"/>
  <c r="N59" i="21"/>
  <c r="Q58" i="21"/>
  <c r="T57" i="21"/>
  <c r="D57" i="21"/>
  <c r="G56" i="21"/>
  <c r="C56" i="21"/>
  <c r="Q54" i="21"/>
  <c r="M54" i="21"/>
  <c r="I54" i="21"/>
  <c r="E54" i="21"/>
  <c r="S53" i="21"/>
  <c r="O53" i="21"/>
  <c r="K53" i="21"/>
  <c r="G53" i="21"/>
  <c r="C53" i="21"/>
  <c r="Q52" i="21"/>
  <c r="M52" i="21"/>
  <c r="I52" i="21"/>
  <c r="E52" i="21"/>
  <c r="S51" i="21"/>
  <c r="O51" i="21"/>
  <c r="K51" i="21"/>
  <c r="G51" i="21"/>
  <c r="C51" i="21"/>
  <c r="Q50" i="21"/>
  <c r="M50" i="21"/>
  <c r="I50" i="21"/>
  <c r="E50" i="21"/>
  <c r="S49" i="21"/>
  <c r="O49" i="21"/>
  <c r="K49" i="21"/>
  <c r="G49" i="21"/>
  <c r="C49" i="21"/>
  <c r="Q48" i="21"/>
  <c r="M48" i="21"/>
  <c r="I48" i="21"/>
  <c r="E48" i="21"/>
  <c r="S47" i="21"/>
  <c r="O47" i="21"/>
  <c r="K47" i="21"/>
  <c r="G47" i="21"/>
  <c r="C47" i="21"/>
  <c r="Q46" i="21"/>
  <c r="M46" i="21"/>
  <c r="I46" i="21"/>
  <c r="E46" i="21"/>
  <c r="S45" i="21"/>
  <c r="O45" i="21"/>
  <c r="K45" i="21"/>
  <c r="G45" i="21"/>
  <c r="C45" i="21"/>
  <c r="Q44" i="21"/>
  <c r="M44" i="21"/>
  <c r="I44" i="21"/>
  <c r="E44" i="21"/>
  <c r="S43" i="21"/>
  <c r="O43" i="21"/>
  <c r="K43" i="21"/>
  <c r="G43" i="21"/>
  <c r="C43" i="21"/>
  <c r="Q42" i="21"/>
  <c r="M42" i="21"/>
  <c r="I42" i="21"/>
  <c r="E42" i="21"/>
  <c r="S41" i="21"/>
  <c r="O41" i="21"/>
  <c r="K41" i="21"/>
  <c r="G41" i="21"/>
  <c r="C41" i="21"/>
  <c r="Q40" i="21"/>
  <c r="M40" i="21"/>
  <c r="I40" i="21"/>
  <c r="E40" i="21"/>
  <c r="S39" i="21"/>
  <c r="O39" i="21"/>
  <c r="K39" i="21"/>
  <c r="G39" i="21"/>
  <c r="C39" i="21"/>
  <c r="Q38" i="21"/>
  <c r="M38" i="21"/>
  <c r="I38" i="21"/>
  <c r="E38" i="21"/>
  <c r="S37" i="21"/>
  <c r="O37" i="21"/>
  <c r="K37" i="21"/>
  <c r="G37" i="21"/>
  <c r="C37" i="21"/>
  <c r="Q36" i="21"/>
  <c r="M36" i="21"/>
  <c r="I36" i="21"/>
  <c r="E36" i="21"/>
  <c r="S35" i="21"/>
  <c r="O35" i="21"/>
  <c r="K35" i="21"/>
  <c r="G35" i="21"/>
  <c r="C35" i="21"/>
  <c r="Q34" i="21"/>
  <c r="M34" i="21"/>
  <c r="I34" i="21"/>
  <c r="E34" i="21"/>
  <c r="E83" i="21"/>
  <c r="Q78" i="21"/>
  <c r="J75" i="21"/>
  <c r="C72" i="21"/>
  <c r="O68" i="21"/>
  <c r="H65" i="21"/>
  <c r="T61" i="21"/>
  <c r="M58" i="21"/>
  <c r="T54" i="21"/>
  <c r="D54" i="21"/>
  <c r="F53" i="21"/>
  <c r="H52" i="21"/>
  <c r="J51" i="21"/>
  <c r="L50" i="21"/>
  <c r="N49" i="21"/>
  <c r="P48" i="21"/>
  <c r="R47" i="21"/>
  <c r="T46" i="21"/>
  <c r="D46" i="21"/>
  <c r="F45" i="21"/>
  <c r="H44" i="21"/>
  <c r="J43" i="21"/>
  <c r="L42" i="21"/>
  <c r="N41" i="21"/>
  <c r="P40" i="21"/>
  <c r="R39" i="21"/>
  <c r="T38" i="21"/>
  <c r="D38" i="21"/>
  <c r="F37" i="21"/>
  <c r="H36" i="21"/>
  <c r="J35" i="21"/>
  <c r="L34" i="21"/>
  <c r="T33" i="21"/>
  <c r="P33" i="21"/>
  <c r="L33" i="21"/>
  <c r="H33" i="21"/>
  <c r="D33" i="21"/>
  <c r="R32" i="21"/>
  <c r="N32" i="21"/>
  <c r="J32" i="21"/>
  <c r="F32" i="21"/>
  <c r="T31" i="21"/>
  <c r="P31" i="21"/>
  <c r="L31" i="21"/>
  <c r="H31" i="21"/>
  <c r="D31" i="21"/>
  <c r="R30" i="21"/>
  <c r="N30" i="21"/>
  <c r="J30" i="21"/>
  <c r="F30" i="21"/>
  <c r="T29" i="21"/>
  <c r="P29" i="21"/>
  <c r="L29" i="21"/>
  <c r="H29" i="21"/>
  <c r="D29" i="21"/>
  <c r="S27" i="21"/>
  <c r="O27" i="21"/>
  <c r="K27" i="21"/>
  <c r="G27" i="21"/>
  <c r="C27" i="21"/>
  <c r="R26" i="21"/>
  <c r="N26" i="21"/>
  <c r="J26" i="21"/>
  <c r="F26" i="21"/>
  <c r="U25" i="21"/>
  <c r="Q25" i="21"/>
  <c r="M25" i="21"/>
  <c r="I25" i="21"/>
  <c r="E25" i="21"/>
  <c r="T24" i="21"/>
  <c r="P24" i="21"/>
  <c r="L24" i="21"/>
  <c r="H24" i="21"/>
  <c r="D24" i="21"/>
  <c r="S23" i="21"/>
  <c r="O23" i="21"/>
  <c r="K23" i="21"/>
  <c r="G23" i="21"/>
  <c r="C23" i="21"/>
  <c r="R22" i="21"/>
  <c r="N22" i="21"/>
  <c r="J22" i="21"/>
  <c r="F22" i="21"/>
  <c r="U21" i="21"/>
  <c r="Q21" i="21"/>
  <c r="M21" i="21"/>
  <c r="I21" i="21"/>
  <c r="E21" i="21"/>
  <c r="T20" i="21"/>
  <c r="P20" i="21"/>
  <c r="L20" i="21"/>
  <c r="H20" i="21"/>
  <c r="D20" i="21"/>
  <c r="S19" i="21"/>
  <c r="O19" i="21"/>
  <c r="K19" i="21"/>
  <c r="G19" i="21"/>
  <c r="C19" i="21"/>
  <c r="R18" i="21"/>
  <c r="N18" i="21"/>
  <c r="J18" i="21"/>
  <c r="F18" i="21"/>
  <c r="U17" i="21"/>
  <c r="Q17" i="21"/>
  <c r="M17" i="21"/>
  <c r="I17" i="21"/>
  <c r="E17" i="21"/>
  <c r="T16" i="21"/>
  <c r="P16" i="21"/>
  <c r="L16" i="21"/>
  <c r="H16" i="21"/>
  <c r="D16" i="21"/>
  <c r="S15" i="21"/>
  <c r="O15" i="21"/>
  <c r="K15" i="21"/>
  <c r="G15" i="21"/>
  <c r="C15" i="21"/>
  <c r="R14" i="21"/>
  <c r="N14" i="21"/>
  <c r="J14" i="21"/>
  <c r="F14" i="21"/>
  <c r="U13" i="21"/>
  <c r="Q13" i="21"/>
  <c r="M13" i="21"/>
  <c r="I13" i="21"/>
  <c r="E13" i="21"/>
  <c r="T12" i="21"/>
  <c r="P12" i="21"/>
  <c r="L12" i="21"/>
  <c r="H12" i="21"/>
  <c r="D12" i="21"/>
  <c r="H81" i="21"/>
  <c r="T77" i="21"/>
  <c r="M74" i="21"/>
  <c r="F71" i="21"/>
  <c r="R67" i="21"/>
  <c r="K64" i="21"/>
  <c r="D61" i="21"/>
  <c r="P57" i="21"/>
  <c r="P54" i="21"/>
  <c r="R53" i="21"/>
  <c r="T52" i="21"/>
  <c r="D52" i="21"/>
  <c r="F51" i="21"/>
  <c r="H50" i="21"/>
  <c r="J49" i="21"/>
  <c r="L48" i="21"/>
  <c r="N47" i="21"/>
  <c r="P46" i="21"/>
  <c r="R45" i="21"/>
  <c r="T44" i="21"/>
  <c r="D44" i="21"/>
  <c r="F43" i="21"/>
  <c r="H42" i="21"/>
  <c r="J41" i="21"/>
  <c r="L40" i="21"/>
  <c r="N39" i="21"/>
  <c r="P38" i="21"/>
  <c r="R37" i="21"/>
  <c r="T36" i="21"/>
  <c r="D36" i="21"/>
  <c r="F35" i="21"/>
  <c r="H34" i="21"/>
  <c r="S33" i="21"/>
  <c r="O33" i="21"/>
  <c r="K33" i="21"/>
  <c r="G33" i="21"/>
  <c r="C33" i="21"/>
  <c r="Q32" i="21"/>
  <c r="M32" i="21"/>
  <c r="I32" i="21"/>
  <c r="E32" i="21"/>
  <c r="S31" i="21"/>
  <c r="O31" i="21"/>
  <c r="K31" i="21"/>
  <c r="G31" i="21"/>
  <c r="C31" i="21"/>
  <c r="Q30" i="21"/>
  <c r="M30" i="21"/>
  <c r="I30" i="21"/>
  <c r="E30" i="21"/>
  <c r="S29" i="21"/>
  <c r="O29" i="21"/>
  <c r="K29" i="21"/>
  <c r="G29" i="21"/>
  <c r="C29" i="21"/>
  <c r="R27" i="21"/>
  <c r="N27" i="21"/>
  <c r="J27" i="21"/>
  <c r="F27" i="21"/>
  <c r="U26" i="21"/>
  <c r="Q26" i="21"/>
  <c r="M26" i="21"/>
  <c r="I26" i="21"/>
  <c r="E26" i="21"/>
  <c r="T25" i="21"/>
  <c r="P25" i="21"/>
  <c r="L25" i="21"/>
  <c r="H25" i="21"/>
  <c r="D25" i="21"/>
  <c r="S24" i="21"/>
  <c r="O24" i="21"/>
  <c r="K24" i="21"/>
  <c r="G24" i="21"/>
  <c r="C24" i="21"/>
  <c r="R23" i="21"/>
  <c r="N23" i="21"/>
  <c r="J23" i="21"/>
  <c r="F23" i="21"/>
  <c r="U22" i="21"/>
  <c r="Q22" i="21"/>
  <c r="M22" i="21"/>
  <c r="I22" i="21"/>
  <c r="E22" i="21"/>
  <c r="T21" i="21"/>
  <c r="P21" i="21"/>
  <c r="L21" i="21"/>
  <c r="H21" i="21"/>
  <c r="D21" i="21"/>
  <c r="S20" i="21"/>
  <c r="O20" i="21"/>
  <c r="K20" i="21"/>
  <c r="G20" i="21"/>
  <c r="C20" i="21"/>
  <c r="R19" i="21"/>
  <c r="N19" i="21"/>
  <c r="J19" i="21"/>
  <c r="F19" i="21"/>
  <c r="U18" i="21"/>
  <c r="Q18" i="21"/>
  <c r="M18" i="21"/>
  <c r="I18" i="21"/>
  <c r="E18" i="21"/>
  <c r="T17" i="21"/>
  <c r="P17" i="21"/>
  <c r="L17" i="21"/>
  <c r="H17" i="21"/>
  <c r="D17" i="21"/>
  <c r="S16" i="21"/>
  <c r="O16" i="21"/>
  <c r="K16" i="21"/>
  <c r="G16" i="21"/>
  <c r="C16" i="21"/>
  <c r="R15" i="21"/>
  <c r="N15" i="21"/>
  <c r="J15" i="21"/>
  <c r="F15" i="21"/>
  <c r="U14" i="21"/>
  <c r="Q14" i="21"/>
  <c r="M14" i="21"/>
  <c r="I14" i="21"/>
  <c r="E14" i="21"/>
  <c r="T13" i="21"/>
  <c r="P13" i="21"/>
  <c r="L13" i="21"/>
  <c r="H13" i="21"/>
  <c r="D13" i="21"/>
  <c r="S12" i="21"/>
  <c r="K80" i="21"/>
  <c r="D77" i="21"/>
  <c r="P73" i="21"/>
  <c r="I70" i="21"/>
  <c r="U66" i="21"/>
  <c r="N63" i="21"/>
  <c r="G60" i="21"/>
  <c r="S56" i="21"/>
  <c r="L54" i="21"/>
  <c r="N53" i="21"/>
  <c r="P52" i="21"/>
  <c r="R51" i="21"/>
  <c r="T50" i="21"/>
  <c r="D50" i="21"/>
  <c r="F49" i="21"/>
  <c r="H48" i="21"/>
  <c r="J47" i="21"/>
  <c r="L46" i="21"/>
  <c r="N45" i="21"/>
  <c r="P44" i="21"/>
  <c r="R43" i="21"/>
  <c r="T42" i="21"/>
  <c r="D42" i="21"/>
  <c r="F41" i="21"/>
  <c r="H40" i="21"/>
  <c r="J39" i="21"/>
  <c r="L38" i="21"/>
  <c r="N37" i="21"/>
  <c r="P36" i="21"/>
  <c r="R35" i="21"/>
  <c r="T34" i="21"/>
  <c r="F34" i="21"/>
  <c r="R33" i="21"/>
  <c r="N33" i="21"/>
  <c r="J33" i="21"/>
  <c r="F33" i="21"/>
  <c r="T32" i="21"/>
  <c r="P32" i="21"/>
  <c r="L32" i="21"/>
  <c r="H32" i="21"/>
  <c r="D32" i="21"/>
  <c r="R31" i="21"/>
  <c r="N31" i="21"/>
  <c r="J31" i="21"/>
  <c r="F31" i="21"/>
  <c r="T30" i="21"/>
  <c r="P30" i="21"/>
  <c r="L30" i="21"/>
  <c r="H30" i="21"/>
  <c r="D30" i="21"/>
  <c r="R29" i="21"/>
  <c r="N29" i="21"/>
  <c r="J29" i="21"/>
  <c r="F29" i="21"/>
  <c r="U27" i="21"/>
  <c r="Q27" i="21"/>
  <c r="M27" i="21"/>
  <c r="I27" i="21"/>
  <c r="E27" i="21"/>
  <c r="T26" i="21"/>
  <c r="P26" i="21"/>
  <c r="L26" i="21"/>
  <c r="H26" i="21"/>
  <c r="D26" i="21"/>
  <c r="S25" i="21"/>
  <c r="O25" i="21"/>
  <c r="K25" i="21"/>
  <c r="G25" i="21"/>
  <c r="C25" i="21"/>
  <c r="R24" i="21"/>
  <c r="N24" i="21"/>
  <c r="J24" i="21"/>
  <c r="F24" i="21"/>
  <c r="U23" i="21"/>
  <c r="Q23" i="21"/>
  <c r="M23" i="21"/>
  <c r="I23" i="21"/>
  <c r="E23" i="21"/>
  <c r="T22" i="21"/>
  <c r="P22" i="21"/>
  <c r="L22" i="21"/>
  <c r="H22" i="21"/>
  <c r="D22" i="21"/>
  <c r="S21" i="21"/>
  <c r="O21" i="21"/>
  <c r="K21" i="21"/>
  <c r="G21" i="21"/>
  <c r="C21" i="21"/>
  <c r="R20" i="21"/>
  <c r="N20" i="21"/>
  <c r="J20" i="21"/>
  <c r="F20" i="21"/>
  <c r="U19" i="21"/>
  <c r="Q19" i="21"/>
  <c r="M19" i="21"/>
  <c r="I19" i="21"/>
  <c r="E19" i="21"/>
  <c r="T18" i="21"/>
  <c r="P18" i="21"/>
  <c r="L18" i="21"/>
  <c r="H18" i="21"/>
  <c r="D18" i="21"/>
  <c r="S17" i="21"/>
  <c r="O17" i="21"/>
  <c r="K17" i="21"/>
  <c r="G17" i="21"/>
  <c r="C17" i="21"/>
  <c r="R16" i="21"/>
  <c r="N16" i="21"/>
  <c r="J16" i="21"/>
  <c r="F16" i="21"/>
  <c r="U15" i="21"/>
  <c r="Q15" i="21"/>
  <c r="M15" i="21"/>
  <c r="I15" i="21"/>
  <c r="E15" i="21"/>
  <c r="T14" i="21"/>
  <c r="P14" i="21"/>
  <c r="L14" i="21"/>
  <c r="H14" i="21"/>
  <c r="D14" i="21"/>
  <c r="S13" i="21"/>
  <c r="O13" i="21"/>
  <c r="K13" i="21"/>
  <c r="G13" i="21"/>
  <c r="C13" i="21"/>
  <c r="R12" i="21"/>
  <c r="N12" i="21"/>
  <c r="J12" i="21"/>
  <c r="F12" i="21"/>
  <c r="N79" i="21"/>
  <c r="E66" i="21"/>
  <c r="H54" i="21"/>
  <c r="P50" i="21"/>
  <c r="F47" i="21"/>
  <c r="N43" i="21"/>
  <c r="D40" i="21"/>
  <c r="L36" i="21"/>
  <c r="Q33" i="21"/>
  <c r="S32" i="21"/>
  <c r="C32" i="21"/>
  <c r="E31" i="21"/>
  <c r="G30" i="21"/>
  <c r="I29" i="21"/>
  <c r="L27" i="21"/>
  <c r="O26" i="21"/>
  <c r="R25" i="21"/>
  <c r="U24" i="21"/>
  <c r="E24" i="21"/>
  <c r="H23" i="21"/>
  <c r="K22" i="21"/>
  <c r="N21" i="21"/>
  <c r="Q20" i="21"/>
  <c r="T19" i="21"/>
  <c r="D19" i="21"/>
  <c r="G18" i="21"/>
  <c r="J17" i="21"/>
  <c r="M16" i="21"/>
  <c r="P15" i="21"/>
  <c r="S14" i="21"/>
  <c r="C14" i="21"/>
  <c r="F13" i="21"/>
  <c r="M12" i="21"/>
  <c r="E12" i="21"/>
  <c r="S11" i="21"/>
  <c r="O11" i="21"/>
  <c r="K11" i="21"/>
  <c r="G11" i="21"/>
  <c r="C11" i="21"/>
  <c r="R10" i="21"/>
  <c r="N10" i="21"/>
  <c r="J10" i="21"/>
  <c r="F10" i="21"/>
  <c r="U9" i="21"/>
  <c r="Q9" i="21"/>
  <c r="M9" i="21"/>
  <c r="I9" i="21"/>
  <c r="E9" i="21"/>
  <c r="T8" i="21"/>
  <c r="P8" i="21"/>
  <c r="L8" i="21"/>
  <c r="H8" i="21"/>
  <c r="D8" i="21"/>
  <c r="S7" i="21"/>
  <c r="O7" i="21"/>
  <c r="K7" i="21"/>
  <c r="G7" i="21"/>
  <c r="C7" i="21"/>
  <c r="R6" i="21"/>
  <c r="N6" i="21"/>
  <c r="J6" i="21"/>
  <c r="F6" i="21"/>
  <c r="U5" i="21"/>
  <c r="Q5" i="21"/>
  <c r="M5" i="21"/>
  <c r="I5" i="21"/>
  <c r="E5" i="21"/>
  <c r="T4" i="21"/>
  <c r="P4" i="21"/>
  <c r="L4" i="21"/>
  <c r="H4" i="21"/>
  <c r="D4" i="21"/>
  <c r="S3" i="21"/>
  <c r="O3" i="21"/>
  <c r="K3" i="21"/>
  <c r="G3" i="21"/>
  <c r="C3" i="21"/>
  <c r="R2" i="21"/>
  <c r="N2" i="21"/>
  <c r="J2" i="21"/>
  <c r="F2" i="21"/>
  <c r="Q2" i="21"/>
  <c r="E2" i="21"/>
  <c r="F56" i="21"/>
  <c r="L44" i="21"/>
  <c r="D34" i="21"/>
  <c r="I31" i="21"/>
  <c r="P27" i="21"/>
  <c r="F25" i="21"/>
  <c r="O22" i="21"/>
  <c r="E20" i="21"/>
  <c r="N17" i="21"/>
  <c r="D15" i="21"/>
  <c r="J13" i="21"/>
  <c r="T11" i="21"/>
  <c r="H11" i="21"/>
  <c r="O10" i="21"/>
  <c r="C10" i="21"/>
  <c r="J9" i="21"/>
  <c r="Q8" i="21"/>
  <c r="E8" i="21"/>
  <c r="L7" i="21"/>
  <c r="S6" i="21"/>
  <c r="G6" i="21"/>
  <c r="J5" i="21"/>
  <c r="Q4" i="21"/>
  <c r="E4" i="21"/>
  <c r="L3" i="21"/>
  <c r="S2" i="21"/>
  <c r="G2" i="21"/>
  <c r="G76" i="21"/>
  <c r="Q62" i="21"/>
  <c r="J53" i="21"/>
  <c r="R49" i="21"/>
  <c r="H46" i="21"/>
  <c r="P42" i="21"/>
  <c r="F39" i="21"/>
  <c r="N35" i="21"/>
  <c r="M33" i="21"/>
  <c r="O32" i="21"/>
  <c r="Q31" i="21"/>
  <c r="S30" i="21"/>
  <c r="C30" i="21"/>
  <c r="E29" i="21"/>
  <c r="H27" i="21"/>
  <c r="K26" i="21"/>
  <c r="N25" i="21"/>
  <c r="Q24" i="21"/>
  <c r="T23" i="21"/>
  <c r="D23" i="21"/>
  <c r="G22" i="21"/>
  <c r="J21" i="21"/>
  <c r="M20" i="21"/>
  <c r="P19" i="21"/>
  <c r="S18" i="21"/>
  <c r="C18" i="21"/>
  <c r="F17" i="21"/>
  <c r="I16" i="21"/>
  <c r="L15" i="21"/>
  <c r="O14" i="21"/>
  <c r="R13" i="21"/>
  <c r="U12" i="21"/>
  <c r="K12" i="21"/>
  <c r="C12" i="21"/>
  <c r="R11" i="21"/>
  <c r="N11" i="21"/>
  <c r="J11" i="21"/>
  <c r="F11" i="21"/>
  <c r="U10" i="21"/>
  <c r="Q10" i="21"/>
  <c r="M10" i="21"/>
  <c r="I10" i="21"/>
  <c r="E10" i="21"/>
  <c r="T9" i="21"/>
  <c r="P9" i="21"/>
  <c r="L9" i="21"/>
  <c r="H9" i="21"/>
  <c r="D9" i="21"/>
  <c r="S8" i="21"/>
  <c r="O8" i="21"/>
  <c r="K8" i="21"/>
  <c r="G8" i="21"/>
  <c r="C8" i="21"/>
  <c r="R7" i="21"/>
  <c r="N7" i="21"/>
  <c r="J7" i="21"/>
  <c r="F7" i="21"/>
  <c r="U6" i="21"/>
  <c r="Q6" i="21"/>
  <c r="M6" i="21"/>
  <c r="I6" i="21"/>
  <c r="E6" i="21"/>
  <c r="T5" i="21"/>
  <c r="P5" i="21"/>
  <c r="L5" i="21"/>
  <c r="H5" i="21"/>
  <c r="D5" i="21"/>
  <c r="S4" i="21"/>
  <c r="O4" i="21"/>
  <c r="K4" i="21"/>
  <c r="G4" i="21"/>
  <c r="C4" i="21"/>
  <c r="R3" i="21"/>
  <c r="N3" i="21"/>
  <c r="J3" i="21"/>
  <c r="F3" i="21"/>
  <c r="U2" i="21"/>
  <c r="M2" i="21"/>
  <c r="I2" i="21"/>
  <c r="N51" i="21"/>
  <c r="D48" i="21"/>
  <c r="J37" i="21"/>
  <c r="G32" i="21"/>
  <c r="M29" i="21"/>
  <c r="C26" i="21"/>
  <c r="L23" i="21"/>
  <c r="U20" i="21"/>
  <c r="K18" i="21"/>
  <c r="T15" i="21"/>
  <c r="O12" i="21"/>
  <c r="L11" i="21"/>
  <c r="S10" i="21"/>
  <c r="G10" i="21"/>
  <c r="N9" i="21"/>
  <c r="U8" i="21"/>
  <c r="I8" i="21"/>
  <c r="P7" i="21"/>
  <c r="D7" i="21"/>
  <c r="K6" i="21"/>
  <c r="R5" i="21"/>
  <c r="F5" i="21"/>
  <c r="M4" i="21"/>
  <c r="T3" i="21"/>
  <c r="H3" i="21"/>
  <c r="O2" i="21"/>
  <c r="C2" i="21"/>
  <c r="S72" i="21"/>
  <c r="J59" i="21"/>
  <c r="L52" i="21"/>
  <c r="T48" i="21"/>
  <c r="J45" i="21"/>
  <c r="R41" i="21"/>
  <c r="H38" i="21"/>
  <c r="P34" i="21"/>
  <c r="I33" i="21"/>
  <c r="K32" i="21"/>
  <c r="M31" i="21"/>
  <c r="O30" i="21"/>
  <c r="Q29" i="21"/>
  <c r="T27" i="21"/>
  <c r="D27" i="21"/>
  <c r="G26" i="21"/>
  <c r="J25" i="21"/>
  <c r="M24" i="21"/>
  <c r="P23" i="21"/>
  <c r="S22" i="21"/>
  <c r="C22" i="21"/>
  <c r="F21" i="21"/>
  <c r="I20" i="21"/>
  <c r="L19" i="21"/>
  <c r="O18" i="21"/>
  <c r="R17" i="21"/>
  <c r="U16" i="21"/>
  <c r="E16" i="21"/>
  <c r="H15" i="21"/>
  <c r="K14" i="21"/>
  <c r="N13" i="21"/>
  <c r="Q12" i="21"/>
  <c r="I12" i="21"/>
  <c r="U11" i="21"/>
  <c r="Q11" i="21"/>
  <c r="M11" i="21"/>
  <c r="I11" i="21"/>
  <c r="E11" i="21"/>
  <c r="T10" i="21"/>
  <c r="P10" i="21"/>
  <c r="L10" i="21"/>
  <c r="H10" i="21"/>
  <c r="D10" i="21"/>
  <c r="S9" i="21"/>
  <c r="O9" i="21"/>
  <c r="K9" i="21"/>
  <c r="G9" i="21"/>
  <c r="C9" i="21"/>
  <c r="R8" i="21"/>
  <c r="N8" i="21"/>
  <c r="J8" i="21"/>
  <c r="F8" i="21"/>
  <c r="U7" i="21"/>
  <c r="Q7" i="21"/>
  <c r="M7" i="21"/>
  <c r="I7" i="21"/>
  <c r="E7" i="21"/>
  <c r="T6" i="21"/>
  <c r="P6" i="21"/>
  <c r="L6" i="21"/>
  <c r="H6" i="21"/>
  <c r="D6" i="21"/>
  <c r="S5" i="21"/>
  <c r="O5" i="21"/>
  <c r="K5" i="21"/>
  <c r="G5" i="21"/>
  <c r="C5" i="21"/>
  <c r="R4" i="21"/>
  <c r="N4" i="21"/>
  <c r="J4" i="21"/>
  <c r="F4" i="21"/>
  <c r="U3" i="21"/>
  <c r="Q3" i="21"/>
  <c r="M3" i="21"/>
  <c r="I3" i="21"/>
  <c r="E3" i="21"/>
  <c r="T2" i="21"/>
  <c r="P2" i="21"/>
  <c r="L2" i="21"/>
  <c r="H2" i="21"/>
  <c r="D2" i="21"/>
  <c r="L69" i="21"/>
  <c r="T40" i="21"/>
  <c r="E33" i="21"/>
  <c r="K30" i="21"/>
  <c r="S26" i="21"/>
  <c r="I24" i="21"/>
  <c r="R21" i="21"/>
  <c r="H19" i="21"/>
  <c r="Q16" i="21"/>
  <c r="G14" i="21"/>
  <c r="G12" i="21"/>
  <c r="P11" i="21"/>
  <c r="D11" i="21"/>
  <c r="K10" i="21"/>
  <c r="R9" i="21"/>
  <c r="F9" i="21"/>
  <c r="M8" i="21"/>
  <c r="T7" i="21"/>
  <c r="H7" i="21"/>
  <c r="O6" i="21"/>
  <c r="C6" i="21"/>
  <c r="N5" i="21"/>
  <c r="U4" i="21"/>
  <c r="I4" i="21"/>
  <c r="P3" i="21"/>
  <c r="D3" i="21"/>
  <c r="K2" i="21"/>
  <c r="T83" i="20"/>
  <c r="P83" i="20"/>
  <c r="L83" i="20"/>
  <c r="H83" i="20"/>
  <c r="D83" i="20"/>
  <c r="S81" i="20"/>
  <c r="O81" i="20"/>
  <c r="K81" i="20"/>
  <c r="G81" i="20"/>
  <c r="C81" i="20"/>
  <c r="R80" i="20"/>
  <c r="N80" i="20"/>
  <c r="J80" i="20"/>
  <c r="F80" i="20"/>
  <c r="U79" i="20"/>
  <c r="Q79" i="20"/>
  <c r="M79" i="20"/>
  <c r="I79" i="20"/>
  <c r="E79" i="20"/>
  <c r="T78" i="20"/>
  <c r="P78" i="20"/>
  <c r="L78" i="20"/>
  <c r="H78" i="20"/>
  <c r="D78" i="20"/>
  <c r="S77" i="20"/>
  <c r="O77" i="20"/>
  <c r="K77" i="20"/>
  <c r="G77" i="20"/>
  <c r="C77" i="20"/>
  <c r="R76" i="20"/>
  <c r="N76" i="20"/>
  <c r="J76" i="20"/>
  <c r="F76" i="20"/>
  <c r="U75" i="20"/>
  <c r="Q75" i="20"/>
  <c r="M75" i="20"/>
  <c r="I75" i="20"/>
  <c r="E75" i="20"/>
  <c r="T74" i="20"/>
  <c r="P74" i="20"/>
  <c r="L74" i="20"/>
  <c r="H74" i="20"/>
  <c r="D74" i="20"/>
  <c r="S73" i="20"/>
  <c r="O73" i="20"/>
  <c r="K73" i="20"/>
  <c r="G73" i="20"/>
  <c r="C73" i="20"/>
  <c r="R72" i="20"/>
  <c r="N72" i="20"/>
  <c r="J72" i="20"/>
  <c r="F72" i="20"/>
  <c r="U71" i="20"/>
  <c r="Q71" i="20"/>
  <c r="M71" i="20"/>
  <c r="I71" i="20"/>
  <c r="E71" i="20"/>
  <c r="T70" i="20"/>
  <c r="P70" i="20"/>
  <c r="L70" i="20"/>
  <c r="H70" i="20"/>
  <c r="D70" i="20"/>
  <c r="S69" i="20"/>
  <c r="O69" i="20"/>
  <c r="K69" i="20"/>
  <c r="G69" i="20"/>
  <c r="C69" i="20"/>
  <c r="R68" i="20"/>
  <c r="N68" i="20"/>
  <c r="J68" i="20"/>
  <c r="F68" i="20"/>
  <c r="U67" i="20"/>
  <c r="Q67" i="20"/>
  <c r="M67" i="20"/>
  <c r="I67" i="20"/>
  <c r="E67" i="20"/>
  <c r="T66" i="20"/>
  <c r="P66" i="20"/>
  <c r="L66" i="20"/>
  <c r="H66" i="20"/>
  <c r="D66" i="20"/>
  <c r="S65" i="20"/>
  <c r="O65" i="20"/>
  <c r="K65" i="20"/>
  <c r="G65" i="20"/>
  <c r="C65" i="20"/>
  <c r="R64" i="20"/>
  <c r="N64" i="20"/>
  <c r="J64" i="20"/>
  <c r="F64" i="20"/>
  <c r="U63" i="20"/>
  <c r="Q63" i="20"/>
  <c r="M63" i="20"/>
  <c r="I63" i="20"/>
  <c r="E63" i="20"/>
  <c r="T62" i="20"/>
  <c r="P62" i="20"/>
  <c r="L62" i="20"/>
  <c r="H62" i="20"/>
  <c r="D62" i="20"/>
  <c r="S61" i="20"/>
  <c r="O61" i="20"/>
  <c r="K61" i="20"/>
  <c r="G61" i="20"/>
  <c r="C61" i="20"/>
  <c r="R60" i="20"/>
  <c r="N60" i="20"/>
  <c r="J60" i="20"/>
  <c r="F60" i="20"/>
  <c r="U59" i="20"/>
  <c r="Q59" i="20"/>
  <c r="M59" i="20"/>
  <c r="I59" i="20"/>
  <c r="E59" i="20"/>
  <c r="T58" i="20"/>
  <c r="P58" i="20"/>
  <c r="L58" i="20"/>
  <c r="H58" i="20"/>
  <c r="D58" i="20"/>
  <c r="S57" i="20"/>
  <c r="O57" i="20"/>
  <c r="K57" i="20"/>
  <c r="G57" i="20"/>
  <c r="C57" i="20"/>
  <c r="R56" i="20"/>
  <c r="N56" i="20"/>
  <c r="J56" i="20"/>
  <c r="S83" i="20"/>
  <c r="O83" i="20"/>
  <c r="K83" i="20"/>
  <c r="G83" i="20"/>
  <c r="C83" i="20"/>
  <c r="R81" i="20"/>
  <c r="N81" i="20"/>
  <c r="J81" i="20"/>
  <c r="F81" i="20"/>
  <c r="U80" i="20"/>
  <c r="Q80" i="20"/>
  <c r="M80" i="20"/>
  <c r="I80" i="20"/>
  <c r="E80" i="20"/>
  <c r="T79" i="20"/>
  <c r="P79" i="20"/>
  <c r="L79" i="20"/>
  <c r="H79" i="20"/>
  <c r="D79" i="20"/>
  <c r="S78" i="20"/>
  <c r="O78" i="20"/>
  <c r="K78" i="20"/>
  <c r="G78" i="20"/>
  <c r="C78" i="20"/>
  <c r="R77" i="20"/>
  <c r="N77" i="20"/>
  <c r="J77" i="20"/>
  <c r="F77" i="20"/>
  <c r="U76" i="20"/>
  <c r="Q76" i="20"/>
  <c r="M76" i="20"/>
  <c r="I76" i="20"/>
  <c r="E76" i="20"/>
  <c r="T75" i="20"/>
  <c r="P75" i="20"/>
  <c r="L75" i="20"/>
  <c r="H75" i="20"/>
  <c r="D75" i="20"/>
  <c r="S74" i="20"/>
  <c r="O74" i="20"/>
  <c r="K74" i="20"/>
  <c r="G74" i="20"/>
  <c r="C74" i="20"/>
  <c r="R73" i="20"/>
  <c r="N73" i="20"/>
  <c r="J73" i="20"/>
  <c r="F73" i="20"/>
  <c r="U72" i="20"/>
  <c r="Q72" i="20"/>
  <c r="M72" i="20"/>
  <c r="I72" i="20"/>
  <c r="E72" i="20"/>
  <c r="T71" i="20"/>
  <c r="P71" i="20"/>
  <c r="L71" i="20"/>
  <c r="H71" i="20"/>
  <c r="D71" i="20"/>
  <c r="S70" i="20"/>
  <c r="O70" i="20"/>
  <c r="K70" i="20"/>
  <c r="G70" i="20"/>
  <c r="C70" i="20"/>
  <c r="R69" i="20"/>
  <c r="N69" i="20"/>
  <c r="J69" i="20"/>
  <c r="F69" i="20"/>
  <c r="U68" i="20"/>
  <c r="Q68" i="20"/>
  <c r="M68" i="20"/>
  <c r="I68" i="20"/>
  <c r="E68" i="20"/>
  <c r="T67" i="20"/>
  <c r="P67" i="20"/>
  <c r="L67" i="20"/>
  <c r="H67" i="20"/>
  <c r="D67" i="20"/>
  <c r="S66" i="20"/>
  <c r="O66" i="20"/>
  <c r="K66" i="20"/>
  <c r="G66" i="20"/>
  <c r="C66" i="20"/>
  <c r="R65" i="20"/>
  <c r="N65" i="20"/>
  <c r="J65" i="20"/>
  <c r="F65" i="20"/>
  <c r="U64" i="20"/>
  <c r="Q64" i="20"/>
  <c r="M64" i="20"/>
  <c r="I64" i="20"/>
  <c r="E64" i="20"/>
  <c r="T63" i="20"/>
  <c r="P63" i="20"/>
  <c r="L63" i="20"/>
  <c r="H63" i="20"/>
  <c r="D63" i="20"/>
  <c r="S62" i="20"/>
  <c r="O62" i="20"/>
  <c r="K62" i="20"/>
  <c r="G62" i="20"/>
  <c r="C62" i="20"/>
  <c r="R61" i="20"/>
  <c r="N61" i="20"/>
  <c r="J61" i="20"/>
  <c r="F61" i="20"/>
  <c r="U60" i="20"/>
  <c r="Q60" i="20"/>
  <c r="M60" i="20"/>
  <c r="I60" i="20"/>
  <c r="E60" i="20"/>
  <c r="T59" i="20"/>
  <c r="P59" i="20"/>
  <c r="L59" i="20"/>
  <c r="H59" i="20"/>
  <c r="D59" i="20"/>
  <c r="S58" i="20"/>
  <c r="O58" i="20"/>
  <c r="K58" i="20"/>
  <c r="G58" i="20"/>
  <c r="C58" i="20"/>
  <c r="R57" i="20"/>
  <c r="N57" i="20"/>
  <c r="J57" i="20"/>
  <c r="F57" i="20"/>
  <c r="U56" i="20"/>
  <c r="Q56" i="20"/>
  <c r="M56" i="20"/>
  <c r="I56" i="20"/>
  <c r="R83" i="20"/>
  <c r="N83" i="20"/>
  <c r="J83" i="20"/>
  <c r="F83" i="20"/>
  <c r="U81" i="20"/>
  <c r="Q81" i="20"/>
  <c r="M81" i="20"/>
  <c r="I81" i="20"/>
  <c r="E81" i="20"/>
  <c r="T80" i="20"/>
  <c r="P80" i="20"/>
  <c r="L80" i="20"/>
  <c r="H80" i="20"/>
  <c r="D80" i="20"/>
  <c r="S79" i="20"/>
  <c r="O79" i="20"/>
  <c r="K79" i="20"/>
  <c r="G79" i="20"/>
  <c r="C79" i="20"/>
  <c r="R78" i="20"/>
  <c r="N78" i="20"/>
  <c r="J78" i="20"/>
  <c r="F78" i="20"/>
  <c r="U77" i="20"/>
  <c r="Q77" i="20"/>
  <c r="M77" i="20"/>
  <c r="I77" i="20"/>
  <c r="E77" i="20"/>
  <c r="T76" i="20"/>
  <c r="P76" i="20"/>
  <c r="L76" i="20"/>
  <c r="H76" i="20"/>
  <c r="D76" i="20"/>
  <c r="S75" i="20"/>
  <c r="O75" i="20"/>
  <c r="K75" i="20"/>
  <c r="G75" i="20"/>
  <c r="C75" i="20"/>
  <c r="R74" i="20"/>
  <c r="N74" i="20"/>
  <c r="J74" i="20"/>
  <c r="F74" i="20"/>
  <c r="U73" i="20"/>
  <c r="Q73" i="20"/>
  <c r="M73" i="20"/>
  <c r="I73" i="20"/>
  <c r="E73" i="20"/>
  <c r="T72" i="20"/>
  <c r="P72" i="20"/>
  <c r="L72" i="20"/>
  <c r="H72" i="20"/>
  <c r="D72" i="20"/>
  <c r="S71" i="20"/>
  <c r="O71" i="20"/>
  <c r="K71" i="20"/>
  <c r="G71" i="20"/>
  <c r="C71" i="20"/>
  <c r="R70" i="20"/>
  <c r="N70" i="20"/>
  <c r="J70" i="20"/>
  <c r="F70" i="20"/>
  <c r="U69" i="20"/>
  <c r="Q69" i="20"/>
  <c r="M69" i="20"/>
  <c r="I69" i="20"/>
  <c r="E69" i="20"/>
  <c r="T68" i="20"/>
  <c r="P68" i="20"/>
  <c r="L68" i="20"/>
  <c r="H68" i="20"/>
  <c r="D68" i="20"/>
  <c r="S67" i="20"/>
  <c r="O67" i="20"/>
  <c r="K67" i="20"/>
  <c r="G67" i="20"/>
  <c r="C67" i="20"/>
  <c r="R66" i="20"/>
  <c r="N66" i="20"/>
  <c r="J66" i="20"/>
  <c r="F66" i="20"/>
  <c r="U65" i="20"/>
  <c r="Q65" i="20"/>
  <c r="M65" i="20"/>
  <c r="I65" i="20"/>
  <c r="E65" i="20"/>
  <c r="T64" i="20"/>
  <c r="P64" i="20"/>
  <c r="L64" i="20"/>
  <c r="H64" i="20"/>
  <c r="D64" i="20"/>
  <c r="S63" i="20"/>
  <c r="O63" i="20"/>
  <c r="K63" i="20"/>
  <c r="G63" i="20"/>
  <c r="C63" i="20"/>
  <c r="R62" i="20"/>
  <c r="N62" i="20"/>
  <c r="J62" i="20"/>
  <c r="F62" i="20"/>
  <c r="U61" i="20"/>
  <c r="Q61" i="20"/>
  <c r="M61" i="20"/>
  <c r="I61" i="20"/>
  <c r="E61" i="20"/>
  <c r="T60" i="20"/>
  <c r="P60" i="20"/>
  <c r="L60" i="20"/>
  <c r="H60" i="20"/>
  <c r="D60" i="20"/>
  <c r="S59" i="20"/>
  <c r="O59" i="20"/>
  <c r="K59" i="20"/>
  <c r="G59" i="20"/>
  <c r="C59" i="20"/>
  <c r="R58" i="20"/>
  <c r="N58" i="20"/>
  <c r="J58" i="20"/>
  <c r="F58" i="20"/>
  <c r="U57" i="20"/>
  <c r="Q57" i="20"/>
  <c r="M57" i="20"/>
  <c r="I57" i="20"/>
  <c r="E57" i="20"/>
  <c r="T56" i="20"/>
  <c r="P56" i="20"/>
  <c r="L56" i="20"/>
  <c r="H56" i="20"/>
  <c r="Q83" i="20"/>
  <c r="T81" i="20"/>
  <c r="D81" i="20"/>
  <c r="G80" i="20"/>
  <c r="J79" i="20"/>
  <c r="M78" i="20"/>
  <c r="P77" i="20"/>
  <c r="S76" i="20"/>
  <c r="C76" i="20"/>
  <c r="F75" i="20"/>
  <c r="I74" i="20"/>
  <c r="L73" i="20"/>
  <c r="O72" i="20"/>
  <c r="R71" i="20"/>
  <c r="U70" i="20"/>
  <c r="E70" i="20"/>
  <c r="H69" i="20"/>
  <c r="K68" i="20"/>
  <c r="N67" i="20"/>
  <c r="Q66" i="20"/>
  <c r="T65" i="20"/>
  <c r="D65" i="20"/>
  <c r="G64" i="20"/>
  <c r="J63" i="20"/>
  <c r="M62" i="20"/>
  <c r="P61" i="20"/>
  <c r="S60" i="20"/>
  <c r="C60" i="20"/>
  <c r="F59" i="20"/>
  <c r="I58" i="20"/>
  <c r="L57" i="20"/>
  <c r="O56" i="20"/>
  <c r="E56" i="20"/>
  <c r="S54" i="20"/>
  <c r="O54" i="20"/>
  <c r="K54" i="20"/>
  <c r="G54" i="20"/>
  <c r="C54" i="20"/>
  <c r="Q53" i="20"/>
  <c r="M53" i="20"/>
  <c r="I53" i="20"/>
  <c r="E53" i="20"/>
  <c r="S52" i="20"/>
  <c r="O52" i="20"/>
  <c r="K52" i="20"/>
  <c r="G52" i="20"/>
  <c r="C52" i="20"/>
  <c r="Q51" i="20"/>
  <c r="M51" i="20"/>
  <c r="I51" i="20"/>
  <c r="E51" i="20"/>
  <c r="S50" i="20"/>
  <c r="O50" i="20"/>
  <c r="K50" i="20"/>
  <c r="G50" i="20"/>
  <c r="C50" i="20"/>
  <c r="Q49" i="20"/>
  <c r="M49" i="20"/>
  <c r="I49" i="20"/>
  <c r="E49" i="20"/>
  <c r="S48" i="20"/>
  <c r="O48" i="20"/>
  <c r="K48" i="20"/>
  <c r="G48" i="20"/>
  <c r="C48" i="20"/>
  <c r="Q47" i="20"/>
  <c r="M47" i="20"/>
  <c r="I47" i="20"/>
  <c r="E47" i="20"/>
  <c r="S46" i="20"/>
  <c r="O46" i="20"/>
  <c r="K46" i="20"/>
  <c r="G46" i="20"/>
  <c r="C46" i="20"/>
  <c r="Q45" i="20"/>
  <c r="M45" i="20"/>
  <c r="I45" i="20"/>
  <c r="E45" i="20"/>
  <c r="S44" i="20"/>
  <c r="O44" i="20"/>
  <c r="K44" i="20"/>
  <c r="G44" i="20"/>
  <c r="C44" i="20"/>
  <c r="Q43" i="20"/>
  <c r="M43" i="20"/>
  <c r="I43" i="20"/>
  <c r="E43" i="20"/>
  <c r="S42" i="20"/>
  <c r="O42" i="20"/>
  <c r="K42" i="20"/>
  <c r="G42" i="20"/>
  <c r="C42" i="20"/>
  <c r="Q41" i="20"/>
  <c r="M41" i="20"/>
  <c r="I41" i="20"/>
  <c r="E41" i="20"/>
  <c r="S40" i="20"/>
  <c r="O40" i="20"/>
  <c r="K40" i="20"/>
  <c r="G40" i="20"/>
  <c r="C40" i="20"/>
  <c r="Q39" i="20"/>
  <c r="M39" i="20"/>
  <c r="I39" i="20"/>
  <c r="E39" i="20"/>
  <c r="S38" i="20"/>
  <c r="O38" i="20"/>
  <c r="K38" i="20"/>
  <c r="G38" i="20"/>
  <c r="C38" i="20"/>
  <c r="Q37" i="20"/>
  <c r="M37" i="20"/>
  <c r="I37" i="20"/>
  <c r="E37" i="20"/>
  <c r="S36" i="20"/>
  <c r="O36" i="20"/>
  <c r="K36" i="20"/>
  <c r="G36" i="20"/>
  <c r="C36" i="20"/>
  <c r="Q35" i="20"/>
  <c r="M35" i="20"/>
  <c r="I35" i="20"/>
  <c r="E35" i="20"/>
  <c r="S34" i="20"/>
  <c r="O34" i="20"/>
  <c r="K34" i="20"/>
  <c r="M83" i="20"/>
  <c r="P81" i="20"/>
  <c r="S80" i="20"/>
  <c r="C80" i="20"/>
  <c r="F79" i="20"/>
  <c r="I78" i="20"/>
  <c r="L77" i="20"/>
  <c r="O76" i="20"/>
  <c r="R75" i="20"/>
  <c r="U74" i="20"/>
  <c r="E74" i="20"/>
  <c r="H73" i="20"/>
  <c r="K72" i="20"/>
  <c r="N71" i="20"/>
  <c r="Q70" i="20"/>
  <c r="T69" i="20"/>
  <c r="D69" i="20"/>
  <c r="G68" i="20"/>
  <c r="J67" i="20"/>
  <c r="M66" i="20"/>
  <c r="P65" i="20"/>
  <c r="S64" i="20"/>
  <c r="C64" i="20"/>
  <c r="F63" i="20"/>
  <c r="I62" i="20"/>
  <c r="L61" i="20"/>
  <c r="O60" i="20"/>
  <c r="R59" i="20"/>
  <c r="U58" i="20"/>
  <c r="E58" i="20"/>
  <c r="H57" i="20"/>
  <c r="K56" i="20"/>
  <c r="D56" i="20"/>
  <c r="R54" i="20"/>
  <c r="N54" i="20"/>
  <c r="J54" i="20"/>
  <c r="F54" i="20"/>
  <c r="T53" i="20"/>
  <c r="P53" i="20"/>
  <c r="L53" i="20"/>
  <c r="H53" i="20"/>
  <c r="D53" i="20"/>
  <c r="R52" i="20"/>
  <c r="N52" i="20"/>
  <c r="J52" i="20"/>
  <c r="F52" i="20"/>
  <c r="T51" i="20"/>
  <c r="P51" i="20"/>
  <c r="L51" i="20"/>
  <c r="H51" i="20"/>
  <c r="D51" i="20"/>
  <c r="R50" i="20"/>
  <c r="N50" i="20"/>
  <c r="J50" i="20"/>
  <c r="F50" i="20"/>
  <c r="T49" i="20"/>
  <c r="P49" i="20"/>
  <c r="L49" i="20"/>
  <c r="H49" i="20"/>
  <c r="D49" i="20"/>
  <c r="R48" i="20"/>
  <c r="N48" i="20"/>
  <c r="J48" i="20"/>
  <c r="F48" i="20"/>
  <c r="T47" i="20"/>
  <c r="P47" i="20"/>
  <c r="L47" i="20"/>
  <c r="H47" i="20"/>
  <c r="D47" i="20"/>
  <c r="R46" i="20"/>
  <c r="N46" i="20"/>
  <c r="J46" i="20"/>
  <c r="F46" i="20"/>
  <c r="T45" i="20"/>
  <c r="P45" i="20"/>
  <c r="L45" i="20"/>
  <c r="H45" i="20"/>
  <c r="D45" i="20"/>
  <c r="R44" i="20"/>
  <c r="N44" i="20"/>
  <c r="J44" i="20"/>
  <c r="F44" i="20"/>
  <c r="T43" i="20"/>
  <c r="P43" i="20"/>
  <c r="L43" i="20"/>
  <c r="H43" i="20"/>
  <c r="D43" i="20"/>
  <c r="R42" i="20"/>
  <c r="N42" i="20"/>
  <c r="J42" i="20"/>
  <c r="F42" i="20"/>
  <c r="T41" i="20"/>
  <c r="P41" i="20"/>
  <c r="L41" i="20"/>
  <c r="H41" i="20"/>
  <c r="D41" i="20"/>
  <c r="R40" i="20"/>
  <c r="N40" i="20"/>
  <c r="J40" i="20"/>
  <c r="F40" i="20"/>
  <c r="T39" i="20"/>
  <c r="P39" i="20"/>
  <c r="L39" i="20"/>
  <c r="H39" i="20"/>
  <c r="D39" i="20"/>
  <c r="R38" i="20"/>
  <c r="N38" i="20"/>
  <c r="J38" i="20"/>
  <c r="F38" i="20"/>
  <c r="T37" i="20"/>
  <c r="P37" i="20"/>
  <c r="L37" i="20"/>
  <c r="H37" i="20"/>
  <c r="D37" i="20"/>
  <c r="R36" i="20"/>
  <c r="N36" i="20"/>
  <c r="J36" i="20"/>
  <c r="F36" i="20"/>
  <c r="T35" i="20"/>
  <c r="P35" i="20"/>
  <c r="L35" i="20"/>
  <c r="H35" i="20"/>
  <c r="D35" i="20"/>
  <c r="R34" i="20"/>
  <c r="N34" i="20"/>
  <c r="J34" i="20"/>
  <c r="F34" i="20"/>
  <c r="I83" i="20"/>
  <c r="L81" i="20"/>
  <c r="O80" i="20"/>
  <c r="R79" i="20"/>
  <c r="U78" i="20"/>
  <c r="E78" i="20"/>
  <c r="H77" i="20"/>
  <c r="K76" i="20"/>
  <c r="N75" i="20"/>
  <c r="Q74" i="20"/>
  <c r="T73" i="20"/>
  <c r="D73" i="20"/>
  <c r="G72" i="20"/>
  <c r="J71" i="20"/>
  <c r="M70" i="20"/>
  <c r="P69" i="20"/>
  <c r="S68" i="20"/>
  <c r="C68" i="20"/>
  <c r="F67" i="20"/>
  <c r="I66" i="20"/>
  <c r="L65" i="20"/>
  <c r="O64" i="20"/>
  <c r="R63" i="20"/>
  <c r="U62" i="20"/>
  <c r="E62" i="20"/>
  <c r="H61" i="20"/>
  <c r="K60" i="20"/>
  <c r="N59" i="20"/>
  <c r="Q58" i="20"/>
  <c r="T57" i="20"/>
  <c r="D57" i="20"/>
  <c r="G56" i="20"/>
  <c r="C56" i="20"/>
  <c r="Q54" i="20"/>
  <c r="M54" i="20"/>
  <c r="I54" i="20"/>
  <c r="E54" i="20"/>
  <c r="S53" i="20"/>
  <c r="O53" i="20"/>
  <c r="K53" i="20"/>
  <c r="G53" i="20"/>
  <c r="C53" i="20"/>
  <c r="Q52" i="20"/>
  <c r="M52" i="20"/>
  <c r="I52" i="20"/>
  <c r="E52" i="20"/>
  <c r="S51" i="20"/>
  <c r="O51" i="20"/>
  <c r="K51" i="20"/>
  <c r="G51" i="20"/>
  <c r="C51" i="20"/>
  <c r="Q50" i="20"/>
  <c r="M50" i="20"/>
  <c r="I50" i="20"/>
  <c r="E50" i="20"/>
  <c r="S49" i="20"/>
  <c r="O49" i="20"/>
  <c r="K49" i="20"/>
  <c r="G49" i="20"/>
  <c r="C49" i="20"/>
  <c r="Q48" i="20"/>
  <c r="M48" i="20"/>
  <c r="I48" i="20"/>
  <c r="E48" i="20"/>
  <c r="S47" i="20"/>
  <c r="O47" i="20"/>
  <c r="K47" i="20"/>
  <c r="G47" i="20"/>
  <c r="C47" i="20"/>
  <c r="Q46" i="20"/>
  <c r="M46" i="20"/>
  <c r="I46" i="20"/>
  <c r="E46" i="20"/>
  <c r="S45" i="20"/>
  <c r="O45" i="20"/>
  <c r="K45" i="20"/>
  <c r="G45" i="20"/>
  <c r="C45" i="20"/>
  <c r="Q44" i="20"/>
  <c r="M44" i="20"/>
  <c r="I44" i="20"/>
  <c r="E44" i="20"/>
  <c r="S43" i="20"/>
  <c r="O43" i="20"/>
  <c r="K43" i="20"/>
  <c r="G43" i="20"/>
  <c r="C43" i="20"/>
  <c r="Q42" i="20"/>
  <c r="M42" i="20"/>
  <c r="I42" i="20"/>
  <c r="E42" i="20"/>
  <c r="S41" i="20"/>
  <c r="O41" i="20"/>
  <c r="K41" i="20"/>
  <c r="G41" i="20"/>
  <c r="C41" i="20"/>
  <c r="Q40" i="20"/>
  <c r="M40" i="20"/>
  <c r="I40" i="20"/>
  <c r="E40" i="20"/>
  <c r="S39" i="20"/>
  <c r="O39" i="20"/>
  <c r="K39" i="20"/>
  <c r="G39" i="20"/>
  <c r="C39" i="20"/>
  <c r="Q38" i="20"/>
  <c r="M38" i="20"/>
  <c r="I38" i="20"/>
  <c r="E38" i="20"/>
  <c r="S37" i="20"/>
  <c r="O37" i="20"/>
  <c r="K37" i="20"/>
  <c r="G37" i="20"/>
  <c r="C37" i="20"/>
  <c r="Q36" i="20"/>
  <c r="M36" i="20"/>
  <c r="I36" i="20"/>
  <c r="E36" i="20"/>
  <c r="S35" i="20"/>
  <c r="O35" i="20"/>
  <c r="K35" i="20"/>
  <c r="G35" i="20"/>
  <c r="C35" i="20"/>
  <c r="Q34" i="20"/>
  <c r="M34" i="20"/>
  <c r="I34" i="20"/>
  <c r="E34" i="20"/>
  <c r="E83" i="20"/>
  <c r="Q78" i="20"/>
  <c r="J75" i="20"/>
  <c r="C72" i="20"/>
  <c r="O68" i="20"/>
  <c r="H65" i="20"/>
  <c r="T61" i="20"/>
  <c r="M58" i="20"/>
  <c r="T54" i="20"/>
  <c r="D54" i="20"/>
  <c r="F53" i="20"/>
  <c r="H52" i="20"/>
  <c r="J51" i="20"/>
  <c r="L50" i="20"/>
  <c r="N49" i="20"/>
  <c r="P48" i="20"/>
  <c r="R47" i="20"/>
  <c r="T46" i="20"/>
  <c r="D46" i="20"/>
  <c r="F45" i="20"/>
  <c r="H44" i="20"/>
  <c r="J43" i="20"/>
  <c r="L42" i="20"/>
  <c r="N41" i="20"/>
  <c r="P40" i="20"/>
  <c r="R39" i="20"/>
  <c r="T38" i="20"/>
  <c r="D38" i="20"/>
  <c r="F37" i="20"/>
  <c r="H36" i="20"/>
  <c r="J35" i="20"/>
  <c r="L34" i="20"/>
  <c r="C34" i="20"/>
  <c r="Q33" i="20"/>
  <c r="M33" i="20"/>
  <c r="I33" i="20"/>
  <c r="E33" i="20"/>
  <c r="S32" i="20"/>
  <c r="O32" i="20"/>
  <c r="K32" i="20"/>
  <c r="G32" i="20"/>
  <c r="C32" i="20"/>
  <c r="Q31" i="20"/>
  <c r="M31" i="20"/>
  <c r="I31" i="20"/>
  <c r="E31" i="20"/>
  <c r="S30" i="20"/>
  <c r="O30" i="20"/>
  <c r="K30" i="20"/>
  <c r="G30" i="20"/>
  <c r="C30" i="20"/>
  <c r="Q29" i="20"/>
  <c r="M29" i="20"/>
  <c r="I29" i="20"/>
  <c r="E29" i="20"/>
  <c r="T27" i="20"/>
  <c r="P27" i="20"/>
  <c r="L27" i="20"/>
  <c r="H27" i="20"/>
  <c r="D27" i="20"/>
  <c r="S26" i="20"/>
  <c r="O26" i="20"/>
  <c r="K26" i="20"/>
  <c r="G26" i="20"/>
  <c r="C26" i="20"/>
  <c r="R25" i="20"/>
  <c r="N25" i="20"/>
  <c r="J25" i="20"/>
  <c r="F25" i="20"/>
  <c r="U24" i="20"/>
  <c r="Q24" i="20"/>
  <c r="M24" i="20"/>
  <c r="I24" i="20"/>
  <c r="E24" i="20"/>
  <c r="T23" i="20"/>
  <c r="P23" i="20"/>
  <c r="L23" i="20"/>
  <c r="H23" i="20"/>
  <c r="D23" i="20"/>
  <c r="S22" i="20"/>
  <c r="O22" i="20"/>
  <c r="K22" i="20"/>
  <c r="G22" i="20"/>
  <c r="C22" i="20"/>
  <c r="R21" i="20"/>
  <c r="N21" i="20"/>
  <c r="J21" i="20"/>
  <c r="F21" i="20"/>
  <c r="U20" i="20"/>
  <c r="Q20" i="20"/>
  <c r="M20" i="20"/>
  <c r="I20" i="20"/>
  <c r="E20" i="20"/>
  <c r="T19" i="20"/>
  <c r="P19" i="20"/>
  <c r="L19" i="20"/>
  <c r="H19" i="20"/>
  <c r="D19" i="20"/>
  <c r="S18" i="20"/>
  <c r="O18" i="20"/>
  <c r="K18" i="20"/>
  <c r="G18" i="20"/>
  <c r="C18" i="20"/>
  <c r="R17" i="20"/>
  <c r="N17" i="20"/>
  <c r="J17" i="20"/>
  <c r="F17" i="20"/>
  <c r="U16" i="20"/>
  <c r="Q16" i="20"/>
  <c r="M16" i="20"/>
  <c r="I16" i="20"/>
  <c r="E16" i="20"/>
  <c r="T15" i="20"/>
  <c r="P15" i="20"/>
  <c r="L15" i="20"/>
  <c r="H15" i="20"/>
  <c r="D15" i="20"/>
  <c r="S14" i="20"/>
  <c r="O14" i="20"/>
  <c r="K14" i="20"/>
  <c r="G14" i="20"/>
  <c r="C14" i="20"/>
  <c r="R13" i="20"/>
  <c r="N13" i="20"/>
  <c r="J13" i="20"/>
  <c r="F13" i="20"/>
  <c r="U12" i="20"/>
  <c r="Q12" i="20"/>
  <c r="M12" i="20"/>
  <c r="I12" i="20"/>
  <c r="E12" i="20"/>
  <c r="T11" i="20"/>
  <c r="P11" i="20"/>
  <c r="L11" i="20"/>
  <c r="H11" i="20"/>
  <c r="D11" i="20"/>
  <c r="S10" i="20"/>
  <c r="O10" i="20"/>
  <c r="K10" i="20"/>
  <c r="G10" i="20"/>
  <c r="C10" i="20"/>
  <c r="R9" i="20"/>
  <c r="N9" i="20"/>
  <c r="J9" i="20"/>
  <c r="F9" i="20"/>
  <c r="U8" i="20"/>
  <c r="Q8" i="20"/>
  <c r="M8" i="20"/>
  <c r="I8" i="20"/>
  <c r="E8" i="20"/>
  <c r="T7" i="20"/>
  <c r="P7" i="20"/>
  <c r="L7" i="20"/>
  <c r="H7" i="20"/>
  <c r="D7" i="20"/>
  <c r="S6" i="20"/>
  <c r="O6" i="20"/>
  <c r="K6" i="20"/>
  <c r="G6" i="20"/>
  <c r="C6" i="20"/>
  <c r="R5" i="20"/>
  <c r="N5" i="20"/>
  <c r="J5" i="20"/>
  <c r="F5" i="20"/>
  <c r="U4" i="20"/>
  <c r="Q4" i="20"/>
  <c r="M4" i="20"/>
  <c r="I4" i="20"/>
  <c r="E4" i="20"/>
  <c r="T3" i="20"/>
  <c r="P3" i="20"/>
  <c r="L3" i="20"/>
  <c r="H3" i="20"/>
  <c r="D3" i="20"/>
  <c r="S2" i="20"/>
  <c r="O2" i="20"/>
  <c r="K2" i="20"/>
  <c r="G2" i="20"/>
  <c r="C2" i="20"/>
  <c r="F2" i="20"/>
  <c r="G76" i="20"/>
  <c r="E66" i="20"/>
  <c r="F56" i="20"/>
  <c r="J53" i="20"/>
  <c r="P50" i="20"/>
  <c r="D48" i="20"/>
  <c r="J45" i="20"/>
  <c r="P42" i="20"/>
  <c r="D40" i="20"/>
  <c r="L36" i="20"/>
  <c r="D34" i="20"/>
  <c r="J33" i="20"/>
  <c r="P32" i="20"/>
  <c r="D32" i="20"/>
  <c r="J31" i="20"/>
  <c r="P30" i="20"/>
  <c r="H30" i="20"/>
  <c r="N29" i="20"/>
  <c r="U27" i="20"/>
  <c r="I27" i="20"/>
  <c r="T26" i="20"/>
  <c r="H26" i="20"/>
  <c r="O25" i="20"/>
  <c r="C25" i="20"/>
  <c r="J24" i="20"/>
  <c r="Q23" i="20"/>
  <c r="E23" i="20"/>
  <c r="L22" i="20"/>
  <c r="S21" i="20"/>
  <c r="G21" i="20"/>
  <c r="N20" i="20"/>
  <c r="U19" i="20"/>
  <c r="I19" i="20"/>
  <c r="P18" i="20"/>
  <c r="D18" i="20"/>
  <c r="K17" i="20"/>
  <c r="N16" i="20"/>
  <c r="U15" i="20"/>
  <c r="I15" i="20"/>
  <c r="P14" i="20"/>
  <c r="D14" i="20"/>
  <c r="K13" i="20"/>
  <c r="R12" i="20"/>
  <c r="F12" i="20"/>
  <c r="M11" i="20"/>
  <c r="T10" i="20"/>
  <c r="H10" i="20"/>
  <c r="O9" i="20"/>
  <c r="K9" i="20"/>
  <c r="R8" i="20"/>
  <c r="F8" i="20"/>
  <c r="I7" i="20"/>
  <c r="P6" i="20"/>
  <c r="D6" i="20"/>
  <c r="K5" i="20"/>
  <c r="R4" i="20"/>
  <c r="F4" i="20"/>
  <c r="Q3" i="20"/>
  <c r="E3" i="20"/>
  <c r="L2" i="20"/>
  <c r="H81" i="20"/>
  <c r="T77" i="20"/>
  <c r="M74" i="20"/>
  <c r="F71" i="20"/>
  <c r="R67" i="20"/>
  <c r="K64" i="20"/>
  <c r="D61" i="20"/>
  <c r="P57" i="20"/>
  <c r="P54" i="20"/>
  <c r="R53" i="20"/>
  <c r="T52" i="20"/>
  <c r="D52" i="20"/>
  <c r="F51" i="20"/>
  <c r="H50" i="20"/>
  <c r="J49" i="20"/>
  <c r="L48" i="20"/>
  <c r="N47" i="20"/>
  <c r="P46" i="20"/>
  <c r="R45" i="20"/>
  <c r="T44" i="20"/>
  <c r="D44" i="20"/>
  <c r="F43" i="20"/>
  <c r="H42" i="20"/>
  <c r="J41" i="20"/>
  <c r="L40" i="20"/>
  <c r="N39" i="20"/>
  <c r="P38" i="20"/>
  <c r="R37" i="20"/>
  <c r="T36" i="20"/>
  <c r="D36" i="20"/>
  <c r="F35" i="20"/>
  <c r="H34" i="20"/>
  <c r="T33" i="20"/>
  <c r="P33" i="20"/>
  <c r="L33" i="20"/>
  <c r="H33" i="20"/>
  <c r="D33" i="20"/>
  <c r="R32" i="20"/>
  <c r="N32" i="20"/>
  <c r="J32" i="20"/>
  <c r="F32" i="20"/>
  <c r="T31" i="20"/>
  <c r="P31" i="20"/>
  <c r="L31" i="20"/>
  <c r="H31" i="20"/>
  <c r="D31" i="20"/>
  <c r="R30" i="20"/>
  <c r="N30" i="20"/>
  <c r="J30" i="20"/>
  <c r="F30" i="20"/>
  <c r="T29" i="20"/>
  <c r="P29" i="20"/>
  <c r="L29" i="20"/>
  <c r="H29" i="20"/>
  <c r="D29" i="20"/>
  <c r="S27" i="20"/>
  <c r="O27" i="20"/>
  <c r="K27" i="20"/>
  <c r="G27" i="20"/>
  <c r="C27" i="20"/>
  <c r="R26" i="20"/>
  <c r="N26" i="20"/>
  <c r="J26" i="20"/>
  <c r="F26" i="20"/>
  <c r="U25" i="20"/>
  <c r="Q25" i="20"/>
  <c r="M25" i="20"/>
  <c r="I25" i="20"/>
  <c r="E25" i="20"/>
  <c r="T24" i="20"/>
  <c r="P24" i="20"/>
  <c r="L24" i="20"/>
  <c r="H24" i="20"/>
  <c r="D24" i="20"/>
  <c r="S23" i="20"/>
  <c r="O23" i="20"/>
  <c r="K23" i="20"/>
  <c r="G23" i="20"/>
  <c r="C23" i="20"/>
  <c r="R22" i="20"/>
  <c r="N22" i="20"/>
  <c r="J22" i="20"/>
  <c r="F22" i="20"/>
  <c r="U21" i="20"/>
  <c r="Q21" i="20"/>
  <c r="M21" i="20"/>
  <c r="I21" i="20"/>
  <c r="E21" i="20"/>
  <c r="T20" i="20"/>
  <c r="P20" i="20"/>
  <c r="L20" i="20"/>
  <c r="H20" i="20"/>
  <c r="D20" i="20"/>
  <c r="S19" i="20"/>
  <c r="O19" i="20"/>
  <c r="K19" i="20"/>
  <c r="G19" i="20"/>
  <c r="C19" i="20"/>
  <c r="R18" i="20"/>
  <c r="N18" i="20"/>
  <c r="J18" i="20"/>
  <c r="F18" i="20"/>
  <c r="U17" i="20"/>
  <c r="Q17" i="20"/>
  <c r="M17" i="20"/>
  <c r="I17" i="20"/>
  <c r="E17" i="20"/>
  <c r="T16" i="20"/>
  <c r="P16" i="20"/>
  <c r="L16" i="20"/>
  <c r="H16" i="20"/>
  <c r="D16" i="20"/>
  <c r="S15" i="20"/>
  <c r="O15" i="20"/>
  <c r="K15" i="20"/>
  <c r="G15" i="20"/>
  <c r="C15" i="20"/>
  <c r="R14" i="20"/>
  <c r="N14" i="20"/>
  <c r="J14" i="20"/>
  <c r="F14" i="20"/>
  <c r="U13" i="20"/>
  <c r="Q13" i="20"/>
  <c r="M13" i="20"/>
  <c r="I13" i="20"/>
  <c r="E13" i="20"/>
  <c r="T12" i="20"/>
  <c r="P12" i="20"/>
  <c r="L12" i="20"/>
  <c r="H12" i="20"/>
  <c r="D12" i="20"/>
  <c r="S11" i="20"/>
  <c r="O11" i="20"/>
  <c r="K11" i="20"/>
  <c r="G11" i="20"/>
  <c r="C11" i="20"/>
  <c r="R10" i="20"/>
  <c r="N10" i="20"/>
  <c r="J10" i="20"/>
  <c r="F10" i="20"/>
  <c r="U9" i="20"/>
  <c r="Q9" i="20"/>
  <c r="M9" i="20"/>
  <c r="I9" i="20"/>
  <c r="E9" i="20"/>
  <c r="T8" i="20"/>
  <c r="P8" i="20"/>
  <c r="L8" i="20"/>
  <c r="H8" i="20"/>
  <c r="D8" i="20"/>
  <c r="S7" i="20"/>
  <c r="O7" i="20"/>
  <c r="K7" i="20"/>
  <c r="G7" i="20"/>
  <c r="C7" i="20"/>
  <c r="R6" i="20"/>
  <c r="N6" i="20"/>
  <c r="J6" i="20"/>
  <c r="F6" i="20"/>
  <c r="U5" i="20"/>
  <c r="Q5" i="20"/>
  <c r="M5" i="20"/>
  <c r="I5" i="20"/>
  <c r="E5" i="20"/>
  <c r="T4" i="20"/>
  <c r="P4" i="20"/>
  <c r="L4" i="20"/>
  <c r="H4" i="20"/>
  <c r="D4" i="20"/>
  <c r="S3" i="20"/>
  <c r="O3" i="20"/>
  <c r="K3" i="20"/>
  <c r="G3" i="20"/>
  <c r="C3" i="20"/>
  <c r="R2" i="20"/>
  <c r="N2" i="20"/>
  <c r="J2" i="20"/>
  <c r="S72" i="20"/>
  <c r="Q62" i="20"/>
  <c r="H54" i="20"/>
  <c r="N51" i="20"/>
  <c r="T48" i="20"/>
  <c r="H46" i="20"/>
  <c r="N43" i="20"/>
  <c r="T40" i="20"/>
  <c r="H38" i="20"/>
  <c r="N35" i="20"/>
  <c r="R33" i="20"/>
  <c r="F33" i="20"/>
  <c r="L32" i="20"/>
  <c r="R31" i="20"/>
  <c r="F31" i="20"/>
  <c r="L30" i="20"/>
  <c r="R29" i="20"/>
  <c r="F29" i="20"/>
  <c r="M27" i="20"/>
  <c r="L26" i="20"/>
  <c r="S25" i="20"/>
  <c r="G25" i="20"/>
  <c r="N24" i="20"/>
  <c r="U23" i="20"/>
  <c r="I23" i="20"/>
  <c r="P22" i="20"/>
  <c r="D22" i="20"/>
  <c r="K21" i="20"/>
  <c r="R20" i="20"/>
  <c r="F20" i="20"/>
  <c r="M19" i="20"/>
  <c r="T18" i="20"/>
  <c r="H18" i="20"/>
  <c r="O17" i="20"/>
  <c r="C17" i="20"/>
  <c r="J16" i="20"/>
  <c r="Q15" i="20"/>
  <c r="E15" i="20"/>
  <c r="L14" i="20"/>
  <c r="S13" i="20"/>
  <c r="G13" i="20"/>
  <c r="N12" i="20"/>
  <c r="U11" i="20"/>
  <c r="I11" i="20"/>
  <c r="P10" i="20"/>
  <c r="D10" i="20"/>
  <c r="C9" i="20"/>
  <c r="J8" i="20"/>
  <c r="Q7" i="20"/>
  <c r="E7" i="20"/>
  <c r="L6" i="20"/>
  <c r="S5" i="20"/>
  <c r="G5" i="20"/>
  <c r="N4" i="20"/>
  <c r="U3" i="20"/>
  <c r="I3" i="20"/>
  <c r="P2" i="20"/>
  <c r="D2" i="20"/>
  <c r="K80" i="20"/>
  <c r="D77" i="20"/>
  <c r="P73" i="20"/>
  <c r="I70" i="20"/>
  <c r="U66" i="20"/>
  <c r="N63" i="20"/>
  <c r="G60" i="20"/>
  <c r="S56" i="20"/>
  <c r="L54" i="20"/>
  <c r="N53" i="20"/>
  <c r="P52" i="20"/>
  <c r="R51" i="20"/>
  <c r="T50" i="20"/>
  <c r="D50" i="20"/>
  <c r="F49" i="20"/>
  <c r="H48" i="20"/>
  <c r="J47" i="20"/>
  <c r="L46" i="20"/>
  <c r="N45" i="20"/>
  <c r="P44" i="20"/>
  <c r="R43" i="20"/>
  <c r="T42" i="20"/>
  <c r="D42" i="20"/>
  <c r="F41" i="20"/>
  <c r="H40" i="20"/>
  <c r="J39" i="20"/>
  <c r="L38" i="20"/>
  <c r="N37" i="20"/>
  <c r="P36" i="20"/>
  <c r="R35" i="20"/>
  <c r="T34" i="20"/>
  <c r="G34" i="20"/>
  <c r="S33" i="20"/>
  <c r="O33" i="20"/>
  <c r="K33" i="20"/>
  <c r="G33" i="20"/>
  <c r="C33" i="20"/>
  <c r="Q32" i="20"/>
  <c r="M32" i="20"/>
  <c r="I32" i="20"/>
  <c r="E32" i="20"/>
  <c r="S31" i="20"/>
  <c r="O31" i="20"/>
  <c r="K31" i="20"/>
  <c r="G31" i="20"/>
  <c r="C31" i="20"/>
  <c r="Q30" i="20"/>
  <c r="M30" i="20"/>
  <c r="I30" i="20"/>
  <c r="E30" i="20"/>
  <c r="S29" i="20"/>
  <c r="O29" i="20"/>
  <c r="K29" i="20"/>
  <c r="G29" i="20"/>
  <c r="C29" i="20"/>
  <c r="R27" i="20"/>
  <c r="N27" i="20"/>
  <c r="J27" i="20"/>
  <c r="F27" i="20"/>
  <c r="U26" i="20"/>
  <c r="Q26" i="20"/>
  <c r="M26" i="20"/>
  <c r="I26" i="20"/>
  <c r="E26" i="20"/>
  <c r="T25" i="20"/>
  <c r="P25" i="20"/>
  <c r="L25" i="20"/>
  <c r="H25" i="20"/>
  <c r="D25" i="20"/>
  <c r="S24" i="20"/>
  <c r="O24" i="20"/>
  <c r="K24" i="20"/>
  <c r="G24" i="20"/>
  <c r="C24" i="20"/>
  <c r="R23" i="20"/>
  <c r="N23" i="20"/>
  <c r="J23" i="20"/>
  <c r="F23" i="20"/>
  <c r="U22" i="20"/>
  <c r="Q22" i="20"/>
  <c r="M22" i="20"/>
  <c r="I22" i="20"/>
  <c r="E22" i="20"/>
  <c r="T21" i="20"/>
  <c r="P21" i="20"/>
  <c r="L21" i="20"/>
  <c r="H21" i="20"/>
  <c r="D21" i="20"/>
  <c r="S20" i="20"/>
  <c r="O20" i="20"/>
  <c r="K20" i="20"/>
  <c r="G20" i="20"/>
  <c r="C20" i="20"/>
  <c r="R19" i="20"/>
  <c r="N19" i="20"/>
  <c r="J19" i="20"/>
  <c r="F19" i="20"/>
  <c r="U18" i="20"/>
  <c r="Q18" i="20"/>
  <c r="M18" i="20"/>
  <c r="I18" i="20"/>
  <c r="E18" i="20"/>
  <c r="T17" i="20"/>
  <c r="P17" i="20"/>
  <c r="L17" i="20"/>
  <c r="H17" i="20"/>
  <c r="D17" i="20"/>
  <c r="S16" i="20"/>
  <c r="O16" i="20"/>
  <c r="K16" i="20"/>
  <c r="G16" i="20"/>
  <c r="C16" i="20"/>
  <c r="R15" i="20"/>
  <c r="N15" i="20"/>
  <c r="J15" i="20"/>
  <c r="F15" i="20"/>
  <c r="U14" i="20"/>
  <c r="Q14" i="20"/>
  <c r="M14" i="20"/>
  <c r="I14" i="20"/>
  <c r="E14" i="20"/>
  <c r="T13" i="20"/>
  <c r="P13" i="20"/>
  <c r="L13" i="20"/>
  <c r="H13" i="20"/>
  <c r="D13" i="20"/>
  <c r="S12" i="20"/>
  <c r="O12" i="20"/>
  <c r="K12" i="20"/>
  <c r="G12" i="20"/>
  <c r="C12" i="20"/>
  <c r="R11" i="20"/>
  <c r="N11" i="20"/>
  <c r="J11" i="20"/>
  <c r="F11" i="20"/>
  <c r="U10" i="20"/>
  <c r="Q10" i="20"/>
  <c r="M10" i="20"/>
  <c r="I10" i="20"/>
  <c r="E10" i="20"/>
  <c r="T9" i="20"/>
  <c r="P9" i="20"/>
  <c r="L9" i="20"/>
  <c r="H9" i="20"/>
  <c r="D9" i="20"/>
  <c r="S8" i="20"/>
  <c r="O8" i="20"/>
  <c r="K8" i="20"/>
  <c r="G8" i="20"/>
  <c r="C8" i="20"/>
  <c r="R7" i="20"/>
  <c r="N7" i="20"/>
  <c r="J7" i="20"/>
  <c r="F7" i="20"/>
  <c r="U6" i="20"/>
  <c r="Q6" i="20"/>
  <c r="M6" i="20"/>
  <c r="I6" i="20"/>
  <c r="E6" i="20"/>
  <c r="T5" i="20"/>
  <c r="P5" i="20"/>
  <c r="L5" i="20"/>
  <c r="H5" i="20"/>
  <c r="D5" i="20"/>
  <c r="S4" i="20"/>
  <c r="O4" i="20"/>
  <c r="K4" i="20"/>
  <c r="G4" i="20"/>
  <c r="C4" i="20"/>
  <c r="R3" i="20"/>
  <c r="N3" i="20"/>
  <c r="J3" i="20"/>
  <c r="F3" i="20"/>
  <c r="U2" i="20"/>
  <c r="Q2" i="20"/>
  <c r="M2" i="20"/>
  <c r="I2" i="20"/>
  <c r="E2" i="20"/>
  <c r="N79" i="20"/>
  <c r="L69" i="20"/>
  <c r="J59" i="20"/>
  <c r="L52" i="20"/>
  <c r="R49" i="20"/>
  <c r="F47" i="20"/>
  <c r="L44" i="20"/>
  <c r="R41" i="20"/>
  <c r="F39" i="20"/>
  <c r="J37" i="20"/>
  <c r="P34" i="20"/>
  <c r="N33" i="20"/>
  <c r="T32" i="20"/>
  <c r="H32" i="20"/>
  <c r="N31" i="20"/>
  <c r="T30" i="20"/>
  <c r="D30" i="20"/>
  <c r="J29" i="20"/>
  <c r="Q27" i="20"/>
  <c r="E27" i="20"/>
  <c r="P26" i="20"/>
  <c r="D26" i="20"/>
  <c r="K25" i="20"/>
  <c r="R24" i="20"/>
  <c r="F24" i="20"/>
  <c r="M23" i="20"/>
  <c r="T22" i="20"/>
  <c r="H22" i="20"/>
  <c r="O21" i="20"/>
  <c r="C21" i="20"/>
  <c r="J20" i="20"/>
  <c r="Q19" i="20"/>
  <c r="E19" i="20"/>
  <c r="L18" i="20"/>
  <c r="S17" i="20"/>
  <c r="G17" i="20"/>
  <c r="R16" i="20"/>
  <c r="F16" i="20"/>
  <c r="M15" i="20"/>
  <c r="T14" i="20"/>
  <c r="H14" i="20"/>
  <c r="O13" i="20"/>
  <c r="C13" i="20"/>
  <c r="J12" i="20"/>
  <c r="Q11" i="20"/>
  <c r="E11" i="20"/>
  <c r="L10" i="20"/>
  <c r="S9" i="20"/>
  <c r="G9" i="20"/>
  <c r="N8" i="20"/>
  <c r="U7" i="20"/>
  <c r="M7" i="20"/>
  <c r="T6" i="20"/>
  <c r="H6" i="20"/>
  <c r="O5" i="20"/>
  <c r="C5" i="20"/>
  <c r="J4" i="20"/>
  <c r="M3" i="20"/>
  <c r="T2" i="20"/>
  <c r="H2" i="20"/>
  <c r="S83" i="19"/>
  <c r="O83" i="19"/>
  <c r="K83" i="19"/>
  <c r="G83" i="19"/>
  <c r="C83" i="19"/>
  <c r="R81" i="19"/>
  <c r="N81" i="19"/>
  <c r="J81" i="19"/>
  <c r="F81" i="19"/>
  <c r="U80" i="19"/>
  <c r="Q80" i="19"/>
  <c r="M80" i="19"/>
  <c r="I80" i="19"/>
  <c r="E80" i="19"/>
  <c r="T79" i="19"/>
  <c r="P79" i="19"/>
  <c r="L79" i="19"/>
  <c r="H79" i="19"/>
  <c r="D79" i="19"/>
  <c r="S78" i="19"/>
  <c r="O78" i="19"/>
  <c r="K78" i="19"/>
  <c r="G78" i="19"/>
  <c r="C78" i="19"/>
  <c r="R77" i="19"/>
  <c r="N77" i="19"/>
  <c r="J77" i="19"/>
  <c r="F77" i="19"/>
  <c r="U76" i="19"/>
  <c r="Q76" i="19"/>
  <c r="M76" i="19"/>
  <c r="I76" i="19"/>
  <c r="E76" i="19"/>
  <c r="T75" i="19"/>
  <c r="P75" i="19"/>
  <c r="L75" i="19"/>
  <c r="H75" i="19"/>
  <c r="D75" i="19"/>
  <c r="S74" i="19"/>
  <c r="O74" i="19"/>
  <c r="K74" i="19"/>
  <c r="G74" i="19"/>
  <c r="C74" i="19"/>
  <c r="R73" i="19"/>
  <c r="N73" i="19"/>
  <c r="J73" i="19"/>
  <c r="F73" i="19"/>
  <c r="U72" i="19"/>
  <c r="Q72" i="19"/>
  <c r="M72" i="19"/>
  <c r="I72" i="19"/>
  <c r="E72" i="19"/>
  <c r="T71" i="19"/>
  <c r="P71" i="19"/>
  <c r="L71" i="19"/>
  <c r="H71" i="19"/>
  <c r="D71" i="19"/>
  <c r="S70" i="19"/>
  <c r="O70" i="19"/>
  <c r="K70" i="19"/>
  <c r="G70" i="19"/>
  <c r="C70" i="19"/>
  <c r="R69" i="19"/>
  <c r="N69" i="19"/>
  <c r="J69" i="19"/>
  <c r="F69" i="19"/>
  <c r="U68" i="19"/>
  <c r="Q68" i="19"/>
  <c r="M68" i="19"/>
  <c r="I68" i="19"/>
  <c r="E68" i="19"/>
  <c r="T67" i="19"/>
  <c r="P67" i="19"/>
  <c r="L67" i="19"/>
  <c r="H67" i="19"/>
  <c r="D67" i="19"/>
  <c r="S66" i="19"/>
  <c r="O66" i="19"/>
  <c r="K66" i="19"/>
  <c r="G66" i="19"/>
  <c r="C66" i="19"/>
  <c r="R65" i="19"/>
  <c r="N65" i="19"/>
  <c r="J65" i="19"/>
  <c r="F65" i="19"/>
  <c r="U64" i="19"/>
  <c r="Q64" i="19"/>
  <c r="M64" i="19"/>
  <c r="I64" i="19"/>
  <c r="E64" i="19"/>
  <c r="T63" i="19"/>
  <c r="P63" i="19"/>
  <c r="L63" i="19"/>
  <c r="H63" i="19"/>
  <c r="D63" i="19"/>
  <c r="S62" i="19"/>
  <c r="O62" i="19"/>
  <c r="K62" i="19"/>
  <c r="G62" i="19"/>
  <c r="C62" i="19"/>
  <c r="R61" i="19"/>
  <c r="N61" i="19"/>
  <c r="J61" i="19"/>
  <c r="F61" i="19"/>
  <c r="U60" i="19"/>
  <c r="Q60" i="19"/>
  <c r="M60" i="19"/>
  <c r="I60" i="19"/>
  <c r="E60" i="19"/>
  <c r="T59" i="19"/>
  <c r="P59" i="19"/>
  <c r="L59" i="19"/>
  <c r="H59" i="19"/>
  <c r="D59" i="19"/>
  <c r="S58" i="19"/>
  <c r="O58" i="19"/>
  <c r="K58" i="19"/>
  <c r="G58" i="19"/>
  <c r="C58" i="19"/>
  <c r="R57" i="19"/>
  <c r="N57" i="19"/>
  <c r="J57" i="19"/>
  <c r="F57" i="19"/>
  <c r="U56" i="19"/>
  <c r="Q56" i="19"/>
  <c r="M56" i="19"/>
  <c r="I56" i="19"/>
  <c r="R83" i="19"/>
  <c r="N83" i="19"/>
  <c r="J83" i="19"/>
  <c r="F83" i="19"/>
  <c r="U81" i="19"/>
  <c r="Q81" i="19"/>
  <c r="M81" i="19"/>
  <c r="I81" i="19"/>
  <c r="E81" i="19"/>
  <c r="T80" i="19"/>
  <c r="P80" i="19"/>
  <c r="L80" i="19"/>
  <c r="H80" i="19"/>
  <c r="D80" i="19"/>
  <c r="S79" i="19"/>
  <c r="O79" i="19"/>
  <c r="K79" i="19"/>
  <c r="G79" i="19"/>
  <c r="C79" i="19"/>
  <c r="R78" i="19"/>
  <c r="N78" i="19"/>
  <c r="J78" i="19"/>
  <c r="F78" i="19"/>
  <c r="U77" i="19"/>
  <c r="Q77" i="19"/>
  <c r="M77" i="19"/>
  <c r="I77" i="19"/>
  <c r="E77" i="19"/>
  <c r="T76" i="19"/>
  <c r="P76" i="19"/>
  <c r="L76" i="19"/>
  <c r="H76" i="19"/>
  <c r="D76" i="19"/>
  <c r="S75" i="19"/>
  <c r="O75" i="19"/>
  <c r="K75" i="19"/>
  <c r="G75" i="19"/>
  <c r="C75" i="19"/>
  <c r="R74" i="19"/>
  <c r="N74" i="19"/>
  <c r="J74" i="19"/>
  <c r="F74" i="19"/>
  <c r="U73" i="19"/>
  <c r="Q73" i="19"/>
  <c r="M73" i="19"/>
  <c r="I73" i="19"/>
  <c r="E73" i="19"/>
  <c r="T72" i="19"/>
  <c r="P72" i="19"/>
  <c r="L72" i="19"/>
  <c r="H72" i="19"/>
  <c r="D72" i="19"/>
  <c r="S71" i="19"/>
  <c r="O71" i="19"/>
  <c r="K71" i="19"/>
  <c r="G71" i="19"/>
  <c r="C71" i="19"/>
  <c r="R70" i="19"/>
  <c r="N70" i="19"/>
  <c r="J70" i="19"/>
  <c r="F70" i="19"/>
  <c r="U69" i="19"/>
  <c r="Q69" i="19"/>
  <c r="M69" i="19"/>
  <c r="I69" i="19"/>
  <c r="E69" i="19"/>
  <c r="T68" i="19"/>
  <c r="P68" i="19"/>
  <c r="L68" i="19"/>
  <c r="H68" i="19"/>
  <c r="D68" i="19"/>
  <c r="S67" i="19"/>
  <c r="O67" i="19"/>
  <c r="K67" i="19"/>
  <c r="G67" i="19"/>
  <c r="C67" i="19"/>
  <c r="R66" i="19"/>
  <c r="N66" i="19"/>
  <c r="J66" i="19"/>
  <c r="F66" i="19"/>
  <c r="U65" i="19"/>
  <c r="Q65" i="19"/>
  <c r="M65" i="19"/>
  <c r="I65" i="19"/>
  <c r="E65" i="19"/>
  <c r="T64" i="19"/>
  <c r="P64" i="19"/>
  <c r="L64" i="19"/>
  <c r="H64" i="19"/>
  <c r="D64" i="19"/>
  <c r="S63" i="19"/>
  <c r="O63" i="19"/>
  <c r="K63" i="19"/>
  <c r="G63" i="19"/>
  <c r="C63" i="19"/>
  <c r="R62" i="19"/>
  <c r="N62" i="19"/>
  <c r="J62" i="19"/>
  <c r="F62" i="19"/>
  <c r="U61" i="19"/>
  <c r="Q61" i="19"/>
  <c r="M61" i="19"/>
  <c r="I61" i="19"/>
  <c r="E61" i="19"/>
  <c r="T60" i="19"/>
  <c r="P60" i="19"/>
  <c r="L60" i="19"/>
  <c r="H60" i="19"/>
  <c r="D60" i="19"/>
  <c r="S59" i="19"/>
  <c r="O59" i="19"/>
  <c r="K59" i="19"/>
  <c r="G59" i="19"/>
  <c r="C59" i="19"/>
  <c r="R58" i="19"/>
  <c r="N58" i="19"/>
  <c r="J58" i="19"/>
  <c r="F58" i="19"/>
  <c r="U57" i="19"/>
  <c r="Q57" i="19"/>
  <c r="M57" i="19"/>
  <c r="I57" i="19"/>
  <c r="E57" i="19"/>
  <c r="T56" i="19"/>
  <c r="P56" i="19"/>
  <c r="L56" i="19"/>
  <c r="H56" i="19"/>
  <c r="Q83" i="19"/>
  <c r="M83" i="19"/>
  <c r="I83" i="19"/>
  <c r="E83" i="19"/>
  <c r="T81" i="19"/>
  <c r="P81" i="19"/>
  <c r="L81" i="19"/>
  <c r="H81" i="19"/>
  <c r="D81" i="19"/>
  <c r="S80" i="19"/>
  <c r="O80" i="19"/>
  <c r="K80" i="19"/>
  <c r="G80" i="19"/>
  <c r="C80" i="19"/>
  <c r="R79" i="19"/>
  <c r="N79" i="19"/>
  <c r="J79" i="19"/>
  <c r="F79" i="19"/>
  <c r="U78" i="19"/>
  <c r="Q78" i="19"/>
  <c r="M78" i="19"/>
  <c r="I78" i="19"/>
  <c r="E78" i="19"/>
  <c r="T77" i="19"/>
  <c r="P77" i="19"/>
  <c r="L77" i="19"/>
  <c r="H77" i="19"/>
  <c r="D77" i="19"/>
  <c r="S76" i="19"/>
  <c r="O76" i="19"/>
  <c r="K76" i="19"/>
  <c r="G76" i="19"/>
  <c r="C76" i="19"/>
  <c r="R75" i="19"/>
  <c r="N75" i="19"/>
  <c r="J75" i="19"/>
  <c r="F75" i="19"/>
  <c r="U74" i="19"/>
  <c r="Q74" i="19"/>
  <c r="M74" i="19"/>
  <c r="I74" i="19"/>
  <c r="E74" i="19"/>
  <c r="T73" i="19"/>
  <c r="P73" i="19"/>
  <c r="L73" i="19"/>
  <c r="H73" i="19"/>
  <c r="D73" i="19"/>
  <c r="S72" i="19"/>
  <c r="O72" i="19"/>
  <c r="K72" i="19"/>
  <c r="G72" i="19"/>
  <c r="C72" i="19"/>
  <c r="R71" i="19"/>
  <c r="N71" i="19"/>
  <c r="J71" i="19"/>
  <c r="F71" i="19"/>
  <c r="U70" i="19"/>
  <c r="Q70" i="19"/>
  <c r="M70" i="19"/>
  <c r="I70" i="19"/>
  <c r="E70" i="19"/>
  <c r="T69" i="19"/>
  <c r="P69" i="19"/>
  <c r="L69" i="19"/>
  <c r="H69" i="19"/>
  <c r="D69" i="19"/>
  <c r="S68" i="19"/>
  <c r="O68" i="19"/>
  <c r="K68" i="19"/>
  <c r="G68" i="19"/>
  <c r="C68" i="19"/>
  <c r="R67" i="19"/>
  <c r="N67" i="19"/>
  <c r="J67" i="19"/>
  <c r="F67" i="19"/>
  <c r="U66" i="19"/>
  <c r="Q66" i="19"/>
  <c r="M66" i="19"/>
  <c r="I66" i="19"/>
  <c r="E66" i="19"/>
  <c r="T65" i="19"/>
  <c r="P65" i="19"/>
  <c r="L65" i="19"/>
  <c r="H65" i="19"/>
  <c r="D65" i="19"/>
  <c r="S64" i="19"/>
  <c r="O64" i="19"/>
  <c r="K64" i="19"/>
  <c r="G64" i="19"/>
  <c r="C64" i="19"/>
  <c r="R63" i="19"/>
  <c r="N63" i="19"/>
  <c r="J63" i="19"/>
  <c r="F63" i="19"/>
  <c r="U62" i="19"/>
  <c r="Q62" i="19"/>
  <c r="M62" i="19"/>
  <c r="I62" i="19"/>
  <c r="E62" i="19"/>
  <c r="T61" i="19"/>
  <c r="P61" i="19"/>
  <c r="L61" i="19"/>
  <c r="H61" i="19"/>
  <c r="D61" i="19"/>
  <c r="S60" i="19"/>
  <c r="O60" i="19"/>
  <c r="K60" i="19"/>
  <c r="G60" i="19"/>
  <c r="C60" i="19"/>
  <c r="R59" i="19"/>
  <c r="N59" i="19"/>
  <c r="J59" i="19"/>
  <c r="F59" i="19"/>
  <c r="U58" i="19"/>
  <c r="Q58" i="19"/>
  <c r="M58" i="19"/>
  <c r="I58" i="19"/>
  <c r="E58" i="19"/>
  <c r="T57" i="19"/>
  <c r="P57" i="19"/>
  <c r="L57" i="19"/>
  <c r="H57" i="19"/>
  <c r="D57" i="19"/>
  <c r="S56" i="19"/>
  <c r="O56" i="19"/>
  <c r="K56" i="19"/>
  <c r="G56" i="19"/>
  <c r="T83" i="19"/>
  <c r="D83" i="19"/>
  <c r="G81" i="19"/>
  <c r="J80" i="19"/>
  <c r="M79" i="19"/>
  <c r="P78" i="19"/>
  <c r="S77" i="19"/>
  <c r="C77" i="19"/>
  <c r="F76" i="19"/>
  <c r="I75" i="19"/>
  <c r="L74" i="19"/>
  <c r="O73" i="19"/>
  <c r="R72" i="19"/>
  <c r="U71" i="19"/>
  <c r="E71" i="19"/>
  <c r="H70" i="19"/>
  <c r="K69" i="19"/>
  <c r="N68" i="19"/>
  <c r="Q67" i="19"/>
  <c r="T66" i="19"/>
  <c r="D66" i="19"/>
  <c r="G65" i="19"/>
  <c r="J64" i="19"/>
  <c r="M63" i="19"/>
  <c r="P62" i="19"/>
  <c r="S61" i="19"/>
  <c r="C61" i="19"/>
  <c r="F60" i="19"/>
  <c r="I59" i="19"/>
  <c r="L58" i="19"/>
  <c r="O57" i="19"/>
  <c r="R56" i="19"/>
  <c r="E56" i="19"/>
  <c r="S54" i="19"/>
  <c r="O54" i="19"/>
  <c r="K54" i="19"/>
  <c r="G54" i="19"/>
  <c r="C54" i="19"/>
  <c r="Q53" i="19"/>
  <c r="M53" i="19"/>
  <c r="I53" i="19"/>
  <c r="E53" i="19"/>
  <c r="S52" i="19"/>
  <c r="O52" i="19"/>
  <c r="K52" i="19"/>
  <c r="G52" i="19"/>
  <c r="C52" i="19"/>
  <c r="Q51" i="19"/>
  <c r="M51" i="19"/>
  <c r="I51" i="19"/>
  <c r="E51" i="19"/>
  <c r="S50" i="19"/>
  <c r="O50" i="19"/>
  <c r="K50" i="19"/>
  <c r="G50" i="19"/>
  <c r="C50" i="19"/>
  <c r="Q49" i="19"/>
  <c r="M49" i="19"/>
  <c r="I49" i="19"/>
  <c r="E49" i="19"/>
  <c r="S48" i="19"/>
  <c r="O48" i="19"/>
  <c r="K48" i="19"/>
  <c r="G48" i="19"/>
  <c r="C48" i="19"/>
  <c r="Q47" i="19"/>
  <c r="M47" i="19"/>
  <c r="I47" i="19"/>
  <c r="E47" i="19"/>
  <c r="S46" i="19"/>
  <c r="O46" i="19"/>
  <c r="K46" i="19"/>
  <c r="G46" i="19"/>
  <c r="C46" i="19"/>
  <c r="Q45" i="19"/>
  <c r="M45" i="19"/>
  <c r="I45" i="19"/>
  <c r="E45" i="19"/>
  <c r="S44" i="19"/>
  <c r="O44" i="19"/>
  <c r="K44" i="19"/>
  <c r="G44" i="19"/>
  <c r="C44" i="19"/>
  <c r="Q43" i="19"/>
  <c r="M43" i="19"/>
  <c r="I43" i="19"/>
  <c r="E43" i="19"/>
  <c r="S42" i="19"/>
  <c r="O42" i="19"/>
  <c r="K42" i="19"/>
  <c r="G42" i="19"/>
  <c r="C42" i="19"/>
  <c r="Q41" i="19"/>
  <c r="M41" i="19"/>
  <c r="I41" i="19"/>
  <c r="E41" i="19"/>
  <c r="S40" i="19"/>
  <c r="O40" i="19"/>
  <c r="K40" i="19"/>
  <c r="G40" i="19"/>
  <c r="C40" i="19"/>
  <c r="Q39" i="19"/>
  <c r="M39" i="19"/>
  <c r="I39" i="19"/>
  <c r="E39" i="19"/>
  <c r="S38" i="19"/>
  <c r="O38" i="19"/>
  <c r="K38" i="19"/>
  <c r="G38" i="19"/>
  <c r="C38" i="19"/>
  <c r="Q37" i="19"/>
  <c r="M37" i="19"/>
  <c r="I37" i="19"/>
  <c r="E37" i="19"/>
  <c r="S36" i="19"/>
  <c r="O36" i="19"/>
  <c r="K36" i="19"/>
  <c r="G36" i="19"/>
  <c r="C36" i="19"/>
  <c r="Q35" i="19"/>
  <c r="M35" i="19"/>
  <c r="I35" i="19"/>
  <c r="E35" i="19"/>
  <c r="S34" i="19"/>
  <c r="O34" i="19"/>
  <c r="K34" i="19"/>
  <c r="G34" i="19"/>
  <c r="P83" i="19"/>
  <c r="S81" i="19"/>
  <c r="C81" i="19"/>
  <c r="F80" i="19"/>
  <c r="I79" i="19"/>
  <c r="L78" i="19"/>
  <c r="O77" i="19"/>
  <c r="R76" i="19"/>
  <c r="U75" i="19"/>
  <c r="E75" i="19"/>
  <c r="H74" i="19"/>
  <c r="K73" i="19"/>
  <c r="N72" i="19"/>
  <c r="Q71" i="19"/>
  <c r="T70" i="19"/>
  <c r="D70" i="19"/>
  <c r="G69" i="19"/>
  <c r="J68" i="19"/>
  <c r="M67" i="19"/>
  <c r="P66" i="19"/>
  <c r="S65" i="19"/>
  <c r="C65" i="19"/>
  <c r="F64" i="19"/>
  <c r="I63" i="19"/>
  <c r="L62" i="19"/>
  <c r="O61" i="19"/>
  <c r="R60" i="19"/>
  <c r="U59" i="19"/>
  <c r="E59" i="19"/>
  <c r="H58" i="19"/>
  <c r="K57" i="19"/>
  <c r="N56" i="19"/>
  <c r="D56" i="19"/>
  <c r="R54" i="19"/>
  <c r="N54" i="19"/>
  <c r="J54" i="19"/>
  <c r="F54" i="19"/>
  <c r="T53" i="19"/>
  <c r="P53" i="19"/>
  <c r="L53" i="19"/>
  <c r="H53" i="19"/>
  <c r="D53" i="19"/>
  <c r="R52" i="19"/>
  <c r="N52" i="19"/>
  <c r="J52" i="19"/>
  <c r="F52" i="19"/>
  <c r="T51" i="19"/>
  <c r="P51" i="19"/>
  <c r="L51" i="19"/>
  <c r="H51" i="19"/>
  <c r="D51" i="19"/>
  <c r="R50" i="19"/>
  <c r="N50" i="19"/>
  <c r="J50" i="19"/>
  <c r="F50" i="19"/>
  <c r="T49" i="19"/>
  <c r="P49" i="19"/>
  <c r="L49" i="19"/>
  <c r="H49" i="19"/>
  <c r="D49" i="19"/>
  <c r="R48" i="19"/>
  <c r="N48" i="19"/>
  <c r="J48" i="19"/>
  <c r="F48" i="19"/>
  <c r="T47" i="19"/>
  <c r="P47" i="19"/>
  <c r="L47" i="19"/>
  <c r="H47" i="19"/>
  <c r="D47" i="19"/>
  <c r="R46" i="19"/>
  <c r="N46" i="19"/>
  <c r="J46" i="19"/>
  <c r="F46" i="19"/>
  <c r="T45" i="19"/>
  <c r="P45" i="19"/>
  <c r="L45" i="19"/>
  <c r="H45" i="19"/>
  <c r="D45" i="19"/>
  <c r="R44" i="19"/>
  <c r="N44" i="19"/>
  <c r="J44" i="19"/>
  <c r="F44" i="19"/>
  <c r="T43" i="19"/>
  <c r="P43" i="19"/>
  <c r="L43" i="19"/>
  <c r="H43" i="19"/>
  <c r="D43" i="19"/>
  <c r="R42" i="19"/>
  <c r="N42" i="19"/>
  <c r="J42" i="19"/>
  <c r="F42" i="19"/>
  <c r="T41" i="19"/>
  <c r="P41" i="19"/>
  <c r="L41" i="19"/>
  <c r="H41" i="19"/>
  <c r="D41" i="19"/>
  <c r="R40" i="19"/>
  <c r="N40" i="19"/>
  <c r="J40" i="19"/>
  <c r="F40" i="19"/>
  <c r="T39" i="19"/>
  <c r="P39" i="19"/>
  <c r="L39" i="19"/>
  <c r="H39" i="19"/>
  <c r="D39" i="19"/>
  <c r="R38" i="19"/>
  <c r="N38" i="19"/>
  <c r="J38" i="19"/>
  <c r="F38" i="19"/>
  <c r="T37" i="19"/>
  <c r="P37" i="19"/>
  <c r="L37" i="19"/>
  <c r="H37" i="19"/>
  <c r="D37" i="19"/>
  <c r="R36" i="19"/>
  <c r="N36" i="19"/>
  <c r="J36" i="19"/>
  <c r="F36" i="19"/>
  <c r="T35" i="19"/>
  <c r="P35" i="19"/>
  <c r="L35" i="19"/>
  <c r="H35" i="19"/>
  <c r="D35" i="19"/>
  <c r="R34" i="19"/>
  <c r="N34" i="19"/>
  <c r="J34" i="19"/>
  <c r="L83" i="19"/>
  <c r="O81" i="19"/>
  <c r="R80" i="19"/>
  <c r="U79" i="19"/>
  <c r="E79" i="19"/>
  <c r="H78" i="19"/>
  <c r="K77" i="19"/>
  <c r="N76" i="19"/>
  <c r="Q75" i="19"/>
  <c r="T74" i="19"/>
  <c r="D74" i="19"/>
  <c r="G73" i="19"/>
  <c r="J72" i="19"/>
  <c r="M71" i="19"/>
  <c r="P70" i="19"/>
  <c r="S69" i="19"/>
  <c r="C69" i="19"/>
  <c r="F68" i="19"/>
  <c r="I67" i="19"/>
  <c r="L66" i="19"/>
  <c r="O65" i="19"/>
  <c r="R64" i="19"/>
  <c r="U63" i="19"/>
  <c r="E63" i="19"/>
  <c r="H62" i="19"/>
  <c r="K61" i="19"/>
  <c r="N60" i="19"/>
  <c r="Q59" i="19"/>
  <c r="T58" i="19"/>
  <c r="D58" i="19"/>
  <c r="G57" i="19"/>
  <c r="J56" i="19"/>
  <c r="C56" i="19"/>
  <c r="Q54" i="19"/>
  <c r="M54" i="19"/>
  <c r="I54" i="19"/>
  <c r="E54" i="19"/>
  <c r="S53" i="19"/>
  <c r="O53" i="19"/>
  <c r="K53" i="19"/>
  <c r="G53" i="19"/>
  <c r="C53" i="19"/>
  <c r="Q52" i="19"/>
  <c r="M52" i="19"/>
  <c r="I52" i="19"/>
  <c r="E52" i="19"/>
  <c r="S51" i="19"/>
  <c r="O51" i="19"/>
  <c r="K51" i="19"/>
  <c r="G51" i="19"/>
  <c r="C51" i="19"/>
  <c r="Q50" i="19"/>
  <c r="M50" i="19"/>
  <c r="I50" i="19"/>
  <c r="E50" i="19"/>
  <c r="S49" i="19"/>
  <c r="O49" i="19"/>
  <c r="K49" i="19"/>
  <c r="G49" i="19"/>
  <c r="C49" i="19"/>
  <c r="Q48" i="19"/>
  <c r="M48" i="19"/>
  <c r="I48" i="19"/>
  <c r="E48" i="19"/>
  <c r="S47" i="19"/>
  <c r="O47" i="19"/>
  <c r="K47" i="19"/>
  <c r="G47" i="19"/>
  <c r="C47" i="19"/>
  <c r="Q46" i="19"/>
  <c r="M46" i="19"/>
  <c r="I46" i="19"/>
  <c r="E46" i="19"/>
  <c r="S45" i="19"/>
  <c r="O45" i="19"/>
  <c r="K45" i="19"/>
  <c r="G45" i="19"/>
  <c r="C45" i="19"/>
  <c r="Q44" i="19"/>
  <c r="M44" i="19"/>
  <c r="I44" i="19"/>
  <c r="E44" i="19"/>
  <c r="S43" i="19"/>
  <c r="O43" i="19"/>
  <c r="K43" i="19"/>
  <c r="G43" i="19"/>
  <c r="C43" i="19"/>
  <c r="Q42" i="19"/>
  <c r="M42" i="19"/>
  <c r="I42" i="19"/>
  <c r="E42" i="19"/>
  <c r="S41" i="19"/>
  <c r="O41" i="19"/>
  <c r="K41" i="19"/>
  <c r="G41" i="19"/>
  <c r="C41" i="19"/>
  <c r="Q40" i="19"/>
  <c r="M40" i="19"/>
  <c r="I40" i="19"/>
  <c r="E40" i="19"/>
  <c r="S39" i="19"/>
  <c r="O39" i="19"/>
  <c r="K39" i="19"/>
  <c r="G39" i="19"/>
  <c r="C39" i="19"/>
  <c r="Q38" i="19"/>
  <c r="M38" i="19"/>
  <c r="I38" i="19"/>
  <c r="E38" i="19"/>
  <c r="S37" i="19"/>
  <c r="O37" i="19"/>
  <c r="K37" i="19"/>
  <c r="G37" i="19"/>
  <c r="C37" i="19"/>
  <c r="Q36" i="19"/>
  <c r="M36" i="19"/>
  <c r="I36" i="19"/>
  <c r="E36" i="19"/>
  <c r="S35" i="19"/>
  <c r="O35" i="19"/>
  <c r="K35" i="19"/>
  <c r="G35" i="19"/>
  <c r="C35" i="19"/>
  <c r="Q34" i="19"/>
  <c r="M34" i="19"/>
  <c r="I34" i="19"/>
  <c r="E34" i="19"/>
  <c r="H83" i="19"/>
  <c r="T78" i="19"/>
  <c r="M75" i="19"/>
  <c r="F72" i="19"/>
  <c r="R68" i="19"/>
  <c r="K65" i="19"/>
  <c r="D62" i="19"/>
  <c r="P58" i="19"/>
  <c r="T54" i="19"/>
  <c r="D54" i="19"/>
  <c r="F53" i="19"/>
  <c r="H52" i="19"/>
  <c r="J51" i="19"/>
  <c r="L50" i="19"/>
  <c r="N49" i="19"/>
  <c r="P48" i="19"/>
  <c r="R47" i="19"/>
  <c r="T46" i="19"/>
  <c r="D46" i="19"/>
  <c r="F45" i="19"/>
  <c r="H44" i="19"/>
  <c r="J43" i="19"/>
  <c r="L42" i="19"/>
  <c r="N41" i="19"/>
  <c r="P40" i="19"/>
  <c r="R39" i="19"/>
  <c r="T38" i="19"/>
  <c r="D38" i="19"/>
  <c r="F37" i="19"/>
  <c r="H36" i="19"/>
  <c r="J35" i="19"/>
  <c r="L34" i="19"/>
  <c r="C34" i="19"/>
  <c r="Q33" i="19"/>
  <c r="M33" i="19"/>
  <c r="I33" i="19"/>
  <c r="E33" i="19"/>
  <c r="S32" i="19"/>
  <c r="O32" i="19"/>
  <c r="K32" i="19"/>
  <c r="G32" i="19"/>
  <c r="C32" i="19"/>
  <c r="Q31" i="19"/>
  <c r="M31" i="19"/>
  <c r="I31" i="19"/>
  <c r="E31" i="19"/>
  <c r="S30" i="19"/>
  <c r="O30" i="19"/>
  <c r="K30" i="19"/>
  <c r="G30" i="19"/>
  <c r="C30" i="19"/>
  <c r="Q29" i="19"/>
  <c r="M29" i="19"/>
  <c r="I29" i="19"/>
  <c r="E29" i="19"/>
  <c r="U5" i="19"/>
  <c r="U9" i="19"/>
  <c r="U13" i="19"/>
  <c r="U17" i="19"/>
  <c r="U21" i="19"/>
  <c r="U25" i="19"/>
  <c r="C4" i="19"/>
  <c r="G4" i="19"/>
  <c r="K4" i="19"/>
  <c r="O4" i="19"/>
  <c r="S4" i="19"/>
  <c r="E5" i="19"/>
  <c r="I5" i="19"/>
  <c r="M5" i="19"/>
  <c r="Q5" i="19"/>
  <c r="C6" i="19"/>
  <c r="G6" i="19"/>
  <c r="K6" i="19"/>
  <c r="O6" i="19"/>
  <c r="S6" i="19"/>
  <c r="E7" i="19"/>
  <c r="I7" i="19"/>
  <c r="M7" i="19"/>
  <c r="Q7" i="19"/>
  <c r="C8" i="19"/>
  <c r="G8" i="19"/>
  <c r="K8" i="19"/>
  <c r="O8" i="19"/>
  <c r="S8" i="19"/>
  <c r="E9" i="19"/>
  <c r="I9" i="19"/>
  <c r="M9" i="19"/>
  <c r="Q9" i="19"/>
  <c r="C10" i="19"/>
  <c r="G10" i="19"/>
  <c r="K10" i="19"/>
  <c r="O10" i="19"/>
  <c r="S10" i="19"/>
  <c r="E11" i="19"/>
  <c r="I11" i="19"/>
  <c r="M11" i="19"/>
  <c r="Q11" i="19"/>
  <c r="C12" i="19"/>
  <c r="G12" i="19"/>
  <c r="K12" i="19"/>
  <c r="O12" i="19"/>
  <c r="S12" i="19"/>
  <c r="E13" i="19"/>
  <c r="I13" i="19"/>
  <c r="M13" i="19"/>
  <c r="Q13" i="19"/>
  <c r="C14" i="19"/>
  <c r="G14" i="19"/>
  <c r="K14" i="19"/>
  <c r="O14" i="19"/>
  <c r="S14" i="19"/>
  <c r="E15" i="19"/>
  <c r="I15" i="19"/>
  <c r="M15" i="19"/>
  <c r="Q15" i="19"/>
  <c r="C16" i="19"/>
  <c r="G16" i="19"/>
  <c r="K16" i="19"/>
  <c r="O16" i="19"/>
  <c r="S16" i="19"/>
  <c r="E17" i="19"/>
  <c r="I17" i="19"/>
  <c r="M17" i="19"/>
  <c r="Q17" i="19"/>
  <c r="C18" i="19"/>
  <c r="G18" i="19"/>
  <c r="K18" i="19"/>
  <c r="O18" i="19"/>
  <c r="S18" i="19"/>
  <c r="K81" i="19"/>
  <c r="D78" i="19"/>
  <c r="P74" i="19"/>
  <c r="I71" i="19"/>
  <c r="U67" i="19"/>
  <c r="N64" i="19"/>
  <c r="G61" i="19"/>
  <c r="S57" i="19"/>
  <c r="P54" i="19"/>
  <c r="R53" i="19"/>
  <c r="T52" i="19"/>
  <c r="D52" i="19"/>
  <c r="F51" i="19"/>
  <c r="H50" i="19"/>
  <c r="J49" i="19"/>
  <c r="L48" i="19"/>
  <c r="N47" i="19"/>
  <c r="P46" i="19"/>
  <c r="R45" i="19"/>
  <c r="T44" i="19"/>
  <c r="D44" i="19"/>
  <c r="F43" i="19"/>
  <c r="H42" i="19"/>
  <c r="J41" i="19"/>
  <c r="L40" i="19"/>
  <c r="N39" i="19"/>
  <c r="P38" i="19"/>
  <c r="R37" i="19"/>
  <c r="T36" i="19"/>
  <c r="D36" i="19"/>
  <c r="F35" i="19"/>
  <c r="H34" i="19"/>
  <c r="T33" i="19"/>
  <c r="P33" i="19"/>
  <c r="L33" i="19"/>
  <c r="H33" i="19"/>
  <c r="D33" i="19"/>
  <c r="R32" i="19"/>
  <c r="N32" i="19"/>
  <c r="J32" i="19"/>
  <c r="F32" i="19"/>
  <c r="T31" i="19"/>
  <c r="P31" i="19"/>
  <c r="L31" i="19"/>
  <c r="H31" i="19"/>
  <c r="D31" i="19"/>
  <c r="R30" i="19"/>
  <c r="N30" i="19"/>
  <c r="J30" i="19"/>
  <c r="F30" i="19"/>
  <c r="T29" i="19"/>
  <c r="P29" i="19"/>
  <c r="L29" i="19"/>
  <c r="H29" i="19"/>
  <c r="D29" i="19"/>
  <c r="U6" i="19"/>
  <c r="U10" i="19"/>
  <c r="U14" i="19"/>
  <c r="U18" i="19"/>
  <c r="U22" i="19"/>
  <c r="U26" i="19"/>
  <c r="D4" i="19"/>
  <c r="H4" i="19"/>
  <c r="L4" i="19"/>
  <c r="P4" i="19"/>
  <c r="T4" i="19"/>
  <c r="F5" i="19"/>
  <c r="J5" i="19"/>
  <c r="N5" i="19"/>
  <c r="R5" i="19"/>
  <c r="D6" i="19"/>
  <c r="H6" i="19"/>
  <c r="L6" i="19"/>
  <c r="P6" i="19"/>
  <c r="T6" i="19"/>
  <c r="F7" i="19"/>
  <c r="J7" i="19"/>
  <c r="N7" i="19"/>
  <c r="R7" i="19"/>
  <c r="D8" i="19"/>
  <c r="H8" i="19"/>
  <c r="L8" i="19"/>
  <c r="P8" i="19"/>
  <c r="T8" i="19"/>
  <c r="F9" i="19"/>
  <c r="J9" i="19"/>
  <c r="N9" i="19"/>
  <c r="R9" i="19"/>
  <c r="D10" i="19"/>
  <c r="H10" i="19"/>
  <c r="L10" i="19"/>
  <c r="P10" i="19"/>
  <c r="T10" i="19"/>
  <c r="F11" i="19"/>
  <c r="J11" i="19"/>
  <c r="N11" i="19"/>
  <c r="R11" i="19"/>
  <c r="D12" i="19"/>
  <c r="H12" i="19"/>
  <c r="L12" i="19"/>
  <c r="P12" i="19"/>
  <c r="T12" i="19"/>
  <c r="F13" i="19"/>
  <c r="J13" i="19"/>
  <c r="N13" i="19"/>
  <c r="R13" i="19"/>
  <c r="D14" i="19"/>
  <c r="H14" i="19"/>
  <c r="L14" i="19"/>
  <c r="P14" i="19"/>
  <c r="T14" i="19"/>
  <c r="F15" i="19"/>
  <c r="J15" i="19"/>
  <c r="N15" i="19"/>
  <c r="R15" i="19"/>
  <c r="D16" i="19"/>
  <c r="H16" i="19"/>
  <c r="L16" i="19"/>
  <c r="P16" i="19"/>
  <c r="T16" i="19"/>
  <c r="F17" i="19"/>
  <c r="J17" i="19"/>
  <c r="N17" i="19"/>
  <c r="R17" i="19"/>
  <c r="D18" i="19"/>
  <c r="N80" i="19"/>
  <c r="G77" i="19"/>
  <c r="S73" i="19"/>
  <c r="L70" i="19"/>
  <c r="E67" i="19"/>
  <c r="Q63" i="19"/>
  <c r="J60" i="19"/>
  <c r="C57" i="19"/>
  <c r="L54" i="19"/>
  <c r="N53" i="19"/>
  <c r="P52" i="19"/>
  <c r="R51" i="19"/>
  <c r="T50" i="19"/>
  <c r="D50" i="19"/>
  <c r="F49" i="19"/>
  <c r="H48" i="19"/>
  <c r="J47" i="19"/>
  <c r="L46" i="19"/>
  <c r="N45" i="19"/>
  <c r="P44" i="19"/>
  <c r="R43" i="19"/>
  <c r="T42" i="19"/>
  <c r="D42" i="19"/>
  <c r="F41" i="19"/>
  <c r="H40" i="19"/>
  <c r="J39" i="19"/>
  <c r="L38" i="19"/>
  <c r="N37" i="19"/>
  <c r="P36" i="19"/>
  <c r="R35" i="19"/>
  <c r="T34" i="19"/>
  <c r="F34" i="19"/>
  <c r="S33" i="19"/>
  <c r="O33" i="19"/>
  <c r="K33" i="19"/>
  <c r="G33" i="19"/>
  <c r="C33" i="19"/>
  <c r="Q32" i="19"/>
  <c r="M32" i="19"/>
  <c r="I32" i="19"/>
  <c r="E32" i="19"/>
  <c r="S31" i="19"/>
  <c r="O31" i="19"/>
  <c r="K31" i="19"/>
  <c r="G31" i="19"/>
  <c r="C31" i="19"/>
  <c r="Q30" i="19"/>
  <c r="M30" i="19"/>
  <c r="I30" i="19"/>
  <c r="E30" i="19"/>
  <c r="S29" i="19"/>
  <c r="O29" i="19"/>
  <c r="K29" i="19"/>
  <c r="G29" i="19"/>
  <c r="C29" i="19"/>
  <c r="U7" i="19"/>
  <c r="U11" i="19"/>
  <c r="U15" i="19"/>
  <c r="U19" i="19"/>
  <c r="U23" i="19"/>
  <c r="U27" i="19"/>
  <c r="E4" i="19"/>
  <c r="I4" i="19"/>
  <c r="M4" i="19"/>
  <c r="Q4" i="19"/>
  <c r="C5" i="19"/>
  <c r="G5" i="19"/>
  <c r="K5" i="19"/>
  <c r="O5" i="19"/>
  <c r="S5" i="19"/>
  <c r="E6" i="19"/>
  <c r="I6" i="19"/>
  <c r="M6" i="19"/>
  <c r="Q6" i="19"/>
  <c r="C7" i="19"/>
  <c r="G7" i="19"/>
  <c r="K7" i="19"/>
  <c r="O7" i="19"/>
  <c r="S7" i="19"/>
  <c r="E8" i="19"/>
  <c r="I8" i="19"/>
  <c r="M8" i="19"/>
  <c r="Q8" i="19"/>
  <c r="C9" i="19"/>
  <c r="G9" i="19"/>
  <c r="K9" i="19"/>
  <c r="O9" i="19"/>
  <c r="S9" i="19"/>
  <c r="E10" i="19"/>
  <c r="I10" i="19"/>
  <c r="M10" i="19"/>
  <c r="Q10" i="19"/>
  <c r="C11" i="19"/>
  <c r="G11" i="19"/>
  <c r="K11" i="19"/>
  <c r="O11" i="19"/>
  <c r="S11" i="19"/>
  <c r="E12" i="19"/>
  <c r="I12" i="19"/>
  <c r="M12" i="19"/>
  <c r="Q12" i="19"/>
  <c r="C13" i="19"/>
  <c r="G13" i="19"/>
  <c r="K13" i="19"/>
  <c r="O13" i="19"/>
  <c r="S13" i="19"/>
  <c r="E14" i="19"/>
  <c r="I14" i="19"/>
  <c r="M14" i="19"/>
  <c r="Q14" i="19"/>
  <c r="C15" i="19"/>
  <c r="G15" i="19"/>
  <c r="K15" i="19"/>
  <c r="O15" i="19"/>
  <c r="S15" i="19"/>
  <c r="E16" i="19"/>
  <c r="I16" i="19"/>
  <c r="M16" i="19"/>
  <c r="Q16" i="19"/>
  <c r="C17" i="19"/>
  <c r="G17" i="19"/>
  <c r="K17" i="19"/>
  <c r="O17" i="19"/>
  <c r="S17" i="19"/>
  <c r="E18" i="19"/>
  <c r="I18" i="19"/>
  <c r="M18" i="19"/>
  <c r="Q79" i="19"/>
  <c r="H66" i="19"/>
  <c r="H54" i="19"/>
  <c r="P50" i="19"/>
  <c r="F47" i="19"/>
  <c r="N43" i="19"/>
  <c r="D40" i="19"/>
  <c r="L36" i="19"/>
  <c r="R33" i="19"/>
  <c r="T32" i="19"/>
  <c r="D32" i="19"/>
  <c r="F31" i="19"/>
  <c r="H30" i="19"/>
  <c r="J29" i="19"/>
  <c r="U12" i="19"/>
  <c r="U3" i="19"/>
  <c r="R4" i="19"/>
  <c r="P5" i="19"/>
  <c r="N6" i="19"/>
  <c r="L7" i="19"/>
  <c r="J8" i="19"/>
  <c r="H9" i="19"/>
  <c r="F10" i="19"/>
  <c r="D11" i="19"/>
  <c r="T11" i="19"/>
  <c r="R12" i="19"/>
  <c r="P13" i="19"/>
  <c r="N14" i="19"/>
  <c r="L15" i="19"/>
  <c r="J16" i="19"/>
  <c r="H17" i="19"/>
  <c r="F18" i="19"/>
  <c r="N18" i="19"/>
  <c r="T18" i="19"/>
  <c r="F19" i="19"/>
  <c r="J19" i="19"/>
  <c r="N19" i="19"/>
  <c r="R19" i="19"/>
  <c r="D20" i="19"/>
  <c r="H20" i="19"/>
  <c r="L20" i="19"/>
  <c r="P20" i="19"/>
  <c r="T20" i="19"/>
  <c r="F21" i="19"/>
  <c r="J21" i="19"/>
  <c r="N21" i="19"/>
  <c r="R21" i="19"/>
  <c r="D22" i="19"/>
  <c r="H22" i="19"/>
  <c r="L22" i="19"/>
  <c r="P22" i="19"/>
  <c r="T22" i="19"/>
  <c r="F23" i="19"/>
  <c r="J23" i="19"/>
  <c r="N23" i="19"/>
  <c r="R23" i="19"/>
  <c r="D24" i="19"/>
  <c r="H24" i="19"/>
  <c r="L24" i="19"/>
  <c r="P24" i="19"/>
  <c r="T24" i="19"/>
  <c r="F25" i="19"/>
  <c r="J25" i="19"/>
  <c r="N25" i="19"/>
  <c r="R25" i="19"/>
  <c r="D26" i="19"/>
  <c r="H26" i="19"/>
  <c r="L26" i="19"/>
  <c r="P26" i="19"/>
  <c r="T26" i="19"/>
  <c r="F27" i="19"/>
  <c r="J27" i="19"/>
  <c r="N27" i="19"/>
  <c r="R27" i="19"/>
  <c r="E3" i="19"/>
  <c r="I3" i="19"/>
  <c r="M3" i="19"/>
  <c r="Q3" i="19"/>
  <c r="C3" i="19"/>
  <c r="F2" i="19"/>
  <c r="J2" i="19"/>
  <c r="N2" i="19"/>
  <c r="R2" i="19"/>
  <c r="U58" i="18"/>
  <c r="U62" i="18"/>
  <c r="U66" i="18"/>
  <c r="U70" i="18"/>
  <c r="U74" i="18"/>
  <c r="U78" i="18"/>
  <c r="U57" i="18"/>
  <c r="F58" i="18"/>
  <c r="J58" i="18"/>
  <c r="N58" i="18"/>
  <c r="R58" i="18"/>
  <c r="D59" i="18"/>
  <c r="H59" i="18"/>
  <c r="L59" i="18"/>
  <c r="P59" i="18"/>
  <c r="T59" i="18"/>
  <c r="F60" i="18"/>
  <c r="J60" i="18"/>
  <c r="N60" i="18"/>
  <c r="R60" i="18"/>
  <c r="D61" i="18"/>
  <c r="H61" i="18"/>
  <c r="L61" i="18"/>
  <c r="P61" i="18"/>
  <c r="T61" i="18"/>
  <c r="F62" i="18"/>
  <c r="J62" i="18"/>
  <c r="N62" i="18"/>
  <c r="R62" i="18"/>
  <c r="D63" i="18"/>
  <c r="H63" i="18"/>
  <c r="L63" i="18"/>
  <c r="P63" i="18"/>
  <c r="T63" i="18"/>
  <c r="F64" i="18"/>
  <c r="J64" i="18"/>
  <c r="N64" i="18"/>
  <c r="R64" i="18"/>
  <c r="D65" i="18"/>
  <c r="H65" i="18"/>
  <c r="L65" i="18"/>
  <c r="P65" i="18"/>
  <c r="T65" i="18"/>
  <c r="F66" i="18"/>
  <c r="J66" i="18"/>
  <c r="N66" i="18"/>
  <c r="R66" i="18"/>
  <c r="D67" i="18"/>
  <c r="H67" i="18"/>
  <c r="L67" i="18"/>
  <c r="P67" i="18"/>
  <c r="T67" i="18"/>
  <c r="F68" i="18"/>
  <c r="J68" i="18"/>
  <c r="N68" i="18"/>
  <c r="R68" i="18"/>
  <c r="D69" i="18"/>
  <c r="H69" i="18"/>
  <c r="L69" i="18"/>
  <c r="P69" i="18"/>
  <c r="T69" i="18"/>
  <c r="F70" i="18"/>
  <c r="J70" i="18"/>
  <c r="N70" i="18"/>
  <c r="R70" i="18"/>
  <c r="D71" i="18"/>
  <c r="H71" i="18"/>
  <c r="L71" i="18"/>
  <c r="P71" i="18"/>
  <c r="T71" i="18"/>
  <c r="F72" i="18"/>
  <c r="J72" i="18"/>
  <c r="N72" i="18"/>
  <c r="R72" i="18"/>
  <c r="D73" i="18"/>
  <c r="H73" i="18"/>
  <c r="L73" i="18"/>
  <c r="P73" i="18"/>
  <c r="T73" i="18"/>
  <c r="F74" i="18"/>
  <c r="J74" i="18"/>
  <c r="N74" i="18"/>
  <c r="R74" i="18"/>
  <c r="D75" i="18"/>
  <c r="H75" i="18"/>
  <c r="L75" i="18"/>
  <c r="P75" i="18"/>
  <c r="T75" i="18"/>
  <c r="F76" i="18"/>
  <c r="J76" i="18"/>
  <c r="N76" i="18"/>
  <c r="R76" i="18"/>
  <c r="D77" i="18"/>
  <c r="H77" i="18"/>
  <c r="L77" i="18"/>
  <c r="P77" i="18"/>
  <c r="T77" i="18"/>
  <c r="F78" i="18"/>
  <c r="J78" i="18"/>
  <c r="N78" i="18"/>
  <c r="R78" i="18"/>
  <c r="D79" i="18"/>
  <c r="H79" i="18"/>
  <c r="L79" i="18"/>
  <c r="P79" i="18"/>
  <c r="T79" i="18"/>
  <c r="F80" i="18"/>
  <c r="J80" i="18"/>
  <c r="N80" i="18"/>
  <c r="R80" i="18"/>
  <c r="D81" i="18"/>
  <c r="H81" i="18"/>
  <c r="L81" i="18"/>
  <c r="P81" i="18"/>
  <c r="T81" i="18"/>
  <c r="G57" i="18"/>
  <c r="K57" i="18"/>
  <c r="O57" i="18"/>
  <c r="S57" i="18"/>
  <c r="D56" i="18"/>
  <c r="H56" i="18"/>
  <c r="L56" i="18"/>
  <c r="P56" i="18"/>
  <c r="T56" i="18"/>
  <c r="F56" i="19"/>
  <c r="D48" i="19"/>
  <c r="T40" i="19"/>
  <c r="F33" i="19"/>
  <c r="J31" i="19"/>
  <c r="U8" i="19"/>
  <c r="L5" i="19"/>
  <c r="F8" i="19"/>
  <c r="R10" i="19"/>
  <c r="L13" i="19"/>
  <c r="F16" i="19"/>
  <c r="L18" i="19"/>
  <c r="M19" i="19"/>
  <c r="G20" i="19"/>
  <c r="S20" i="19"/>
  <c r="M21" i="19"/>
  <c r="G22" i="19"/>
  <c r="S22" i="19"/>
  <c r="M23" i="19"/>
  <c r="G24" i="19"/>
  <c r="O24" i="19"/>
  <c r="I25" i="19"/>
  <c r="C26" i="19"/>
  <c r="O26" i="19"/>
  <c r="I27" i="19"/>
  <c r="D3" i="19"/>
  <c r="P3" i="19"/>
  <c r="I2" i="19"/>
  <c r="C2" i="19"/>
  <c r="U69" i="18"/>
  <c r="U81" i="18"/>
  <c r="M58" i="18"/>
  <c r="C59" i="18"/>
  <c r="S59" i="18"/>
  <c r="M60" i="18"/>
  <c r="K61" i="18"/>
  <c r="E62" i="18"/>
  <c r="Q62" i="18"/>
  <c r="K63" i="18"/>
  <c r="E64" i="18"/>
  <c r="M64" i="18"/>
  <c r="G65" i="18"/>
  <c r="S65" i="18"/>
  <c r="M66" i="18"/>
  <c r="G67" i="18"/>
  <c r="S67" i="18"/>
  <c r="I68" i="18"/>
  <c r="C69" i="18"/>
  <c r="J76" i="19"/>
  <c r="T62" i="19"/>
  <c r="J53" i="19"/>
  <c r="R49" i="19"/>
  <c r="H46" i="19"/>
  <c r="P42" i="19"/>
  <c r="F39" i="19"/>
  <c r="N35" i="19"/>
  <c r="N33" i="19"/>
  <c r="P32" i="19"/>
  <c r="R31" i="19"/>
  <c r="T30" i="19"/>
  <c r="D30" i="19"/>
  <c r="F29" i="19"/>
  <c r="U16" i="19"/>
  <c r="F4" i="19"/>
  <c r="D5" i="19"/>
  <c r="T5" i="19"/>
  <c r="R6" i="19"/>
  <c r="P7" i="19"/>
  <c r="N8" i="19"/>
  <c r="L9" i="19"/>
  <c r="J10" i="19"/>
  <c r="H11" i="19"/>
  <c r="F12" i="19"/>
  <c r="D13" i="19"/>
  <c r="T13" i="19"/>
  <c r="R14" i="19"/>
  <c r="P15" i="19"/>
  <c r="N16" i="19"/>
  <c r="L17" i="19"/>
  <c r="H18" i="19"/>
  <c r="P18" i="19"/>
  <c r="C19" i="19"/>
  <c r="G19" i="19"/>
  <c r="K19" i="19"/>
  <c r="O19" i="19"/>
  <c r="S19" i="19"/>
  <c r="E20" i="19"/>
  <c r="I20" i="19"/>
  <c r="M20" i="19"/>
  <c r="Q20" i="19"/>
  <c r="C21" i="19"/>
  <c r="G21" i="19"/>
  <c r="K21" i="19"/>
  <c r="O21" i="19"/>
  <c r="S21" i="19"/>
  <c r="E22" i="19"/>
  <c r="I22" i="19"/>
  <c r="M22" i="19"/>
  <c r="Q22" i="19"/>
  <c r="C23" i="19"/>
  <c r="G23" i="19"/>
  <c r="K23" i="19"/>
  <c r="O23" i="19"/>
  <c r="S23" i="19"/>
  <c r="E24" i="19"/>
  <c r="I24" i="19"/>
  <c r="M24" i="19"/>
  <c r="Q24" i="19"/>
  <c r="C25" i="19"/>
  <c r="G25" i="19"/>
  <c r="K25" i="19"/>
  <c r="O25" i="19"/>
  <c r="S25" i="19"/>
  <c r="E26" i="19"/>
  <c r="I26" i="19"/>
  <c r="M26" i="19"/>
  <c r="Q26" i="19"/>
  <c r="C27" i="19"/>
  <c r="G27" i="19"/>
  <c r="K27" i="19"/>
  <c r="O27" i="19"/>
  <c r="S27" i="19"/>
  <c r="F3" i="19"/>
  <c r="J3" i="19"/>
  <c r="N3" i="19"/>
  <c r="R3" i="19"/>
  <c r="U2" i="19"/>
  <c r="G2" i="19"/>
  <c r="K2" i="19"/>
  <c r="O2" i="19"/>
  <c r="S2" i="19"/>
  <c r="U59" i="18"/>
  <c r="U63" i="18"/>
  <c r="U67" i="18"/>
  <c r="U71" i="18"/>
  <c r="U75" i="18"/>
  <c r="U79" i="18"/>
  <c r="C58" i="18"/>
  <c r="G58" i="18"/>
  <c r="K58" i="18"/>
  <c r="O58" i="18"/>
  <c r="S58" i="18"/>
  <c r="E59" i="18"/>
  <c r="I59" i="18"/>
  <c r="M59" i="18"/>
  <c r="Q59" i="18"/>
  <c r="C60" i="18"/>
  <c r="G60" i="18"/>
  <c r="K60" i="18"/>
  <c r="O60" i="18"/>
  <c r="S60" i="18"/>
  <c r="E61" i="18"/>
  <c r="I61" i="18"/>
  <c r="M61" i="18"/>
  <c r="Q61" i="18"/>
  <c r="C62" i="18"/>
  <c r="G62" i="18"/>
  <c r="K62" i="18"/>
  <c r="O62" i="18"/>
  <c r="S62" i="18"/>
  <c r="E63" i="18"/>
  <c r="I63" i="18"/>
  <c r="M63" i="18"/>
  <c r="Q63" i="18"/>
  <c r="C64" i="18"/>
  <c r="G64" i="18"/>
  <c r="K64" i="18"/>
  <c r="O64" i="18"/>
  <c r="S64" i="18"/>
  <c r="E65" i="18"/>
  <c r="I65" i="18"/>
  <c r="M65" i="18"/>
  <c r="Q65" i="18"/>
  <c r="C66" i="18"/>
  <c r="G66" i="18"/>
  <c r="K66" i="18"/>
  <c r="O66" i="18"/>
  <c r="S66" i="18"/>
  <c r="E67" i="18"/>
  <c r="I67" i="18"/>
  <c r="M67" i="18"/>
  <c r="Q67" i="18"/>
  <c r="C68" i="18"/>
  <c r="G68" i="18"/>
  <c r="K68" i="18"/>
  <c r="O68" i="18"/>
  <c r="S68" i="18"/>
  <c r="E69" i="18"/>
  <c r="I69" i="18"/>
  <c r="M69" i="18"/>
  <c r="Q69" i="18"/>
  <c r="C70" i="18"/>
  <c r="G70" i="18"/>
  <c r="K70" i="18"/>
  <c r="O70" i="18"/>
  <c r="S70" i="18"/>
  <c r="E71" i="18"/>
  <c r="I71" i="18"/>
  <c r="M71" i="18"/>
  <c r="Q71" i="18"/>
  <c r="C72" i="18"/>
  <c r="G72" i="18"/>
  <c r="K72" i="18"/>
  <c r="O72" i="18"/>
  <c r="S72" i="18"/>
  <c r="E73" i="18"/>
  <c r="I73" i="18"/>
  <c r="M73" i="18"/>
  <c r="Q73" i="18"/>
  <c r="C74" i="18"/>
  <c r="G74" i="18"/>
  <c r="K74" i="18"/>
  <c r="O74" i="18"/>
  <c r="S74" i="18"/>
  <c r="E75" i="18"/>
  <c r="I75" i="18"/>
  <c r="M75" i="18"/>
  <c r="Q75" i="18"/>
  <c r="C76" i="18"/>
  <c r="G76" i="18"/>
  <c r="K76" i="18"/>
  <c r="O76" i="18"/>
  <c r="S76" i="18"/>
  <c r="E77" i="18"/>
  <c r="I77" i="18"/>
  <c r="M77" i="18"/>
  <c r="Q77" i="18"/>
  <c r="C78" i="18"/>
  <c r="G78" i="18"/>
  <c r="K78" i="18"/>
  <c r="O78" i="18"/>
  <c r="S78" i="18"/>
  <c r="E79" i="18"/>
  <c r="I79" i="18"/>
  <c r="M79" i="18"/>
  <c r="Q79" i="18"/>
  <c r="C80" i="18"/>
  <c r="G80" i="18"/>
  <c r="K80" i="18"/>
  <c r="O80" i="18"/>
  <c r="S80" i="18"/>
  <c r="E81" i="18"/>
  <c r="I81" i="18"/>
  <c r="M81" i="18"/>
  <c r="Q81" i="18"/>
  <c r="D57" i="18"/>
  <c r="H57" i="18"/>
  <c r="L57" i="18"/>
  <c r="P57" i="18"/>
  <c r="T57" i="18"/>
  <c r="E56" i="18"/>
  <c r="I56" i="18"/>
  <c r="M56" i="18"/>
  <c r="Q56" i="18"/>
  <c r="C56" i="18"/>
  <c r="N51" i="19"/>
  <c r="D34" i="19"/>
  <c r="L30" i="19"/>
  <c r="U24" i="19"/>
  <c r="H7" i="19"/>
  <c r="T9" i="19"/>
  <c r="N12" i="19"/>
  <c r="H15" i="19"/>
  <c r="T17" i="19"/>
  <c r="E19" i="19"/>
  <c r="Q19" i="19"/>
  <c r="K20" i="19"/>
  <c r="E21" i="19"/>
  <c r="Q21" i="19"/>
  <c r="K22" i="19"/>
  <c r="E23" i="19"/>
  <c r="Q23" i="19"/>
  <c r="K24" i="19"/>
  <c r="E25" i="19"/>
  <c r="Q25" i="19"/>
  <c r="K26" i="19"/>
  <c r="E27" i="19"/>
  <c r="Q27" i="19"/>
  <c r="L3" i="19"/>
  <c r="E2" i="19"/>
  <c r="Q2" i="19"/>
  <c r="U65" i="18"/>
  <c r="E58" i="18"/>
  <c r="Q58" i="18"/>
  <c r="K59" i="18"/>
  <c r="E60" i="18"/>
  <c r="Q60" i="18"/>
  <c r="G61" i="18"/>
  <c r="O61" i="18"/>
  <c r="I62" i="18"/>
  <c r="C63" i="18"/>
  <c r="S63" i="18"/>
  <c r="Q64" i="18"/>
  <c r="K65" i="18"/>
  <c r="E66" i="18"/>
  <c r="Q66" i="18"/>
  <c r="K67" i="18"/>
  <c r="E68" i="18"/>
  <c r="Q68" i="18"/>
  <c r="K69" i="18"/>
  <c r="C73" i="19"/>
  <c r="M59" i="19"/>
  <c r="L52" i="19"/>
  <c r="T48" i="19"/>
  <c r="J45" i="19"/>
  <c r="R41" i="19"/>
  <c r="H38" i="19"/>
  <c r="P34" i="19"/>
  <c r="J33" i="19"/>
  <c r="L32" i="19"/>
  <c r="N31" i="19"/>
  <c r="P30" i="19"/>
  <c r="R29" i="19"/>
  <c r="U4" i="19"/>
  <c r="U20" i="19"/>
  <c r="J4" i="19"/>
  <c r="H5" i="19"/>
  <c r="F6" i="19"/>
  <c r="D7" i="19"/>
  <c r="T7" i="19"/>
  <c r="R8" i="19"/>
  <c r="P9" i="19"/>
  <c r="N10" i="19"/>
  <c r="L11" i="19"/>
  <c r="J12" i="19"/>
  <c r="H13" i="19"/>
  <c r="F14" i="19"/>
  <c r="D15" i="19"/>
  <c r="T15" i="19"/>
  <c r="R16" i="19"/>
  <c r="P17" i="19"/>
  <c r="J18" i="19"/>
  <c r="Q18" i="19"/>
  <c r="D19" i="19"/>
  <c r="H19" i="19"/>
  <c r="L19" i="19"/>
  <c r="P19" i="19"/>
  <c r="T19" i="19"/>
  <c r="F20" i="19"/>
  <c r="J20" i="19"/>
  <c r="N20" i="19"/>
  <c r="R20" i="19"/>
  <c r="D21" i="19"/>
  <c r="H21" i="19"/>
  <c r="L21" i="19"/>
  <c r="P21" i="19"/>
  <c r="T21" i="19"/>
  <c r="F22" i="19"/>
  <c r="J22" i="19"/>
  <c r="N22" i="19"/>
  <c r="R22" i="19"/>
  <c r="D23" i="19"/>
  <c r="H23" i="19"/>
  <c r="L23" i="19"/>
  <c r="P23" i="19"/>
  <c r="T23" i="19"/>
  <c r="F24" i="19"/>
  <c r="J24" i="19"/>
  <c r="N24" i="19"/>
  <c r="R24" i="19"/>
  <c r="D25" i="19"/>
  <c r="H25" i="19"/>
  <c r="L25" i="19"/>
  <c r="P25" i="19"/>
  <c r="T25" i="19"/>
  <c r="F26" i="19"/>
  <c r="J26" i="19"/>
  <c r="N26" i="19"/>
  <c r="R26" i="19"/>
  <c r="D27" i="19"/>
  <c r="H27" i="19"/>
  <c r="L27" i="19"/>
  <c r="P27" i="19"/>
  <c r="T27" i="19"/>
  <c r="G3" i="19"/>
  <c r="K3" i="19"/>
  <c r="O3" i="19"/>
  <c r="S3" i="19"/>
  <c r="D2" i="19"/>
  <c r="H2" i="19"/>
  <c r="L2" i="19"/>
  <c r="P2" i="19"/>
  <c r="T2" i="19"/>
  <c r="U60" i="18"/>
  <c r="U64" i="18"/>
  <c r="U68" i="18"/>
  <c r="U72" i="18"/>
  <c r="U76" i="18"/>
  <c r="U80" i="18"/>
  <c r="D58" i="18"/>
  <c r="H58" i="18"/>
  <c r="L58" i="18"/>
  <c r="P58" i="18"/>
  <c r="T58" i="18"/>
  <c r="F59" i="18"/>
  <c r="J59" i="18"/>
  <c r="N59" i="18"/>
  <c r="R59" i="18"/>
  <c r="D60" i="18"/>
  <c r="H60" i="18"/>
  <c r="L60" i="18"/>
  <c r="P60" i="18"/>
  <c r="T60" i="18"/>
  <c r="F61" i="18"/>
  <c r="J61" i="18"/>
  <c r="N61" i="18"/>
  <c r="R61" i="18"/>
  <c r="D62" i="18"/>
  <c r="H62" i="18"/>
  <c r="L62" i="18"/>
  <c r="P62" i="18"/>
  <c r="T62" i="18"/>
  <c r="F63" i="18"/>
  <c r="J63" i="18"/>
  <c r="N63" i="18"/>
  <c r="R63" i="18"/>
  <c r="D64" i="18"/>
  <c r="H64" i="18"/>
  <c r="L64" i="18"/>
  <c r="P64" i="18"/>
  <c r="T64" i="18"/>
  <c r="F65" i="18"/>
  <c r="J65" i="18"/>
  <c r="N65" i="18"/>
  <c r="R65" i="18"/>
  <c r="D66" i="18"/>
  <c r="H66" i="18"/>
  <c r="L66" i="18"/>
  <c r="P66" i="18"/>
  <c r="T66" i="18"/>
  <c r="F67" i="18"/>
  <c r="J67" i="18"/>
  <c r="N67" i="18"/>
  <c r="R67" i="18"/>
  <c r="D68" i="18"/>
  <c r="H68" i="18"/>
  <c r="L68" i="18"/>
  <c r="P68" i="18"/>
  <c r="T68" i="18"/>
  <c r="F69" i="18"/>
  <c r="J69" i="18"/>
  <c r="N69" i="18"/>
  <c r="R69" i="18"/>
  <c r="D70" i="18"/>
  <c r="H70" i="18"/>
  <c r="L70" i="18"/>
  <c r="P70" i="18"/>
  <c r="T70" i="18"/>
  <c r="F71" i="18"/>
  <c r="J71" i="18"/>
  <c r="N71" i="18"/>
  <c r="R71" i="18"/>
  <c r="D72" i="18"/>
  <c r="H72" i="18"/>
  <c r="L72" i="18"/>
  <c r="P72" i="18"/>
  <c r="T72" i="18"/>
  <c r="F73" i="18"/>
  <c r="J73" i="18"/>
  <c r="N73" i="18"/>
  <c r="R73" i="18"/>
  <c r="D74" i="18"/>
  <c r="H74" i="18"/>
  <c r="L74" i="18"/>
  <c r="P74" i="18"/>
  <c r="T74" i="18"/>
  <c r="F75" i="18"/>
  <c r="J75" i="18"/>
  <c r="N75" i="18"/>
  <c r="R75" i="18"/>
  <c r="D76" i="18"/>
  <c r="H76" i="18"/>
  <c r="L76" i="18"/>
  <c r="P76" i="18"/>
  <c r="T76" i="18"/>
  <c r="F77" i="18"/>
  <c r="J77" i="18"/>
  <c r="N77" i="18"/>
  <c r="R77" i="18"/>
  <c r="D78" i="18"/>
  <c r="H78" i="18"/>
  <c r="L78" i="18"/>
  <c r="P78" i="18"/>
  <c r="T78" i="18"/>
  <c r="F79" i="18"/>
  <c r="J79" i="18"/>
  <c r="N79" i="18"/>
  <c r="R79" i="18"/>
  <c r="D80" i="18"/>
  <c r="H80" i="18"/>
  <c r="L80" i="18"/>
  <c r="P80" i="18"/>
  <c r="T80" i="18"/>
  <c r="F81" i="18"/>
  <c r="J81" i="18"/>
  <c r="N81" i="18"/>
  <c r="R81" i="18"/>
  <c r="E57" i="18"/>
  <c r="I57" i="18"/>
  <c r="M57" i="18"/>
  <c r="Q57" i="18"/>
  <c r="C57" i="18"/>
  <c r="F56" i="18"/>
  <c r="J56" i="18"/>
  <c r="N56" i="18"/>
  <c r="R56" i="18"/>
  <c r="O69" i="19"/>
  <c r="L44" i="19"/>
  <c r="J37" i="19"/>
  <c r="H32" i="19"/>
  <c r="N29" i="19"/>
  <c r="N4" i="19"/>
  <c r="J6" i="19"/>
  <c r="D9" i="19"/>
  <c r="P11" i="19"/>
  <c r="J14" i="19"/>
  <c r="D17" i="19"/>
  <c r="R18" i="19"/>
  <c r="I19" i="19"/>
  <c r="C20" i="19"/>
  <c r="O20" i="19"/>
  <c r="I21" i="19"/>
  <c r="C22" i="19"/>
  <c r="O22" i="19"/>
  <c r="I23" i="19"/>
  <c r="C24" i="19"/>
  <c r="S24" i="19"/>
  <c r="M25" i="19"/>
  <c r="G26" i="19"/>
  <c r="S26" i="19"/>
  <c r="M27" i="19"/>
  <c r="H3" i="19"/>
  <c r="T3" i="19"/>
  <c r="M2" i="19"/>
  <c r="U61" i="18"/>
  <c r="U73" i="18"/>
  <c r="U77" i="18"/>
  <c r="I58" i="18"/>
  <c r="G59" i="18"/>
  <c r="O59" i="18"/>
  <c r="I60" i="18"/>
  <c r="C61" i="18"/>
  <c r="S61" i="18"/>
  <c r="M62" i="18"/>
  <c r="G63" i="18"/>
  <c r="O63" i="18"/>
  <c r="I64" i="18"/>
  <c r="C65" i="18"/>
  <c r="O65" i="18"/>
  <c r="I66" i="18"/>
  <c r="C67" i="18"/>
  <c r="O67" i="18"/>
  <c r="M68" i="18"/>
  <c r="G69" i="18"/>
  <c r="O69" i="18"/>
  <c r="M70" i="18"/>
  <c r="K71" i="18"/>
  <c r="I72" i="18"/>
  <c r="G73" i="18"/>
  <c r="E74" i="18"/>
  <c r="C75" i="18"/>
  <c r="S75" i="18"/>
  <c r="Q76" i="18"/>
  <c r="O77" i="18"/>
  <c r="M78" i="18"/>
  <c r="K79" i="18"/>
  <c r="I80" i="18"/>
  <c r="G81" i="18"/>
  <c r="F57" i="18"/>
  <c r="U56" i="18"/>
  <c r="S56" i="18"/>
  <c r="J57" i="18"/>
  <c r="E72" i="18"/>
  <c r="Q74" i="18"/>
  <c r="K77" i="18"/>
  <c r="E80" i="18"/>
  <c r="R57" i="18"/>
  <c r="S69" i="18"/>
  <c r="Q70" i="18"/>
  <c r="O71" i="18"/>
  <c r="M72" i="18"/>
  <c r="K73" i="18"/>
  <c r="I74" i="18"/>
  <c r="G75" i="18"/>
  <c r="E76" i="18"/>
  <c r="C77" i="18"/>
  <c r="S77" i="18"/>
  <c r="Q78" i="18"/>
  <c r="O79" i="18"/>
  <c r="M80" i="18"/>
  <c r="K81" i="18"/>
  <c r="G56" i="18"/>
  <c r="C73" i="18"/>
  <c r="M76" i="18"/>
  <c r="G79" i="18"/>
  <c r="S81" i="18"/>
  <c r="E70" i="18"/>
  <c r="C71" i="18"/>
  <c r="S71" i="18"/>
  <c r="Q72" i="18"/>
  <c r="O73" i="18"/>
  <c r="M74" i="18"/>
  <c r="K75" i="18"/>
  <c r="I76" i="18"/>
  <c r="G77" i="18"/>
  <c r="E78" i="18"/>
  <c r="C79" i="18"/>
  <c r="S79" i="18"/>
  <c r="Q80" i="18"/>
  <c r="O81" i="18"/>
  <c r="N57" i="18"/>
  <c r="K56" i="18"/>
  <c r="I70" i="18"/>
  <c r="G71" i="18"/>
  <c r="S73" i="18"/>
  <c r="O75" i="18"/>
  <c r="I78" i="18"/>
  <c r="C81" i="18"/>
  <c r="O56" i="18"/>
  <c r="F29" i="18"/>
  <c r="J29" i="18"/>
  <c r="N29" i="18"/>
  <c r="R29" i="18"/>
  <c r="U4" i="18"/>
  <c r="U8" i="18"/>
  <c r="U12" i="18"/>
  <c r="U16" i="18"/>
  <c r="U20" i="18"/>
  <c r="U24" i="18"/>
  <c r="U3" i="18"/>
  <c r="F4" i="18"/>
  <c r="J4" i="18"/>
  <c r="N4" i="18"/>
  <c r="G29" i="18"/>
  <c r="K29" i="18"/>
  <c r="O29" i="18"/>
  <c r="S29" i="18"/>
  <c r="U5" i="18"/>
  <c r="U9" i="18"/>
  <c r="U13" i="18"/>
  <c r="U17" i="18"/>
  <c r="U21" i="18"/>
  <c r="U25" i="18"/>
  <c r="C4" i="18"/>
  <c r="G4" i="18"/>
  <c r="K4" i="18"/>
  <c r="O4" i="18"/>
  <c r="D29" i="18"/>
  <c r="H29" i="18"/>
  <c r="L29" i="18"/>
  <c r="P29" i="18"/>
  <c r="T29" i="18"/>
  <c r="U6" i="18"/>
  <c r="U10" i="18"/>
  <c r="U14" i="18"/>
  <c r="U18" i="18"/>
  <c r="U22" i="18"/>
  <c r="U26" i="18"/>
  <c r="D4" i="18"/>
  <c r="H4" i="18"/>
  <c r="L4" i="18"/>
  <c r="P4" i="18"/>
  <c r="Q29" i="18"/>
  <c r="U15" i="18"/>
  <c r="E4" i="18"/>
  <c r="R4" i="18"/>
  <c r="D5" i="18"/>
  <c r="H5" i="18"/>
  <c r="L5" i="18"/>
  <c r="P5" i="18"/>
  <c r="T5" i="18"/>
  <c r="F6" i="18"/>
  <c r="J6" i="18"/>
  <c r="N6" i="18"/>
  <c r="R6" i="18"/>
  <c r="D7" i="18"/>
  <c r="H7" i="18"/>
  <c r="L7" i="18"/>
  <c r="P7" i="18"/>
  <c r="T7" i="18"/>
  <c r="F8" i="18"/>
  <c r="J8" i="18"/>
  <c r="N8" i="18"/>
  <c r="R8" i="18"/>
  <c r="D9" i="18"/>
  <c r="H9" i="18"/>
  <c r="L9" i="18"/>
  <c r="P9" i="18"/>
  <c r="T9" i="18"/>
  <c r="F10" i="18"/>
  <c r="J10" i="18"/>
  <c r="N10" i="18"/>
  <c r="R10" i="18"/>
  <c r="D11" i="18"/>
  <c r="H11" i="18"/>
  <c r="L11" i="18"/>
  <c r="P11" i="18"/>
  <c r="T11" i="18"/>
  <c r="F12" i="18"/>
  <c r="J12" i="18"/>
  <c r="N12" i="18"/>
  <c r="R12" i="18"/>
  <c r="D13" i="18"/>
  <c r="H13" i="18"/>
  <c r="L13" i="18"/>
  <c r="P13" i="18"/>
  <c r="T13" i="18"/>
  <c r="F14" i="18"/>
  <c r="J14" i="18"/>
  <c r="N14" i="18"/>
  <c r="R14" i="18"/>
  <c r="D15" i="18"/>
  <c r="H15" i="18"/>
  <c r="L15" i="18"/>
  <c r="P15" i="18"/>
  <c r="T15" i="18"/>
  <c r="F16" i="18"/>
  <c r="J16" i="18"/>
  <c r="N16" i="18"/>
  <c r="R16" i="18"/>
  <c r="D17" i="18"/>
  <c r="H17" i="18"/>
  <c r="L17" i="18"/>
  <c r="P17" i="18"/>
  <c r="T17" i="18"/>
  <c r="F18" i="18"/>
  <c r="J18" i="18"/>
  <c r="N18" i="18"/>
  <c r="R18" i="18"/>
  <c r="D19" i="18"/>
  <c r="H19" i="18"/>
  <c r="L19" i="18"/>
  <c r="P19" i="18"/>
  <c r="T19" i="18"/>
  <c r="F20" i="18"/>
  <c r="J20" i="18"/>
  <c r="N20" i="18"/>
  <c r="R20" i="18"/>
  <c r="D21" i="18"/>
  <c r="H21" i="18"/>
  <c r="L21" i="18"/>
  <c r="P21" i="18"/>
  <c r="T21" i="18"/>
  <c r="F22" i="18"/>
  <c r="J22" i="18"/>
  <c r="N22" i="18"/>
  <c r="R22" i="18"/>
  <c r="D23" i="18"/>
  <c r="H23" i="18"/>
  <c r="L23" i="18"/>
  <c r="P23" i="18"/>
  <c r="T23" i="18"/>
  <c r="F24" i="18"/>
  <c r="J24" i="18"/>
  <c r="N24" i="18"/>
  <c r="R24" i="18"/>
  <c r="D25" i="18"/>
  <c r="H25" i="18"/>
  <c r="L25" i="18"/>
  <c r="P25" i="18"/>
  <c r="E29" i="18"/>
  <c r="C29" i="18"/>
  <c r="U19" i="18"/>
  <c r="I4" i="18"/>
  <c r="S4" i="18"/>
  <c r="E5" i="18"/>
  <c r="I5" i="18"/>
  <c r="M5" i="18"/>
  <c r="Q5" i="18"/>
  <c r="C6" i="18"/>
  <c r="G6" i="18"/>
  <c r="K6" i="18"/>
  <c r="O6" i="18"/>
  <c r="S6" i="18"/>
  <c r="E7" i="18"/>
  <c r="I7" i="18"/>
  <c r="M7" i="18"/>
  <c r="Q7" i="18"/>
  <c r="C8" i="18"/>
  <c r="G8" i="18"/>
  <c r="K8" i="18"/>
  <c r="O8" i="18"/>
  <c r="S8" i="18"/>
  <c r="E9" i="18"/>
  <c r="I9" i="18"/>
  <c r="M9" i="18"/>
  <c r="Q9" i="18"/>
  <c r="C10" i="18"/>
  <c r="G10" i="18"/>
  <c r="K10" i="18"/>
  <c r="O10" i="18"/>
  <c r="S10" i="18"/>
  <c r="E11" i="18"/>
  <c r="I11" i="18"/>
  <c r="M11" i="18"/>
  <c r="Q11" i="18"/>
  <c r="C12" i="18"/>
  <c r="G12" i="18"/>
  <c r="K12" i="18"/>
  <c r="O12" i="18"/>
  <c r="S12" i="18"/>
  <c r="E13" i="18"/>
  <c r="I13" i="18"/>
  <c r="M13" i="18"/>
  <c r="Q13" i="18"/>
  <c r="C14" i="18"/>
  <c r="G14" i="18"/>
  <c r="K14" i="18"/>
  <c r="O14" i="18"/>
  <c r="S14" i="18"/>
  <c r="E15" i="18"/>
  <c r="I15" i="18"/>
  <c r="M15" i="18"/>
  <c r="Q15" i="18"/>
  <c r="C16" i="18"/>
  <c r="G16" i="18"/>
  <c r="K16" i="18"/>
  <c r="O16" i="18"/>
  <c r="S16" i="18"/>
  <c r="E17" i="18"/>
  <c r="I17" i="18"/>
  <c r="M17" i="18"/>
  <c r="Q17" i="18"/>
  <c r="C18" i="18"/>
  <c r="G18" i="18"/>
  <c r="K18" i="18"/>
  <c r="O18" i="18"/>
  <c r="S18" i="18"/>
  <c r="E19" i="18"/>
  <c r="I19" i="18"/>
  <c r="M19" i="18"/>
  <c r="Q19" i="18"/>
  <c r="C20" i="18"/>
  <c r="G20" i="18"/>
  <c r="K20" i="18"/>
  <c r="O20" i="18"/>
  <c r="S20" i="18"/>
  <c r="E21" i="18"/>
  <c r="I21" i="18"/>
  <c r="M21" i="18"/>
  <c r="Q21" i="18"/>
  <c r="C22" i="18"/>
  <c r="G22" i="18"/>
  <c r="K22" i="18"/>
  <c r="O22" i="18"/>
  <c r="S22" i="18"/>
  <c r="E23" i="18"/>
  <c r="I23" i="18"/>
  <c r="M23" i="18"/>
  <c r="Q23" i="18"/>
  <c r="C24" i="18"/>
  <c r="G24" i="18"/>
  <c r="K24" i="18"/>
  <c r="O24" i="18"/>
  <c r="S24" i="18"/>
  <c r="E25" i="18"/>
  <c r="I25" i="18"/>
  <c r="M25" i="18"/>
  <c r="Q25" i="18"/>
  <c r="C26" i="18"/>
  <c r="G26" i="18"/>
  <c r="I29" i="18"/>
  <c r="U7" i="18"/>
  <c r="U23" i="18"/>
  <c r="M4" i="18"/>
  <c r="T4" i="18"/>
  <c r="F5" i="18"/>
  <c r="J5" i="18"/>
  <c r="N5" i="18"/>
  <c r="R5" i="18"/>
  <c r="D6" i="18"/>
  <c r="H6" i="18"/>
  <c r="L6" i="18"/>
  <c r="P6" i="18"/>
  <c r="T6" i="18"/>
  <c r="F7" i="18"/>
  <c r="J7" i="18"/>
  <c r="N7" i="18"/>
  <c r="R7" i="18"/>
  <c r="D8" i="18"/>
  <c r="H8" i="18"/>
  <c r="L8" i="18"/>
  <c r="P8" i="18"/>
  <c r="T8" i="18"/>
  <c r="F9" i="18"/>
  <c r="J9" i="18"/>
  <c r="N9" i="18"/>
  <c r="R9" i="18"/>
  <c r="D10" i="18"/>
  <c r="H10" i="18"/>
  <c r="L10" i="18"/>
  <c r="P10" i="18"/>
  <c r="T10" i="18"/>
  <c r="F11" i="18"/>
  <c r="J11" i="18"/>
  <c r="N11" i="18"/>
  <c r="R11" i="18"/>
  <c r="D12" i="18"/>
  <c r="H12" i="18"/>
  <c r="L12" i="18"/>
  <c r="P12" i="18"/>
  <c r="T12" i="18"/>
  <c r="F13" i="18"/>
  <c r="J13" i="18"/>
  <c r="N13" i="18"/>
  <c r="R13" i="18"/>
  <c r="D14" i="18"/>
  <c r="H14" i="18"/>
  <c r="L14" i="18"/>
  <c r="P14" i="18"/>
  <c r="T14" i="18"/>
  <c r="F15" i="18"/>
  <c r="J15" i="18"/>
  <c r="N15" i="18"/>
  <c r="R15" i="18"/>
  <c r="D16" i="18"/>
  <c r="H16" i="18"/>
  <c r="L16" i="18"/>
  <c r="P16" i="18"/>
  <c r="T16" i="18"/>
  <c r="F17" i="18"/>
  <c r="J17" i="18"/>
  <c r="N17" i="18"/>
  <c r="R17" i="18"/>
  <c r="D18" i="18"/>
  <c r="H18" i="18"/>
  <c r="L18" i="18"/>
  <c r="P18" i="18"/>
  <c r="T18" i="18"/>
  <c r="F19" i="18"/>
  <c r="J19" i="18"/>
  <c r="N19" i="18"/>
  <c r="R19" i="18"/>
  <c r="D20" i="18"/>
  <c r="H20" i="18"/>
  <c r="L20" i="18"/>
  <c r="P20" i="18"/>
  <c r="T20" i="18"/>
  <c r="F21" i="18"/>
  <c r="J21" i="18"/>
  <c r="N21" i="18"/>
  <c r="R21" i="18"/>
  <c r="D22" i="18"/>
  <c r="H22" i="18"/>
  <c r="L22" i="18"/>
  <c r="P22" i="18"/>
  <c r="T22" i="18"/>
  <c r="F23" i="18"/>
  <c r="J23" i="18"/>
  <c r="N23" i="18"/>
  <c r="R23" i="18"/>
  <c r="D24" i="18"/>
  <c r="H24" i="18"/>
  <c r="L24" i="18"/>
  <c r="P24" i="18"/>
  <c r="T24" i="18"/>
  <c r="F25" i="18"/>
  <c r="J25" i="18"/>
  <c r="N25" i="18"/>
  <c r="R25" i="18"/>
  <c r="D26" i="18"/>
  <c r="M29" i="18"/>
  <c r="C5" i="18"/>
  <c r="S5" i="18"/>
  <c r="Q6" i="18"/>
  <c r="O7" i="18"/>
  <c r="M8" i="18"/>
  <c r="K9" i="18"/>
  <c r="I10" i="18"/>
  <c r="G11" i="18"/>
  <c r="E12" i="18"/>
  <c r="C13" i="18"/>
  <c r="S13" i="18"/>
  <c r="Q14" i="18"/>
  <c r="O15" i="18"/>
  <c r="M16" i="18"/>
  <c r="K17" i="18"/>
  <c r="I18" i="18"/>
  <c r="G19" i="18"/>
  <c r="E20" i="18"/>
  <c r="C21" i="18"/>
  <c r="S21" i="18"/>
  <c r="Q22" i="18"/>
  <c r="O23" i="18"/>
  <c r="M24" i="18"/>
  <c r="K25" i="18"/>
  <c r="E26" i="18"/>
  <c r="J26" i="18"/>
  <c r="N26" i="18"/>
  <c r="R26" i="18"/>
  <c r="D27" i="18"/>
  <c r="H27" i="18"/>
  <c r="L27" i="18"/>
  <c r="P27" i="18"/>
  <c r="T27" i="18"/>
  <c r="G3" i="18"/>
  <c r="K3" i="18"/>
  <c r="O3" i="18"/>
  <c r="S3" i="18"/>
  <c r="D2" i="18"/>
  <c r="H2" i="18"/>
  <c r="L2" i="18"/>
  <c r="P2" i="18"/>
  <c r="T2" i="18"/>
  <c r="O5" i="18"/>
  <c r="I8" i="18"/>
  <c r="C11" i="18"/>
  <c r="O13" i="18"/>
  <c r="G17" i="18"/>
  <c r="Q20" i="18"/>
  <c r="K23" i="18"/>
  <c r="T25" i="18"/>
  <c r="Q26" i="18"/>
  <c r="G27" i="18"/>
  <c r="F3" i="18"/>
  <c r="R3" i="18"/>
  <c r="K2" i="18"/>
  <c r="O2" i="18"/>
  <c r="U11" i="18"/>
  <c r="G5" i="18"/>
  <c r="E6" i="18"/>
  <c r="C7" i="18"/>
  <c r="S7" i="18"/>
  <c r="Q8" i="18"/>
  <c r="O9" i="18"/>
  <c r="M10" i="18"/>
  <c r="K11" i="18"/>
  <c r="I12" i="18"/>
  <c r="G13" i="18"/>
  <c r="E14" i="18"/>
  <c r="C15" i="18"/>
  <c r="S15" i="18"/>
  <c r="Q16" i="18"/>
  <c r="O17" i="18"/>
  <c r="M18" i="18"/>
  <c r="K19" i="18"/>
  <c r="I20" i="18"/>
  <c r="G21" i="18"/>
  <c r="E22" i="18"/>
  <c r="C23" i="18"/>
  <c r="S23" i="18"/>
  <c r="Q24" i="18"/>
  <c r="O25" i="18"/>
  <c r="F26" i="18"/>
  <c r="K26" i="18"/>
  <c r="O26" i="18"/>
  <c r="S26" i="18"/>
  <c r="E27" i="18"/>
  <c r="I27" i="18"/>
  <c r="M27" i="18"/>
  <c r="Q27" i="18"/>
  <c r="D3" i="18"/>
  <c r="H3" i="18"/>
  <c r="L3" i="18"/>
  <c r="P3" i="18"/>
  <c r="T3" i="18"/>
  <c r="E2" i="18"/>
  <c r="I2" i="18"/>
  <c r="M2" i="18"/>
  <c r="Q2" i="18"/>
  <c r="C2" i="18"/>
  <c r="K7" i="18"/>
  <c r="E10" i="18"/>
  <c r="S11" i="18"/>
  <c r="M14" i="18"/>
  <c r="I16" i="18"/>
  <c r="C19" i="18"/>
  <c r="O21" i="18"/>
  <c r="I24" i="18"/>
  <c r="I26" i="18"/>
  <c r="C27" i="18"/>
  <c r="O27" i="18"/>
  <c r="J3" i="18"/>
  <c r="U2" i="18"/>
  <c r="S2" i="18"/>
  <c r="U27" i="18"/>
  <c r="K5" i="18"/>
  <c r="I6" i="18"/>
  <c r="G7" i="18"/>
  <c r="E8" i="18"/>
  <c r="C9" i="18"/>
  <c r="S9" i="18"/>
  <c r="Q10" i="18"/>
  <c r="O11" i="18"/>
  <c r="M12" i="18"/>
  <c r="K13" i="18"/>
  <c r="I14" i="18"/>
  <c r="G15" i="18"/>
  <c r="E16" i="18"/>
  <c r="C17" i="18"/>
  <c r="S17" i="18"/>
  <c r="Q18" i="18"/>
  <c r="O19" i="18"/>
  <c r="M20" i="18"/>
  <c r="K21" i="18"/>
  <c r="I22" i="18"/>
  <c r="G23" i="18"/>
  <c r="E24" i="18"/>
  <c r="C25" i="18"/>
  <c r="S25" i="18"/>
  <c r="H26" i="18"/>
  <c r="L26" i="18"/>
  <c r="P26" i="18"/>
  <c r="T26" i="18"/>
  <c r="F27" i="18"/>
  <c r="J27" i="18"/>
  <c r="N27" i="18"/>
  <c r="R27" i="18"/>
  <c r="E3" i="18"/>
  <c r="I3" i="18"/>
  <c r="M3" i="18"/>
  <c r="Q3" i="18"/>
  <c r="C3" i="18"/>
  <c r="F2" i="18"/>
  <c r="J2" i="18"/>
  <c r="N2" i="18"/>
  <c r="R2" i="18"/>
  <c r="Q4" i="18"/>
  <c r="M6" i="18"/>
  <c r="G9" i="18"/>
  <c r="Q12" i="18"/>
  <c r="K15" i="18"/>
  <c r="E18" i="18"/>
  <c r="S19" i="18"/>
  <c r="M22" i="18"/>
  <c r="G25" i="18"/>
  <c r="M26" i="18"/>
  <c r="K27" i="18"/>
  <c r="S27" i="18"/>
  <c r="N3" i="18"/>
  <c r="G2" i="18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C3" i="3"/>
  <c r="H3" i="23" l="1"/>
  <c r="H3" i="24"/>
  <c r="H3" i="22"/>
  <c r="H3" i="25"/>
  <c r="I3" i="24"/>
  <c r="I3" i="22"/>
  <c r="I3" i="25"/>
  <c r="I3" i="12"/>
  <c r="I3" i="23"/>
  <c r="I4" i="12"/>
  <c r="I4" i="24"/>
  <c r="I4" i="25"/>
  <c r="I4" i="23"/>
  <c r="I4" i="22"/>
  <c r="J3" i="12"/>
  <c r="J3" i="22"/>
  <c r="J3" i="25"/>
  <c r="J3" i="23"/>
  <c r="J3" i="24"/>
  <c r="J4" i="25"/>
  <c r="J4" i="23"/>
  <c r="J4" i="22"/>
  <c r="J4" i="12"/>
  <c r="J4" i="24"/>
  <c r="K3" i="25"/>
  <c r="K3" i="23"/>
  <c r="K3" i="24"/>
  <c r="K3" i="22"/>
  <c r="K3" i="12"/>
  <c r="K4" i="25"/>
  <c r="K4" i="23"/>
  <c r="K4" i="24"/>
  <c r="K4" i="22"/>
  <c r="K4" i="12"/>
  <c r="L3" i="12"/>
  <c r="L3" i="24"/>
  <c r="L3" i="22"/>
  <c r="L3" i="25"/>
  <c r="L3" i="23"/>
  <c r="L4" i="24"/>
  <c r="L4" i="22"/>
  <c r="L4" i="12"/>
  <c r="L4" i="25"/>
  <c r="L4" i="23"/>
  <c r="U29" i="19"/>
  <c r="U29" i="18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S83" i="18"/>
  <c r="O83" i="18"/>
  <c r="K83" i="18"/>
  <c r="G83" i="18"/>
  <c r="C83" i="18"/>
  <c r="M32" i="18"/>
  <c r="I32" i="18"/>
  <c r="E32" i="18"/>
  <c r="Q32" i="18"/>
  <c r="T32" i="18"/>
  <c r="P32" i="18"/>
  <c r="L32" i="18"/>
  <c r="H32" i="18"/>
  <c r="D32" i="18"/>
  <c r="S32" i="18"/>
  <c r="O32" i="18"/>
  <c r="K32" i="18"/>
  <c r="G32" i="18"/>
  <c r="C32" i="18"/>
  <c r="R32" i="18"/>
  <c r="N32" i="18"/>
  <c r="J32" i="18"/>
  <c r="F32" i="18"/>
  <c r="R83" i="18"/>
  <c r="N83" i="18"/>
  <c r="J83" i="18"/>
  <c r="F83" i="18"/>
  <c r="Q54" i="18"/>
  <c r="M54" i="18"/>
  <c r="I54" i="18"/>
  <c r="E54" i="18"/>
  <c r="T54" i="18"/>
  <c r="P54" i="18"/>
  <c r="L54" i="18"/>
  <c r="H54" i="18"/>
  <c r="D54" i="18"/>
  <c r="S54" i="18"/>
  <c r="O54" i="18"/>
  <c r="K54" i="18"/>
  <c r="G54" i="18"/>
  <c r="C54" i="18"/>
  <c r="R54" i="18"/>
  <c r="N54" i="18"/>
  <c r="J54" i="18"/>
  <c r="F54" i="18"/>
  <c r="E52" i="18"/>
  <c r="Q52" i="18"/>
  <c r="M52" i="18"/>
  <c r="I52" i="18"/>
  <c r="T52" i="18"/>
  <c r="P52" i="18"/>
  <c r="L52" i="18"/>
  <c r="H52" i="18"/>
  <c r="D52" i="18"/>
  <c r="S52" i="18"/>
  <c r="O52" i="18"/>
  <c r="K52" i="18"/>
  <c r="G52" i="18"/>
  <c r="C52" i="18"/>
  <c r="R52" i="18"/>
  <c r="N52" i="18"/>
  <c r="J52" i="18"/>
  <c r="F52" i="18"/>
  <c r="I50" i="18"/>
  <c r="E50" i="18"/>
  <c r="Q50" i="18"/>
  <c r="M50" i="18"/>
  <c r="T50" i="18"/>
  <c r="P50" i="18"/>
  <c r="L50" i="18"/>
  <c r="H50" i="18"/>
  <c r="D50" i="18"/>
  <c r="S50" i="18"/>
  <c r="O50" i="18"/>
  <c r="K50" i="18"/>
  <c r="G50" i="18"/>
  <c r="C50" i="18"/>
  <c r="R50" i="18"/>
  <c r="N50" i="18"/>
  <c r="J50" i="18"/>
  <c r="F50" i="18"/>
  <c r="M48" i="18"/>
  <c r="I48" i="18"/>
  <c r="E48" i="18"/>
  <c r="Q48" i="18"/>
  <c r="T48" i="18"/>
  <c r="P48" i="18"/>
  <c r="L48" i="18"/>
  <c r="H48" i="18"/>
  <c r="D48" i="18"/>
  <c r="S48" i="18"/>
  <c r="O48" i="18"/>
  <c r="K48" i="18"/>
  <c r="G48" i="18"/>
  <c r="C48" i="18"/>
  <c r="R48" i="18"/>
  <c r="N48" i="18"/>
  <c r="J48" i="18"/>
  <c r="F48" i="18"/>
  <c r="Q46" i="18"/>
  <c r="M46" i="18"/>
  <c r="I46" i="18"/>
  <c r="E46" i="18"/>
  <c r="T46" i="18"/>
  <c r="P46" i="18"/>
  <c r="L46" i="18"/>
  <c r="H46" i="18"/>
  <c r="D46" i="18"/>
  <c r="S46" i="18"/>
  <c r="O46" i="18"/>
  <c r="K46" i="18"/>
  <c r="G46" i="18"/>
  <c r="C46" i="18"/>
  <c r="R46" i="18"/>
  <c r="N46" i="18"/>
  <c r="J46" i="18"/>
  <c r="F46" i="18"/>
  <c r="E44" i="18"/>
  <c r="Q44" i="18"/>
  <c r="M44" i="18"/>
  <c r="I44" i="18"/>
  <c r="T44" i="18"/>
  <c r="P44" i="18"/>
  <c r="L44" i="18"/>
  <c r="H44" i="18"/>
  <c r="D44" i="18"/>
  <c r="S44" i="18"/>
  <c r="O44" i="18"/>
  <c r="K44" i="18"/>
  <c r="G44" i="18"/>
  <c r="C44" i="18"/>
  <c r="R44" i="18"/>
  <c r="N44" i="18"/>
  <c r="J44" i="18"/>
  <c r="F44" i="18"/>
  <c r="I42" i="18"/>
  <c r="E42" i="18"/>
  <c r="Q42" i="18"/>
  <c r="M42" i="18"/>
  <c r="T42" i="18"/>
  <c r="P42" i="18"/>
  <c r="L42" i="18"/>
  <c r="H42" i="18"/>
  <c r="D42" i="18"/>
  <c r="S42" i="18"/>
  <c r="O42" i="18"/>
  <c r="K42" i="18"/>
  <c r="G42" i="18"/>
  <c r="C42" i="18"/>
  <c r="R42" i="18"/>
  <c r="N42" i="18"/>
  <c r="J42" i="18"/>
  <c r="F42" i="18"/>
  <c r="M40" i="18"/>
  <c r="I40" i="18"/>
  <c r="E40" i="18"/>
  <c r="Q40" i="18"/>
  <c r="T40" i="18"/>
  <c r="P40" i="18"/>
  <c r="L40" i="18"/>
  <c r="H40" i="18"/>
  <c r="D40" i="18"/>
  <c r="S40" i="18"/>
  <c r="O40" i="18"/>
  <c r="K40" i="18"/>
  <c r="G40" i="18"/>
  <c r="C40" i="18"/>
  <c r="R40" i="18"/>
  <c r="N40" i="18"/>
  <c r="J40" i="18"/>
  <c r="F40" i="18"/>
  <c r="Q38" i="18"/>
  <c r="M38" i="18"/>
  <c r="I38" i="18"/>
  <c r="E38" i="18"/>
  <c r="T38" i="18"/>
  <c r="P38" i="18"/>
  <c r="L38" i="18"/>
  <c r="H38" i="18"/>
  <c r="D38" i="18"/>
  <c r="S38" i="18"/>
  <c r="O38" i="18"/>
  <c r="K38" i="18"/>
  <c r="G38" i="18"/>
  <c r="C38" i="18"/>
  <c r="R38" i="18"/>
  <c r="N38" i="18"/>
  <c r="J38" i="18"/>
  <c r="F38" i="18"/>
  <c r="E36" i="18"/>
  <c r="Q36" i="18"/>
  <c r="M36" i="18"/>
  <c r="I36" i="18"/>
  <c r="T36" i="18"/>
  <c r="P36" i="18"/>
  <c r="L36" i="18"/>
  <c r="H36" i="18"/>
  <c r="D36" i="18"/>
  <c r="S36" i="18"/>
  <c r="O36" i="18"/>
  <c r="K36" i="18"/>
  <c r="G36" i="18"/>
  <c r="C36" i="18"/>
  <c r="R36" i="18"/>
  <c r="N36" i="18"/>
  <c r="J36" i="18"/>
  <c r="F36" i="18"/>
  <c r="I34" i="18"/>
  <c r="E34" i="18"/>
  <c r="Q34" i="18"/>
  <c r="M34" i="18"/>
  <c r="T34" i="18"/>
  <c r="P34" i="18"/>
  <c r="L34" i="18"/>
  <c r="H34" i="18"/>
  <c r="D34" i="18"/>
  <c r="S34" i="18"/>
  <c r="O34" i="18"/>
  <c r="K34" i="18"/>
  <c r="G34" i="18"/>
  <c r="C34" i="18"/>
  <c r="R34" i="18"/>
  <c r="N34" i="18"/>
  <c r="J34" i="18"/>
  <c r="F34" i="18"/>
  <c r="P30" i="18"/>
  <c r="L30" i="18"/>
  <c r="H30" i="18"/>
  <c r="T30" i="18"/>
  <c r="D30" i="18"/>
  <c r="S30" i="18"/>
  <c r="O30" i="18"/>
  <c r="K30" i="18"/>
  <c r="G30" i="18"/>
  <c r="R30" i="18"/>
  <c r="N30" i="18"/>
  <c r="J30" i="18"/>
  <c r="F30" i="18"/>
  <c r="C30" i="18"/>
  <c r="Q30" i="18"/>
  <c r="M30" i="18"/>
  <c r="I30" i="18"/>
  <c r="E30" i="18"/>
  <c r="Q83" i="18"/>
  <c r="M83" i="18"/>
  <c r="I83" i="18"/>
  <c r="E83" i="18"/>
  <c r="C37" i="18"/>
  <c r="S37" i="18"/>
  <c r="O37" i="18"/>
  <c r="K37" i="18"/>
  <c r="G37" i="18"/>
  <c r="R37" i="18"/>
  <c r="N37" i="18"/>
  <c r="J37" i="18"/>
  <c r="F37" i="18"/>
  <c r="Q37" i="18"/>
  <c r="M37" i="18"/>
  <c r="I37" i="18"/>
  <c r="E37" i="18"/>
  <c r="T37" i="18"/>
  <c r="P37" i="18"/>
  <c r="L37" i="18"/>
  <c r="H37" i="18"/>
  <c r="D37" i="18"/>
  <c r="T83" i="18"/>
  <c r="P83" i="18"/>
  <c r="L83" i="18"/>
  <c r="H83" i="18"/>
  <c r="D83" i="18"/>
  <c r="S53" i="18"/>
  <c r="C53" i="18"/>
  <c r="O53" i="18"/>
  <c r="K53" i="18"/>
  <c r="G53" i="18"/>
  <c r="R53" i="18"/>
  <c r="N53" i="18"/>
  <c r="J53" i="18"/>
  <c r="F53" i="18"/>
  <c r="Q53" i="18"/>
  <c r="M53" i="18"/>
  <c r="I53" i="18"/>
  <c r="E53" i="18"/>
  <c r="T53" i="18"/>
  <c r="P53" i="18"/>
  <c r="L53" i="18"/>
  <c r="H53" i="18"/>
  <c r="D53" i="18"/>
  <c r="G51" i="18"/>
  <c r="S51" i="18"/>
  <c r="C51" i="18"/>
  <c r="O51" i="18"/>
  <c r="K51" i="18"/>
  <c r="R51" i="18"/>
  <c r="N51" i="18"/>
  <c r="J51" i="18"/>
  <c r="F51" i="18"/>
  <c r="Q51" i="18"/>
  <c r="M51" i="18"/>
  <c r="I51" i="18"/>
  <c r="E51" i="18"/>
  <c r="T51" i="18"/>
  <c r="P51" i="18"/>
  <c r="L51" i="18"/>
  <c r="H51" i="18"/>
  <c r="D51" i="18"/>
  <c r="K49" i="18"/>
  <c r="G49" i="18"/>
  <c r="S49" i="18"/>
  <c r="C49" i="18"/>
  <c r="O49" i="18"/>
  <c r="R49" i="18"/>
  <c r="N49" i="18"/>
  <c r="J49" i="18"/>
  <c r="F49" i="18"/>
  <c r="Q49" i="18"/>
  <c r="M49" i="18"/>
  <c r="I49" i="18"/>
  <c r="E49" i="18"/>
  <c r="T49" i="18"/>
  <c r="P49" i="18"/>
  <c r="L49" i="18"/>
  <c r="H49" i="18"/>
  <c r="D49" i="18"/>
  <c r="O47" i="18"/>
  <c r="K47" i="18"/>
  <c r="G47" i="18"/>
  <c r="S47" i="18"/>
  <c r="C47" i="18"/>
  <c r="R47" i="18"/>
  <c r="N47" i="18"/>
  <c r="J47" i="18"/>
  <c r="F47" i="18"/>
  <c r="Q47" i="18"/>
  <c r="M47" i="18"/>
  <c r="I47" i="18"/>
  <c r="E47" i="18"/>
  <c r="T47" i="18"/>
  <c r="P47" i="18"/>
  <c r="L47" i="18"/>
  <c r="H47" i="18"/>
  <c r="D47" i="18"/>
  <c r="C45" i="18"/>
  <c r="S45" i="18"/>
  <c r="O45" i="18"/>
  <c r="K45" i="18"/>
  <c r="G45" i="18"/>
  <c r="R45" i="18"/>
  <c r="N45" i="18"/>
  <c r="J45" i="18"/>
  <c r="F45" i="18"/>
  <c r="Q45" i="18"/>
  <c r="M45" i="18"/>
  <c r="I45" i="18"/>
  <c r="E45" i="18"/>
  <c r="T45" i="18"/>
  <c r="P45" i="18"/>
  <c r="L45" i="18"/>
  <c r="H45" i="18"/>
  <c r="D45" i="18"/>
  <c r="G43" i="18"/>
  <c r="S43" i="18"/>
  <c r="C43" i="18"/>
  <c r="O43" i="18"/>
  <c r="K43" i="18"/>
  <c r="R43" i="18"/>
  <c r="N43" i="18"/>
  <c r="J43" i="18"/>
  <c r="F43" i="18"/>
  <c r="Q43" i="18"/>
  <c r="M43" i="18"/>
  <c r="I43" i="18"/>
  <c r="E43" i="18"/>
  <c r="T43" i="18"/>
  <c r="P43" i="18"/>
  <c r="L43" i="18"/>
  <c r="H43" i="18"/>
  <c r="D43" i="18"/>
  <c r="K41" i="18"/>
  <c r="G41" i="18"/>
  <c r="S41" i="18"/>
  <c r="C41" i="18"/>
  <c r="O41" i="18"/>
  <c r="R41" i="18"/>
  <c r="N41" i="18"/>
  <c r="J41" i="18"/>
  <c r="F41" i="18"/>
  <c r="Q41" i="18"/>
  <c r="M41" i="18"/>
  <c r="I41" i="18"/>
  <c r="E41" i="18"/>
  <c r="T41" i="18"/>
  <c r="P41" i="18"/>
  <c r="L41" i="18"/>
  <c r="H41" i="18"/>
  <c r="D41" i="18"/>
  <c r="O39" i="18"/>
  <c r="K39" i="18"/>
  <c r="G39" i="18"/>
  <c r="S39" i="18"/>
  <c r="C39" i="18"/>
  <c r="R39" i="18"/>
  <c r="N39" i="18"/>
  <c r="J39" i="18"/>
  <c r="F39" i="18"/>
  <c r="Q39" i="18"/>
  <c r="M39" i="18"/>
  <c r="I39" i="18"/>
  <c r="E39" i="18"/>
  <c r="T39" i="18"/>
  <c r="P39" i="18"/>
  <c r="L39" i="18"/>
  <c r="H39" i="18"/>
  <c r="D39" i="18"/>
  <c r="G35" i="18"/>
  <c r="S35" i="18"/>
  <c r="C35" i="18"/>
  <c r="O35" i="18"/>
  <c r="K35" i="18"/>
  <c r="R35" i="18"/>
  <c r="N35" i="18"/>
  <c r="J35" i="18"/>
  <c r="F35" i="18"/>
  <c r="Q35" i="18"/>
  <c r="M35" i="18"/>
  <c r="I35" i="18"/>
  <c r="E35" i="18"/>
  <c r="T35" i="18"/>
  <c r="P35" i="18"/>
  <c r="L35" i="18"/>
  <c r="H35" i="18"/>
  <c r="D35" i="18"/>
  <c r="K33" i="18"/>
  <c r="G33" i="18"/>
  <c r="S33" i="18"/>
  <c r="C33" i="18"/>
  <c r="O33" i="18"/>
  <c r="R33" i="18"/>
  <c r="N33" i="18"/>
  <c r="J33" i="18"/>
  <c r="F33" i="18"/>
  <c r="Q33" i="18"/>
  <c r="M33" i="18"/>
  <c r="I33" i="18"/>
  <c r="E33" i="18"/>
  <c r="T33" i="18"/>
  <c r="P33" i="18"/>
  <c r="L33" i="18"/>
  <c r="H33" i="18"/>
  <c r="D33" i="18"/>
  <c r="O31" i="18"/>
  <c r="K31" i="18"/>
  <c r="G31" i="18"/>
  <c r="S31" i="18"/>
  <c r="C31" i="18"/>
  <c r="R31" i="18"/>
  <c r="N31" i="18"/>
  <c r="J31" i="18"/>
  <c r="F31" i="18"/>
  <c r="Q31" i="18"/>
  <c r="M31" i="18"/>
  <c r="I31" i="18"/>
  <c r="E31" i="18"/>
  <c r="T31" i="18"/>
  <c r="P31" i="18"/>
  <c r="L31" i="18"/>
  <c r="H31" i="18"/>
  <c r="D31" i="18"/>
  <c r="U31" i="18" l="1"/>
  <c r="U33" i="18"/>
  <c r="U35" i="18"/>
  <c r="U39" i="18"/>
  <c r="U41" i="18"/>
  <c r="U43" i="18"/>
  <c r="U45" i="18"/>
  <c r="U47" i="18"/>
  <c r="U49" i="18"/>
  <c r="U51" i="18"/>
  <c r="U53" i="18"/>
  <c r="U37" i="18"/>
  <c r="U30" i="18"/>
  <c r="U34" i="18"/>
  <c r="U36" i="18"/>
  <c r="U38" i="18"/>
  <c r="U40" i="18"/>
  <c r="U42" i="18"/>
  <c r="U44" i="18"/>
  <c r="U46" i="18"/>
  <c r="U48" i="18"/>
  <c r="U50" i="18"/>
  <c r="U52" i="18"/>
  <c r="U54" i="18"/>
  <c r="U32" i="18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29" i="20"/>
  <c r="U31" i="20"/>
  <c r="U30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T13" i="2"/>
  <c r="B57" i="3" l="1"/>
  <c r="N83" i="3"/>
  <c r="I83" i="3"/>
  <c r="H83" i="3"/>
  <c r="D83" i="3"/>
  <c r="G83" i="3"/>
  <c r="L83" i="3"/>
  <c r="S83" i="3"/>
  <c r="J83" i="3"/>
  <c r="T83" i="3"/>
  <c r="O83" i="3"/>
  <c r="M83" i="3"/>
  <c r="K83" i="3"/>
  <c r="Q83" i="3"/>
  <c r="P83" i="3"/>
  <c r="F83" i="3"/>
  <c r="C83" i="3"/>
  <c r="R83" i="3"/>
  <c r="E83" i="3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B59" i="3" l="1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O31" i="3"/>
  <c r="M32" i="3"/>
  <c r="K33" i="3"/>
  <c r="I34" i="3"/>
  <c r="G35" i="3"/>
  <c r="E36" i="3"/>
  <c r="C37" i="3"/>
  <c r="S37" i="3"/>
  <c r="Q38" i="3"/>
  <c r="O39" i="3"/>
  <c r="M40" i="3"/>
  <c r="K41" i="3"/>
  <c r="I42" i="3"/>
  <c r="G43" i="3"/>
  <c r="E44" i="3"/>
  <c r="C45" i="3"/>
  <c r="S45" i="3"/>
  <c r="Q46" i="3"/>
  <c r="O47" i="3"/>
  <c r="M48" i="3"/>
  <c r="K49" i="3"/>
  <c r="I50" i="3"/>
  <c r="G51" i="3"/>
  <c r="E52" i="3"/>
  <c r="C53" i="3"/>
  <c r="S53" i="3"/>
  <c r="Q54" i="3"/>
  <c r="P30" i="3"/>
  <c r="H31" i="3"/>
  <c r="F32" i="3"/>
  <c r="D33" i="3"/>
  <c r="T33" i="3"/>
  <c r="R34" i="3"/>
  <c r="P35" i="3"/>
  <c r="N36" i="3"/>
  <c r="L37" i="3"/>
  <c r="J38" i="3"/>
  <c r="H39" i="3"/>
  <c r="F40" i="3"/>
  <c r="D41" i="3"/>
  <c r="T41" i="3"/>
  <c r="R42" i="3"/>
  <c r="P43" i="3"/>
  <c r="N44" i="3"/>
  <c r="L45" i="3"/>
  <c r="J46" i="3"/>
  <c r="H47" i="3"/>
  <c r="F48" i="3"/>
  <c r="D49" i="3"/>
  <c r="T49" i="3"/>
  <c r="R50" i="3"/>
  <c r="P51" i="3"/>
  <c r="N52" i="3"/>
  <c r="L53" i="3"/>
  <c r="J54" i="3"/>
  <c r="I30" i="3"/>
  <c r="N31" i="3"/>
  <c r="Q31" i="3"/>
  <c r="O32" i="3"/>
  <c r="M33" i="3"/>
  <c r="K34" i="3"/>
  <c r="I35" i="3"/>
  <c r="G36" i="3"/>
  <c r="E37" i="3"/>
  <c r="C38" i="3"/>
  <c r="S38" i="3"/>
  <c r="Q39" i="3"/>
  <c r="O40" i="3"/>
  <c r="M41" i="3"/>
  <c r="K42" i="3"/>
  <c r="I43" i="3"/>
  <c r="G44" i="3"/>
  <c r="E45" i="3"/>
  <c r="C46" i="3"/>
  <c r="S46" i="3"/>
  <c r="Q47" i="3"/>
  <c r="O48" i="3"/>
  <c r="M49" i="3"/>
  <c r="K50" i="3"/>
  <c r="I51" i="3"/>
  <c r="G52" i="3"/>
  <c r="E53" i="3"/>
  <c r="C54" i="3"/>
  <c r="S54" i="3"/>
  <c r="R30" i="3"/>
  <c r="T32" i="3"/>
  <c r="L36" i="3"/>
  <c r="D40" i="3"/>
  <c r="N43" i="3"/>
  <c r="F47" i="3"/>
  <c r="P50" i="3"/>
  <c r="H54" i="3"/>
  <c r="D38" i="3"/>
  <c r="P48" i="3"/>
  <c r="F33" i="3"/>
  <c r="P36" i="3"/>
  <c r="H40" i="3"/>
  <c r="R43" i="3"/>
  <c r="J47" i="3"/>
  <c r="T50" i="3"/>
  <c r="L54" i="3"/>
  <c r="N41" i="3"/>
  <c r="L50" i="3"/>
  <c r="J33" i="3"/>
  <c r="T36" i="3"/>
  <c r="L40" i="3"/>
  <c r="D44" i="3"/>
  <c r="N47" i="3"/>
  <c r="F51" i="3"/>
  <c r="P54" i="3"/>
  <c r="F37" i="3"/>
  <c r="R47" i="3"/>
  <c r="H29" i="3"/>
  <c r="K29" i="3"/>
  <c r="M29" i="3"/>
  <c r="O29" i="3"/>
  <c r="R29" i="3"/>
  <c r="S29" i="3"/>
  <c r="F29" i="3"/>
  <c r="I32" i="3"/>
  <c r="E34" i="3"/>
  <c r="Q36" i="3"/>
  <c r="K39" i="3"/>
  <c r="E42" i="3"/>
  <c r="S43" i="3"/>
  <c r="M46" i="3"/>
  <c r="G49" i="3"/>
  <c r="C31" i="3"/>
  <c r="S31" i="3"/>
  <c r="Q32" i="3"/>
  <c r="O33" i="3"/>
  <c r="M34" i="3"/>
  <c r="K35" i="3"/>
  <c r="I36" i="3"/>
  <c r="G37" i="3"/>
  <c r="E38" i="3"/>
  <c r="C39" i="3"/>
  <c r="S39" i="3"/>
  <c r="Q40" i="3"/>
  <c r="O41" i="3"/>
  <c r="M42" i="3"/>
  <c r="K43" i="3"/>
  <c r="I44" i="3"/>
  <c r="G45" i="3"/>
  <c r="E46" i="3"/>
  <c r="C47" i="3"/>
  <c r="S47" i="3"/>
  <c r="Q48" i="3"/>
  <c r="O49" i="3"/>
  <c r="M50" i="3"/>
  <c r="K51" i="3"/>
  <c r="I52" i="3"/>
  <c r="G53" i="3"/>
  <c r="E54" i="3"/>
  <c r="D30" i="3"/>
  <c r="T30" i="3"/>
  <c r="L31" i="3"/>
  <c r="J32" i="3"/>
  <c r="H33" i="3"/>
  <c r="F34" i="3"/>
  <c r="D35" i="3"/>
  <c r="T35" i="3"/>
  <c r="R36" i="3"/>
  <c r="P37" i="3"/>
  <c r="N38" i="3"/>
  <c r="L39" i="3"/>
  <c r="J40" i="3"/>
  <c r="H41" i="3"/>
  <c r="F42" i="3"/>
  <c r="D43" i="3"/>
  <c r="T43" i="3"/>
  <c r="R44" i="3"/>
  <c r="P45" i="3"/>
  <c r="N46" i="3"/>
  <c r="L47" i="3"/>
  <c r="J48" i="3"/>
  <c r="H49" i="3"/>
  <c r="F50" i="3"/>
  <c r="D51" i="3"/>
  <c r="T51" i="3"/>
  <c r="R52" i="3"/>
  <c r="P53" i="3"/>
  <c r="N54" i="3"/>
  <c r="M30" i="3"/>
  <c r="E31" i="3"/>
  <c r="C32" i="3"/>
  <c r="S32" i="3"/>
  <c r="Q33" i="3"/>
  <c r="O34" i="3"/>
  <c r="M35" i="3"/>
  <c r="K36" i="3"/>
  <c r="I37" i="3"/>
  <c r="G38" i="3"/>
  <c r="E39" i="3"/>
  <c r="C40" i="3"/>
  <c r="S40" i="3"/>
  <c r="Q41" i="3"/>
  <c r="O42" i="3"/>
  <c r="M43" i="3"/>
  <c r="K44" i="3"/>
  <c r="I45" i="3"/>
  <c r="G46" i="3"/>
  <c r="E47" i="3"/>
  <c r="C48" i="3"/>
  <c r="S48" i="3"/>
  <c r="Q49" i="3"/>
  <c r="O50" i="3"/>
  <c r="M51" i="3"/>
  <c r="K52" i="3"/>
  <c r="I53" i="3"/>
  <c r="G54" i="3"/>
  <c r="F30" i="3"/>
  <c r="F31" i="3"/>
  <c r="R33" i="3"/>
  <c r="J37" i="3"/>
  <c r="T40" i="3"/>
  <c r="L44" i="3"/>
  <c r="D48" i="3"/>
  <c r="N51" i="3"/>
  <c r="G30" i="3"/>
  <c r="P40" i="3"/>
  <c r="J51" i="3"/>
  <c r="D34" i="3"/>
  <c r="N37" i="3"/>
  <c r="F41" i="3"/>
  <c r="P44" i="3"/>
  <c r="H48" i="3"/>
  <c r="R51" i="3"/>
  <c r="K30" i="3"/>
  <c r="H44" i="3"/>
  <c r="F53" i="3"/>
  <c r="H34" i="3"/>
  <c r="R37" i="3"/>
  <c r="J41" i="3"/>
  <c r="T44" i="3"/>
  <c r="L48" i="3"/>
  <c r="D52" i="3"/>
  <c r="O30" i="3"/>
  <c r="R39" i="3"/>
  <c r="H52" i="3"/>
  <c r="L29" i="3"/>
  <c r="Q29" i="3"/>
  <c r="G33" i="3"/>
  <c r="S35" i="3"/>
  <c r="M38" i="3"/>
  <c r="G41" i="3"/>
  <c r="Q44" i="3"/>
  <c r="I48" i="3"/>
  <c r="C51" i="3"/>
  <c r="G31" i="3"/>
  <c r="E32" i="3"/>
  <c r="C33" i="3"/>
  <c r="S33" i="3"/>
  <c r="Q34" i="3"/>
  <c r="O35" i="3"/>
  <c r="M36" i="3"/>
  <c r="K37" i="3"/>
  <c r="I38" i="3"/>
  <c r="G39" i="3"/>
  <c r="E40" i="3"/>
  <c r="C41" i="3"/>
  <c r="S41" i="3"/>
  <c r="Q42" i="3"/>
  <c r="O43" i="3"/>
  <c r="M44" i="3"/>
  <c r="K45" i="3"/>
  <c r="I46" i="3"/>
  <c r="G47" i="3"/>
  <c r="E48" i="3"/>
  <c r="C49" i="3"/>
  <c r="S49" i="3"/>
  <c r="Q50" i="3"/>
  <c r="O51" i="3"/>
  <c r="M52" i="3"/>
  <c r="K53" i="3"/>
  <c r="I54" i="3"/>
  <c r="H30" i="3"/>
  <c r="J31" i="3"/>
  <c r="P31" i="3"/>
  <c r="N32" i="3"/>
  <c r="L33" i="3"/>
  <c r="J34" i="3"/>
  <c r="H35" i="3"/>
  <c r="F36" i="3"/>
  <c r="D37" i="3"/>
  <c r="T37" i="3"/>
  <c r="R38" i="3"/>
  <c r="P39" i="3"/>
  <c r="N40" i="3"/>
  <c r="L41" i="3"/>
  <c r="J42" i="3"/>
  <c r="H43" i="3"/>
  <c r="F44" i="3"/>
  <c r="D45" i="3"/>
  <c r="T45" i="3"/>
  <c r="R46" i="3"/>
  <c r="P47" i="3"/>
  <c r="N48" i="3"/>
  <c r="L49" i="3"/>
  <c r="J50" i="3"/>
  <c r="H51" i="3"/>
  <c r="F52" i="3"/>
  <c r="D53" i="3"/>
  <c r="T53" i="3"/>
  <c r="R54" i="3"/>
  <c r="Q30" i="3"/>
  <c r="I31" i="3"/>
  <c r="G32" i="3"/>
  <c r="E33" i="3"/>
  <c r="C34" i="3"/>
  <c r="S34" i="3"/>
  <c r="Q35" i="3"/>
  <c r="O36" i="3"/>
  <c r="M37" i="3"/>
  <c r="K38" i="3"/>
  <c r="I39" i="3"/>
  <c r="G40" i="3"/>
  <c r="E41" i="3"/>
  <c r="C42" i="3"/>
  <c r="S42" i="3"/>
  <c r="Q43" i="3"/>
  <c r="O44" i="3"/>
  <c r="M45" i="3"/>
  <c r="K46" i="3"/>
  <c r="I47" i="3"/>
  <c r="G48" i="3"/>
  <c r="E49" i="3"/>
  <c r="C50" i="3"/>
  <c r="S50" i="3"/>
  <c r="Q51" i="3"/>
  <c r="O52" i="3"/>
  <c r="M53" i="3"/>
  <c r="K54" i="3"/>
  <c r="J30" i="3"/>
  <c r="R31" i="3"/>
  <c r="P34" i="3"/>
  <c r="H38" i="3"/>
  <c r="R41" i="3"/>
  <c r="J45" i="3"/>
  <c r="T48" i="3"/>
  <c r="L52" i="3"/>
  <c r="P32" i="3"/>
  <c r="J43" i="3"/>
  <c r="D54" i="3"/>
  <c r="T34" i="3"/>
  <c r="L38" i="3"/>
  <c r="D42" i="3"/>
  <c r="N45" i="3"/>
  <c r="F49" i="3"/>
  <c r="P52" i="3"/>
  <c r="L34" i="3"/>
  <c r="T46" i="3"/>
  <c r="S30" i="3"/>
  <c r="F35" i="3"/>
  <c r="P38" i="3"/>
  <c r="H42" i="3"/>
  <c r="R45" i="3"/>
  <c r="J49" i="3"/>
  <c r="T52" i="3"/>
  <c r="N33" i="3"/>
  <c r="L42" i="3"/>
  <c r="T54" i="3"/>
  <c r="P29" i="3"/>
  <c r="E29" i="3"/>
  <c r="C29" i="3"/>
  <c r="J29" i="3"/>
  <c r="K31" i="3"/>
  <c r="C35" i="3"/>
  <c r="O37" i="3"/>
  <c r="I40" i="3"/>
  <c r="C43" i="3"/>
  <c r="O45" i="3"/>
  <c r="K47" i="3"/>
  <c r="E50" i="3"/>
  <c r="Q52" i="3"/>
  <c r="S51" i="3"/>
  <c r="D31" i="3"/>
  <c r="N34" i="3"/>
  <c r="F38" i="3"/>
  <c r="P41" i="3"/>
  <c r="H45" i="3"/>
  <c r="R48" i="3"/>
  <c r="J52" i="3"/>
  <c r="C30" i="3"/>
  <c r="G34" i="3"/>
  <c r="Q37" i="3"/>
  <c r="I41" i="3"/>
  <c r="S44" i="3"/>
  <c r="K48" i="3"/>
  <c r="C52" i="3"/>
  <c r="N30" i="3"/>
  <c r="P42" i="3"/>
  <c r="H36" i="3"/>
  <c r="J39" i="3"/>
  <c r="N53" i="3"/>
  <c r="D36" i="3"/>
  <c r="H50" i="3"/>
  <c r="D29" i="3"/>
  <c r="N29" i="3"/>
  <c r="N39" i="3"/>
  <c r="T29" i="3"/>
  <c r="J44" i="3"/>
  <c r="E30" i="3"/>
  <c r="K40" i="3"/>
  <c r="M47" i="3"/>
  <c r="F39" i="3"/>
  <c r="D50" i="3"/>
  <c r="F45" i="3"/>
  <c r="O53" i="3"/>
  <c r="T31" i="3"/>
  <c r="L35" i="3"/>
  <c r="D39" i="3"/>
  <c r="N42" i="3"/>
  <c r="F46" i="3"/>
  <c r="P49" i="3"/>
  <c r="H53" i="3"/>
  <c r="M31" i="3"/>
  <c r="E35" i="3"/>
  <c r="O38" i="3"/>
  <c r="G42" i="3"/>
  <c r="Q45" i="3"/>
  <c r="I49" i="3"/>
  <c r="S52" i="3"/>
  <c r="D32" i="3"/>
  <c r="H46" i="3"/>
  <c r="D46" i="3"/>
  <c r="T42" i="3"/>
  <c r="T38" i="3"/>
  <c r="R53" i="3"/>
  <c r="H37" i="3"/>
  <c r="L51" i="3"/>
  <c r="S36" i="3"/>
  <c r="E51" i="3"/>
  <c r="J53" i="3"/>
  <c r="L32" i="3"/>
  <c r="G29" i="3"/>
  <c r="M54" i="3"/>
  <c r="R32" i="3"/>
  <c r="J36" i="3"/>
  <c r="T39" i="3"/>
  <c r="L43" i="3"/>
  <c r="D47" i="3"/>
  <c r="N50" i="3"/>
  <c r="F54" i="3"/>
  <c r="K32" i="3"/>
  <c r="C36" i="3"/>
  <c r="M39" i="3"/>
  <c r="E43" i="3"/>
  <c r="O46" i="3"/>
  <c r="G50" i="3"/>
  <c r="Q53" i="3"/>
  <c r="N35" i="3"/>
  <c r="R49" i="3"/>
  <c r="H32" i="3"/>
  <c r="L46" i="3"/>
  <c r="N49" i="3"/>
  <c r="F43" i="3"/>
  <c r="J35" i="3"/>
  <c r="I29" i="3"/>
  <c r="L30" i="3"/>
  <c r="P33" i="3"/>
  <c r="R40" i="3"/>
  <c r="T47" i="3"/>
  <c r="I33" i="3"/>
  <c r="C44" i="3"/>
  <c r="O54" i="3"/>
  <c r="R35" i="3"/>
  <c r="P46" i="3"/>
  <c r="O26" i="3"/>
  <c r="R80" i="3"/>
  <c r="D80" i="3"/>
  <c r="T81" i="3"/>
  <c r="C78" i="3"/>
  <c r="K25" i="3"/>
  <c r="U24" i="3"/>
  <c r="E79" i="3"/>
  <c r="O24" i="3"/>
  <c r="F81" i="3"/>
  <c r="M81" i="3"/>
  <c r="P26" i="3"/>
  <c r="K80" i="3"/>
  <c r="R27" i="3"/>
  <c r="T79" i="3"/>
  <c r="M78" i="3"/>
  <c r="C24" i="3"/>
  <c r="C79" i="3"/>
  <c r="M24" i="3"/>
  <c r="D27" i="3"/>
  <c r="G81" i="3"/>
  <c r="I81" i="3"/>
  <c r="I26" i="3"/>
  <c r="K78" i="3"/>
  <c r="S25" i="3"/>
  <c r="J24" i="3"/>
  <c r="E24" i="3"/>
  <c r="N25" i="3"/>
  <c r="N81" i="3"/>
  <c r="R26" i="3"/>
  <c r="E27" i="3"/>
  <c r="S80" i="3"/>
  <c r="S24" i="3"/>
  <c r="O27" i="3"/>
  <c r="K24" i="3"/>
  <c r="N24" i="3"/>
  <c r="L79" i="3"/>
  <c r="I79" i="3"/>
  <c r="Q24" i="3"/>
  <c r="Q81" i="3"/>
  <c r="J25" i="3"/>
  <c r="P27" i="3"/>
  <c r="U26" i="3"/>
  <c r="E25" i="3"/>
  <c r="P78" i="3"/>
  <c r="Q27" i="3"/>
  <c r="T24" i="3"/>
  <c r="U25" i="3"/>
  <c r="H26" i="3"/>
  <c r="P81" i="3"/>
  <c r="J27" i="3"/>
  <c r="E80" i="3"/>
  <c r="L27" i="3"/>
  <c r="O81" i="3"/>
  <c r="N26" i="3"/>
  <c r="Q26" i="3"/>
  <c r="S78" i="3"/>
  <c r="I24" i="3"/>
  <c r="R24" i="3"/>
  <c r="L25" i="3"/>
  <c r="H78" i="3"/>
  <c r="C26" i="3"/>
  <c r="F80" i="3"/>
  <c r="M27" i="3"/>
  <c r="H81" i="3"/>
  <c r="J26" i="3"/>
  <c r="P24" i="3"/>
  <c r="J79" i="3"/>
  <c r="R25" i="3"/>
  <c r="S79" i="3"/>
  <c r="M80" i="3"/>
  <c r="T27" i="3"/>
  <c r="D26" i="3"/>
  <c r="S27" i="3"/>
  <c r="F27" i="3"/>
  <c r="H79" i="3"/>
  <c r="P25" i="3"/>
  <c r="I25" i="3"/>
  <c r="J78" i="3"/>
  <c r="T78" i="3"/>
  <c r="K26" i="3"/>
  <c r="N80" i="3"/>
  <c r="U27" i="3"/>
  <c r="E81" i="3"/>
  <c r="K79" i="3"/>
  <c r="G25" i="3"/>
  <c r="M26" i="3"/>
  <c r="E78" i="3"/>
  <c r="R81" i="3"/>
  <c r="I27" i="3"/>
  <c r="L24" i="3"/>
  <c r="O79" i="3"/>
  <c r="G27" i="3"/>
  <c r="D25" i="3"/>
  <c r="G26" i="3"/>
  <c r="L81" i="3"/>
  <c r="N79" i="3"/>
  <c r="Q80" i="3"/>
  <c r="C80" i="3"/>
  <c r="L78" i="3"/>
  <c r="N78" i="3"/>
  <c r="U80" i="3"/>
  <c r="T80" i="3"/>
  <c r="L26" i="3"/>
  <c r="G80" i="3"/>
  <c r="N27" i="3"/>
  <c r="P79" i="3"/>
  <c r="I78" i="3"/>
  <c r="Q25" i="3"/>
  <c r="R78" i="3"/>
  <c r="U79" i="3"/>
  <c r="S26" i="3"/>
  <c r="C81" i="3"/>
  <c r="P80" i="3"/>
  <c r="E26" i="3"/>
  <c r="G78" i="3"/>
  <c r="O25" i="3"/>
  <c r="F24" i="3"/>
  <c r="Q79" i="3"/>
  <c r="F25" i="3"/>
  <c r="J81" i="3"/>
  <c r="F26" i="3"/>
  <c r="T26" i="3"/>
  <c r="O80" i="3"/>
  <c r="H80" i="3"/>
  <c r="D24" i="3"/>
  <c r="Q78" i="3"/>
  <c r="G24" i="3"/>
  <c r="G79" i="3"/>
  <c r="H25" i="3"/>
  <c r="H27" i="3"/>
  <c r="K81" i="3"/>
  <c r="U81" i="3"/>
  <c r="H24" i="3"/>
  <c r="T25" i="3"/>
  <c r="R79" i="3"/>
  <c r="O78" i="3"/>
  <c r="C25" i="3"/>
  <c r="M25" i="3"/>
  <c r="K27" i="3"/>
  <c r="D81" i="3"/>
  <c r="F79" i="3"/>
  <c r="I80" i="3"/>
  <c r="S81" i="3"/>
  <c r="D79" i="3"/>
  <c r="F78" i="3"/>
  <c r="J80" i="3"/>
  <c r="C27" i="3"/>
  <c r="D78" i="3"/>
  <c r="L80" i="3"/>
  <c r="U78" i="3"/>
  <c r="M79" i="3"/>
  <c r="U44" i="3" l="1"/>
  <c r="U36" i="3"/>
  <c r="U52" i="3"/>
  <c r="U30" i="3"/>
  <c r="U43" i="3"/>
  <c r="U35" i="3"/>
  <c r="U29" i="3"/>
  <c r="U50" i="3"/>
  <c r="U42" i="3"/>
  <c r="U34" i="3"/>
  <c r="U49" i="3"/>
  <c r="U41" i="3"/>
  <c r="U33" i="3"/>
  <c r="U51" i="3"/>
  <c r="U48" i="3"/>
  <c r="U40" i="3"/>
  <c r="U32" i="3"/>
  <c r="U47" i="3"/>
  <c r="U39" i="3"/>
  <c r="U31" i="3"/>
  <c r="U54" i="3"/>
  <c r="U46" i="3"/>
  <c r="U38" i="3"/>
  <c r="U53" i="3"/>
  <c r="U45" i="3"/>
  <c r="U37" i="3"/>
  <c r="E56" i="3"/>
  <c r="L56" i="3"/>
  <c r="J56" i="3"/>
  <c r="M56" i="3"/>
  <c r="U56" i="3"/>
  <c r="F56" i="3"/>
  <c r="I56" i="3"/>
  <c r="R56" i="3"/>
  <c r="H56" i="3"/>
  <c r="P56" i="3"/>
  <c r="C56" i="3"/>
  <c r="K56" i="3"/>
  <c r="Q56" i="3"/>
  <c r="T56" i="3"/>
  <c r="N56" i="3"/>
  <c r="D56" i="3"/>
  <c r="O56" i="3"/>
  <c r="G56" i="3"/>
  <c r="S56" i="3"/>
  <c r="H4" i="24" l="1"/>
  <c r="H4" i="22"/>
  <c r="H4" i="25"/>
  <c r="H4" i="23"/>
  <c r="B58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H4" i="12" l="1"/>
  <c r="H3" i="12"/>
  <c r="D16" i="3"/>
  <c r="N76" i="3"/>
  <c r="T62" i="3"/>
  <c r="N17" i="3"/>
  <c r="T75" i="3"/>
  <c r="G12" i="3"/>
  <c r="G73" i="3"/>
  <c r="D75" i="3"/>
  <c r="O22" i="3"/>
  <c r="O63" i="3"/>
  <c r="C9" i="3"/>
  <c r="F17" i="3"/>
  <c r="I10" i="3"/>
  <c r="M3" i="3"/>
  <c r="G23" i="3"/>
  <c r="U63" i="3"/>
  <c r="R9" i="3"/>
  <c r="M7" i="3"/>
  <c r="F68" i="3"/>
  <c r="G59" i="3"/>
  <c r="M61" i="3"/>
  <c r="O11" i="3"/>
  <c r="N66" i="3"/>
  <c r="I19" i="3"/>
  <c r="L71" i="3"/>
  <c r="C16" i="3"/>
  <c r="D22" i="3"/>
  <c r="M23" i="3"/>
  <c r="L14" i="3"/>
  <c r="I66" i="3"/>
  <c r="I6" i="3"/>
  <c r="K6" i="3"/>
  <c r="J68" i="3"/>
  <c r="S7" i="3"/>
  <c r="H7" i="3"/>
  <c r="E67" i="3"/>
  <c r="R3" i="3"/>
  <c r="G20" i="3"/>
  <c r="I60" i="3"/>
  <c r="S20" i="3"/>
  <c r="M21" i="3"/>
  <c r="H15" i="3"/>
  <c r="G15" i="3"/>
  <c r="G3" i="3"/>
  <c r="U12" i="3"/>
  <c r="R5" i="3"/>
  <c r="R72" i="3"/>
  <c r="E10" i="3"/>
  <c r="F61" i="3"/>
  <c r="S14" i="3"/>
  <c r="R67" i="3"/>
  <c r="F63" i="3"/>
  <c r="Q16" i="3"/>
  <c r="T14" i="3"/>
  <c r="H8" i="3"/>
  <c r="K76" i="3"/>
  <c r="M68" i="3"/>
  <c r="F58" i="3"/>
  <c r="E73" i="3"/>
  <c r="D62" i="3"/>
  <c r="E69" i="3"/>
  <c r="D14" i="3"/>
  <c r="Q8" i="3"/>
  <c r="P18" i="3"/>
  <c r="H16" i="3"/>
  <c r="F6" i="3"/>
  <c r="D63" i="3"/>
  <c r="M73" i="3"/>
  <c r="S5" i="3"/>
  <c r="M16" i="3"/>
  <c r="C8" i="3"/>
  <c r="M11" i="3"/>
  <c r="T69" i="3"/>
  <c r="S22" i="3"/>
  <c r="F15" i="3"/>
  <c r="L77" i="3"/>
  <c r="C20" i="3"/>
  <c r="S74" i="3"/>
  <c r="L58" i="3"/>
  <c r="P74" i="3"/>
  <c r="U72" i="3"/>
  <c r="Q4" i="3"/>
  <c r="H69" i="3"/>
  <c r="G76" i="3"/>
  <c r="D17" i="3"/>
  <c r="H21" i="3"/>
  <c r="Q76" i="3"/>
  <c r="C76" i="3"/>
  <c r="T20" i="3"/>
  <c r="G70" i="3"/>
  <c r="U13" i="3"/>
  <c r="G75" i="3"/>
  <c r="K7" i="3"/>
  <c r="K71" i="3"/>
  <c r="M76" i="3"/>
  <c r="E21" i="3"/>
  <c r="N23" i="3"/>
  <c r="M14" i="3"/>
  <c r="I61" i="3"/>
  <c r="U17" i="3"/>
  <c r="K5" i="3"/>
  <c r="P72" i="3"/>
  <c r="S16" i="3"/>
  <c r="J75" i="3"/>
  <c r="K67" i="3"/>
  <c r="U23" i="3"/>
  <c r="P6" i="3"/>
  <c r="K10" i="3"/>
  <c r="I72" i="3"/>
  <c r="F60" i="3"/>
  <c r="U5" i="3"/>
  <c r="M9" i="3"/>
  <c r="E11" i="3"/>
  <c r="Q65" i="3"/>
  <c r="I18" i="3"/>
  <c r="D15" i="3"/>
  <c r="D71" i="3"/>
  <c r="N72" i="3"/>
  <c r="P22" i="3"/>
  <c r="F59" i="3"/>
  <c r="L21" i="3"/>
  <c r="R61" i="3"/>
  <c r="Q20" i="3"/>
  <c r="S13" i="3"/>
  <c r="P67" i="3"/>
  <c r="R20" i="3"/>
  <c r="U57" i="3"/>
  <c r="F23" i="3"/>
  <c r="R71" i="3"/>
  <c r="I20" i="3"/>
  <c r="I13" i="3"/>
  <c r="O7" i="3"/>
  <c r="O4" i="3"/>
  <c r="O64" i="3"/>
  <c r="P65" i="3"/>
  <c r="D66" i="3"/>
  <c r="P11" i="3"/>
  <c r="Q11" i="3"/>
  <c r="K12" i="3"/>
  <c r="Q21" i="3"/>
  <c r="N69" i="3"/>
  <c r="O20" i="3"/>
  <c r="C17" i="3"/>
  <c r="H65" i="3"/>
  <c r="I75" i="3"/>
  <c r="R18" i="3"/>
  <c r="H67" i="3"/>
  <c r="I76" i="3"/>
  <c r="I65" i="3"/>
  <c r="S65" i="3"/>
  <c r="P59" i="3"/>
  <c r="R74" i="3"/>
  <c r="F3" i="3"/>
  <c r="H4" i="3"/>
  <c r="R16" i="3"/>
  <c r="N75" i="3"/>
  <c r="O18" i="3"/>
  <c r="D59" i="3"/>
  <c r="C62" i="3"/>
  <c r="E71" i="3"/>
  <c r="I58" i="3"/>
  <c r="I71" i="3"/>
  <c r="P60" i="3"/>
  <c r="L60" i="3"/>
  <c r="D73" i="3"/>
  <c r="U8" i="3"/>
  <c r="O77" i="3"/>
  <c r="J62" i="3"/>
  <c r="Q58" i="3"/>
  <c r="D70" i="3"/>
  <c r="I22" i="3"/>
  <c r="D3" i="3"/>
  <c r="N71" i="3"/>
  <c r="T77" i="3"/>
  <c r="O75" i="3"/>
  <c r="F69" i="3"/>
  <c r="Q12" i="3"/>
  <c r="L65" i="3"/>
  <c r="S18" i="3"/>
  <c r="S62" i="3"/>
  <c r="K13" i="3"/>
  <c r="R59" i="3"/>
  <c r="D5" i="3"/>
  <c r="R7" i="3"/>
  <c r="N3" i="3"/>
  <c r="K21" i="3"/>
  <c r="F65" i="3"/>
  <c r="U7" i="3"/>
  <c r="H10" i="3"/>
  <c r="O9" i="3"/>
  <c r="Q63" i="3"/>
  <c r="F76" i="3"/>
  <c r="J20" i="3"/>
  <c r="H73" i="3"/>
  <c r="K14" i="3"/>
  <c r="C7" i="3"/>
  <c r="M12" i="3"/>
  <c r="U4" i="3"/>
  <c r="R63" i="3"/>
  <c r="M18" i="3"/>
  <c r="Q62" i="3"/>
  <c r="M20" i="3"/>
  <c r="L5" i="3"/>
  <c r="D13" i="3"/>
  <c r="H58" i="3"/>
  <c r="T63" i="3"/>
  <c r="G18" i="3"/>
  <c r="L63" i="3"/>
  <c r="N73" i="3"/>
  <c r="M77" i="3"/>
  <c r="C72" i="3"/>
  <c r="F11" i="3"/>
  <c r="E12" i="3"/>
  <c r="R23" i="3"/>
  <c r="T70" i="3"/>
  <c r="E74" i="3"/>
  <c r="L11" i="3"/>
  <c r="H66" i="3"/>
  <c r="R4" i="3"/>
  <c r="E63" i="3"/>
  <c r="F5" i="3"/>
  <c r="K8" i="3"/>
  <c r="C70" i="3"/>
  <c r="G22" i="3"/>
  <c r="L70" i="3"/>
  <c r="O10" i="3"/>
  <c r="J71" i="3"/>
  <c r="J63" i="3"/>
  <c r="R57" i="3"/>
  <c r="K57" i="3"/>
  <c r="I57" i="3"/>
  <c r="U20" i="3"/>
  <c r="H64" i="3"/>
  <c r="N77" i="3"/>
  <c r="F70" i="3"/>
  <c r="U3" i="3"/>
  <c r="G66" i="3"/>
  <c r="D74" i="3"/>
  <c r="O19" i="3"/>
  <c r="R65" i="3"/>
  <c r="F74" i="3"/>
  <c r="Q23" i="3"/>
  <c r="F21" i="3"/>
  <c r="I64" i="3"/>
  <c r="R75" i="3"/>
  <c r="L8" i="3"/>
  <c r="R68" i="3"/>
  <c r="U69" i="3"/>
  <c r="C58" i="3"/>
  <c r="Q64" i="3"/>
  <c r="M74" i="3"/>
  <c r="H77" i="3"/>
  <c r="E7" i="3"/>
  <c r="H75" i="3"/>
  <c r="M6" i="3"/>
  <c r="G9" i="3"/>
  <c r="J65" i="3"/>
  <c r="E17" i="3"/>
  <c r="U62" i="3"/>
  <c r="T61" i="3"/>
  <c r="P75" i="3"/>
  <c r="I9" i="3"/>
  <c r="J67" i="3"/>
  <c r="C64" i="3"/>
  <c r="J72" i="3"/>
  <c r="O8" i="3"/>
  <c r="S77" i="3"/>
  <c r="L12" i="3"/>
  <c r="E58" i="3"/>
  <c r="Q75" i="3"/>
  <c r="D67" i="3"/>
  <c r="J18" i="3"/>
  <c r="M62" i="3"/>
  <c r="F7" i="3"/>
  <c r="G6" i="3"/>
  <c r="D23" i="3"/>
  <c r="O6" i="3"/>
  <c r="S10" i="3"/>
  <c r="N15" i="3"/>
  <c r="P8" i="3"/>
  <c r="U60" i="3"/>
  <c r="S60" i="3"/>
  <c r="L17" i="3"/>
  <c r="G13" i="3"/>
  <c r="D12" i="3"/>
  <c r="S58" i="3"/>
  <c r="O66" i="3"/>
  <c r="N63" i="3"/>
  <c r="Q70" i="3"/>
  <c r="O65" i="3"/>
  <c r="G72" i="3"/>
  <c r="J11" i="3"/>
  <c r="M4" i="3"/>
  <c r="T17" i="3"/>
  <c r="H59" i="3"/>
  <c r="J14" i="3"/>
  <c r="E23" i="3"/>
  <c r="G64" i="3"/>
  <c r="O3" i="3"/>
  <c r="T64" i="3"/>
  <c r="M75" i="3"/>
  <c r="S3" i="3"/>
  <c r="D68" i="3"/>
  <c r="T60" i="3"/>
  <c r="N5" i="3"/>
  <c r="R8" i="3"/>
  <c r="F14" i="3"/>
  <c r="S4" i="3"/>
  <c r="T15" i="3"/>
  <c r="J3" i="3"/>
  <c r="S70" i="3"/>
  <c r="P9" i="3"/>
  <c r="I14" i="3"/>
  <c r="U75" i="3"/>
  <c r="U68" i="3"/>
  <c r="I63" i="3"/>
  <c r="U71" i="3"/>
  <c r="Q22" i="3"/>
  <c r="L7" i="3"/>
  <c r="E13" i="3"/>
  <c r="Q19" i="3"/>
  <c r="N58" i="3"/>
  <c r="P64" i="3"/>
  <c r="O15" i="3"/>
  <c r="H76" i="3"/>
  <c r="H17" i="3"/>
  <c r="J8" i="3"/>
  <c r="P62" i="3"/>
  <c r="I59" i="3"/>
  <c r="R22" i="3"/>
  <c r="U70" i="3"/>
  <c r="U61" i="3"/>
  <c r="S67" i="3"/>
  <c r="M58" i="3"/>
  <c r="E68" i="3"/>
  <c r="N18" i="3"/>
  <c r="G65" i="3"/>
  <c r="D9" i="3"/>
  <c r="H74" i="3"/>
  <c r="P69" i="3"/>
  <c r="N60" i="3"/>
  <c r="F19" i="3"/>
  <c r="P71" i="3"/>
  <c r="P66" i="3"/>
  <c r="S68" i="3"/>
  <c r="O13" i="3"/>
  <c r="S12" i="3"/>
  <c r="C5" i="3"/>
  <c r="C21" i="3"/>
  <c r="J21" i="3"/>
  <c r="O74" i="3"/>
  <c r="K77" i="3"/>
  <c r="H11" i="3"/>
  <c r="K74" i="3"/>
  <c r="N74" i="3"/>
  <c r="E72" i="3"/>
  <c r="I4" i="3"/>
  <c r="T5" i="3"/>
  <c r="C69" i="3"/>
  <c r="J59" i="3"/>
  <c r="K20" i="3"/>
  <c r="E15" i="3"/>
  <c r="S72" i="3"/>
  <c r="M66" i="3"/>
  <c r="R12" i="3"/>
  <c r="M71" i="3"/>
  <c r="J73" i="3"/>
  <c r="K23" i="3"/>
  <c r="I7" i="3"/>
  <c r="H5" i="3"/>
  <c r="Q17" i="3"/>
  <c r="E75" i="3"/>
  <c r="Q66" i="3"/>
  <c r="P17" i="3"/>
  <c r="F64" i="3"/>
  <c r="M10" i="3"/>
  <c r="C19" i="3"/>
  <c r="I68" i="3"/>
  <c r="S9" i="3"/>
  <c r="N11" i="3"/>
  <c r="T6" i="3"/>
  <c r="H3" i="3"/>
  <c r="T23" i="3"/>
  <c r="Q18" i="3"/>
  <c r="M60" i="3"/>
  <c r="H71" i="3"/>
  <c r="N7" i="3"/>
  <c r="L4" i="3"/>
  <c r="F62" i="3"/>
  <c r="K73" i="3"/>
  <c r="I23" i="3"/>
  <c r="K59" i="3"/>
  <c r="G68" i="3"/>
  <c r="K63" i="3"/>
  <c r="R60" i="3"/>
  <c r="M15" i="3"/>
  <c r="G69" i="3"/>
  <c r="S75" i="3"/>
  <c r="H6" i="3"/>
  <c r="S19" i="3"/>
  <c r="J77" i="3"/>
  <c r="Q3" i="3"/>
  <c r="H12" i="3"/>
  <c r="J5" i="3"/>
  <c r="N19" i="3"/>
  <c r="J9" i="3"/>
  <c r="T10" i="3"/>
  <c r="R6" i="3"/>
  <c r="D69" i="3"/>
  <c r="O62" i="3"/>
  <c r="R13" i="3"/>
  <c r="E18" i="3"/>
  <c r="L20" i="3"/>
  <c r="I3" i="3"/>
  <c r="T57" i="3"/>
  <c r="F57" i="3"/>
  <c r="S21" i="3"/>
  <c r="P13" i="3"/>
  <c r="K60" i="3"/>
  <c r="K15" i="3"/>
  <c r="G67" i="3"/>
  <c r="O61" i="3"/>
  <c r="T22" i="3"/>
  <c r="Q60" i="3"/>
  <c r="N61" i="3"/>
  <c r="Q6" i="3"/>
  <c r="C15" i="3"/>
  <c r="C12" i="3"/>
  <c r="J16" i="3"/>
  <c r="F4" i="3"/>
  <c r="F67" i="3"/>
  <c r="U65" i="3"/>
  <c r="N12" i="3"/>
  <c r="I73" i="3"/>
  <c r="F71" i="3"/>
  <c r="J4" i="3"/>
  <c r="D72" i="3"/>
  <c r="D76" i="3"/>
  <c r="K75" i="3"/>
  <c r="G21" i="3"/>
  <c r="D21" i="3"/>
  <c r="C4" i="3"/>
  <c r="M70" i="3"/>
  <c r="R58" i="3"/>
  <c r="S11" i="3"/>
  <c r="H18" i="3"/>
  <c r="C60" i="3"/>
  <c r="J76" i="3"/>
  <c r="F10" i="3"/>
  <c r="L68" i="3"/>
  <c r="F72" i="3"/>
  <c r="G19" i="3"/>
  <c r="C14" i="3"/>
  <c r="O70" i="3"/>
  <c r="M65" i="3"/>
  <c r="E9" i="3"/>
  <c r="N14" i="3"/>
  <c r="J66" i="3"/>
  <c r="F18" i="3"/>
  <c r="I12" i="3"/>
  <c r="E8" i="3"/>
  <c r="C68" i="3"/>
  <c r="O72" i="3"/>
  <c r="G17" i="3"/>
  <c r="O69" i="3"/>
  <c r="L6" i="3"/>
  <c r="M63" i="3"/>
  <c r="L66" i="3"/>
  <c r="G60" i="3"/>
  <c r="M67" i="3"/>
  <c r="T9" i="3"/>
  <c r="K9" i="3"/>
  <c r="N9" i="3"/>
  <c r="P76" i="3"/>
  <c r="C59" i="3"/>
  <c r="L59" i="3"/>
  <c r="O14" i="3"/>
  <c r="L16" i="3"/>
  <c r="S66" i="3"/>
  <c r="O16" i="3"/>
  <c r="R14" i="3"/>
  <c r="H60" i="3"/>
  <c r="T65" i="3"/>
  <c r="N65" i="3"/>
  <c r="T12" i="3"/>
  <c r="T8" i="3"/>
  <c r="R11" i="3"/>
  <c r="G14" i="3"/>
  <c r="D60" i="3"/>
  <c r="J64" i="3"/>
  <c r="F22" i="3"/>
  <c r="N22" i="3"/>
  <c r="M64" i="3"/>
  <c r="Q69" i="3"/>
  <c r="G5" i="3"/>
  <c r="U58" i="3"/>
  <c r="G77" i="3"/>
  <c r="N62" i="3"/>
  <c r="O73" i="3"/>
  <c r="J7" i="3"/>
  <c r="O71" i="3"/>
  <c r="E76" i="3"/>
  <c r="L18" i="3"/>
  <c r="C23" i="3"/>
  <c r="E65" i="3"/>
  <c r="K11" i="3"/>
  <c r="J69" i="3"/>
  <c r="S64" i="3"/>
  <c r="I69" i="3"/>
  <c r="T59" i="3"/>
  <c r="R69" i="3"/>
  <c r="E20" i="3"/>
  <c r="D64" i="3"/>
  <c r="I62" i="3"/>
  <c r="E59" i="3"/>
  <c r="O21" i="3"/>
  <c r="S6" i="3"/>
  <c r="L22" i="3"/>
  <c r="N8" i="3"/>
  <c r="Q14" i="3"/>
  <c r="J58" i="3"/>
  <c r="E77" i="3"/>
  <c r="D11" i="3"/>
  <c r="F13" i="3"/>
  <c r="N10" i="3"/>
  <c r="G11" i="3"/>
  <c r="D7" i="3"/>
  <c r="I11" i="3"/>
  <c r="U64" i="3"/>
  <c r="E60" i="3"/>
  <c r="O58" i="3"/>
  <c r="L61" i="3"/>
  <c r="D65" i="3"/>
  <c r="U11" i="3"/>
  <c r="P5" i="3"/>
  <c r="M69" i="3"/>
  <c r="S69" i="3"/>
  <c r="C11" i="3"/>
  <c r="Q9" i="3"/>
  <c r="O17" i="3"/>
  <c r="T16" i="3"/>
  <c r="J23" i="3"/>
  <c r="C74" i="3"/>
  <c r="G71" i="3"/>
  <c r="E19" i="3"/>
  <c r="T66" i="3"/>
  <c r="S23" i="3"/>
  <c r="P61" i="3"/>
  <c r="F73" i="3"/>
  <c r="J15" i="3"/>
  <c r="G58" i="3"/>
  <c r="C67" i="3"/>
  <c r="E62" i="3"/>
  <c r="L73" i="3"/>
  <c r="K58" i="3"/>
  <c r="T71" i="3"/>
  <c r="K66" i="3"/>
  <c r="L69" i="3"/>
  <c r="I74" i="3"/>
  <c r="P63" i="3"/>
  <c r="R73" i="3"/>
  <c r="L10" i="3"/>
  <c r="R10" i="3"/>
  <c r="F77" i="3"/>
  <c r="K72" i="3"/>
  <c r="N59" i="3"/>
  <c r="O76" i="3"/>
  <c r="T72" i="3"/>
  <c r="F12" i="3"/>
  <c r="N16" i="3"/>
  <c r="L15" i="3"/>
  <c r="I17" i="3"/>
  <c r="U74" i="3"/>
  <c r="L72" i="3"/>
  <c r="F9" i="3"/>
  <c r="J60" i="3"/>
  <c r="F75" i="3"/>
  <c r="G4" i="3"/>
  <c r="K16" i="3"/>
  <c r="C61" i="3"/>
  <c r="D18" i="3"/>
  <c r="F66" i="3"/>
  <c r="I5" i="3"/>
  <c r="S61" i="3"/>
  <c r="C10" i="3"/>
  <c r="P58" i="3"/>
  <c r="L75" i="3"/>
  <c r="M17" i="3"/>
  <c r="N20" i="3"/>
  <c r="L64" i="3"/>
  <c r="S59" i="3"/>
  <c r="J12" i="3"/>
  <c r="O60" i="3"/>
  <c r="D8" i="3"/>
  <c r="L23" i="3"/>
  <c r="F8" i="3"/>
  <c r="P16" i="3"/>
  <c r="G16" i="3"/>
  <c r="Q67" i="3"/>
  <c r="O57" i="3"/>
  <c r="D57" i="3"/>
  <c r="E57" i="3"/>
  <c r="H57" i="3"/>
  <c r="Q68" i="3"/>
  <c r="L57" i="3"/>
  <c r="G57" i="3"/>
  <c r="E66" i="3"/>
  <c r="T21" i="3"/>
  <c r="J13" i="3"/>
  <c r="R77" i="3"/>
  <c r="M8" i="3"/>
  <c r="N70" i="3"/>
  <c r="H20" i="3"/>
  <c r="O23" i="3"/>
  <c r="P7" i="3"/>
  <c r="H23" i="3"/>
  <c r="P4" i="3"/>
  <c r="I8" i="3"/>
  <c r="U77" i="3"/>
  <c r="P70" i="3"/>
  <c r="T13" i="3"/>
  <c r="E16" i="3"/>
  <c r="R76" i="3"/>
  <c r="G63" i="3"/>
  <c r="L76" i="3"/>
  <c r="L3" i="3"/>
  <c r="H72" i="3"/>
  <c r="K64" i="3"/>
  <c r="Q72" i="3"/>
  <c r="J70" i="3"/>
  <c r="G62" i="3"/>
  <c r="L19" i="3"/>
  <c r="F16" i="3"/>
  <c r="P3" i="3"/>
  <c r="K17" i="3"/>
  <c r="T19" i="3"/>
  <c r="Q15" i="3"/>
  <c r="D58" i="3"/>
  <c r="H62" i="3"/>
  <c r="U6" i="3"/>
  <c r="N13" i="3"/>
  <c r="D10" i="3"/>
  <c r="T3" i="3"/>
  <c r="K61" i="3"/>
  <c r="N64" i="3"/>
  <c r="O12" i="3"/>
  <c r="N4" i="3"/>
  <c r="P73" i="3"/>
  <c r="T74" i="3"/>
  <c r="T67" i="3"/>
  <c r="P14" i="3"/>
  <c r="P19" i="3"/>
  <c r="P23" i="3"/>
  <c r="S8" i="3"/>
  <c r="I77" i="3"/>
  <c r="K22" i="3"/>
  <c r="E4" i="3"/>
  <c r="L74" i="3"/>
  <c r="N67" i="3"/>
  <c r="T11" i="3"/>
  <c r="L9" i="3"/>
  <c r="K68" i="3"/>
  <c r="U9" i="3"/>
  <c r="G10" i="3"/>
  <c r="E6" i="3"/>
  <c r="U19" i="3"/>
  <c r="K3" i="3"/>
  <c r="C18" i="3"/>
  <c r="I15" i="3"/>
  <c r="G8" i="3"/>
  <c r="E64" i="3"/>
  <c r="P10" i="3"/>
  <c r="H9" i="3"/>
  <c r="C65" i="3"/>
  <c r="T58" i="3"/>
  <c r="U59" i="3"/>
  <c r="E22" i="3"/>
  <c r="G74" i="3"/>
  <c r="J19" i="3"/>
  <c r="F20" i="3"/>
  <c r="O59" i="3"/>
  <c r="Q59" i="3"/>
  <c r="T73" i="3"/>
  <c r="O5" i="3"/>
  <c r="Q7" i="3"/>
  <c r="D6" i="3"/>
  <c r="C13" i="3"/>
  <c r="U14" i="3"/>
  <c r="U66" i="3"/>
  <c r="Q71" i="3"/>
  <c r="P77" i="3"/>
  <c r="E70" i="3"/>
  <c r="E3" i="3"/>
  <c r="D61" i="3"/>
  <c r="S71" i="3"/>
  <c r="H19" i="3"/>
  <c r="S17" i="3"/>
  <c r="H68" i="3"/>
  <c r="P21" i="3"/>
  <c r="Q61" i="3"/>
  <c r="U21" i="3"/>
  <c r="P15" i="3"/>
  <c r="M59" i="3"/>
  <c r="H70" i="3"/>
  <c r="E14" i="3"/>
  <c r="R17" i="3"/>
  <c r="C75" i="3"/>
  <c r="J6" i="3"/>
  <c r="H22" i="3"/>
  <c r="H63" i="3"/>
  <c r="U73" i="3"/>
  <c r="M13" i="3"/>
  <c r="T4" i="3"/>
  <c r="N68" i="3"/>
  <c r="T76" i="3"/>
  <c r="K70" i="3"/>
  <c r="U76" i="3"/>
  <c r="K4" i="3"/>
  <c r="R21" i="3"/>
  <c r="R70" i="3"/>
  <c r="K69" i="3"/>
  <c r="O68" i="3"/>
  <c r="I16" i="3"/>
  <c r="U18" i="3"/>
  <c r="P20" i="3"/>
  <c r="K62" i="3"/>
  <c r="G61" i="3"/>
  <c r="H13" i="3"/>
  <c r="D77" i="3"/>
  <c r="K19" i="3"/>
  <c r="Q10" i="3"/>
  <c r="U10" i="3"/>
  <c r="C22" i="3"/>
  <c r="J10" i="3"/>
  <c r="M5" i="3"/>
  <c r="U16" i="3"/>
  <c r="J17" i="3"/>
  <c r="I67" i="3"/>
  <c r="M22" i="3"/>
  <c r="O67" i="3"/>
  <c r="S73" i="3"/>
  <c r="J61" i="3"/>
  <c r="U22" i="3"/>
  <c r="J74" i="3"/>
  <c r="Q5" i="3"/>
  <c r="H14" i="3"/>
  <c r="P12" i="3"/>
  <c r="M19" i="3"/>
  <c r="R64" i="3"/>
  <c r="C77" i="3"/>
  <c r="S63" i="3"/>
  <c r="N21" i="3"/>
  <c r="J22" i="3"/>
  <c r="I70" i="3"/>
  <c r="Q13" i="3"/>
  <c r="T68" i="3"/>
  <c r="K18" i="3"/>
  <c r="R15" i="3"/>
  <c r="U67" i="3"/>
  <c r="S76" i="3"/>
  <c r="L62" i="3"/>
  <c r="D20" i="3"/>
  <c r="R62" i="3"/>
  <c r="R66" i="3"/>
  <c r="R19" i="3"/>
  <c r="C66" i="3"/>
  <c r="C6" i="3"/>
  <c r="Q73" i="3"/>
  <c r="G7" i="3"/>
  <c r="K65" i="3"/>
  <c r="D4" i="3"/>
  <c r="C73" i="3"/>
  <c r="M72" i="3"/>
  <c r="P68" i="3"/>
  <c r="D19" i="3"/>
  <c r="Q77" i="3"/>
  <c r="C71" i="3"/>
  <c r="E5" i="3"/>
  <c r="T18" i="3"/>
  <c r="N6" i="3"/>
  <c r="Q74" i="3"/>
  <c r="L67" i="3"/>
  <c r="H61" i="3"/>
  <c r="S15" i="3"/>
  <c r="U15" i="3"/>
  <c r="T7" i="3"/>
  <c r="C63" i="3"/>
  <c r="E61" i="3"/>
  <c r="L13" i="3"/>
  <c r="C57" i="3"/>
  <c r="S57" i="3"/>
  <c r="P57" i="3"/>
  <c r="N57" i="3"/>
  <c r="I21" i="3"/>
  <c r="J57" i="3"/>
  <c r="M57" i="3"/>
  <c r="Q57" i="3"/>
</calcChain>
</file>

<file path=xl/sharedStrings.xml><?xml version="1.0" encoding="utf-8"?>
<sst xmlns="http://schemas.openxmlformats.org/spreadsheetml/2006/main" count="271" uniqueCount="72">
  <si>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</si>
  <si>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</si>
  <si>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</si>
  <si>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</si>
  <si>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</si>
  <si>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</si>
  <si>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</si>
  <si>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</si>
  <si>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</si>
  <si>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</si>
  <si>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</si>
  <si>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</si>
  <si>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</si>
  <si>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</si>
  <si>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</si>
  <si>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</si>
  <si>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</si>
  <si>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</si>
  <si>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</si>
  <si>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</si>
  <si>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</si>
  <si>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</si>
  <si>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</si>
  <si>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</si>
  <si>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</si>
  <si>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</si>
  <si>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</si>
  <si>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</si>
  <si>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</si>
  <si>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</si>
  <si>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</si>
  <si>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</si>
  <si>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</si>
  <si>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</si>
  <si>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</si>
  <si>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</si>
  <si>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</si>
  <si>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</si>
  <si>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</si>
  <si>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</si>
  <si>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</si>
  <si>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</si>
  <si>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NA12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</si>
  <si>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</si>
  <si>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</si>
  <si>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</si>
  <si>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</si>
  <si>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</si>
  <si>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</si>
  <si>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</si>
  <si>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</si>
  <si>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</si>
  <si>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</si>
  <si>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</si>
  <si>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</si>
  <si>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</si>
  <si>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</si>
  <si>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</si>
  <si>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</si>
  <si>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</si>
  <si>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</si>
  <si>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</si>
  <si>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NA24</t>
  </si>
  <si>
    <t>NA25</t>
  </si>
  <si>
    <t>NA26</t>
  </si>
  <si>
    <t>NA27</t>
  </si>
  <si>
    <t>Total Number Of Jobs Completed</t>
  </si>
  <si>
    <t>Number of Pending Jobs</t>
  </si>
  <si>
    <t>DAY 2</t>
  </si>
  <si>
    <t>DAY 3</t>
  </si>
  <si>
    <t>DAY 4</t>
  </si>
  <si>
    <t>DAY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</si>
</sst>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14617744"/>
        <c:axId val="-1114616656"/>
      </c:barChart>
      <c:catAx>
        <c:axId val="-111461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4616656"/>
        <c:crosses val="autoZero"/>
        <c:auto val="1"/>
        <c:lblAlgn val="ctr"/>
        <c:lblOffset val="100"/>
        <c:noMultiLvlLbl val="0"/>
      </c:catAx>
      <c:valAx>
        <c:axId val="-111461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46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14613392"/>
        <c:axId val="-1114620464"/>
      </c:lineChart>
      <c:catAx>
        <c:axId val="-111461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4620464"/>
        <c:crosses val="autoZero"/>
        <c:auto val="1"/>
        <c:lblAlgn val="ctr"/>
        <c:lblOffset val="100"/>
        <c:noMultiLvlLbl val="0"/>
      </c:catAx>
      <c:valAx>
        <c:axId val="-111462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1461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77821344"/>
        <c:axId val="-1077820800"/>
      </c:lineChart>
      <c:catAx>
        <c:axId val="-107782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7820800"/>
        <c:crosses val="autoZero"/>
        <c:auto val="1"/>
        <c:lblAlgn val="ctr"/>
        <c:lblOffset val="100"/>
        <c:noMultiLvlLbl val="0"/>
      </c:catAx>
      <c:valAx>
        <c:axId val="-10778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782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7824064"/>
        <c:axId val="-1077820256"/>
      </c:barChart>
      <c:catAx>
        <c:axId val="-107782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7820256"/>
        <c:crosses val="autoZero"/>
        <c:auto val="1"/>
        <c:lblAlgn val="ctr"/>
        <c:lblOffset val="100"/>
        <c:noMultiLvlLbl val="0"/>
      </c:catAx>
      <c:valAx>
        <c:axId val="-107782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782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077826784"/>
        <c:axId val="-1077822432"/>
      </c:barChart>
      <c:catAx>
        <c:axId val="-107782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7822432"/>
        <c:crosses val="autoZero"/>
        <c:auto val="1"/>
        <c:lblAlgn val="ctr"/>
        <c:lblOffset val="100"/>
        <c:noMultiLvlLbl val="0"/>
      </c:catAx>
      <c:valAx>
        <c:axId val="-107782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782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077826240"/>
        <c:axId val="-1075148064"/>
      </c:barChart>
      <c:catAx>
        <c:axId val="-107782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48064"/>
        <c:crosses val="autoZero"/>
        <c:auto val="1"/>
        <c:lblAlgn val="ctr"/>
        <c:lblOffset val="100"/>
        <c:noMultiLvlLbl val="0"/>
      </c:catAx>
      <c:valAx>
        <c:axId val="-107514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782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5162752"/>
        <c:axId val="-107515024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5162208"/>
        <c:axId val="-1075152416"/>
      </c:lineChart>
      <c:valAx>
        <c:axId val="-107515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62208"/>
        <c:crosses val="autoZero"/>
        <c:crossBetween val="between"/>
      </c:valAx>
      <c:catAx>
        <c:axId val="-10751622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52416"/>
        <c:crosses val="autoZero"/>
        <c:auto val="1"/>
        <c:lblAlgn val="ctr"/>
        <c:lblOffset val="100"/>
        <c:noMultiLvlLbl val="0"/>
      </c:catAx>
      <c:valAx>
        <c:axId val="-10751502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62752"/>
        <c:crosses val="max"/>
        <c:crossBetween val="between"/>
      </c:valAx>
      <c:catAx>
        <c:axId val="-10751627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075150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95476832"/>
        <c:axId val="-895482816"/>
      </c:barChart>
      <c:catAx>
        <c:axId val="-89547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5482816"/>
        <c:crosses val="autoZero"/>
        <c:auto val="1"/>
        <c:lblAlgn val="ctr"/>
        <c:lblOffset val="100"/>
        <c:noMultiLvlLbl val="0"/>
      </c:catAx>
      <c:valAx>
        <c:axId val="-89548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547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478464"/>
        <c:axId val="-895481184"/>
      </c:lineChart>
      <c:catAx>
        <c:axId val="-89547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5481184"/>
        <c:crosses val="autoZero"/>
        <c:auto val="1"/>
        <c:lblAlgn val="ctr"/>
        <c:lblOffset val="100"/>
        <c:noMultiLvlLbl val="0"/>
      </c:catAx>
      <c:valAx>
        <c:axId val="-89548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547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477920"/>
        <c:axId val="-895477376"/>
      </c:lineChart>
      <c:catAx>
        <c:axId val="-89547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5477376"/>
        <c:crosses val="autoZero"/>
        <c:auto val="1"/>
        <c:lblAlgn val="ctr"/>
        <c:lblOffset val="100"/>
        <c:noMultiLvlLbl val="0"/>
      </c:catAx>
      <c:valAx>
        <c:axId val="-89547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547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648064"/>
        <c:axId val="-1250652416"/>
      </c:barChart>
      <c:catAx>
        <c:axId val="-125064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0652416"/>
        <c:crosses val="autoZero"/>
        <c:auto val="1"/>
        <c:lblAlgn val="ctr"/>
        <c:lblOffset val="100"/>
        <c:noMultiLvlLbl val="0"/>
      </c:catAx>
      <c:valAx>
        <c:axId val="-125065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064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250640448"/>
        <c:axId val="-1250651872"/>
      </c:barChart>
      <c:catAx>
        <c:axId val="-12506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0651872"/>
        <c:crosses val="autoZero"/>
        <c:auto val="1"/>
        <c:lblAlgn val="ctr"/>
        <c:lblOffset val="100"/>
        <c:noMultiLvlLbl val="0"/>
      </c:catAx>
      <c:valAx>
        <c:axId val="-125065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064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250638816"/>
        <c:axId val="-1250645888"/>
      </c:barChart>
      <c:catAx>
        <c:axId val="-125063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0645888"/>
        <c:crosses val="autoZero"/>
        <c:auto val="1"/>
        <c:lblAlgn val="ctr"/>
        <c:lblOffset val="100"/>
        <c:noMultiLvlLbl val="0"/>
      </c:catAx>
      <c:valAx>
        <c:axId val="-12506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063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5156224"/>
        <c:axId val="-107515676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5157312"/>
        <c:axId val="-1075150784"/>
      </c:lineChart>
      <c:valAx>
        <c:axId val="-107515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57312"/>
        <c:crosses val="autoZero"/>
        <c:crossBetween val="between"/>
      </c:valAx>
      <c:catAx>
        <c:axId val="-1075157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50784"/>
        <c:crosses val="autoZero"/>
        <c:auto val="1"/>
        <c:lblAlgn val="ctr"/>
        <c:lblOffset val="100"/>
        <c:noMultiLvlLbl val="0"/>
      </c:catAx>
      <c:valAx>
        <c:axId val="-10751567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56224"/>
        <c:crosses val="max"/>
        <c:crossBetween val="between"/>
      </c:valAx>
      <c:catAx>
        <c:axId val="-10751562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075156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0400896"/>
        <c:axId val="-940401984"/>
      </c:barChart>
      <c:catAx>
        <c:axId val="-94040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1984"/>
        <c:crosses val="autoZero"/>
        <c:auto val="1"/>
        <c:lblAlgn val="ctr"/>
        <c:lblOffset val="100"/>
        <c:noMultiLvlLbl val="0"/>
      </c:catAx>
      <c:valAx>
        <c:axId val="-94040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40403616"/>
        <c:axId val="-940398720"/>
      </c:lineChart>
      <c:catAx>
        <c:axId val="-9404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398720"/>
        <c:crosses val="autoZero"/>
        <c:auto val="1"/>
        <c:lblAlgn val="ctr"/>
        <c:lblOffset val="100"/>
        <c:noMultiLvlLbl val="0"/>
      </c:catAx>
      <c:valAx>
        <c:axId val="-9403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40394368"/>
        <c:axId val="-940405792"/>
      </c:lineChart>
      <c:catAx>
        <c:axId val="-94039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5792"/>
        <c:crosses val="autoZero"/>
        <c:auto val="1"/>
        <c:lblAlgn val="ctr"/>
        <c:lblOffset val="100"/>
        <c:noMultiLvlLbl val="0"/>
      </c:catAx>
      <c:valAx>
        <c:axId val="-9404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39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0401440"/>
        <c:axId val="-940407424"/>
      </c:barChart>
      <c:catAx>
        <c:axId val="-94040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7424"/>
        <c:crosses val="autoZero"/>
        <c:auto val="1"/>
        <c:lblAlgn val="ctr"/>
        <c:lblOffset val="100"/>
        <c:noMultiLvlLbl val="0"/>
      </c:catAx>
      <c:valAx>
        <c:axId val="-94040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40408512"/>
        <c:axId val="-940406336"/>
      </c:barChart>
      <c:catAx>
        <c:axId val="-94040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6336"/>
        <c:crosses val="autoZero"/>
        <c:auto val="1"/>
        <c:lblAlgn val="ctr"/>
        <c:lblOffset val="100"/>
        <c:noMultiLvlLbl val="0"/>
      </c:catAx>
      <c:valAx>
        <c:axId val="-94040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40396000"/>
        <c:axId val="-940395456"/>
      </c:barChart>
      <c:catAx>
        <c:axId val="-94039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395456"/>
        <c:crosses val="autoZero"/>
        <c:auto val="1"/>
        <c:lblAlgn val="ctr"/>
        <c:lblOffset val="100"/>
        <c:noMultiLvlLbl val="0"/>
      </c:catAx>
      <c:valAx>
        <c:axId val="-9403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39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5080080"/>
        <c:axId val="-94507736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40406880"/>
        <c:axId val="-940407968"/>
      </c:lineChart>
      <c:valAx>
        <c:axId val="-94040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6880"/>
        <c:crosses val="autoZero"/>
        <c:crossBetween val="between"/>
      </c:valAx>
      <c:catAx>
        <c:axId val="-940406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7968"/>
        <c:crosses val="autoZero"/>
        <c:auto val="1"/>
        <c:lblAlgn val="ctr"/>
        <c:lblOffset val="100"/>
        <c:noMultiLvlLbl val="0"/>
      </c:catAx>
      <c:valAx>
        <c:axId val="-9450773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5080080"/>
        <c:crosses val="max"/>
        <c:crossBetween val="between"/>
      </c:valAx>
      <c:catAx>
        <c:axId val="-945080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45077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5151872"/>
        <c:axId val="-940403072"/>
      </c:barChart>
      <c:catAx>
        <c:axId val="-1075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403072"/>
        <c:crosses val="autoZero"/>
        <c:auto val="1"/>
        <c:lblAlgn val="ctr"/>
        <c:lblOffset val="100"/>
        <c:noMultiLvlLbl val="0"/>
      </c:catAx>
      <c:valAx>
        <c:axId val="-94040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5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48972512"/>
        <c:axId val="-948980128"/>
      </c:lineChart>
      <c:catAx>
        <c:axId val="-94897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80128"/>
        <c:crosses val="autoZero"/>
        <c:auto val="1"/>
        <c:lblAlgn val="ctr"/>
        <c:lblOffset val="100"/>
        <c:noMultiLvlLbl val="0"/>
      </c:catAx>
      <c:valAx>
        <c:axId val="-94898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48975776"/>
        <c:axId val="-948978496"/>
      </c:lineChart>
      <c:catAx>
        <c:axId val="-94897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8496"/>
        <c:crosses val="autoZero"/>
        <c:auto val="1"/>
        <c:lblAlgn val="ctr"/>
        <c:lblOffset val="100"/>
        <c:noMultiLvlLbl val="0"/>
      </c:catAx>
      <c:valAx>
        <c:axId val="-94897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8976864"/>
        <c:axId val="-948975232"/>
      </c:barChart>
      <c:catAx>
        <c:axId val="-94897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5232"/>
        <c:crosses val="autoZero"/>
        <c:auto val="1"/>
        <c:lblAlgn val="ctr"/>
        <c:lblOffset val="100"/>
        <c:noMultiLvlLbl val="0"/>
      </c:catAx>
      <c:valAx>
        <c:axId val="-94897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48980672"/>
        <c:axId val="-948977408"/>
      </c:barChart>
      <c:catAx>
        <c:axId val="-94898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7408"/>
        <c:crosses val="autoZero"/>
        <c:auto val="1"/>
        <c:lblAlgn val="ctr"/>
        <c:lblOffset val="100"/>
        <c:noMultiLvlLbl val="0"/>
      </c:catAx>
      <c:valAx>
        <c:axId val="-94897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8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48974144"/>
        <c:axId val="-948973600"/>
      </c:barChart>
      <c:catAx>
        <c:axId val="-94897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3600"/>
        <c:crosses val="autoZero"/>
        <c:auto val="1"/>
        <c:lblAlgn val="ctr"/>
        <c:lblOffset val="100"/>
        <c:noMultiLvlLbl val="0"/>
      </c:catAx>
      <c:valAx>
        <c:axId val="-94897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48968160"/>
        <c:axId val="-94896979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48970336"/>
        <c:axId val="-948973056"/>
      </c:lineChart>
      <c:valAx>
        <c:axId val="-9489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0336"/>
        <c:crosses val="autoZero"/>
        <c:crossBetween val="between"/>
      </c:valAx>
      <c:catAx>
        <c:axId val="-948970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73056"/>
        <c:crosses val="autoZero"/>
        <c:auto val="1"/>
        <c:lblAlgn val="ctr"/>
        <c:lblOffset val="100"/>
        <c:noMultiLvlLbl val="0"/>
      </c:catAx>
      <c:valAx>
        <c:axId val="-9489697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8968160"/>
        <c:crosses val="max"/>
        <c:crossBetween val="between"/>
      </c:valAx>
      <c:catAx>
        <c:axId val="-948968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48969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36718672"/>
        <c:axId val="-936719760"/>
      </c:barChart>
      <c:catAx>
        <c:axId val="-9367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6719760"/>
        <c:crosses val="autoZero"/>
        <c:auto val="1"/>
        <c:lblAlgn val="ctr"/>
        <c:lblOffset val="100"/>
        <c:noMultiLvlLbl val="0"/>
      </c:catAx>
      <c:valAx>
        <c:axId val="-93671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671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36723568"/>
        <c:axId val="-936721392"/>
      </c:lineChart>
      <c:catAx>
        <c:axId val="-93672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6721392"/>
        <c:crosses val="autoZero"/>
        <c:auto val="1"/>
        <c:lblAlgn val="ctr"/>
        <c:lblOffset val="100"/>
        <c:noMultiLvlLbl val="0"/>
      </c:catAx>
      <c:valAx>
        <c:axId val="-93672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672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37315168"/>
        <c:axId val="-937315712"/>
      </c:lineChart>
      <c:catAx>
        <c:axId val="-93731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5712"/>
        <c:crosses val="autoZero"/>
        <c:auto val="1"/>
        <c:lblAlgn val="ctr"/>
        <c:lblOffset val="100"/>
        <c:noMultiLvlLbl val="0"/>
      </c:catAx>
      <c:valAx>
        <c:axId val="-93731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37321696"/>
        <c:axId val="-937317344"/>
      </c:barChart>
      <c:catAx>
        <c:axId val="-93732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7344"/>
        <c:crosses val="autoZero"/>
        <c:auto val="1"/>
        <c:lblAlgn val="ctr"/>
        <c:lblOffset val="100"/>
        <c:noMultiLvlLbl val="0"/>
      </c:catAx>
      <c:valAx>
        <c:axId val="-93731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2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37312992"/>
        <c:axId val="-937314624"/>
      </c:barChart>
      <c:catAx>
        <c:axId val="-93731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4624"/>
        <c:crosses val="autoZero"/>
        <c:auto val="1"/>
        <c:lblAlgn val="ctr"/>
        <c:lblOffset val="100"/>
        <c:noMultiLvlLbl val="0"/>
      </c:catAx>
      <c:valAx>
        <c:axId val="-93731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937312448"/>
        <c:axId val="-937311904"/>
      </c:barChart>
      <c:catAx>
        <c:axId val="-93731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1904"/>
        <c:crosses val="autoZero"/>
        <c:auto val="1"/>
        <c:lblAlgn val="ctr"/>
        <c:lblOffset val="100"/>
        <c:noMultiLvlLbl val="0"/>
      </c:catAx>
      <c:valAx>
        <c:axId val="-9373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37318976"/>
        <c:axId val="-93731788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37319520"/>
        <c:axId val="-937314080"/>
      </c:lineChart>
      <c:valAx>
        <c:axId val="-9373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9520"/>
        <c:crosses val="autoZero"/>
        <c:crossBetween val="between"/>
      </c:valAx>
      <c:catAx>
        <c:axId val="-937319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4080"/>
        <c:crosses val="autoZero"/>
        <c:auto val="1"/>
        <c:lblAlgn val="ctr"/>
        <c:lblOffset val="100"/>
        <c:noMultiLvlLbl val="0"/>
      </c:catAx>
      <c:valAx>
        <c:axId val="-9373178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37318976"/>
        <c:crosses val="max"/>
        <c:crossBetween val="between"/>
      </c:valAx>
      <c:catAx>
        <c:axId val="-937318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937317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"/>
  <sheetViews>
    <sheetView workbookViewId="0">
      <selection activeCell="D16" sqref="D16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topLeftCell="L1" zoomScaleNormal="100" workbookViewId="0">
      <selection activeCell="T14" sqref="T14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0</v>
      </c>
      <c r="D2" s="5">
        <f>averageCompletionTime(Dates!D$4,Dates!D$5)</f>
        <v>0</v>
      </c>
      <c r="E2" s="5">
        <f>averageCompletionTime(Dates!E$4,Dates!E$5)</f>
        <v>0</v>
      </c>
      <c r="F2" s="5">
        <f>averageCompletionTime(Dates!F$4,Dates!F$5)</f>
        <v>0</v>
      </c>
      <c r="G2" s="5">
        <f>averageCompletionTime(Dates!G$4,Dates!G$5)</f>
        <v>0</v>
      </c>
      <c r="H2" s="5">
        <f>averageCompletionTime(Dates!H$4,Dates!H$5)</f>
        <v>0</v>
      </c>
      <c r="I2" s="5">
        <f>averageCompletionTime(Dates!I$4,Dates!I$5)</f>
        <v>0</v>
      </c>
      <c r="J2" s="5">
        <f>averageCompletionTime(Dates!J$4,Dates!J$5)</f>
        <v>0</v>
      </c>
      <c r="K2" s="5">
        <f>averageCompletionTime(Dates!K$4,Dates!K$5)</f>
        <v>0</v>
      </c>
      <c r="L2" s="5">
        <f>averageCompletionTime(Dates!L$4,Dates!L$5)</f>
        <v>0</v>
      </c>
      <c r="M2" s="5">
        <f>averageCompletionTime(Dates!M$4,Dates!M$5)</f>
        <v>0</v>
      </c>
      <c r="N2" s="5">
        <f>averageCompletionTime(Dates!N$4,Dates!N$5)</f>
        <v>0</v>
      </c>
      <c r="O2" s="5">
        <f>averageCompletionTime(Dates!O$4,Dates!O$5)</f>
        <v>0</v>
      </c>
      <c r="P2" s="5">
        <f>averageCompletionTime(Dates!P$4,Dates!P$5)</f>
        <v>0</v>
      </c>
      <c r="Q2" s="5">
        <f>averageCompletionTime(Dates!Q$4,Dates!Q$5)</f>
        <v>0</v>
      </c>
      <c r="R2" s="5">
        <f>averageCompletionTime(Dates!R$4,Dates!R$5)</f>
        <v>0</v>
      </c>
      <c r="S2" s="5">
        <f>averageCompletionTime(Dates!S$4,Dates!S$5)</f>
        <v>0</v>
      </c>
      <c r="T2" s="5">
        <f>averageCompletionTime(Dates!T$4,Dates!T$5)</f>
        <v>0</v>
      </c>
      <c r="U2" s="5">
        <f>averageCompletionTime(Dates!C$4,Dates!T$5)</f>
        <v>0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0</v>
      </c>
      <c r="D3" s="5">
        <f>averageCompletionTimePorter(Dates!D$4,Dates!D$5,'Day1'!$B3)</f>
        <v>0</v>
      </c>
      <c r="E3" s="5">
        <f>averageCompletionTimePorter(Dates!E$4,Dates!E$5,'Day1'!$B3)</f>
        <v>0</v>
      </c>
      <c r="F3" s="5">
        <f>averageCompletionTimePorter(Dates!F$4,Dates!F$5,'Day1'!$B3)</f>
        <v>0</v>
      </c>
      <c r="G3" s="5">
        <f>averageCompletionTimePorter(Dates!G$4,Dates!G$5,'Day1'!$B3)</f>
        <v>0</v>
      </c>
      <c r="H3" s="5">
        <f>averageCompletionTimePorter(Dates!H$4,Dates!H$5,'Day1'!$B3)</f>
        <v>0</v>
      </c>
      <c r="I3" s="5">
        <f>averageCompletionTimePorter(Dates!I$4,Dates!I$5,'Day1'!$B3)</f>
        <v>0</v>
      </c>
      <c r="J3" s="5">
        <f>averageCompletionTimePorter(Dates!J$4,Dates!J$5,'Day1'!$B3)</f>
        <v>0</v>
      </c>
      <c r="K3" s="5">
        <f>averageCompletionTimePorter(Dates!K$4,Dates!K$5,'Day1'!$B3)</f>
        <v>0</v>
      </c>
      <c r="L3" s="5">
        <f>averageCompletionTimePorter(Dates!L$4,Dates!L$5,'Day1'!$B3)</f>
        <v>0</v>
      </c>
      <c r="M3" s="5">
        <f>averageCompletionTimePorter(Dates!M$4,Dates!M$5,'Day1'!$B3)</f>
        <v>0</v>
      </c>
      <c r="N3" s="5">
        <f>averageCompletionTimePorter(Dates!N$4,Dates!N$5,'Day1'!$B3)</f>
        <v>0</v>
      </c>
      <c r="O3" s="5">
        <f>averageCompletionTimePorter(Dates!O$4,Dates!O$5,'Day1'!$B3)</f>
        <v>0</v>
      </c>
      <c r="P3" s="5">
        <f>averageCompletionTimePorter(Dates!P$4,Dates!P$5,'Day1'!$B3)</f>
        <v>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0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0</v>
      </c>
      <c r="E4" s="5">
        <f>averageCompletionTimePorter(Dates!E$4,Dates!E$5,'Day1'!$B4)</f>
        <v>0</v>
      </c>
      <c r="F4" s="5">
        <f>averageCompletionTimePorter(Dates!F$4,Dates!F$5,'Day1'!$B4)</f>
        <v>0</v>
      </c>
      <c r="G4" s="5">
        <f>averageCompletionTimePorter(Dates!G$4,Dates!G$5,'Day1'!$B4)</f>
        <v>0</v>
      </c>
      <c r="H4" s="5">
        <f>averageCompletionTimePorter(Dates!H$4,Dates!H$5,'Day1'!$B4)</f>
        <v>0</v>
      </c>
      <c r="I4" s="5">
        <f>averageCompletionTimePorter(Dates!I$4,Dates!I$5,'Day1'!$B4)</f>
        <v>0</v>
      </c>
      <c r="J4" s="5">
        <f>averageCompletionTimePorter(Dates!J$4,Dates!J$5,'Day1'!$B4)</f>
        <v>0</v>
      </c>
      <c r="K4" s="5">
        <f>averageCompletionTimePorter(Dates!K$4,Dates!K$5,'Day1'!$B4)</f>
        <v>0</v>
      </c>
      <c r="L4" s="5">
        <f>averageCompletionTimePorter(Dates!L$4,Dates!L$5,'Day1'!$B4)</f>
        <v>0</v>
      </c>
      <c r="M4" s="5">
        <f>averageCompletionTimePorter(Dates!M$4,Dates!M$5,'Day1'!$B4)</f>
        <v>0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0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0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0</v>
      </c>
      <c r="E5" s="5">
        <f>averageCompletionTimePorter(Dates!E$4,Dates!E$5,'Day1'!$B5)</f>
        <v>0</v>
      </c>
      <c r="F5" s="5">
        <f>averageCompletionTimePorter(Dates!F$4,Dates!F$5,'Day1'!$B5)</f>
        <v>0</v>
      </c>
      <c r="G5" s="5">
        <f>averageCompletionTimePorter(Dates!G$4,Dates!G$5,'Day1'!$B5)</f>
        <v>0</v>
      </c>
      <c r="H5" s="5">
        <f>averageCompletionTimePorter(Dates!H$4,Dates!H$5,'Day1'!$B5)</f>
        <v>0</v>
      </c>
      <c r="I5" s="5">
        <f>averageCompletionTimePorter(Dates!I$4,Dates!I$5,'Day1'!$B5)</f>
        <v>0</v>
      </c>
      <c r="J5" s="5">
        <f>averageCompletionTimePorter(Dates!J$4,Dates!J$5,'Day1'!$B5)</f>
        <v>0</v>
      </c>
      <c r="K5" s="5">
        <f>averageCompletionTimePorter(Dates!K$4,Dates!K$5,'Day1'!$B5)</f>
        <v>0</v>
      </c>
      <c r="L5" s="5">
        <f>averageCompletionTimePorter(Dates!L$4,Dates!L$5,'Day1'!$B5)</f>
        <v>0</v>
      </c>
      <c r="M5" s="5">
        <f>averageCompletionTimePorter(Dates!M$4,Dates!M$5,'Day1'!$B5)</f>
        <v>0</v>
      </c>
      <c r="N5" s="5">
        <f>averageCompletionTimePorter(Dates!N$4,Dates!N$5,'Day1'!$B5)</f>
        <v>0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0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0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0</v>
      </c>
      <c r="E6" s="5">
        <f>averageCompletionTimePorter(Dates!E$4,Dates!E$5,'Day1'!$B6)</f>
        <v>0</v>
      </c>
      <c r="F6" s="5">
        <f>averageCompletionTimePorter(Dates!F$4,Dates!F$5,'Day1'!$B6)</f>
        <v>0</v>
      </c>
      <c r="G6" s="5">
        <f>averageCompletionTimePorter(Dates!G$4,Dates!G$5,'Day1'!$B6)</f>
        <v>0</v>
      </c>
      <c r="H6" s="5">
        <f>averageCompletionTimePorter(Dates!H$4,Dates!H$5,'Day1'!$B6)</f>
        <v>0</v>
      </c>
      <c r="I6" s="5">
        <f>averageCompletionTimePorter(Dates!I$4,Dates!I$5,'Day1'!$B6)</f>
        <v>0</v>
      </c>
      <c r="J6" s="5">
        <f>averageCompletionTimePorter(Dates!J$4,Dates!J$5,'Day1'!$B6)</f>
        <v>0</v>
      </c>
      <c r="K6" s="5">
        <f>averageCompletionTimePorter(Dates!K$4,Dates!K$5,'Day1'!$B6)</f>
        <v>0</v>
      </c>
      <c r="L6" s="5">
        <f>averageCompletionTimePorter(Dates!L$4,Dates!L$5,'Day1'!$B6)</f>
        <v>0</v>
      </c>
      <c r="M6" s="5">
        <f>averageCompletionTimePorter(Dates!M$4,Dates!M$5,'Day1'!$B6)</f>
        <v>0</v>
      </c>
      <c r="N6" s="5">
        <f>averageCompletionTimePorter(Dates!N$4,Dates!N$5,'Day1'!$B6)</f>
        <v>0</v>
      </c>
      <c r="O6" s="5">
        <f>averageCompletionTimePorter(Dates!O$4,Dates!O$5,'Day1'!$B6)</f>
        <v>0</v>
      </c>
      <c r="P6" s="5">
        <f>averageCompletionTimePorter(Dates!P$4,Dates!P$5,'Day1'!$B6)</f>
        <v>0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0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0</v>
      </c>
      <c r="E7" s="5">
        <f>averageCompletionTimePorter(Dates!E$4,Dates!E$5,'Day1'!$B7)</f>
        <v>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0</v>
      </c>
      <c r="I7" s="5">
        <f>averageCompletionTimePorter(Dates!I$4,Dates!I$5,'Day1'!$B7)</f>
        <v>0</v>
      </c>
      <c r="J7" s="5">
        <f>averageCompletionTimePorter(Dates!J$4,Dates!J$5,'Day1'!$B7)</f>
        <v>0</v>
      </c>
      <c r="K7" s="5">
        <f>averageCompletionTimePorter(Dates!K$4,Dates!K$5,'Day1'!$B7)</f>
        <v>0</v>
      </c>
      <c r="L7" s="5">
        <f>averageCompletionTimePorter(Dates!L$4,Dates!L$5,'Day1'!$B7)</f>
        <v>0</v>
      </c>
      <c r="M7" s="5">
        <f>averageCompletionTimePorter(Dates!M$4,Dates!M$5,'Day1'!$B7)</f>
        <v>0</v>
      </c>
      <c r="N7" s="5">
        <f>averageCompletionTimePorter(Dates!N$4,Dates!N$5,'Day1'!$B7)</f>
        <v>0</v>
      </c>
      <c r="O7" s="5">
        <f>averageCompletionTimePorter(Dates!O$4,Dates!O$5,'Day1'!$B7)</f>
        <v>0</v>
      </c>
      <c r="P7" s="5">
        <f>averageCompletionTimePorter(Dates!P$4,Dates!P$5,'Day1'!$B7)</f>
        <v>0</v>
      </c>
      <c r="Q7" s="5">
        <f>averageCompletionTimePorter(Dates!Q$4,Dates!Q$5,'Day1'!$B7)</f>
        <v>0</v>
      </c>
      <c r="R7" s="5">
        <f>averageCompletionTimePorter(Dates!R$4,Dates!R$5,'Day1'!$B7)</f>
        <v>0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0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0</v>
      </c>
      <c r="F8" s="5">
        <f>averageCompletionTimePorter(Dates!F$4,Dates!F$5,'Day1'!$B8)</f>
        <v>0</v>
      </c>
      <c r="G8" s="5">
        <f>averageCompletionTimePorter(Dates!G$4,Dates!G$5,'Day1'!$B8)</f>
        <v>0</v>
      </c>
      <c r="H8" s="5">
        <f>averageCompletionTimePorter(Dates!H$4,Dates!H$5,'Day1'!$B8)</f>
        <v>0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0</v>
      </c>
      <c r="L8" s="5">
        <f>averageCompletionTimePorter(Dates!L$4,Dates!L$5,'Day1'!$B8)</f>
        <v>0</v>
      </c>
      <c r="M8" s="5">
        <f>averageCompletionTimePorter(Dates!M$4,Dates!M$5,'Day1'!$B8)</f>
        <v>0</v>
      </c>
      <c r="N8" s="5">
        <f>averageCompletionTimePorter(Dates!N$4,Dates!N$5,'Day1'!$B8)</f>
        <v>0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0</v>
      </c>
      <c r="R8" s="5">
        <f>averageCompletionTimePorter(Dates!R$4,Dates!R$5,'Day1'!$B8)</f>
        <v>0</v>
      </c>
      <c r="S8" s="5">
        <f>averageCompletionTimePorter(Dates!S$4,Dates!S$5,'Day1'!$B8)</f>
        <v>0</v>
      </c>
      <c r="T8" s="5">
        <f>averageCompletionTimePorter(Dates!T$4,Dates!T$5,'Day1'!$B8)</f>
        <v>0</v>
      </c>
      <c r="U8" s="5">
        <f>averageCompletionTimePorter(Dates!$C$4,Dates!$T$5,'Day1'!$B8)</f>
        <v>0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0</v>
      </c>
      <c r="F9" s="5">
        <f>averageCompletionTimePorter(Dates!F$4,Dates!F$5,'Day1'!$B9)</f>
        <v>0</v>
      </c>
      <c r="G9" s="5">
        <f>averageCompletionTimePorter(Dates!G$4,Dates!G$5,'Day1'!$B9)</f>
        <v>0</v>
      </c>
      <c r="H9" s="5">
        <f>averageCompletionTimePorter(Dates!H$4,Dates!H$5,'Day1'!$B9)</f>
        <v>0</v>
      </c>
      <c r="I9" s="5">
        <f>averageCompletionTimePorter(Dates!I$4,Dates!I$5,'Day1'!$B9)</f>
        <v>0</v>
      </c>
      <c r="J9" s="5">
        <f>averageCompletionTimePorter(Dates!J$4,Dates!J$5,'Day1'!$B9)</f>
        <v>0</v>
      </c>
      <c r="K9" s="5">
        <f>averageCompletionTimePorter(Dates!K$4,Dates!K$5,'Day1'!$B9)</f>
        <v>0</v>
      </c>
      <c r="L9" s="5">
        <f>averageCompletionTimePorter(Dates!L$4,Dates!L$5,'Day1'!$B9)</f>
        <v>0</v>
      </c>
      <c r="M9" s="5">
        <f>averageCompletionTimePorter(Dates!M$4,Dates!M$5,'Day1'!$B9)</f>
        <v>0</v>
      </c>
      <c r="N9" s="5">
        <f>averageCompletionTimePorter(Dates!N$4,Dates!N$5,'Day1'!$B9)</f>
        <v>0</v>
      </c>
      <c r="O9" s="5">
        <f>averageCompletionTimePorter(Dates!O$4,Dates!O$5,'Day1'!$B9)</f>
        <v>0</v>
      </c>
      <c r="P9" s="5">
        <f>averageCompletionTimePorter(Dates!P$4,Dates!P$5,'Day1'!$B9)</f>
        <v>0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0</v>
      </c>
    </row>
    <row r="10" spans="1:21" x14ac:dyDescent="0.3">
      <c r="A10" s="6"/>
      <c r="B10" s="8" t="s">
        <v>43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44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42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62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63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64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65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66</v>
      </c>
      <c r="C29">
        <f>totalNumberOfJobsCompleted(Dates!C$4,Dates!C$5)</f>
        <v>0</v>
      </c>
      <c r="D29">
        <f>totalNumberOfJobsCompleted(Dates!D$4,Dates!D$5)</f>
        <v>0</v>
      </c>
      <c r="E29">
        <f>totalNumberOfJobsCompleted(Dates!E$4,Dates!E$5)</f>
        <v>0</v>
      </c>
      <c r="F29">
        <f>totalNumberOfJobsCompleted(Dates!F$4,Dates!F$5)</f>
        <v>0</v>
      </c>
      <c r="G29">
        <f>totalNumberOfJobsCompleted(Dates!G$4,Dates!G$5)</f>
        <v>0</v>
      </c>
      <c r="H29">
        <f>totalNumberOfJobsCompleted(Dates!H$4,Dates!H$5)</f>
        <v>0</v>
      </c>
      <c r="I29">
        <f>totalNumberOfJobsCompleted(Dates!I$4,Dates!I$5)</f>
        <v>0</v>
      </c>
      <c r="J29">
        <f>totalNumberOfJobsCompleted(Dates!J$4,Dates!J$5)</f>
        <v>0</v>
      </c>
      <c r="K29">
        <f>totalNumberOfJobsCompleted(Dates!K$4,Dates!K$5)</f>
        <v>0</v>
      </c>
      <c r="L29">
        <f>totalNumberOfJobsCompleted(Dates!L$4,Dates!L$5)</f>
        <v>0</v>
      </c>
      <c r="M29">
        <f>totalNumberOfJobsCompleted(Dates!M$4,Dates!M$5)</f>
        <v>0</v>
      </c>
      <c r="N29">
        <f>totalNumberOfJobsCompleted(Dates!N$4,Dates!N$5)</f>
        <v>0</v>
      </c>
      <c r="O29">
        <f>totalNumberOfJobsCompleted(Dates!O$4,Dates!O$5)</f>
        <v>0</v>
      </c>
      <c r="P29">
        <f>totalNumberOfJobsCompleted(Dates!P$4,Dates!P$5)</f>
        <v>0</v>
      </c>
      <c r="Q29">
        <f>totalNumberOfJobsCompleted(Dates!Q$4,Dates!Q$5)</f>
        <v>0</v>
      </c>
      <c r="R29">
        <f>totalNumberOfJobsCompleted(Dates!R$4,Dates!R$5)</f>
        <v>0</v>
      </c>
      <c r="S29">
        <f>totalNumberOfJobsCompleted(Dates!S$4,Dates!S$5)</f>
        <v>0</v>
      </c>
      <c r="T29">
        <f>totalNumberOfJobsCompleted(Dates!T$4,Dates!T$5)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totalNumberOfJobsCompletedPorter(Dates!C$4,Dates!C$5,'Day1'!$B30)</f>
        <v>0</v>
      </c>
      <c r="D30">
        <f>totalNumberOfJobsCompletedPorter(Dates!D$4,Dates!D$5,'Day1'!$B30)</f>
        <v>0</v>
      </c>
      <c r="E30">
        <f>totalNumberOfJobsCompletedPorter(Dates!E$4,Dates!E$5,'Day1'!$B30)</f>
        <v>0</v>
      </c>
      <c r="F30">
        <f>totalNumberOfJobsCompletedPorter(Dates!F$4,Dates!F$5,'Day1'!$B30)</f>
        <v>0</v>
      </c>
      <c r="G30">
        <f>totalNumberOfJobsCompletedPorter(Dates!G$4,Dates!G$5,'Day1'!$B30)</f>
        <v>0</v>
      </c>
      <c r="H30">
        <f>totalNumberOfJobsCompletedPorter(Dates!H$4,Dates!H$5,'Day1'!$B30)</f>
        <v>0</v>
      </c>
      <c r="I30">
        <f>totalNumberOfJobsCompletedPorter(Dates!I$4,Dates!I$5,'Day1'!$B30)</f>
        <v>0</v>
      </c>
      <c r="J30">
        <f>totalNumberOfJobsCompletedPorter(Dates!J$4,Dates!J$5,'Day1'!$B30)</f>
        <v>0</v>
      </c>
      <c r="K30">
        <f>totalNumberOfJobsCompletedPorter(Dates!K$4,Dates!K$5,'Day1'!$B30)</f>
        <v>0</v>
      </c>
      <c r="L30">
        <f>totalNumberOfJobsCompletedPorter(Dates!L$4,Dates!L$5,'Day1'!$B30)</f>
        <v>0</v>
      </c>
      <c r="M30">
        <f>totalNumberOfJobsCompletedPorter(Dates!M$4,Dates!M$5,'Day1'!$B30)</f>
        <v>0</v>
      </c>
      <c r="N30">
        <f>totalNumberOfJobsCompletedPorter(Dates!N$4,Dates!N$5,'Day1'!$B30)</f>
        <v>0</v>
      </c>
      <c r="O30">
        <f>totalNumberOfJobsCompletedPorter(Dates!O$4,Dates!O$5,'Day1'!$B30)</f>
        <v>0</v>
      </c>
      <c r="P30">
        <f>totalNumberOfJobsCompletedPorter(Dates!P$4,Dates!P$5,'Day1'!$B30)</f>
        <v>0</v>
      </c>
      <c r="Q30">
        <f>totalNumberOfJobsCompletedPorter(Dates!Q$4,Dates!Q$5,'Day1'!$B30)</f>
        <v>0</v>
      </c>
      <c r="R30">
        <f>totalNumberOfJobsCompletedPorter(Dates!R$4,Dates!R$5,'Day1'!$B30)</f>
        <v>0</v>
      </c>
      <c r="S30">
        <f>totalNumberOfJobsCompletedPorter(Dates!S$4,Dates!S$5,'Day1'!$B30)</f>
        <v>0</v>
      </c>
      <c r="T30">
        <f>totalNumberOfJobsCompletedPorter(Dates!T$4,Dates!T$5,'Day1'!$B30)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0</v>
      </c>
      <c r="E31">
        <f>totalNumberOfJobsCompletedPorter(Dates!E$4,Dates!E$5,'Day1'!$B31)</f>
        <v>0</v>
      </c>
      <c r="F31">
        <f>totalNumberOfJobsCompletedPorter(Dates!F$4,Dates!F$5,'Day1'!$B31)</f>
        <v>0</v>
      </c>
      <c r="G31">
        <f>totalNumberOfJobsCompletedPorter(Dates!G$4,Dates!G$5,'Day1'!$B31)</f>
        <v>0</v>
      </c>
      <c r="H31">
        <f>totalNumberOfJobsCompletedPorter(Dates!H$4,Dates!H$5,'Day1'!$B31)</f>
        <v>0</v>
      </c>
      <c r="I31">
        <f>totalNumberOfJobsCompletedPorter(Dates!I$4,Dates!I$5,'Day1'!$B31)</f>
        <v>0</v>
      </c>
      <c r="J31">
        <f>totalNumberOfJobsCompletedPorter(Dates!J$4,Dates!J$5,'Day1'!$B31)</f>
        <v>0</v>
      </c>
      <c r="K31">
        <f>totalNumberOfJobsCompletedPorter(Dates!K$4,Dates!K$5,'Day1'!$B31)</f>
        <v>0</v>
      </c>
      <c r="L31">
        <f>totalNumberOfJobsCompletedPorter(Dates!L$4,Dates!L$5,'Day1'!$B31)</f>
        <v>0</v>
      </c>
      <c r="M31">
        <f>totalNumberOfJobsCompletedPorter(Dates!M$4,Dates!M$5,'Day1'!$B31)</f>
        <v>0</v>
      </c>
      <c r="N31">
        <f>totalNumberOfJobsCompletedPorter(Dates!N$4,Dates!N$5,'Day1'!$B31)</f>
        <v>0</v>
      </c>
      <c r="O31">
        <f>totalNumberOfJobsCompletedPorter(Dates!O$4,Dates!O$5,'Day1'!$B31)</f>
        <v>0</v>
      </c>
      <c r="P31">
        <f>totalNumberOfJobsCompletedPorter(Dates!P$4,Dates!P$5,'Day1'!$B31)</f>
        <v>0</v>
      </c>
      <c r="Q31">
        <f>totalNumberOfJobsCompletedPorter(Dates!Q$4,Dates!Q$5,'Day1'!$B31)</f>
        <v>0</v>
      </c>
      <c r="R31">
        <f>totalNumberOfJobsCompletedPorter(Dates!R$4,Dates!R$5,'Day1'!$B31)</f>
        <v>0</v>
      </c>
      <c r="S31">
        <f>totalNumberOfJobsCompletedPorter(Dates!S$4,Dates!S$5,'Day1'!$B31)</f>
        <v>0</v>
      </c>
      <c r="T31">
        <f>totalNumberOfJobsCompletedPorter(Dates!T$4,Dates!T$5,'Day1'!$B31)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0</v>
      </c>
      <c r="F32">
        <f>totalNumberOfJobsCompletedPorter(Dates!F$4,Dates!F$5,'Day1'!$B32)</f>
        <v>0</v>
      </c>
      <c r="G32">
        <f>totalNumberOfJobsCompletedPorter(Dates!G$4,Dates!G$5,'Day1'!$B32)</f>
        <v>0</v>
      </c>
      <c r="H32">
        <f>totalNumberOfJobsCompletedPorter(Dates!H$4,Dates!H$5,'Day1'!$B32)</f>
        <v>0</v>
      </c>
      <c r="I32">
        <f>totalNumberOfJobsCompletedPorter(Dates!I$4,Dates!I$5,'Day1'!$B32)</f>
        <v>0</v>
      </c>
      <c r="J32">
        <f>totalNumberOfJobsCompletedPorter(Dates!J$4,Dates!J$5,'Day1'!$B32)</f>
        <v>0</v>
      </c>
      <c r="K32">
        <f>totalNumberOfJobsCompletedPorter(Dates!K$4,Dates!K$5,'Day1'!$B32)</f>
        <v>0</v>
      </c>
      <c r="L32">
        <f>totalNumberOfJobsCompletedPorter(Dates!L$4,Dates!L$5,'Day1'!$B32)</f>
        <v>0</v>
      </c>
      <c r="M32">
        <f>totalNumberOfJobsCompletedPorter(Dates!M$4,Dates!M$5,'Day1'!$B32)</f>
        <v>0</v>
      </c>
      <c r="N32">
        <f>totalNumberOfJobsCompletedPorter(Dates!N$4,Dates!N$5,'Day1'!$B32)</f>
        <v>0</v>
      </c>
      <c r="O32">
        <f>totalNumberOfJobsCompletedPorter(Dates!O$4,Dates!O$5,'Day1'!$B32)</f>
        <v>0</v>
      </c>
      <c r="P32">
        <f>totalNumberOfJobsCompletedPorter(Dates!P$4,Dates!P$5,'Day1'!$B32)</f>
        <v>0</v>
      </c>
      <c r="Q32">
        <f>totalNumberOfJobsCompletedPorter(Dates!Q$4,Dates!Q$5,'Day1'!$B32)</f>
        <v>0</v>
      </c>
      <c r="R32">
        <f>totalNumberOfJobsCompletedPorter(Dates!R$4,Dates!R$5,'Day1'!$B32)</f>
        <v>0</v>
      </c>
      <c r="S32">
        <f>totalNumberOfJobsCompletedPorter(Dates!S$4,Dates!S$5,'Day1'!$B32)</f>
        <v>0</v>
      </c>
      <c r="T32">
        <f>totalNumberOfJobsCompletedPorter(Dates!T$4,Dates!T$5,'Day1'!$B32)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0</v>
      </c>
      <c r="F33">
        <f>totalNumberOfJobsCompletedPorter(Dates!F$4,Dates!F$5,'Day1'!$B33)</f>
        <v>0</v>
      </c>
      <c r="G33">
        <f>totalNumberOfJobsCompletedPorter(Dates!G$4,Dates!G$5,'Day1'!$B33)</f>
        <v>0</v>
      </c>
      <c r="H33">
        <f>totalNumberOfJobsCompletedPorter(Dates!H$4,Dates!H$5,'Day1'!$B33)</f>
        <v>0</v>
      </c>
      <c r="I33">
        <f>totalNumberOfJobsCompletedPorter(Dates!I$4,Dates!I$5,'Day1'!$B33)</f>
        <v>0</v>
      </c>
      <c r="J33">
        <f>totalNumberOfJobsCompletedPorter(Dates!J$4,Dates!J$5,'Day1'!$B33)</f>
        <v>0</v>
      </c>
      <c r="K33">
        <f>totalNumberOfJobsCompletedPorter(Dates!K$4,Dates!K$5,'Day1'!$B33)</f>
        <v>0</v>
      </c>
      <c r="L33">
        <f>totalNumberOfJobsCompletedPorter(Dates!L$4,Dates!L$5,'Day1'!$B33)</f>
        <v>0</v>
      </c>
      <c r="M33">
        <f>totalNumberOfJobsCompletedPorter(Dates!M$4,Dates!M$5,'Day1'!$B33)</f>
        <v>0</v>
      </c>
      <c r="N33">
        <f>totalNumberOfJobsCompletedPorter(Dates!N$4,Dates!N$5,'Day1'!$B33)</f>
        <v>0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0</v>
      </c>
      <c r="R33">
        <f>totalNumberOfJobsCompletedPorter(Dates!R$4,Dates!R$5,'Day1'!$B33)</f>
        <v>0</v>
      </c>
      <c r="S33">
        <f>totalNumberOfJobsCompletedPorter(Dates!S$4,Dates!S$5,'Day1'!$B33)</f>
        <v>0</v>
      </c>
      <c r="T33">
        <f>totalNumberOfJobsCompletedPorter(Dates!T$4,Dates!T$5,'Day1'!$B33)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0</v>
      </c>
      <c r="F34">
        <f>totalNumberOfJobsCompletedPorter(Dates!F$4,Dates!F$5,'Day1'!$B34)</f>
        <v>0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0</v>
      </c>
      <c r="J34">
        <f>totalNumberOfJobsCompletedPorter(Dates!J$4,Dates!J$5,'Day1'!$B34)</f>
        <v>0</v>
      </c>
      <c r="K34">
        <f>totalNumberOfJobsCompletedPorter(Dates!K$4,Dates!K$5,'Day1'!$B34)</f>
        <v>0</v>
      </c>
      <c r="L34">
        <f>totalNumberOfJobsCompletedPorter(Dates!L$4,Dates!L$5,'Day1'!$B34)</f>
        <v>0</v>
      </c>
      <c r="M34">
        <f>totalNumberOfJobsCompletedPorter(Dates!M$4,Dates!M$5,'Day1'!$B34)</f>
        <v>0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0</v>
      </c>
      <c r="Q34">
        <f>totalNumberOfJobsCompletedPorter(Dates!Q$4,Dates!Q$5,'Day1'!$B34)</f>
        <v>0</v>
      </c>
      <c r="R34">
        <f>totalNumberOfJobsCompletedPorter(Dates!R$4,Dates!R$5,'Day1'!$B34)</f>
        <v>0</v>
      </c>
      <c r="S34">
        <f>totalNumberOfJobsCompletedPorter(Dates!S$4,Dates!S$5,'Day1'!$B34)</f>
        <v>0</v>
      </c>
      <c r="T34">
        <f>totalNumberOfJobsCompletedPorter(Dates!T$4,Dates!T$5,'Day1'!$B34)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0</v>
      </c>
      <c r="G35">
        <f>totalNumberOfJobsCompletedPorter(Dates!G$4,Dates!G$5,'Day1'!$B35)</f>
        <v>0</v>
      </c>
      <c r="H35">
        <f>totalNumberOfJobsCompletedPorter(Dates!H$4,Dates!H$5,'Day1'!$B35)</f>
        <v>0</v>
      </c>
      <c r="I35">
        <f>totalNumberOfJobsCompletedPorter(Dates!I$4,Dates!I$5,'Day1'!$B35)</f>
        <v>0</v>
      </c>
      <c r="J35">
        <f>totalNumberOfJobsCompletedPorter(Dates!J$4,Dates!J$5,'Day1'!$B35)</f>
        <v>0</v>
      </c>
      <c r="K35">
        <f>totalNumberOfJobsCompletedPorter(Dates!K$4,Dates!K$5,'Day1'!$B35)</f>
        <v>0</v>
      </c>
      <c r="L35">
        <f>totalNumberOfJobsCompletedPorter(Dates!L$4,Dates!L$5,'Day1'!$B35)</f>
        <v>0</v>
      </c>
      <c r="M35">
        <f>totalNumberOfJobsCompletedPorter(Dates!M$4,Dates!M$5,'Day1'!$B35)</f>
        <v>0</v>
      </c>
      <c r="N35">
        <f>totalNumberOfJobsCompletedPorter(Dates!N$4,Dates!N$5,'Day1'!$B35)</f>
        <v>0</v>
      </c>
      <c r="O35">
        <f>totalNumberOfJobsCompletedPorter(Dates!O$4,Dates!O$5,'Day1'!$B35)</f>
        <v>0</v>
      </c>
      <c r="P35">
        <f>totalNumberOfJobsCompletedPorter(Dates!P$4,Dates!P$5,'Day1'!$B35)</f>
        <v>0</v>
      </c>
      <c r="Q35">
        <f>totalNumberOfJobsCompletedPorter(Dates!Q$4,Dates!Q$5,'Day1'!$B35)</f>
        <v>0</v>
      </c>
      <c r="R35">
        <f>totalNumberOfJobsCompletedPorter(Dates!R$4,Dates!R$5,'Day1'!$B35)</f>
        <v>0</v>
      </c>
      <c r="S35">
        <f>totalNumberOfJobsCompletedPorter(Dates!S$4,Dates!S$5,'Day1'!$B35)</f>
        <v>0</v>
      </c>
      <c r="T35">
        <f>totalNumberOfJobsCompletedPorter(Dates!T$4,Dates!T$5,'Day1'!$B35)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0</v>
      </c>
      <c r="G36">
        <f>totalNumberOfJobsCompletedPorter(Dates!G$4,Dates!G$5,'Day1'!$B36)</f>
        <v>0</v>
      </c>
      <c r="H36">
        <f>totalNumberOfJobsCompletedPorter(Dates!H$4,Dates!H$5,'Day1'!$B36)</f>
        <v>0</v>
      </c>
      <c r="I36">
        <f>totalNumberOfJobsCompletedPorter(Dates!I$4,Dates!I$5,'Day1'!$B36)</f>
        <v>0</v>
      </c>
      <c r="J36">
        <f>totalNumberOfJobsCompletedPorter(Dates!J$4,Dates!J$5,'Day1'!$B36)</f>
        <v>0</v>
      </c>
      <c r="K36">
        <f>totalNumberOfJobsCompletedPorter(Dates!K$4,Dates!K$5,'Day1'!$B36)</f>
        <v>0</v>
      </c>
      <c r="L36">
        <f>totalNumberOfJobsCompletedPorter(Dates!L$4,Dates!L$5,'Day1'!$B36)</f>
        <v>0</v>
      </c>
      <c r="M36">
        <f>totalNumberOfJobsCompletedPorter(Dates!M$4,Dates!M$5,'Day1'!$B36)</f>
        <v>0</v>
      </c>
      <c r="N36">
        <f>totalNumberOfJobsCompletedPorter(Dates!N$4,Dates!N$5,'Day1'!$B36)</f>
        <v>0</v>
      </c>
      <c r="O36">
        <f>totalNumberOfJobsCompletedPorter(Dates!O$4,Dates!O$5,'Day1'!$B36)</f>
        <v>0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0</v>
      </c>
      <c r="S36">
        <f>totalNumberOfJobsCompletedPorter(Dates!S$4,Dates!S$5,'Day1'!$B36)</f>
        <v>0</v>
      </c>
      <c r="T36">
        <f>totalNumberOfJobsCompletedPorter(Dates!T$4,Dates!T$5,'Day1'!$B36)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0</v>
      </c>
      <c r="D56" s="5">
        <f>averageResponseTime(Dates!D$4,Dates!D$5)</f>
        <v>0</v>
      </c>
      <c r="E56" s="5">
        <f>averageResponseTime(Dates!E$4,Dates!E$5)</f>
        <v>0</v>
      </c>
      <c r="F56" s="5">
        <f>averageResponseTime(Dates!F$4,Dates!F$5)</f>
        <v>0</v>
      </c>
      <c r="G56" s="5">
        <f>averageResponseTime(Dates!G$4,Dates!G$5)</f>
        <v>0</v>
      </c>
      <c r="H56" s="5">
        <f>averageResponseTime(Dates!H$4,Dates!H$5)</f>
        <v>0</v>
      </c>
      <c r="I56" s="5">
        <f>averageResponseTime(Dates!I$4,Dates!I$5)</f>
        <v>0</v>
      </c>
      <c r="J56" s="5">
        <f>averageResponseTime(Dates!J$4,Dates!J$5)</f>
        <v>0</v>
      </c>
      <c r="K56" s="5">
        <f>averageResponseTime(Dates!K$4,Dates!K$5)</f>
        <v>0</v>
      </c>
      <c r="L56" s="5">
        <f>averageResponseTime(Dates!L$4,Dates!L$5)</f>
        <v>0</v>
      </c>
      <c r="M56" s="5">
        <f>averageResponseTime(Dates!M$4,Dates!M$5)</f>
        <v>0</v>
      </c>
      <c r="N56" s="5">
        <f>averageResponseTime(Dates!N$4,Dates!N$5)</f>
        <v>0</v>
      </c>
      <c r="O56" s="5">
        <f>averageResponseTime(Dates!O$4,Dates!O$5)</f>
        <v>0</v>
      </c>
      <c r="P56" s="5">
        <f>averageResponseTime(Dates!P$4,Dates!P$5)</f>
        <v>0</v>
      </c>
      <c r="Q56" s="5">
        <f>averageResponseTime(Dates!Q$4,Dates!Q$5)</f>
        <v>0</v>
      </c>
      <c r="R56" s="5">
        <f>averageResponseTime(Dates!R$4,Dates!R$5)</f>
        <v>0</v>
      </c>
      <c r="S56" s="5">
        <f>averageResponseTime(Dates!S$4,Dates!S$5)</f>
        <v>0</v>
      </c>
      <c r="T56" s="5">
        <f>averageResponseTime(Dates!T$4,Dates!T$5)</f>
        <v>0</v>
      </c>
      <c r="U56" s="5">
        <f>averageResponseTime(Dates!C$4,Dates!T$5)</f>
        <v>0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0</v>
      </c>
      <c r="D57" s="5">
        <f>averageResponseTimePorter(Dates!D$4,Dates!D$5,'Day1'!$B57)</f>
        <v>0</v>
      </c>
      <c r="E57" s="5">
        <f>averageResponseTimePorter(Dates!E$4,Dates!E$5,'Day1'!$B57)</f>
        <v>0</v>
      </c>
      <c r="F57" s="5">
        <f>averageResponseTimePorter(Dates!F$4,Dates!F$5,'Day1'!$B57)</f>
        <v>0</v>
      </c>
      <c r="G57" s="5">
        <f>averageResponseTimePorter(Dates!G$4,Dates!G$5,'Day1'!$B57)</f>
        <v>0</v>
      </c>
      <c r="H57" s="5">
        <f>averageResponseTimePorter(Dates!H$4,Dates!H$5,'Day1'!$B57)</f>
        <v>0</v>
      </c>
      <c r="I57" s="5">
        <f>averageResponseTimePorter(Dates!I$4,Dates!I$5,'Day1'!$B57)</f>
        <v>0</v>
      </c>
      <c r="J57" s="5">
        <f>averageResponseTimePorter(Dates!J$4,Dates!J$5,'Day1'!$B57)</f>
        <v>0</v>
      </c>
      <c r="K57" s="5">
        <f>averageResponseTimePorter(Dates!K$4,Dates!K$5,'Day1'!$B57)</f>
        <v>0</v>
      </c>
      <c r="L57" s="5">
        <f>averageResponseTimePorter(Dates!L$4,Dates!L$5,'Day1'!$B57)</f>
        <v>0</v>
      </c>
      <c r="M57" s="5">
        <f>averageResponseTimePorter(Dates!M$4,Dates!M$5,'Day1'!$B57)</f>
        <v>0</v>
      </c>
      <c r="N57" s="5">
        <f>averageResponseTimePorter(Dates!N$4,Dates!N$5,'Day1'!$B57)</f>
        <v>0</v>
      </c>
      <c r="O57" s="5">
        <f>averageResponseTimePorter(Dates!O$4,Dates!O$5,'Day1'!$B57)</f>
        <v>0</v>
      </c>
      <c r="P57" s="5">
        <f>averageResponseTimePorter(Dates!P$4,Dates!P$5,'Day1'!$B57)</f>
        <v>0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0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0</v>
      </c>
      <c r="E58" s="5">
        <f>averageResponseTimePorter(Dates!E$4,Dates!E$5,'Day1'!$B58)</f>
        <v>0</v>
      </c>
      <c r="F58" s="5">
        <f>averageResponseTimePorter(Dates!F$4,Dates!F$5,'Day1'!$B58)</f>
        <v>0</v>
      </c>
      <c r="G58" s="5">
        <f>averageResponseTimePorter(Dates!G$4,Dates!G$5,'Day1'!$B58)</f>
        <v>0</v>
      </c>
      <c r="H58" s="5">
        <f>averageResponseTimePorter(Dates!H$4,Dates!H$5,'Day1'!$B58)</f>
        <v>0</v>
      </c>
      <c r="I58" s="5">
        <f>averageResponseTimePorter(Dates!I$4,Dates!I$5,'Day1'!$B58)</f>
        <v>0</v>
      </c>
      <c r="J58" s="5">
        <f>averageResponseTimePorter(Dates!J$4,Dates!J$5,'Day1'!$B58)</f>
        <v>0</v>
      </c>
      <c r="K58" s="5">
        <f>averageResponseTimePorter(Dates!K$4,Dates!K$5,'Day1'!$B58)</f>
        <v>0</v>
      </c>
      <c r="L58" s="5">
        <f>averageResponseTimePorter(Dates!L$4,Dates!L$5,'Day1'!$B58)</f>
        <v>0</v>
      </c>
      <c r="M58" s="5">
        <f>averageResponseTimePorter(Dates!M$4,Dates!M$5,'Day1'!$B58)</f>
        <v>0</v>
      </c>
      <c r="N58" s="5">
        <f>averageResponseTimePorter(Dates!N$4,Dates!N$5,'Day1'!$B58)</f>
        <v>0</v>
      </c>
      <c r="O58" s="5">
        <f>averageResponseTimePorter(Dates!O$4,Dates!O$5,'Day1'!$B58)</f>
        <v>0</v>
      </c>
      <c r="P58" s="5">
        <f>averageResponseTimePorter(Dates!P$4,Dates!P$5,'Day1'!$B58)</f>
        <v>0</v>
      </c>
      <c r="Q58" s="5">
        <f>averageResponseTimePorter(Dates!Q$4,Dates!Q$5,'Day1'!$B58)</f>
        <v>0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0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0</v>
      </c>
      <c r="E59" s="5">
        <f>averageResponseTimePorter(Dates!E$4,Dates!E$5,'Day1'!$B59)</f>
        <v>0</v>
      </c>
      <c r="F59" s="5">
        <f>averageResponseTimePorter(Dates!F$4,Dates!F$5,'Day1'!$B59)</f>
        <v>0</v>
      </c>
      <c r="G59" s="5">
        <f>averageResponseTimePorter(Dates!G$4,Dates!G$5,'Day1'!$B59)</f>
        <v>0</v>
      </c>
      <c r="H59" s="5">
        <f>averageResponseTimePorter(Dates!H$4,Dates!H$5,'Day1'!$B59)</f>
        <v>0</v>
      </c>
      <c r="I59" s="5">
        <f>averageResponseTimePorter(Dates!I$4,Dates!I$5,'Day1'!$B59)</f>
        <v>0</v>
      </c>
      <c r="J59" s="5">
        <f>averageResponseTimePorter(Dates!J$4,Dates!J$5,'Day1'!$B59)</f>
        <v>0</v>
      </c>
      <c r="K59" s="5">
        <f>averageResponseTimePorter(Dates!K$4,Dates!K$5,'Day1'!$B59)</f>
        <v>0</v>
      </c>
      <c r="L59" s="5">
        <f>averageResponseTimePorter(Dates!L$4,Dates!L$5,'Day1'!$B59)</f>
        <v>0</v>
      </c>
      <c r="M59" s="5">
        <f>averageResponseTimePorter(Dates!M$4,Dates!M$5,'Day1'!$B59)</f>
        <v>0</v>
      </c>
      <c r="N59" s="5">
        <f>averageResponseTimePorter(Dates!N$4,Dates!N$5,'Day1'!$B59)</f>
        <v>0</v>
      </c>
      <c r="O59" s="5">
        <f>averageResponseTimePorter(Dates!O$4,Dates!O$5,'Day1'!$B59)</f>
        <v>0</v>
      </c>
      <c r="P59" s="5">
        <f>averageResponseTimePorter(Dates!P$4,Dates!P$5,'Day1'!$B59)</f>
        <v>0</v>
      </c>
      <c r="Q59" s="5">
        <f>averageResponseTimePorter(Dates!Q$4,Dates!Q$5,'Day1'!$B59)</f>
        <v>0</v>
      </c>
      <c r="R59" s="5">
        <f>averageResponseTimePorter(Dates!R$4,Dates!R$5,'Day1'!$B59)</f>
        <v>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0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0</v>
      </c>
      <c r="E60" s="5">
        <f>averageResponseTimePorter(Dates!E$4,Dates!E$5,'Day1'!$B60)</f>
        <v>0</v>
      </c>
      <c r="F60" s="5">
        <f>averageResponseTimePorter(Dates!F$4,Dates!F$5,'Day1'!$B60)</f>
        <v>0</v>
      </c>
      <c r="G60" s="5">
        <f>averageResponseTimePorter(Dates!G$4,Dates!G$5,'Day1'!$B60)</f>
        <v>0</v>
      </c>
      <c r="H60" s="5">
        <f>averageResponseTimePorter(Dates!H$4,Dates!H$5,'Day1'!$B60)</f>
        <v>0</v>
      </c>
      <c r="I60" s="5">
        <f>averageResponseTimePorter(Dates!I$4,Dates!I$5,'Day1'!$B60)</f>
        <v>0</v>
      </c>
      <c r="J60" s="5">
        <f>averageResponseTimePorter(Dates!J$4,Dates!J$5,'Day1'!$B60)</f>
        <v>0</v>
      </c>
      <c r="K60" s="5">
        <f>averageResponseTimePorter(Dates!K$4,Dates!K$5,'Day1'!$B60)</f>
        <v>0</v>
      </c>
      <c r="L60" s="5">
        <f>averageResponseTimePorter(Dates!L$4,Dates!L$5,'Day1'!$B60)</f>
        <v>0</v>
      </c>
      <c r="M60" s="5">
        <f>averageResponseTimePorter(Dates!M$4,Dates!M$5,'Day1'!$B60)</f>
        <v>0</v>
      </c>
      <c r="N60" s="5">
        <f>averageResponseTimePorter(Dates!N$4,Dates!N$5,'Day1'!$B60)</f>
        <v>0</v>
      </c>
      <c r="O60" s="5">
        <f>averageResponseTimePorter(Dates!O$4,Dates!O$5,'Day1'!$B60)</f>
        <v>0</v>
      </c>
      <c r="P60" s="5">
        <f>averageResponseTimePorter(Dates!P$4,Dates!P$5,'Day1'!$B60)</f>
        <v>0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0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0</v>
      </c>
      <c r="E61" s="5">
        <f>averageResponseTimePorter(Dates!E$4,Dates!E$5,'Day1'!$B61)</f>
        <v>0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0</v>
      </c>
      <c r="I61" s="5">
        <f>averageResponseTimePorter(Dates!I$4,Dates!I$5,'Day1'!$B61)</f>
        <v>0</v>
      </c>
      <c r="J61" s="5">
        <f>averageResponseTimePorter(Dates!J$4,Dates!J$5,'Day1'!$B61)</f>
        <v>0</v>
      </c>
      <c r="K61" s="5">
        <f>averageResponseTimePorter(Dates!K$4,Dates!K$5,'Day1'!$B61)</f>
        <v>0</v>
      </c>
      <c r="L61" s="5">
        <f>averageResponseTimePorter(Dates!L$4,Dates!L$5,'Day1'!$B61)</f>
        <v>0</v>
      </c>
      <c r="M61" s="5">
        <f>averageResponseTimePorter(Dates!M$4,Dates!M$5,'Day1'!$B61)</f>
        <v>0</v>
      </c>
      <c r="N61" s="5">
        <f>averageResponseTimePorter(Dates!N$4,Dates!N$5,'Day1'!$B61)</f>
        <v>0</v>
      </c>
      <c r="O61" s="5">
        <f>averageResponseTimePorter(Dates!O$4,Dates!O$5,'Day1'!$B61)</f>
        <v>0</v>
      </c>
      <c r="P61" s="5">
        <f>averageResponseTimePorter(Dates!P$4,Dates!P$5,'Day1'!$B61)</f>
        <v>0</v>
      </c>
      <c r="Q61" s="5">
        <f>averageResponseTimePorter(Dates!Q$4,Dates!Q$5,'Day1'!$B61)</f>
        <v>0</v>
      </c>
      <c r="R61" s="5">
        <f>averageResponseTimePorter(Dates!R$4,Dates!R$5,'Day1'!$B61)</f>
        <v>0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0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0</v>
      </c>
      <c r="F62" s="5">
        <f>averageResponseTimePorter(Dates!F$4,Dates!F$5,'Day1'!$B62)</f>
        <v>0</v>
      </c>
      <c r="G62" s="5">
        <f>averageResponseTimePorter(Dates!G$4,Dates!G$5,'Day1'!$B62)</f>
        <v>0</v>
      </c>
      <c r="H62" s="5">
        <f>averageResponseTimePorter(Dates!H$4,Dates!H$5,'Day1'!$B62)</f>
        <v>0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0</v>
      </c>
      <c r="L62" s="5">
        <f>averageResponseTimePorter(Dates!L$4,Dates!L$5,'Day1'!$B62)</f>
        <v>0</v>
      </c>
      <c r="M62" s="5">
        <f>averageResponseTimePorter(Dates!M$4,Dates!M$5,'Day1'!$B62)</f>
        <v>0</v>
      </c>
      <c r="N62" s="5">
        <f>averageResponseTimePorter(Dates!N$4,Dates!N$5,'Day1'!$B62)</f>
        <v>0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0</v>
      </c>
      <c r="R62" s="5">
        <f>averageResponseTimePorter(Dates!R$4,Dates!R$5,'Day1'!$B62)</f>
        <v>0</v>
      </c>
      <c r="S62" s="5">
        <f>averageResponseTimePorter(Dates!S$4,Dates!S$5,'Day1'!$B62)</f>
        <v>0</v>
      </c>
      <c r="T62" s="5">
        <f>averageResponseTimePorter(Dates!T$4,Dates!T$5,'Day1'!$B62)</f>
        <v>0</v>
      </c>
      <c r="U62" s="5">
        <f>averageResponseTimePorter(Dates!$C$4,Dates!$T$5,'Day1'!$B8)</f>
        <v>0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0</v>
      </c>
      <c r="F63" s="5">
        <f>averageResponseTimePorter(Dates!F$4,Dates!F$5,'Day1'!$B63)</f>
        <v>0</v>
      </c>
      <c r="G63" s="5">
        <f>averageResponseTimePorter(Dates!G$4,Dates!G$5,'Day1'!$B63)</f>
        <v>0</v>
      </c>
      <c r="H63" s="5">
        <f>averageResponseTimePorter(Dates!H$4,Dates!H$5,'Day1'!$B63)</f>
        <v>0</v>
      </c>
      <c r="I63" s="5">
        <f>averageResponseTimePorter(Dates!I$4,Dates!I$5,'Day1'!$B63)</f>
        <v>0</v>
      </c>
      <c r="J63" s="5">
        <f>averageResponseTimePorter(Dates!J$4,Dates!J$5,'Day1'!$B63)</f>
        <v>0</v>
      </c>
      <c r="K63" s="5">
        <f>averageResponseTimePorter(Dates!K$4,Dates!K$5,'Day1'!$B63)</f>
        <v>0</v>
      </c>
      <c r="L63" s="5">
        <f>averageResponseTimePorter(Dates!L$4,Dates!L$5,'Day1'!$B63)</f>
        <v>0</v>
      </c>
      <c r="M63" s="5">
        <f>averageResponseTimePorter(Dates!M$4,Dates!M$5,'Day1'!$B63)</f>
        <v>0</v>
      </c>
      <c r="N63" s="5">
        <f>averageResponseTimePorter(Dates!N$4,Dates!N$5,'Day1'!$B63)</f>
        <v>0</v>
      </c>
      <c r="O63" s="5">
        <f>averageResponseTimePorter(Dates!O$4,Dates!O$5,'Day1'!$B63)</f>
        <v>0</v>
      </c>
      <c r="P63" s="5">
        <f>averageResponseTimePorter(Dates!P$4,Dates!P$5,'Day1'!$B63)</f>
        <v>0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0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3"/>
  <sheetViews>
    <sheetView topLeftCell="F54" zoomScale="70" zoomScaleNormal="70" workbookViewId="0">
      <selection activeCell="U57" sqref="U57:U81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averageCompletionTime(Dates!C$6,Dates!C$7)</f>
        <v>0</v>
      </c>
      <c r="D2" s="5">
        <f>averageCompletionTime(Dates!D$6,Dates!D$7)</f>
        <v>0</v>
      </c>
      <c r="E2" s="5">
        <f>averageCompletionTime(Dates!E$6,Dates!E$7)</f>
        <v>0</v>
      </c>
      <c r="F2" s="5">
        <f>averageCompletionTime(Dates!F$6,Dates!F$7)</f>
        <v>0</v>
      </c>
      <c r="G2" s="5">
        <f>averageCompletionTime(Dates!G$6,Dates!G$7)</f>
        <v>0</v>
      </c>
      <c r="H2" s="5">
        <f>averageCompletionTime(Dates!H$6,Dates!H$7)</f>
        <v>0</v>
      </c>
      <c r="I2" s="5">
        <f>averageCompletionTime(Dates!I$6,Dates!I$7)</f>
        <v>0</v>
      </c>
      <c r="J2" s="5">
        <f>averageCompletionTime(Dates!J$6,Dates!J$7)</f>
        <v>0</v>
      </c>
      <c r="K2" s="5">
        <f>averageCompletionTime(Dates!K$6,Dates!K$7)</f>
        <v>0</v>
      </c>
      <c r="L2" s="5">
        <f>averageCompletionTime(Dates!L$6,Dates!L$7)</f>
        <v>0</v>
      </c>
      <c r="M2" s="5">
        <f>averageCompletionTime(Dates!M$6,Dates!M$7)</f>
        <v>0</v>
      </c>
      <c r="N2" s="5">
        <f>averageCompletionTime(Dates!N$6,Dates!N$7)</f>
        <v>0</v>
      </c>
      <c r="O2" s="5">
        <f>averageCompletionTime(Dates!O$6,Dates!O$7)</f>
        <v>0</v>
      </c>
      <c r="P2" s="5">
        <f>averageCompletionTime(Dates!P$6,Dates!P$7)</f>
        <v>0</v>
      </c>
      <c r="Q2" s="5">
        <f>averageCompletionTime(Dates!Q$6,Dates!Q$7)</f>
        <v>0</v>
      </c>
      <c r="R2" s="5">
        <f>averageCompletionTime(Dates!R$6,Dates!R$7)</f>
        <v>0</v>
      </c>
      <c r="S2" s="5">
        <f>averageCompletionTime(Dates!S$6,Dates!S$7)</f>
        <v>0</v>
      </c>
      <c r="T2" s="5">
        <f>averageCompletionTime(Dates!T$6,Dates!T$7)</f>
        <v>0</v>
      </c>
      <c r="U2" s="5">
        <f>averageCompletionTime(Dates!C$6,Dates!T$7)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43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44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42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4" spans="2:21" x14ac:dyDescent="0.3">
      <c r="B24" s="8" t="s">
        <v>62</v>
      </c>
      <c r="C24" s="5">
        <f>averageCompletionTimePorter(Dates!C$6,Dates!C$7,'Day2'!$B24)</f>
        <v>0</v>
      </c>
      <c r="D24" s="5">
        <f>averageCompletionTimePorter(Dates!D$6,Dates!D$7,'Day2'!$B24)</f>
        <v>0</v>
      </c>
      <c r="E24" s="5">
        <f>averageCompletionTimePorter(Dates!E$6,Dates!E$7,'Day2'!$B24)</f>
        <v>0</v>
      </c>
      <c r="F24" s="5">
        <f>averageCompletionTimePorter(Dates!F$6,Dates!F$7,'Day2'!$B24)</f>
        <v>0</v>
      </c>
      <c r="G24" s="5">
        <f>averageCompletionTimePorter(Dates!G$6,Dates!G$7,'Day2'!$B24)</f>
        <v>0</v>
      </c>
      <c r="H24" s="5">
        <f>averageCompletionTimePorter(Dates!H$6,Dates!H$7,'Day2'!$B24)</f>
        <v>0</v>
      </c>
      <c r="I24" s="5">
        <f>averageCompletionTimePorter(Dates!I$6,Dates!I$7,'Day2'!$B24)</f>
        <v>0</v>
      </c>
      <c r="J24" s="5">
        <f>averageCompletionTimePorter(Dates!J$6,Dates!J$7,'Day2'!$B24)</f>
        <v>0</v>
      </c>
      <c r="K24" s="5">
        <f>averageCompletionTimePorter(Dates!K$6,Dates!K$7,'Day2'!$B24)</f>
        <v>0</v>
      </c>
      <c r="L24" s="5">
        <f>averageCompletionTimePorter(Dates!L$6,Dates!L$7,'Day2'!$B24)</f>
        <v>0</v>
      </c>
      <c r="M24" s="5">
        <f>averageCompletionTimePorter(Dates!M$6,Dates!M$7,'Day2'!$B24)</f>
        <v>0</v>
      </c>
      <c r="N24" s="5">
        <f>averageCompletionTimePorter(Dates!N$6,Dates!N$7,'Day2'!$B24)</f>
        <v>0</v>
      </c>
      <c r="O24" s="5">
        <f>averageCompletionTimePorter(Dates!O$6,Dates!O$7,'Day2'!$B24)</f>
        <v>0</v>
      </c>
      <c r="P24" s="5">
        <f>averageCompletionTimePorter(Dates!P$6,Dates!P$7,'Day2'!$B24)</f>
        <v>0</v>
      </c>
      <c r="Q24" s="5">
        <f>averageCompletionTimePorter(Dates!Q$6,Dates!Q$7,'Day2'!$B24)</f>
        <v>0</v>
      </c>
      <c r="R24" s="5">
        <f>averageCompletionTimePorter(Dates!R$6,Dates!R$7,'Day2'!$B24)</f>
        <v>0</v>
      </c>
      <c r="S24" s="5">
        <f>averageCompletionTimePorter(Dates!S$6,Dates!S$7,'Day2'!$B24)</f>
        <v>0</v>
      </c>
      <c r="T24" s="5">
        <f>averageCompletionTimePorter(Dates!T$6,Dates!T$7,'Day2'!$B24)</f>
        <v>0</v>
      </c>
      <c r="U24" s="5">
        <f>averageCompletionTimePorter(Dates!$C$6,Dates!$T$7,'Day2'!$B24)</f>
        <v>0</v>
      </c>
    </row>
    <row r="25" spans="2:21" x14ac:dyDescent="0.3">
      <c r="B25" s="8" t="s">
        <v>63</v>
      </c>
      <c r="C25" s="5">
        <f>averageCompletionTimePorter(Dates!C$6,Dates!C$7,'Day2'!$B25)</f>
        <v>0</v>
      </c>
      <c r="D25" s="5">
        <f>averageCompletionTimePorter(Dates!D$6,Dates!D$7,'Day2'!$B25)</f>
        <v>0</v>
      </c>
      <c r="E25" s="5">
        <f>averageCompletionTimePorter(Dates!E$6,Dates!E$7,'Day2'!$B25)</f>
        <v>0</v>
      </c>
      <c r="F25" s="5">
        <f>averageCompletionTimePorter(Dates!F$6,Dates!F$7,'Day2'!$B25)</f>
        <v>0</v>
      </c>
      <c r="G25" s="5">
        <f>averageCompletionTimePorter(Dates!G$6,Dates!G$7,'Day2'!$B25)</f>
        <v>0</v>
      </c>
      <c r="H25" s="5">
        <f>averageCompletionTimePorter(Dates!H$6,Dates!H$7,'Day2'!$B25)</f>
        <v>0</v>
      </c>
      <c r="I25" s="5">
        <f>averageCompletionTimePorter(Dates!I$6,Dates!I$7,'Day2'!$B25)</f>
        <v>0</v>
      </c>
      <c r="J25" s="5">
        <f>averageCompletionTimePorter(Dates!J$6,Dates!J$7,'Day2'!$B25)</f>
        <v>0</v>
      </c>
      <c r="K25" s="5">
        <f>averageCompletionTimePorter(Dates!K$6,Dates!K$7,'Day2'!$B25)</f>
        <v>0</v>
      </c>
      <c r="L25" s="5">
        <f>averageCompletionTimePorter(Dates!L$6,Dates!L$7,'Day2'!$B25)</f>
        <v>0</v>
      </c>
      <c r="M25" s="5">
        <f>averageCompletionTimePorter(Dates!M$6,Dates!M$7,'Day2'!$B25)</f>
        <v>0</v>
      </c>
      <c r="N25" s="5">
        <f>averageCompletionTimePorter(Dates!N$6,Dates!N$7,'Day2'!$B25)</f>
        <v>0</v>
      </c>
      <c r="O25" s="5">
        <f>averageCompletionTimePorter(Dates!O$6,Dates!O$7,'Day2'!$B25)</f>
        <v>0</v>
      </c>
      <c r="P25" s="5">
        <f>averageCompletionTimePorter(Dates!P$6,Dates!P$7,'Day2'!$B25)</f>
        <v>0</v>
      </c>
      <c r="Q25" s="5">
        <f>averageCompletionTimePorter(Dates!Q$6,Dates!Q$7,'Day2'!$B25)</f>
        <v>0</v>
      </c>
      <c r="R25" s="5">
        <f>averageCompletionTimePorter(Dates!R$6,Dates!R$7,'Day2'!$B25)</f>
        <v>0</v>
      </c>
      <c r="S25" s="5">
        <f>averageCompletionTimePorter(Dates!S$6,Dates!S$7,'Day2'!$B25)</f>
        <v>0</v>
      </c>
      <c r="T25" s="5">
        <f>averageCompletionTimePorter(Dates!T$6,Dates!T$7,'Day2'!$B25)</f>
        <v>0</v>
      </c>
      <c r="U25" s="5">
        <f>averageCompletionTimePorter(Dates!$C$6,Dates!$T$7,'Day2'!$B25)</f>
        <v>0</v>
      </c>
    </row>
    <row r="26" spans="2:21" x14ac:dyDescent="0.3">
      <c r="B26" s="8" t="s">
        <v>64</v>
      </c>
      <c r="C26" s="5">
        <f>averageCompletionTimePorter(Dates!C$6,Dates!C$7,'Day2'!$B26)</f>
        <v>0</v>
      </c>
      <c r="D26" s="5">
        <f>averageCompletionTimePorter(Dates!D$6,Dates!D$7,'Day2'!$B26)</f>
        <v>0</v>
      </c>
      <c r="E26" s="5">
        <f>averageCompletionTimePorter(Dates!E$6,Dates!E$7,'Day2'!$B26)</f>
        <v>0</v>
      </c>
      <c r="F26" s="5">
        <f>averageCompletionTimePorter(Dates!F$6,Dates!F$7,'Day2'!$B26)</f>
        <v>0</v>
      </c>
      <c r="G26" s="5">
        <f>averageCompletionTimePorter(Dates!G$6,Dates!G$7,'Day2'!$B26)</f>
        <v>0</v>
      </c>
      <c r="H26" s="5">
        <f>averageCompletionTimePorter(Dates!H$6,Dates!H$7,'Day2'!$B26)</f>
        <v>0</v>
      </c>
      <c r="I26" s="5">
        <f>averageCompletionTimePorter(Dates!I$6,Dates!I$7,'Day2'!$B26)</f>
        <v>0</v>
      </c>
      <c r="J26" s="5">
        <f>averageCompletionTimePorter(Dates!J$6,Dates!J$7,'Day2'!$B26)</f>
        <v>0</v>
      </c>
      <c r="K26" s="5">
        <f>averageCompletionTimePorter(Dates!K$6,Dates!K$7,'Day2'!$B26)</f>
        <v>0</v>
      </c>
      <c r="L26" s="5">
        <f>averageCompletionTimePorter(Dates!L$6,Dates!L$7,'Day2'!$B26)</f>
        <v>0</v>
      </c>
      <c r="M26" s="5">
        <f>averageCompletionTimePorter(Dates!M$6,Dates!M$7,'Day2'!$B26)</f>
        <v>0</v>
      </c>
      <c r="N26" s="5">
        <f>averageCompletionTimePorter(Dates!N$6,Dates!N$7,'Day2'!$B26)</f>
        <v>0</v>
      </c>
      <c r="O26" s="5">
        <f>averageCompletionTimePorter(Dates!O$6,Dates!O$7,'Day2'!$B26)</f>
        <v>0</v>
      </c>
      <c r="P26" s="5">
        <f>averageCompletionTimePorter(Dates!P$6,Dates!P$7,'Day2'!$B26)</f>
        <v>0</v>
      </c>
      <c r="Q26" s="5">
        <f>averageCompletionTimePorter(Dates!Q$6,Dates!Q$7,'Day2'!$B26)</f>
        <v>0</v>
      </c>
      <c r="R26" s="5">
        <f>averageCompletionTimePorter(Dates!R$6,Dates!R$7,'Day2'!$B26)</f>
        <v>0</v>
      </c>
      <c r="S26" s="5">
        <f>averageCompletionTimePorter(Dates!S$6,Dates!S$7,'Day2'!$B26)</f>
        <v>0</v>
      </c>
      <c r="T26" s="5">
        <f>averageCompletionTimePorter(Dates!T$6,Dates!T$7,'Day2'!$B26)</f>
        <v>0</v>
      </c>
      <c r="U26" s="5">
        <f>averageCompletionTimePorter(Dates!$C$6,Dates!$T$7,'Day2'!$B26)</f>
        <v>0</v>
      </c>
    </row>
    <row r="27" spans="2:21" x14ac:dyDescent="0.3">
      <c r="B27" s="8" t="s">
        <v>65</v>
      </c>
      <c r="C27" s="5">
        <f>averageCompletionTimePorter(Dates!C$6,Dates!C$7,'Day2'!$B27)</f>
        <v>0</v>
      </c>
      <c r="D27" s="5">
        <f>averageCompletionTimePorter(Dates!D$6,Dates!D$7,'Day2'!$B27)</f>
        <v>0</v>
      </c>
      <c r="E27" s="5">
        <f>averageCompletionTimePorter(Dates!E$6,Dates!E$7,'Day2'!$B27)</f>
        <v>0</v>
      </c>
      <c r="F27" s="5">
        <f>averageCompletionTimePorter(Dates!F$6,Dates!F$7,'Day2'!$B27)</f>
        <v>0</v>
      </c>
      <c r="G27" s="5">
        <f>averageCompletionTimePorter(Dates!G$6,Dates!G$7,'Day2'!$B27)</f>
        <v>0</v>
      </c>
      <c r="H27" s="5">
        <f>averageCompletionTimePorter(Dates!H$6,Dates!H$7,'Day2'!$B27)</f>
        <v>0</v>
      </c>
      <c r="I27" s="5">
        <f>averageCompletionTimePorter(Dates!I$6,Dates!I$7,'Day2'!$B27)</f>
        <v>0</v>
      </c>
      <c r="J27" s="5">
        <f>averageCompletionTimePorter(Dates!J$6,Dates!J$7,'Day2'!$B27)</f>
        <v>0</v>
      </c>
      <c r="K27" s="5">
        <f>averageCompletionTimePorter(Dates!K$6,Dates!K$7,'Day2'!$B27)</f>
        <v>0</v>
      </c>
      <c r="L27" s="5">
        <f>averageCompletionTimePorter(Dates!L$6,Dates!L$7,'Day2'!$B27)</f>
        <v>0</v>
      </c>
      <c r="M27" s="5">
        <f>averageCompletionTimePorter(Dates!M$6,Dates!M$7,'Day2'!$B27)</f>
        <v>0</v>
      </c>
      <c r="N27" s="5">
        <f>averageCompletionTimePorter(Dates!N$6,Dates!N$7,'Day2'!$B27)</f>
        <v>0</v>
      </c>
      <c r="O27" s="5">
        <f>averageCompletionTimePorter(Dates!O$6,Dates!O$7,'Day2'!$B27)</f>
        <v>0</v>
      </c>
      <c r="P27" s="5">
        <f>averageCompletionTimePorter(Dates!P$6,Dates!P$7,'Day2'!$B27)</f>
        <v>0</v>
      </c>
      <c r="Q27" s="5">
        <f>averageCompletionTimePorter(Dates!Q$6,Dates!Q$7,'Day2'!$B27)</f>
        <v>0</v>
      </c>
      <c r="R27" s="5">
        <f>averageCompletionTimePorter(Dates!R$6,Dates!R$7,'Day2'!$B27)</f>
        <v>0</v>
      </c>
      <c r="S27" s="5">
        <f>averageCompletionTimePorter(Dates!S$6,Dates!S$7,'Day2'!$B27)</f>
        <v>0</v>
      </c>
      <c r="T27" s="5">
        <f>averageCompletionTimePorter(Dates!T$6,Dates!T$7,'Day2'!$B27)</f>
        <v>0</v>
      </c>
      <c r="U27" s="5">
        <f>averageCompletionTimePorter(Dates!$C$6,Dates!$T$7,'Day2'!$B27)</f>
        <v>0</v>
      </c>
    </row>
    <row r="29" spans="2:21" x14ac:dyDescent="0.3">
      <c r="B29" s="7" t="s">
        <v>66</v>
      </c>
      <c r="C29">
        <f>totalNumberOfJobsCompleted(Dates!C$6,Dates!C$7)</f>
        <v>0</v>
      </c>
      <c r="D29">
        <f>totalNumberOfJobsCompleted(Dates!D$6,Dates!D$7)</f>
        <v>0</v>
      </c>
      <c r="E29">
        <f>totalNumberOfJobsCompleted(Dates!E$6,Dates!E$7)</f>
        <v>0</v>
      </c>
      <c r="F29">
        <f>totalNumberOfJobsCompleted(Dates!F$6,Dates!F$7)</f>
        <v>0</v>
      </c>
      <c r="G29">
        <f>totalNumberOfJobsCompleted(Dates!G$6,Dates!G$7)</f>
        <v>0</v>
      </c>
      <c r="H29">
        <f>totalNumberOfJobsCompleted(Dates!H$6,Dates!H$7)</f>
        <v>0</v>
      </c>
      <c r="I29">
        <f>totalNumberOfJobsCompleted(Dates!I$6,Dates!I$7)</f>
        <v>0</v>
      </c>
      <c r="J29">
        <f>totalNumberOfJobsCompleted(Dates!J$6,Dates!J$7)</f>
        <v>0</v>
      </c>
      <c r="K29">
        <f>totalNumberOfJobsCompleted(Dates!K$6,Dates!K$7)</f>
        <v>0</v>
      </c>
      <c r="L29">
        <f>totalNumberOfJobsCompleted(Dates!L$6,Dates!L$7)</f>
        <v>0</v>
      </c>
      <c r="M29">
        <f>totalNumberOfJobsCompleted(Dates!M$6,Dates!M$7)</f>
        <v>0</v>
      </c>
      <c r="N29">
        <f>totalNumberOfJobsCompleted(Dates!N$6,Dates!N$7)</f>
        <v>0</v>
      </c>
      <c r="O29">
        <f>totalNumberOfJobsCompleted(Dates!O$6,Dates!O$7)</f>
        <v>0</v>
      </c>
      <c r="P29">
        <f>totalNumberOfJobsCompleted(Dates!P$6,Dates!P$7)</f>
        <v>0</v>
      </c>
      <c r="Q29">
        <f>totalNumberOfJobsCompleted(Dates!Q$6,Dates!Q$7)</f>
        <v>0</v>
      </c>
      <c r="R29">
        <f>totalNumberOfJobsCompleted(Dates!R$6,Dates!R$7)</f>
        <v>0</v>
      </c>
      <c r="S29">
        <f>totalNumberOfJobsCompleted(Dates!S$6,Dates!S$7)</f>
        <v>0</v>
      </c>
      <c r="T29">
        <f>totalNumberOfJobsCompleted(Dates!T$6,Dates!T$7)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totalNumberOfJobsCompletedPorter(Dates!C$6,Dates!C$7,'Day2'!$B30)</f>
        <v>0</v>
      </c>
      <c r="D30">
        <f>totalNumberOfJobsCompletedPorter(Dates!D$6,Dates!D$7,'Day2'!$B30)</f>
        <v>0</v>
      </c>
      <c r="E30">
        <f>totalNumberOfJobsCompletedPorter(Dates!E$6,Dates!E$7,'Day2'!$B30)</f>
        <v>0</v>
      </c>
      <c r="F30">
        <f>totalNumberOfJobsCompletedPorter(Dates!F$6,Dates!F$7,'Day2'!$B30)</f>
        <v>0</v>
      </c>
      <c r="G30">
        <f>totalNumberOfJobsCompletedPorter(Dates!G$6,Dates!G$7,'Day2'!$B30)</f>
        <v>0</v>
      </c>
      <c r="H30">
        <f>totalNumberOfJobsCompletedPorter(Dates!H$6,Dates!H$7,'Day2'!$B30)</f>
        <v>0</v>
      </c>
      <c r="I30">
        <f>totalNumberOfJobsCompletedPorter(Dates!I$6,Dates!I$7,'Day2'!$B30)</f>
        <v>0</v>
      </c>
      <c r="J30">
        <f>totalNumberOfJobsCompletedPorter(Dates!J$6,Dates!J$7,'Day2'!$B30)</f>
        <v>0</v>
      </c>
      <c r="K30">
        <f>totalNumberOfJobsCompletedPorter(Dates!K$6,Dates!K$7,'Day2'!$B30)</f>
        <v>0</v>
      </c>
      <c r="L30">
        <f>totalNumberOfJobsCompletedPorter(Dates!L$6,Dates!L$7,'Day2'!$B30)</f>
        <v>0</v>
      </c>
      <c r="M30">
        <f>totalNumberOfJobsCompletedPorter(Dates!M$6,Dates!M$7,'Day2'!$B30)</f>
        <v>0</v>
      </c>
      <c r="N30">
        <f>totalNumberOfJobsCompletedPorter(Dates!N$6,Dates!N$7,'Day2'!$B30)</f>
        <v>0</v>
      </c>
      <c r="O30">
        <f>totalNumberOfJobsCompletedPorter(Dates!O$6,Dates!O$7,'Day2'!$B30)</f>
        <v>0</v>
      </c>
      <c r="P30">
        <f>totalNumberOfJobsCompletedPorter(Dates!P$6,Dates!P$7,'Day2'!$B30)</f>
        <v>0</v>
      </c>
      <c r="Q30">
        <f>totalNumberOfJobsCompletedPorter(Dates!Q$6,Dates!Q$7,'Day2'!$B30)</f>
        <v>0</v>
      </c>
      <c r="R30">
        <f>totalNumberOfJobsCompletedPorter(Dates!R$6,Dates!R$7,'Day2'!$B30)</f>
        <v>0</v>
      </c>
      <c r="S30">
        <f>totalNumberOfJobsCompletedPorter(Dates!S$6,Dates!S$7,'Day2'!$B30)</f>
        <v>0</v>
      </c>
      <c r="T30">
        <f>totalNumberOfJobsCompletedPorter(Dates!T$6,Dates!T$7,'Day2'!$B30)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totalNumberOfJobsCompletedPorter(Dates!C$6,Dates!C$7,'Day2'!$B31)</f>
        <v>0</v>
      </c>
      <c r="D31">
        <f>totalNumberOfJobsCompletedPorter(Dates!D$6,Dates!D$7,'Day2'!$B31)</f>
        <v>0</v>
      </c>
      <c r="E31">
        <f>totalNumberOfJobsCompletedPorter(Dates!E$6,Dates!E$7,'Day2'!$B31)</f>
        <v>0</v>
      </c>
      <c r="F31">
        <f>totalNumberOfJobsCompletedPorter(Dates!F$6,Dates!F$7,'Day2'!$B31)</f>
        <v>0</v>
      </c>
      <c r="G31">
        <f>totalNumberOfJobsCompletedPorter(Dates!G$6,Dates!G$7,'Day2'!$B31)</f>
        <v>0</v>
      </c>
      <c r="H31">
        <f>totalNumberOfJobsCompletedPorter(Dates!H$6,Dates!H$7,'Day2'!$B31)</f>
        <v>0</v>
      </c>
      <c r="I31">
        <f>totalNumberOfJobsCompletedPorter(Dates!I$6,Dates!I$7,'Day2'!$B31)</f>
        <v>0</v>
      </c>
      <c r="J31">
        <f>totalNumberOfJobsCompletedPorter(Dates!J$6,Dates!J$7,'Day2'!$B31)</f>
        <v>0</v>
      </c>
      <c r="K31">
        <f>totalNumberOfJobsCompletedPorter(Dates!K$6,Dates!K$7,'Day2'!$B31)</f>
        <v>0</v>
      </c>
      <c r="L31">
        <f>totalNumberOfJobsCompletedPorter(Dates!L$6,Dates!L$7,'Day2'!$B31)</f>
        <v>0</v>
      </c>
      <c r="M31">
        <f>totalNumberOfJobsCompletedPorter(Dates!M$6,Dates!M$7,'Day2'!$B31)</f>
        <v>0</v>
      </c>
      <c r="N31">
        <f>totalNumberOfJobsCompletedPorter(Dates!N$6,Dates!N$7,'Day2'!$B31)</f>
        <v>0</v>
      </c>
      <c r="O31">
        <f>totalNumberOfJobsCompletedPorter(Dates!O$6,Dates!O$7,'Day2'!$B31)</f>
        <v>0</v>
      </c>
      <c r="P31">
        <f>totalNumberOfJobsCompletedPorter(Dates!P$6,Dates!P$7,'Day2'!$B31)</f>
        <v>0</v>
      </c>
      <c r="Q31">
        <f>totalNumberOfJobsCompletedPorter(Dates!Q$6,Dates!Q$7,'Day2'!$B31)</f>
        <v>0</v>
      </c>
      <c r="R31">
        <f>totalNumberOfJobsCompletedPorter(Dates!R$6,Dates!R$7,'Day2'!$B31)</f>
        <v>0</v>
      </c>
      <c r="S31">
        <f>totalNumberOfJobsCompletedPorter(Dates!S$6,Dates!S$7,'Day2'!$B31)</f>
        <v>0</v>
      </c>
      <c r="T31">
        <f>totalNumberOfJobsCompletedPorter(Dates!T$6,Dates!T$7,'Day2'!$B31)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totalNumberOfJobsCompletedPorter(Dates!C$6,Dates!C$7,'Day2'!$B32)</f>
        <v>0</v>
      </c>
      <c r="D32">
        <f>totalNumberOfJobsCompletedPorter(Dates!D$6,Dates!D$7,'Day2'!$B32)</f>
        <v>0</v>
      </c>
      <c r="E32">
        <f>totalNumberOfJobsCompletedPorter(Dates!E$6,Dates!E$7,'Day2'!$B32)</f>
        <v>0</v>
      </c>
      <c r="F32">
        <f>totalNumberOfJobsCompletedPorter(Dates!F$6,Dates!F$7,'Day2'!$B32)</f>
        <v>0</v>
      </c>
      <c r="G32">
        <f>totalNumberOfJobsCompletedPorter(Dates!G$6,Dates!G$7,'Day2'!$B32)</f>
        <v>0</v>
      </c>
      <c r="H32">
        <f>totalNumberOfJobsCompletedPorter(Dates!H$6,Dates!H$7,'Day2'!$B32)</f>
        <v>0</v>
      </c>
      <c r="I32">
        <f>totalNumberOfJobsCompletedPorter(Dates!I$6,Dates!I$7,'Day2'!$B32)</f>
        <v>0</v>
      </c>
      <c r="J32">
        <f>totalNumberOfJobsCompletedPorter(Dates!J$6,Dates!J$7,'Day2'!$B32)</f>
        <v>0</v>
      </c>
      <c r="K32">
        <f>totalNumberOfJobsCompletedPorter(Dates!K$6,Dates!K$7,'Day2'!$B32)</f>
        <v>0</v>
      </c>
      <c r="L32">
        <f>totalNumberOfJobsCompletedPorter(Dates!L$6,Dates!L$7,'Day2'!$B32)</f>
        <v>0</v>
      </c>
      <c r="M32">
        <f>totalNumberOfJobsCompletedPorter(Dates!M$6,Dates!M$7,'Day2'!$B32)</f>
        <v>0</v>
      </c>
      <c r="N32">
        <f>totalNumberOfJobsCompletedPorter(Dates!N$6,Dates!N$7,'Day2'!$B32)</f>
        <v>0</v>
      </c>
      <c r="O32">
        <f>totalNumberOfJobsCompletedPorter(Dates!O$6,Dates!O$7,'Day2'!$B32)</f>
        <v>0</v>
      </c>
      <c r="P32">
        <f>totalNumberOfJobsCompletedPorter(Dates!P$6,Dates!P$7,'Day2'!$B32)</f>
        <v>0</v>
      </c>
      <c r="Q32">
        <f>totalNumberOfJobsCompletedPorter(Dates!Q$6,Dates!Q$7,'Day2'!$B32)</f>
        <v>0</v>
      </c>
      <c r="R32">
        <f>totalNumberOfJobsCompletedPorter(Dates!R$6,Dates!R$7,'Day2'!$B32)</f>
        <v>0</v>
      </c>
      <c r="S32">
        <f>totalNumberOfJobsCompletedPorter(Dates!S$6,Dates!S$7,'Day2'!$B32)</f>
        <v>0</v>
      </c>
      <c r="T32">
        <f>totalNumberOfJobsCompletedPorter(Dates!T$6,Dates!T$7,'Day2'!$B32)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totalNumberOfJobsCompletedPorter(Dates!C$6,Dates!C$7,'Day2'!$B33)</f>
        <v>0</v>
      </c>
      <c r="D33">
        <f>totalNumberOfJobsCompletedPorter(Dates!D$6,Dates!D$7,'Day2'!$B33)</f>
        <v>0</v>
      </c>
      <c r="E33">
        <f>totalNumberOfJobsCompletedPorter(Dates!E$6,Dates!E$7,'Day2'!$B33)</f>
        <v>0</v>
      </c>
      <c r="F33">
        <f>totalNumberOfJobsCompletedPorter(Dates!F$6,Dates!F$7,'Day2'!$B33)</f>
        <v>0</v>
      </c>
      <c r="G33">
        <f>totalNumberOfJobsCompletedPorter(Dates!G$6,Dates!G$7,'Day2'!$B33)</f>
        <v>0</v>
      </c>
      <c r="H33">
        <f>totalNumberOfJobsCompletedPorter(Dates!H$6,Dates!H$7,'Day2'!$B33)</f>
        <v>0</v>
      </c>
      <c r="I33">
        <f>totalNumberOfJobsCompletedPorter(Dates!I$6,Dates!I$7,'Day2'!$B33)</f>
        <v>0</v>
      </c>
      <c r="J33">
        <f>totalNumberOfJobsCompletedPorter(Dates!J$6,Dates!J$7,'Day2'!$B33)</f>
        <v>0</v>
      </c>
      <c r="K33">
        <f>totalNumberOfJobsCompletedPorter(Dates!K$6,Dates!K$7,'Day2'!$B33)</f>
        <v>0</v>
      </c>
      <c r="L33">
        <f>totalNumberOfJobsCompletedPorter(Dates!L$6,Dates!L$7,'Day2'!$B33)</f>
        <v>0</v>
      </c>
      <c r="M33">
        <f>totalNumberOfJobsCompletedPorter(Dates!M$6,Dates!M$7,'Day2'!$B33)</f>
        <v>0</v>
      </c>
      <c r="N33">
        <f>totalNumberOfJobsCompletedPorter(Dates!N$6,Dates!N$7,'Day2'!$B33)</f>
        <v>0</v>
      </c>
      <c r="O33">
        <f>totalNumberOfJobsCompletedPorter(Dates!O$6,Dates!O$7,'Day2'!$B33)</f>
        <v>0</v>
      </c>
      <c r="P33">
        <f>totalNumberOfJobsCompletedPorter(Dates!P$6,Dates!P$7,'Day2'!$B33)</f>
        <v>0</v>
      </c>
      <c r="Q33">
        <f>totalNumberOfJobsCompletedPorter(Dates!Q$6,Dates!Q$7,'Day2'!$B33)</f>
        <v>0</v>
      </c>
      <c r="R33">
        <f>totalNumberOfJobsCompletedPorter(Dates!R$6,Dates!R$7,'Day2'!$B33)</f>
        <v>0</v>
      </c>
      <c r="S33">
        <f>totalNumberOfJobsCompletedPorter(Dates!S$6,Dates!S$7,'Day2'!$B33)</f>
        <v>0</v>
      </c>
      <c r="T33">
        <f>totalNumberOfJobsCompletedPorter(Dates!T$6,Dates!T$7,'Day2'!$B33)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totalNumberOfJobsCompletedPorter(Dates!C$6,Dates!C$7,'Day2'!$B34)</f>
        <v>0</v>
      </c>
      <c r="D34">
        <f>totalNumberOfJobsCompletedPorter(Dates!D$6,Dates!D$7,'Day2'!$B34)</f>
        <v>0</v>
      </c>
      <c r="E34">
        <f>totalNumberOfJobsCompletedPorter(Dates!E$6,Dates!E$7,'Day2'!$B34)</f>
        <v>0</v>
      </c>
      <c r="F34">
        <f>totalNumberOfJobsCompletedPorter(Dates!F$6,Dates!F$7,'Day2'!$B34)</f>
        <v>0</v>
      </c>
      <c r="G34">
        <f>totalNumberOfJobsCompletedPorter(Dates!G$6,Dates!G$7,'Day2'!$B34)</f>
        <v>0</v>
      </c>
      <c r="H34">
        <f>totalNumberOfJobsCompletedPorter(Dates!H$6,Dates!H$7,'Day2'!$B34)</f>
        <v>0</v>
      </c>
      <c r="I34">
        <f>totalNumberOfJobsCompletedPorter(Dates!I$6,Dates!I$7,'Day2'!$B34)</f>
        <v>0</v>
      </c>
      <c r="J34">
        <f>totalNumberOfJobsCompletedPorter(Dates!J$6,Dates!J$7,'Day2'!$B34)</f>
        <v>0</v>
      </c>
      <c r="K34">
        <f>totalNumberOfJobsCompletedPorter(Dates!K$6,Dates!K$7,'Day2'!$B34)</f>
        <v>0</v>
      </c>
      <c r="L34">
        <f>totalNumberOfJobsCompletedPorter(Dates!L$6,Dates!L$7,'Day2'!$B34)</f>
        <v>0</v>
      </c>
      <c r="M34">
        <f>totalNumberOfJobsCompletedPorter(Dates!M$6,Dates!M$7,'Day2'!$B34)</f>
        <v>0</v>
      </c>
      <c r="N34">
        <f>totalNumberOfJobsCompletedPorter(Dates!N$6,Dates!N$7,'Day2'!$B34)</f>
        <v>0</v>
      </c>
      <c r="O34">
        <f>totalNumberOfJobsCompletedPorter(Dates!O$6,Dates!O$7,'Day2'!$B34)</f>
        <v>0</v>
      </c>
      <c r="P34">
        <f>totalNumberOfJobsCompletedPorter(Dates!P$6,Dates!P$7,'Day2'!$B34)</f>
        <v>0</v>
      </c>
      <c r="Q34">
        <f>totalNumberOfJobsCompletedPorter(Dates!Q$6,Dates!Q$7,'Day2'!$B34)</f>
        <v>0</v>
      </c>
      <c r="R34">
        <f>totalNumberOfJobsCompletedPorter(Dates!R$6,Dates!R$7,'Day2'!$B34)</f>
        <v>0</v>
      </c>
      <c r="S34">
        <f>totalNumberOfJobsCompletedPorter(Dates!S$6,Dates!S$7,'Day2'!$B34)</f>
        <v>0</v>
      </c>
      <c r="T34">
        <f>totalNumberOfJobsCompletedPorter(Dates!T$6,Dates!T$7,'Day2'!$B34)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totalNumberOfJobsCompletedPorter(Dates!C$6,Dates!C$7,'Day2'!$B35)</f>
        <v>0</v>
      </c>
      <c r="D35">
        <f>totalNumberOfJobsCompletedPorter(Dates!D$6,Dates!D$7,'Day2'!$B35)</f>
        <v>0</v>
      </c>
      <c r="E35">
        <f>totalNumberOfJobsCompletedPorter(Dates!E$6,Dates!E$7,'Day2'!$B35)</f>
        <v>0</v>
      </c>
      <c r="F35">
        <f>totalNumberOfJobsCompletedPorter(Dates!F$6,Dates!F$7,'Day2'!$B35)</f>
        <v>0</v>
      </c>
      <c r="G35">
        <f>totalNumberOfJobsCompletedPorter(Dates!G$6,Dates!G$7,'Day2'!$B35)</f>
        <v>0</v>
      </c>
      <c r="H35">
        <f>totalNumberOfJobsCompletedPorter(Dates!H$6,Dates!H$7,'Day2'!$B35)</f>
        <v>0</v>
      </c>
      <c r="I35">
        <f>totalNumberOfJobsCompletedPorter(Dates!I$6,Dates!I$7,'Day2'!$B35)</f>
        <v>0</v>
      </c>
      <c r="J35">
        <f>totalNumberOfJobsCompletedPorter(Dates!J$6,Dates!J$7,'Day2'!$B35)</f>
        <v>0</v>
      </c>
      <c r="K35">
        <f>totalNumberOfJobsCompletedPorter(Dates!K$6,Dates!K$7,'Day2'!$B35)</f>
        <v>0</v>
      </c>
      <c r="L35">
        <f>totalNumberOfJobsCompletedPorter(Dates!L$6,Dates!L$7,'Day2'!$B35)</f>
        <v>0</v>
      </c>
      <c r="M35">
        <f>totalNumberOfJobsCompletedPorter(Dates!M$6,Dates!M$7,'Day2'!$B35)</f>
        <v>0</v>
      </c>
      <c r="N35">
        <f>totalNumberOfJobsCompletedPorter(Dates!N$6,Dates!N$7,'Day2'!$B35)</f>
        <v>0</v>
      </c>
      <c r="O35">
        <f>totalNumberOfJobsCompletedPorter(Dates!O$6,Dates!O$7,'Day2'!$B35)</f>
        <v>0</v>
      </c>
      <c r="P35">
        <f>totalNumberOfJobsCompletedPorter(Dates!P$6,Dates!P$7,'Day2'!$B35)</f>
        <v>0</v>
      </c>
      <c r="Q35">
        <f>totalNumberOfJobsCompletedPorter(Dates!Q$6,Dates!Q$7,'Day2'!$B35)</f>
        <v>0</v>
      </c>
      <c r="R35">
        <f>totalNumberOfJobsCompletedPorter(Dates!R$6,Dates!R$7,'Day2'!$B35)</f>
        <v>0</v>
      </c>
      <c r="S35">
        <f>totalNumberOfJobsCompletedPorter(Dates!S$6,Dates!S$7,'Day2'!$B35)</f>
        <v>0</v>
      </c>
      <c r="T35">
        <f>totalNumberOfJobsCompletedPorter(Dates!T$6,Dates!T$7,'Day2'!$B35)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totalNumberOfJobsCompletedPorter(Dates!C$6,Dates!C$7,'Day2'!$B36)</f>
        <v>0</v>
      </c>
      <c r="D36">
        <f>totalNumberOfJobsCompletedPorter(Dates!D$6,Dates!D$7,'Day2'!$B36)</f>
        <v>0</v>
      </c>
      <c r="E36">
        <f>totalNumberOfJobsCompletedPorter(Dates!E$6,Dates!E$7,'Day2'!$B36)</f>
        <v>0</v>
      </c>
      <c r="F36">
        <f>totalNumberOfJobsCompletedPorter(Dates!F$6,Dates!F$7,'Day2'!$B36)</f>
        <v>0</v>
      </c>
      <c r="G36">
        <f>totalNumberOfJobsCompletedPorter(Dates!G$6,Dates!G$7,'Day2'!$B36)</f>
        <v>0</v>
      </c>
      <c r="H36">
        <f>totalNumberOfJobsCompletedPorter(Dates!H$6,Dates!H$7,'Day2'!$B36)</f>
        <v>0</v>
      </c>
      <c r="I36">
        <f>totalNumberOfJobsCompletedPorter(Dates!I$6,Dates!I$7,'Day2'!$B36)</f>
        <v>0</v>
      </c>
      <c r="J36">
        <f>totalNumberOfJobsCompletedPorter(Dates!J$6,Dates!J$7,'Day2'!$B36)</f>
        <v>0</v>
      </c>
      <c r="K36">
        <f>totalNumberOfJobsCompletedPorter(Dates!K$6,Dates!K$7,'Day2'!$B36)</f>
        <v>0</v>
      </c>
      <c r="L36">
        <f>totalNumberOfJobsCompletedPorter(Dates!L$6,Dates!L$7,'Day2'!$B36)</f>
        <v>0</v>
      </c>
      <c r="M36">
        <f>totalNumberOfJobsCompletedPorter(Dates!M$6,Dates!M$7,'Day2'!$B36)</f>
        <v>0</v>
      </c>
      <c r="N36">
        <f>totalNumberOfJobsCompletedPorter(Dates!N$6,Dates!N$7,'Day2'!$B36)</f>
        <v>0</v>
      </c>
      <c r="O36">
        <f>totalNumberOfJobsCompletedPorter(Dates!O$6,Dates!O$7,'Day2'!$B36)</f>
        <v>0</v>
      </c>
      <c r="P36">
        <f>totalNumberOfJobsCompletedPorter(Dates!P$6,Dates!P$7,'Day2'!$B36)</f>
        <v>0</v>
      </c>
      <c r="Q36">
        <f>totalNumberOfJobsCompletedPorter(Dates!Q$6,Dates!Q$7,'Day2'!$B36)</f>
        <v>0</v>
      </c>
      <c r="R36">
        <f>totalNumberOfJobsCompletedPorter(Dates!R$6,Dates!R$7,'Day2'!$B36)</f>
        <v>0</v>
      </c>
      <c r="S36">
        <f>totalNumberOfJobsCompletedPorter(Dates!S$6,Dates!S$7,'Day2'!$B36)</f>
        <v>0</v>
      </c>
      <c r="T36">
        <f>totalNumberOfJobsCompletedPorter(Dates!T$6,Dates!T$7,'Day2'!$B36)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totalNumberOfJobsCompletedPorter(Dates!C$6,Dates!C$7,'Day2'!$B37)</f>
        <v>0</v>
      </c>
      <c r="D37">
        <f>totalNumberOfJobsCompletedPorter(Dates!D$6,Dates!D$7,'Day2'!$B37)</f>
        <v>0</v>
      </c>
      <c r="E37">
        <f>totalNumberOfJobsCompletedPorter(Dates!E$6,Dates!E$7,'Day2'!$B37)</f>
        <v>0</v>
      </c>
      <c r="F37">
        <f>totalNumberOfJobsCompletedPorter(Dates!F$6,Dates!F$7,'Day2'!$B37)</f>
        <v>0</v>
      </c>
      <c r="G37">
        <f>totalNumberOfJobsCompletedPorter(Dates!G$6,Dates!G$7,'Day2'!$B37)</f>
        <v>0</v>
      </c>
      <c r="H37">
        <f>totalNumberOfJobsCompletedPorter(Dates!H$6,Dates!H$7,'Day2'!$B37)</f>
        <v>0</v>
      </c>
      <c r="I37">
        <f>totalNumberOfJobsCompletedPorter(Dates!I$6,Dates!I$7,'Day2'!$B37)</f>
        <v>0</v>
      </c>
      <c r="J37">
        <f>totalNumberOfJobsCompletedPorter(Dates!J$6,Dates!J$7,'Day2'!$B37)</f>
        <v>0</v>
      </c>
      <c r="K37">
        <f>totalNumberOfJobsCompletedPorter(Dates!K$6,Dates!K$7,'Day2'!$B37)</f>
        <v>0</v>
      </c>
      <c r="L37">
        <f>totalNumberOfJobsCompletedPorter(Dates!L$6,Dates!L$7,'Day2'!$B37)</f>
        <v>0</v>
      </c>
      <c r="M37">
        <f>totalNumberOfJobsCompletedPorter(Dates!M$6,Dates!M$7,'Day2'!$B37)</f>
        <v>0</v>
      </c>
      <c r="N37">
        <f>totalNumberOfJobsCompletedPorter(Dates!N$6,Dates!N$7,'Day2'!$B37)</f>
        <v>0</v>
      </c>
      <c r="O37">
        <f>totalNumberOfJobsCompletedPorter(Dates!O$6,Dates!O$7,'Day2'!$B37)</f>
        <v>0</v>
      </c>
      <c r="P37">
        <f>totalNumberOfJobsCompletedPorter(Dates!P$6,Dates!P$7,'Day2'!$B37)</f>
        <v>0</v>
      </c>
      <c r="Q37">
        <f>totalNumberOfJobsCompletedPorter(Dates!Q$6,Dates!Q$7,'Day2'!$B37)</f>
        <v>0</v>
      </c>
      <c r="R37">
        <f>totalNumberOfJobsCompletedPorter(Dates!R$6,Dates!R$7,'Day2'!$B37)</f>
        <v>0</v>
      </c>
      <c r="S37">
        <f>totalNumberOfJobsCompletedPorter(Dates!S$6,Dates!S$7,'Day2'!$B37)</f>
        <v>0</v>
      </c>
      <c r="T37">
        <f>totalNumberOfJobsCompletedPorter(Dates!T$6,Dates!T$7,'Day2'!$B37)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totalNumberOfJobsCompletedPorter(Dates!C$6,Dates!C$7,'Day2'!$B38)</f>
        <v>0</v>
      </c>
      <c r="D38">
        <f>totalNumberOfJobsCompletedPorter(Dates!D$6,Dates!D$7,'Day2'!$B38)</f>
        <v>0</v>
      </c>
      <c r="E38">
        <f>totalNumberOfJobsCompletedPorter(Dates!E$6,Dates!E$7,'Day2'!$B38)</f>
        <v>0</v>
      </c>
      <c r="F38">
        <f>totalNumberOfJobsCompletedPorter(Dates!F$6,Dates!F$7,'Day2'!$B38)</f>
        <v>0</v>
      </c>
      <c r="G38">
        <f>totalNumberOfJobsCompletedPorter(Dates!G$6,Dates!G$7,'Day2'!$B38)</f>
        <v>0</v>
      </c>
      <c r="H38">
        <f>totalNumberOfJobsCompletedPorter(Dates!H$6,Dates!H$7,'Day2'!$B38)</f>
        <v>0</v>
      </c>
      <c r="I38">
        <f>totalNumberOfJobsCompletedPorter(Dates!I$6,Dates!I$7,'Day2'!$B38)</f>
        <v>0</v>
      </c>
      <c r="J38">
        <f>totalNumberOfJobsCompletedPorter(Dates!J$6,Dates!J$7,'Day2'!$B38)</f>
        <v>0</v>
      </c>
      <c r="K38">
        <f>totalNumberOfJobsCompletedPorter(Dates!K$6,Dates!K$7,'Day2'!$B38)</f>
        <v>0</v>
      </c>
      <c r="L38">
        <f>totalNumberOfJobsCompletedPorter(Dates!L$6,Dates!L$7,'Day2'!$B38)</f>
        <v>0</v>
      </c>
      <c r="M38">
        <f>totalNumberOfJobsCompletedPorter(Dates!M$6,Dates!M$7,'Day2'!$B38)</f>
        <v>0</v>
      </c>
      <c r="N38">
        <f>totalNumberOfJobsCompletedPorter(Dates!N$6,Dates!N$7,'Day2'!$B38)</f>
        <v>0</v>
      </c>
      <c r="O38">
        <f>totalNumberOfJobsCompletedPorter(Dates!O$6,Dates!O$7,'Day2'!$B38)</f>
        <v>0</v>
      </c>
      <c r="P38">
        <f>totalNumberOfJobsCompletedPorter(Dates!P$6,Dates!P$7,'Day2'!$B38)</f>
        <v>0</v>
      </c>
      <c r="Q38">
        <f>totalNumberOfJobsCompletedPorter(Dates!Q$6,Dates!Q$7,'Day2'!$B38)</f>
        <v>0</v>
      </c>
      <c r="R38">
        <f>totalNumberOfJobsCompletedPorter(Dates!R$6,Dates!R$7,'Day2'!$B38)</f>
        <v>0</v>
      </c>
      <c r="S38">
        <f>totalNumberOfJobsCompletedPorter(Dates!S$6,Dates!S$7,'Day2'!$B38)</f>
        <v>0</v>
      </c>
      <c r="T38">
        <f>totalNumberOfJobsCompletedPorter(Dates!T$6,Dates!T$7,'Day2'!$B38)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totalNumberOfJobsCompletedPorter(Dates!C$6,Dates!C$7,'Day2'!$B39)</f>
        <v>0</v>
      </c>
      <c r="D39">
        <f>totalNumberOfJobsCompletedPorter(Dates!D$6,Dates!D$7,'Day2'!$B39)</f>
        <v>0</v>
      </c>
      <c r="E39">
        <f>totalNumberOfJobsCompletedPorter(Dates!E$6,Dates!E$7,'Day2'!$B39)</f>
        <v>0</v>
      </c>
      <c r="F39">
        <f>totalNumberOfJobsCompletedPorter(Dates!F$6,Dates!F$7,'Day2'!$B39)</f>
        <v>0</v>
      </c>
      <c r="G39">
        <f>totalNumberOfJobsCompletedPorter(Dates!G$6,Dates!G$7,'Day2'!$B39)</f>
        <v>0</v>
      </c>
      <c r="H39">
        <f>totalNumberOfJobsCompletedPorter(Dates!H$6,Dates!H$7,'Day2'!$B39)</f>
        <v>0</v>
      </c>
      <c r="I39">
        <f>totalNumberOfJobsCompletedPorter(Dates!I$6,Dates!I$7,'Day2'!$B39)</f>
        <v>0</v>
      </c>
      <c r="J39">
        <f>totalNumberOfJobsCompletedPorter(Dates!J$6,Dates!J$7,'Day2'!$B39)</f>
        <v>0</v>
      </c>
      <c r="K39">
        <f>totalNumberOfJobsCompletedPorter(Dates!K$6,Dates!K$7,'Day2'!$B39)</f>
        <v>0</v>
      </c>
      <c r="L39">
        <f>totalNumberOfJobsCompletedPorter(Dates!L$6,Dates!L$7,'Day2'!$B39)</f>
        <v>0</v>
      </c>
      <c r="M39">
        <f>totalNumberOfJobsCompletedPorter(Dates!M$6,Dates!M$7,'Day2'!$B39)</f>
        <v>0</v>
      </c>
      <c r="N39">
        <f>totalNumberOfJobsCompletedPorter(Dates!N$6,Dates!N$7,'Day2'!$B39)</f>
        <v>0</v>
      </c>
      <c r="O39">
        <f>totalNumberOfJobsCompletedPorter(Dates!O$6,Dates!O$7,'Day2'!$B39)</f>
        <v>0</v>
      </c>
      <c r="P39">
        <f>totalNumberOfJobsCompletedPorter(Dates!P$6,Dates!P$7,'Day2'!$B39)</f>
        <v>0</v>
      </c>
      <c r="Q39">
        <f>totalNumberOfJobsCompletedPorter(Dates!Q$6,Dates!Q$7,'Day2'!$B39)</f>
        <v>0</v>
      </c>
      <c r="R39">
        <f>totalNumberOfJobsCompletedPorter(Dates!R$6,Dates!R$7,'Day2'!$B39)</f>
        <v>0</v>
      </c>
      <c r="S39">
        <f>totalNumberOfJobsCompletedPorter(Dates!S$6,Dates!S$7,'Day2'!$B39)</f>
        <v>0</v>
      </c>
      <c r="T39">
        <f>totalNumberOfJobsCompletedPorter(Dates!T$6,Dates!T$7,'Day2'!$B39)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totalNumberOfJobsCompletedPorter(Dates!C$6,Dates!C$7,'Day2'!$B40)</f>
        <v>0</v>
      </c>
      <c r="D40">
        <f>totalNumberOfJobsCompletedPorter(Dates!D$6,Dates!D$7,'Day2'!$B40)</f>
        <v>0</v>
      </c>
      <c r="E40">
        <f>totalNumberOfJobsCompletedPorter(Dates!E$6,Dates!E$7,'Day2'!$B40)</f>
        <v>0</v>
      </c>
      <c r="F40">
        <f>totalNumberOfJobsCompletedPorter(Dates!F$6,Dates!F$7,'Day2'!$B40)</f>
        <v>0</v>
      </c>
      <c r="G40">
        <f>totalNumberOfJobsCompletedPorter(Dates!G$6,Dates!G$7,'Day2'!$B40)</f>
        <v>0</v>
      </c>
      <c r="H40">
        <f>totalNumberOfJobsCompletedPorter(Dates!H$6,Dates!H$7,'Day2'!$B40)</f>
        <v>0</v>
      </c>
      <c r="I40">
        <f>totalNumberOfJobsCompletedPorter(Dates!I$6,Dates!I$7,'Day2'!$B40)</f>
        <v>0</v>
      </c>
      <c r="J40">
        <f>totalNumberOfJobsCompletedPorter(Dates!J$6,Dates!J$7,'Day2'!$B40)</f>
        <v>0</v>
      </c>
      <c r="K40">
        <f>totalNumberOfJobsCompletedPorter(Dates!K$6,Dates!K$7,'Day2'!$B40)</f>
        <v>0</v>
      </c>
      <c r="L40">
        <f>totalNumberOfJobsCompletedPorter(Dates!L$6,Dates!L$7,'Day2'!$B40)</f>
        <v>0</v>
      </c>
      <c r="M40">
        <f>totalNumberOfJobsCompletedPorter(Dates!M$6,Dates!M$7,'Day2'!$B40)</f>
        <v>0</v>
      </c>
      <c r="N40">
        <f>totalNumberOfJobsCompletedPorter(Dates!N$6,Dates!N$7,'Day2'!$B40)</f>
        <v>0</v>
      </c>
      <c r="O40">
        <f>totalNumberOfJobsCompletedPorter(Dates!O$6,Dates!O$7,'Day2'!$B40)</f>
        <v>0</v>
      </c>
      <c r="P40">
        <f>totalNumberOfJobsCompletedPorter(Dates!P$6,Dates!P$7,'Day2'!$B40)</f>
        <v>0</v>
      </c>
      <c r="Q40">
        <f>totalNumberOfJobsCompletedPorter(Dates!Q$6,Dates!Q$7,'Day2'!$B40)</f>
        <v>0</v>
      </c>
      <c r="R40">
        <f>totalNumberOfJobsCompletedPorter(Dates!R$6,Dates!R$7,'Day2'!$B40)</f>
        <v>0</v>
      </c>
      <c r="S40">
        <f>totalNumberOfJobsCompletedPorter(Dates!S$6,Dates!S$7,'Day2'!$B40)</f>
        <v>0</v>
      </c>
      <c r="T40">
        <f>totalNumberOfJobsCompletedPorter(Dates!T$6,Dates!T$7,'Day2'!$B40)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totalNumberOfJobsCompletedPorter(Dates!C$6,Dates!C$7,'Day2'!$B41)</f>
        <v>0</v>
      </c>
      <c r="D41">
        <f>totalNumberOfJobsCompletedPorter(Dates!D$6,Dates!D$7,'Day2'!$B41)</f>
        <v>0</v>
      </c>
      <c r="E41">
        <f>totalNumberOfJobsCompletedPorter(Dates!E$6,Dates!E$7,'Day2'!$B41)</f>
        <v>0</v>
      </c>
      <c r="F41">
        <f>totalNumberOfJobsCompletedPorter(Dates!F$6,Dates!F$7,'Day2'!$B41)</f>
        <v>0</v>
      </c>
      <c r="G41">
        <f>totalNumberOfJobsCompletedPorter(Dates!G$6,Dates!G$7,'Day2'!$B41)</f>
        <v>0</v>
      </c>
      <c r="H41">
        <f>totalNumberOfJobsCompletedPorter(Dates!H$6,Dates!H$7,'Day2'!$B41)</f>
        <v>0</v>
      </c>
      <c r="I41">
        <f>totalNumberOfJobsCompletedPorter(Dates!I$6,Dates!I$7,'Day2'!$B41)</f>
        <v>0</v>
      </c>
      <c r="J41">
        <f>totalNumberOfJobsCompletedPorter(Dates!J$6,Dates!J$7,'Day2'!$B41)</f>
        <v>0</v>
      </c>
      <c r="K41">
        <f>totalNumberOfJobsCompletedPorter(Dates!K$6,Dates!K$7,'Day2'!$B41)</f>
        <v>0</v>
      </c>
      <c r="L41">
        <f>totalNumberOfJobsCompletedPorter(Dates!L$6,Dates!L$7,'Day2'!$B41)</f>
        <v>0</v>
      </c>
      <c r="M41">
        <f>totalNumberOfJobsCompletedPorter(Dates!M$6,Dates!M$7,'Day2'!$B41)</f>
        <v>0</v>
      </c>
      <c r="N41">
        <f>totalNumberOfJobsCompletedPorter(Dates!N$6,Dates!N$7,'Day2'!$B41)</f>
        <v>0</v>
      </c>
      <c r="O41">
        <f>totalNumberOfJobsCompletedPorter(Dates!O$6,Dates!O$7,'Day2'!$B41)</f>
        <v>0</v>
      </c>
      <c r="P41">
        <f>totalNumberOfJobsCompletedPorter(Dates!P$6,Dates!P$7,'Day2'!$B41)</f>
        <v>0</v>
      </c>
      <c r="Q41">
        <f>totalNumberOfJobsCompletedPorter(Dates!Q$6,Dates!Q$7,'Day2'!$B41)</f>
        <v>0</v>
      </c>
      <c r="R41">
        <f>totalNumberOfJobsCompletedPorter(Dates!R$6,Dates!R$7,'Day2'!$B41)</f>
        <v>0</v>
      </c>
      <c r="S41">
        <f>totalNumberOfJobsCompletedPorter(Dates!S$6,Dates!S$7,'Day2'!$B41)</f>
        <v>0</v>
      </c>
      <c r="T41">
        <f>totalNumberOfJobsCompletedPorter(Dates!T$6,Dates!T$7,'Day2'!$B41)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totalNumberOfJobsCompletedPorter(Dates!C$6,Dates!C$7,'Day2'!$B42)</f>
        <v>0</v>
      </c>
      <c r="D42">
        <f>totalNumberOfJobsCompletedPorter(Dates!D$6,Dates!D$7,'Day2'!$B42)</f>
        <v>0</v>
      </c>
      <c r="E42">
        <f>totalNumberOfJobsCompletedPorter(Dates!E$6,Dates!E$7,'Day2'!$B42)</f>
        <v>0</v>
      </c>
      <c r="F42">
        <f>totalNumberOfJobsCompletedPorter(Dates!F$6,Dates!F$7,'Day2'!$B42)</f>
        <v>0</v>
      </c>
      <c r="G42">
        <f>totalNumberOfJobsCompletedPorter(Dates!G$6,Dates!G$7,'Day2'!$B42)</f>
        <v>0</v>
      </c>
      <c r="H42">
        <f>totalNumberOfJobsCompletedPorter(Dates!H$6,Dates!H$7,'Day2'!$B42)</f>
        <v>0</v>
      </c>
      <c r="I42">
        <f>totalNumberOfJobsCompletedPorter(Dates!I$6,Dates!I$7,'Day2'!$B42)</f>
        <v>0</v>
      </c>
      <c r="J42">
        <f>totalNumberOfJobsCompletedPorter(Dates!J$6,Dates!J$7,'Day2'!$B42)</f>
        <v>0</v>
      </c>
      <c r="K42">
        <f>totalNumberOfJobsCompletedPorter(Dates!K$6,Dates!K$7,'Day2'!$B42)</f>
        <v>0</v>
      </c>
      <c r="L42">
        <f>totalNumberOfJobsCompletedPorter(Dates!L$6,Dates!L$7,'Day2'!$B42)</f>
        <v>0</v>
      </c>
      <c r="M42">
        <f>totalNumberOfJobsCompletedPorter(Dates!M$6,Dates!M$7,'Day2'!$B42)</f>
        <v>0</v>
      </c>
      <c r="N42">
        <f>totalNumberOfJobsCompletedPorter(Dates!N$6,Dates!N$7,'Day2'!$B42)</f>
        <v>0</v>
      </c>
      <c r="O42">
        <f>totalNumberOfJobsCompletedPorter(Dates!O$6,Dates!O$7,'Day2'!$B42)</f>
        <v>0</v>
      </c>
      <c r="P42">
        <f>totalNumberOfJobsCompletedPorter(Dates!P$6,Dates!P$7,'Day2'!$B42)</f>
        <v>0</v>
      </c>
      <c r="Q42">
        <f>totalNumberOfJobsCompletedPorter(Dates!Q$6,Dates!Q$7,'Day2'!$B42)</f>
        <v>0</v>
      </c>
      <c r="R42">
        <f>totalNumberOfJobsCompletedPorter(Dates!R$6,Dates!R$7,'Day2'!$B42)</f>
        <v>0</v>
      </c>
      <c r="S42">
        <f>totalNumberOfJobsCompletedPorter(Dates!S$6,Dates!S$7,'Day2'!$B42)</f>
        <v>0</v>
      </c>
      <c r="T42">
        <f>totalNumberOfJobsCompletedPorter(Dates!T$6,Dates!T$7,'Day2'!$B42)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totalNumberOfJobsCompletedPorter(Dates!C$6,Dates!C$7,'Day2'!$B43)</f>
        <v>0</v>
      </c>
      <c r="D43">
        <f>totalNumberOfJobsCompletedPorter(Dates!D$6,Dates!D$7,'Day2'!$B43)</f>
        <v>0</v>
      </c>
      <c r="E43">
        <f>totalNumberOfJobsCompletedPorter(Dates!E$6,Dates!E$7,'Day2'!$B43)</f>
        <v>0</v>
      </c>
      <c r="F43">
        <f>totalNumberOfJobsCompletedPorter(Dates!F$6,Dates!F$7,'Day2'!$B43)</f>
        <v>0</v>
      </c>
      <c r="G43">
        <f>totalNumberOfJobsCompletedPorter(Dates!G$6,Dates!G$7,'Day2'!$B43)</f>
        <v>0</v>
      </c>
      <c r="H43">
        <f>totalNumberOfJobsCompletedPorter(Dates!H$6,Dates!H$7,'Day2'!$B43)</f>
        <v>0</v>
      </c>
      <c r="I43">
        <f>totalNumberOfJobsCompletedPorter(Dates!I$6,Dates!I$7,'Day2'!$B43)</f>
        <v>0</v>
      </c>
      <c r="J43">
        <f>totalNumberOfJobsCompletedPorter(Dates!J$6,Dates!J$7,'Day2'!$B43)</f>
        <v>0</v>
      </c>
      <c r="K43">
        <f>totalNumberOfJobsCompletedPorter(Dates!K$6,Dates!K$7,'Day2'!$B43)</f>
        <v>0</v>
      </c>
      <c r="L43">
        <f>totalNumberOfJobsCompletedPorter(Dates!L$6,Dates!L$7,'Day2'!$B43)</f>
        <v>0</v>
      </c>
      <c r="M43">
        <f>totalNumberOfJobsCompletedPorter(Dates!M$6,Dates!M$7,'Day2'!$B43)</f>
        <v>0</v>
      </c>
      <c r="N43">
        <f>totalNumberOfJobsCompletedPorter(Dates!N$6,Dates!N$7,'Day2'!$B43)</f>
        <v>0</v>
      </c>
      <c r="O43">
        <f>totalNumberOfJobsCompletedPorter(Dates!O$6,Dates!O$7,'Day2'!$B43)</f>
        <v>0</v>
      </c>
      <c r="P43">
        <f>totalNumberOfJobsCompletedPorter(Dates!P$6,Dates!P$7,'Day2'!$B43)</f>
        <v>0</v>
      </c>
      <c r="Q43">
        <f>totalNumberOfJobsCompletedPorter(Dates!Q$6,Dates!Q$7,'Day2'!$B43)</f>
        <v>0</v>
      </c>
      <c r="R43">
        <f>totalNumberOfJobsCompletedPorter(Dates!R$6,Dates!R$7,'Day2'!$B43)</f>
        <v>0</v>
      </c>
      <c r="S43">
        <f>totalNumberOfJobsCompletedPorter(Dates!S$6,Dates!S$7,'Day2'!$B43)</f>
        <v>0</v>
      </c>
      <c r="T43">
        <f>totalNumberOfJobsCompletedPorter(Dates!T$6,Dates!T$7,'Day2'!$B43)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totalNumberOfJobsCompletedPorter(Dates!C$6,Dates!C$7,'Day2'!$B44)</f>
        <v>0</v>
      </c>
      <c r="D44">
        <f>totalNumberOfJobsCompletedPorter(Dates!D$6,Dates!D$7,'Day2'!$B44)</f>
        <v>0</v>
      </c>
      <c r="E44">
        <f>totalNumberOfJobsCompletedPorter(Dates!E$6,Dates!E$7,'Day2'!$B44)</f>
        <v>0</v>
      </c>
      <c r="F44">
        <f>totalNumberOfJobsCompletedPorter(Dates!F$6,Dates!F$7,'Day2'!$B44)</f>
        <v>0</v>
      </c>
      <c r="G44">
        <f>totalNumberOfJobsCompletedPorter(Dates!G$6,Dates!G$7,'Day2'!$B44)</f>
        <v>0</v>
      </c>
      <c r="H44">
        <f>totalNumberOfJobsCompletedPorter(Dates!H$6,Dates!H$7,'Day2'!$B44)</f>
        <v>0</v>
      </c>
      <c r="I44">
        <f>totalNumberOfJobsCompletedPorter(Dates!I$6,Dates!I$7,'Day2'!$B44)</f>
        <v>0</v>
      </c>
      <c r="J44">
        <f>totalNumberOfJobsCompletedPorter(Dates!J$6,Dates!J$7,'Day2'!$B44)</f>
        <v>0</v>
      </c>
      <c r="K44">
        <f>totalNumberOfJobsCompletedPorter(Dates!K$6,Dates!K$7,'Day2'!$B44)</f>
        <v>0</v>
      </c>
      <c r="L44">
        <f>totalNumberOfJobsCompletedPorter(Dates!L$6,Dates!L$7,'Day2'!$B44)</f>
        <v>0</v>
      </c>
      <c r="M44">
        <f>totalNumberOfJobsCompletedPorter(Dates!M$6,Dates!M$7,'Day2'!$B44)</f>
        <v>0</v>
      </c>
      <c r="N44">
        <f>totalNumberOfJobsCompletedPorter(Dates!N$6,Dates!N$7,'Day2'!$B44)</f>
        <v>0</v>
      </c>
      <c r="O44">
        <f>totalNumberOfJobsCompletedPorter(Dates!O$6,Dates!O$7,'Day2'!$B44)</f>
        <v>0</v>
      </c>
      <c r="P44">
        <f>totalNumberOfJobsCompletedPorter(Dates!P$6,Dates!P$7,'Day2'!$B44)</f>
        <v>0</v>
      </c>
      <c r="Q44">
        <f>totalNumberOfJobsCompletedPorter(Dates!Q$6,Dates!Q$7,'Day2'!$B44)</f>
        <v>0</v>
      </c>
      <c r="R44">
        <f>totalNumberOfJobsCompletedPorter(Dates!R$6,Dates!R$7,'Day2'!$B44)</f>
        <v>0</v>
      </c>
      <c r="S44">
        <f>totalNumberOfJobsCompletedPorter(Dates!S$6,Dates!S$7,'Day2'!$B44)</f>
        <v>0</v>
      </c>
      <c r="T44">
        <f>totalNumberOfJobsCompletedPorter(Dates!T$6,Dates!T$7,'Day2'!$B44)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totalNumberOfJobsCompletedPorter(Dates!C$6,Dates!C$7,'Day2'!$B45)</f>
        <v>0</v>
      </c>
      <c r="D45">
        <f>totalNumberOfJobsCompletedPorter(Dates!D$6,Dates!D$7,'Day2'!$B45)</f>
        <v>0</v>
      </c>
      <c r="E45">
        <f>totalNumberOfJobsCompletedPorter(Dates!E$6,Dates!E$7,'Day2'!$B45)</f>
        <v>0</v>
      </c>
      <c r="F45">
        <f>totalNumberOfJobsCompletedPorter(Dates!F$6,Dates!F$7,'Day2'!$B45)</f>
        <v>0</v>
      </c>
      <c r="G45">
        <f>totalNumberOfJobsCompletedPorter(Dates!G$6,Dates!G$7,'Day2'!$B45)</f>
        <v>0</v>
      </c>
      <c r="H45">
        <f>totalNumberOfJobsCompletedPorter(Dates!H$6,Dates!H$7,'Day2'!$B45)</f>
        <v>0</v>
      </c>
      <c r="I45">
        <f>totalNumberOfJobsCompletedPorter(Dates!I$6,Dates!I$7,'Day2'!$B45)</f>
        <v>0</v>
      </c>
      <c r="J45">
        <f>totalNumberOfJobsCompletedPorter(Dates!J$6,Dates!J$7,'Day2'!$B45)</f>
        <v>0</v>
      </c>
      <c r="K45">
        <f>totalNumberOfJobsCompletedPorter(Dates!K$6,Dates!K$7,'Day2'!$B45)</f>
        <v>0</v>
      </c>
      <c r="L45">
        <f>totalNumberOfJobsCompletedPorter(Dates!L$6,Dates!L$7,'Day2'!$B45)</f>
        <v>0</v>
      </c>
      <c r="M45">
        <f>totalNumberOfJobsCompletedPorter(Dates!M$6,Dates!M$7,'Day2'!$B45)</f>
        <v>0</v>
      </c>
      <c r="N45">
        <f>totalNumberOfJobsCompletedPorter(Dates!N$6,Dates!N$7,'Day2'!$B45)</f>
        <v>0</v>
      </c>
      <c r="O45">
        <f>totalNumberOfJobsCompletedPorter(Dates!O$6,Dates!O$7,'Day2'!$B45)</f>
        <v>0</v>
      </c>
      <c r="P45">
        <f>totalNumberOfJobsCompletedPorter(Dates!P$6,Dates!P$7,'Day2'!$B45)</f>
        <v>0</v>
      </c>
      <c r="Q45">
        <f>totalNumberOfJobsCompletedPorter(Dates!Q$6,Dates!Q$7,'Day2'!$B45)</f>
        <v>0</v>
      </c>
      <c r="R45">
        <f>totalNumberOfJobsCompletedPorter(Dates!R$6,Dates!R$7,'Day2'!$B45)</f>
        <v>0</v>
      </c>
      <c r="S45">
        <f>totalNumberOfJobsCompletedPorter(Dates!S$6,Dates!S$7,'Day2'!$B45)</f>
        <v>0</v>
      </c>
      <c r="T45">
        <f>totalNumberOfJobsCompletedPorter(Dates!T$6,Dates!T$7,'Day2'!$B45)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totalNumberOfJobsCompletedPorter(Dates!C$6,Dates!C$7,'Day2'!$B46)</f>
        <v>0</v>
      </c>
      <c r="D46">
        <f>totalNumberOfJobsCompletedPorter(Dates!D$6,Dates!D$7,'Day2'!$B46)</f>
        <v>0</v>
      </c>
      <c r="E46">
        <f>totalNumberOfJobsCompletedPorter(Dates!E$6,Dates!E$7,'Day2'!$B46)</f>
        <v>0</v>
      </c>
      <c r="F46">
        <f>totalNumberOfJobsCompletedPorter(Dates!F$6,Dates!F$7,'Day2'!$B46)</f>
        <v>0</v>
      </c>
      <c r="G46">
        <f>totalNumberOfJobsCompletedPorter(Dates!G$6,Dates!G$7,'Day2'!$B46)</f>
        <v>0</v>
      </c>
      <c r="H46">
        <f>totalNumberOfJobsCompletedPorter(Dates!H$6,Dates!H$7,'Day2'!$B46)</f>
        <v>0</v>
      </c>
      <c r="I46">
        <f>totalNumberOfJobsCompletedPorter(Dates!I$6,Dates!I$7,'Day2'!$B46)</f>
        <v>0</v>
      </c>
      <c r="J46">
        <f>totalNumberOfJobsCompletedPorter(Dates!J$6,Dates!J$7,'Day2'!$B46)</f>
        <v>0</v>
      </c>
      <c r="K46">
        <f>totalNumberOfJobsCompletedPorter(Dates!K$6,Dates!K$7,'Day2'!$B46)</f>
        <v>0</v>
      </c>
      <c r="L46">
        <f>totalNumberOfJobsCompletedPorter(Dates!L$6,Dates!L$7,'Day2'!$B46)</f>
        <v>0</v>
      </c>
      <c r="M46">
        <f>totalNumberOfJobsCompletedPorter(Dates!M$6,Dates!M$7,'Day2'!$B46)</f>
        <v>0</v>
      </c>
      <c r="N46">
        <f>totalNumberOfJobsCompletedPorter(Dates!N$6,Dates!N$7,'Day2'!$B46)</f>
        <v>0</v>
      </c>
      <c r="O46">
        <f>totalNumberOfJobsCompletedPorter(Dates!O$6,Dates!O$7,'Day2'!$B46)</f>
        <v>0</v>
      </c>
      <c r="P46">
        <f>totalNumberOfJobsCompletedPorter(Dates!P$6,Dates!P$7,'Day2'!$B46)</f>
        <v>0</v>
      </c>
      <c r="Q46">
        <f>totalNumberOfJobsCompletedPorter(Dates!Q$6,Dates!Q$7,'Day2'!$B46)</f>
        <v>0</v>
      </c>
      <c r="R46">
        <f>totalNumberOfJobsCompletedPorter(Dates!R$6,Dates!R$7,'Day2'!$B46)</f>
        <v>0</v>
      </c>
      <c r="S46">
        <f>totalNumberOfJobsCompletedPorter(Dates!S$6,Dates!S$7,'Day2'!$B46)</f>
        <v>0</v>
      </c>
      <c r="T46">
        <f>totalNumberOfJobsCompletedPorter(Dates!T$6,Dates!T$7,'Day2'!$B46)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totalNumberOfJobsCompletedPorter(Dates!C$6,Dates!C$7,'Day2'!$B47)</f>
        <v>0</v>
      </c>
      <c r="D47">
        <f>totalNumberOfJobsCompletedPorter(Dates!D$6,Dates!D$7,'Day2'!$B47)</f>
        <v>0</v>
      </c>
      <c r="E47">
        <f>totalNumberOfJobsCompletedPorter(Dates!E$6,Dates!E$7,'Day2'!$B47)</f>
        <v>0</v>
      </c>
      <c r="F47">
        <f>totalNumberOfJobsCompletedPorter(Dates!F$6,Dates!F$7,'Day2'!$B47)</f>
        <v>0</v>
      </c>
      <c r="G47">
        <f>totalNumberOfJobsCompletedPorter(Dates!G$6,Dates!G$7,'Day2'!$B47)</f>
        <v>0</v>
      </c>
      <c r="H47">
        <f>totalNumberOfJobsCompletedPorter(Dates!H$6,Dates!H$7,'Day2'!$B47)</f>
        <v>0</v>
      </c>
      <c r="I47">
        <f>totalNumberOfJobsCompletedPorter(Dates!I$6,Dates!I$7,'Day2'!$B47)</f>
        <v>0</v>
      </c>
      <c r="J47">
        <f>totalNumberOfJobsCompletedPorter(Dates!J$6,Dates!J$7,'Day2'!$B47)</f>
        <v>0</v>
      </c>
      <c r="K47">
        <f>totalNumberOfJobsCompletedPorter(Dates!K$6,Dates!K$7,'Day2'!$B47)</f>
        <v>0</v>
      </c>
      <c r="L47">
        <f>totalNumberOfJobsCompletedPorter(Dates!L$6,Dates!L$7,'Day2'!$B47)</f>
        <v>0</v>
      </c>
      <c r="M47">
        <f>totalNumberOfJobsCompletedPorter(Dates!M$6,Dates!M$7,'Day2'!$B47)</f>
        <v>0</v>
      </c>
      <c r="N47">
        <f>totalNumberOfJobsCompletedPorter(Dates!N$6,Dates!N$7,'Day2'!$B47)</f>
        <v>0</v>
      </c>
      <c r="O47">
        <f>totalNumberOfJobsCompletedPorter(Dates!O$6,Dates!O$7,'Day2'!$B47)</f>
        <v>0</v>
      </c>
      <c r="P47">
        <f>totalNumberOfJobsCompletedPorter(Dates!P$6,Dates!P$7,'Day2'!$B47)</f>
        <v>0</v>
      </c>
      <c r="Q47">
        <f>totalNumberOfJobsCompletedPorter(Dates!Q$6,Dates!Q$7,'Day2'!$B47)</f>
        <v>0</v>
      </c>
      <c r="R47">
        <f>totalNumberOfJobsCompletedPorter(Dates!R$6,Dates!R$7,'Day2'!$B47)</f>
        <v>0</v>
      </c>
      <c r="S47">
        <f>totalNumberOfJobsCompletedPorter(Dates!S$6,Dates!S$7,'Day2'!$B47)</f>
        <v>0</v>
      </c>
      <c r="T47">
        <f>totalNumberOfJobsCompletedPorter(Dates!T$6,Dates!T$7,'Day2'!$B47)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totalNumberOfJobsCompletedPorter(Dates!C$6,Dates!C$7,'Day2'!$B48)</f>
        <v>0</v>
      </c>
      <c r="D48">
        <f>totalNumberOfJobsCompletedPorter(Dates!D$6,Dates!D$7,'Day2'!$B48)</f>
        <v>0</v>
      </c>
      <c r="E48">
        <f>totalNumberOfJobsCompletedPorter(Dates!E$6,Dates!E$7,'Day2'!$B48)</f>
        <v>0</v>
      </c>
      <c r="F48">
        <f>totalNumberOfJobsCompletedPorter(Dates!F$6,Dates!F$7,'Day2'!$B48)</f>
        <v>0</v>
      </c>
      <c r="G48">
        <f>totalNumberOfJobsCompletedPorter(Dates!G$6,Dates!G$7,'Day2'!$B48)</f>
        <v>0</v>
      </c>
      <c r="H48">
        <f>totalNumberOfJobsCompletedPorter(Dates!H$6,Dates!H$7,'Day2'!$B48)</f>
        <v>0</v>
      </c>
      <c r="I48">
        <f>totalNumberOfJobsCompletedPorter(Dates!I$6,Dates!I$7,'Day2'!$B48)</f>
        <v>0</v>
      </c>
      <c r="J48">
        <f>totalNumberOfJobsCompletedPorter(Dates!J$6,Dates!J$7,'Day2'!$B48)</f>
        <v>0</v>
      </c>
      <c r="K48">
        <f>totalNumberOfJobsCompletedPorter(Dates!K$6,Dates!K$7,'Day2'!$B48)</f>
        <v>0</v>
      </c>
      <c r="L48">
        <f>totalNumberOfJobsCompletedPorter(Dates!L$6,Dates!L$7,'Day2'!$B48)</f>
        <v>0</v>
      </c>
      <c r="M48">
        <f>totalNumberOfJobsCompletedPorter(Dates!M$6,Dates!M$7,'Day2'!$B48)</f>
        <v>0</v>
      </c>
      <c r="N48">
        <f>totalNumberOfJobsCompletedPorter(Dates!N$6,Dates!N$7,'Day2'!$B48)</f>
        <v>0</v>
      </c>
      <c r="O48">
        <f>totalNumberOfJobsCompletedPorter(Dates!O$6,Dates!O$7,'Day2'!$B48)</f>
        <v>0</v>
      </c>
      <c r="P48">
        <f>totalNumberOfJobsCompletedPorter(Dates!P$6,Dates!P$7,'Day2'!$B48)</f>
        <v>0</v>
      </c>
      <c r="Q48">
        <f>totalNumberOfJobsCompletedPorter(Dates!Q$6,Dates!Q$7,'Day2'!$B48)</f>
        <v>0</v>
      </c>
      <c r="R48">
        <f>totalNumberOfJobsCompletedPorter(Dates!R$6,Dates!R$7,'Day2'!$B48)</f>
        <v>0</v>
      </c>
      <c r="S48">
        <f>totalNumberOfJobsCompletedPorter(Dates!S$6,Dates!S$7,'Day2'!$B48)</f>
        <v>0</v>
      </c>
      <c r="T48">
        <f>totalNumberOfJobsCompletedPorter(Dates!T$6,Dates!T$7,'Day2'!$B48)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totalNumberOfJobsCompletedPorter(Dates!C$6,Dates!C$7,'Day2'!$B49)</f>
        <v>0</v>
      </c>
      <c r="D49">
        <f>totalNumberOfJobsCompletedPorter(Dates!D$6,Dates!D$7,'Day2'!$B49)</f>
        <v>0</v>
      </c>
      <c r="E49">
        <f>totalNumberOfJobsCompletedPorter(Dates!E$6,Dates!E$7,'Day2'!$B49)</f>
        <v>0</v>
      </c>
      <c r="F49">
        <f>totalNumberOfJobsCompletedPorter(Dates!F$6,Dates!F$7,'Day2'!$B49)</f>
        <v>0</v>
      </c>
      <c r="G49">
        <f>totalNumberOfJobsCompletedPorter(Dates!G$6,Dates!G$7,'Day2'!$B49)</f>
        <v>0</v>
      </c>
      <c r="H49">
        <f>totalNumberOfJobsCompletedPorter(Dates!H$6,Dates!H$7,'Day2'!$B49)</f>
        <v>0</v>
      </c>
      <c r="I49">
        <f>totalNumberOfJobsCompletedPorter(Dates!I$6,Dates!I$7,'Day2'!$B49)</f>
        <v>0</v>
      </c>
      <c r="J49">
        <f>totalNumberOfJobsCompletedPorter(Dates!J$6,Dates!J$7,'Day2'!$B49)</f>
        <v>0</v>
      </c>
      <c r="K49">
        <f>totalNumberOfJobsCompletedPorter(Dates!K$6,Dates!K$7,'Day2'!$B49)</f>
        <v>0</v>
      </c>
      <c r="L49">
        <f>totalNumberOfJobsCompletedPorter(Dates!L$6,Dates!L$7,'Day2'!$B49)</f>
        <v>0</v>
      </c>
      <c r="M49">
        <f>totalNumberOfJobsCompletedPorter(Dates!M$6,Dates!M$7,'Day2'!$B49)</f>
        <v>0</v>
      </c>
      <c r="N49">
        <f>totalNumberOfJobsCompletedPorter(Dates!N$6,Dates!N$7,'Day2'!$B49)</f>
        <v>0</v>
      </c>
      <c r="O49">
        <f>totalNumberOfJobsCompletedPorter(Dates!O$6,Dates!O$7,'Day2'!$B49)</f>
        <v>0</v>
      </c>
      <c r="P49">
        <f>totalNumberOfJobsCompletedPorter(Dates!P$6,Dates!P$7,'Day2'!$B49)</f>
        <v>0</v>
      </c>
      <c r="Q49">
        <f>totalNumberOfJobsCompletedPorter(Dates!Q$6,Dates!Q$7,'Day2'!$B49)</f>
        <v>0</v>
      </c>
      <c r="R49">
        <f>totalNumberOfJobsCompletedPorter(Dates!R$6,Dates!R$7,'Day2'!$B49)</f>
        <v>0</v>
      </c>
      <c r="S49">
        <f>totalNumberOfJobsCompletedPorter(Dates!S$6,Dates!S$7,'Day2'!$B49)</f>
        <v>0</v>
      </c>
      <c r="T49">
        <f>totalNumberOfJobsCompletedPorter(Dates!T$6,Dates!T$7,'Day2'!$B49)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totalNumberOfJobsCompletedPorter(Dates!C$6,Dates!C$7,'Day2'!$B50)</f>
        <v>0</v>
      </c>
      <c r="D50">
        <f>totalNumberOfJobsCompletedPorter(Dates!D$6,Dates!D$7,'Day2'!$B50)</f>
        <v>0</v>
      </c>
      <c r="E50">
        <f>totalNumberOfJobsCompletedPorter(Dates!E$6,Dates!E$7,'Day2'!$B50)</f>
        <v>0</v>
      </c>
      <c r="F50">
        <f>totalNumberOfJobsCompletedPorter(Dates!F$6,Dates!F$7,'Day2'!$B50)</f>
        <v>0</v>
      </c>
      <c r="G50">
        <f>totalNumberOfJobsCompletedPorter(Dates!G$6,Dates!G$7,'Day2'!$B50)</f>
        <v>0</v>
      </c>
      <c r="H50">
        <f>totalNumberOfJobsCompletedPorter(Dates!H$6,Dates!H$7,'Day2'!$B50)</f>
        <v>0</v>
      </c>
      <c r="I50">
        <f>totalNumberOfJobsCompletedPorter(Dates!I$6,Dates!I$7,'Day2'!$B50)</f>
        <v>0</v>
      </c>
      <c r="J50">
        <f>totalNumberOfJobsCompletedPorter(Dates!J$6,Dates!J$7,'Day2'!$B50)</f>
        <v>0</v>
      </c>
      <c r="K50">
        <f>totalNumberOfJobsCompletedPorter(Dates!K$6,Dates!K$7,'Day2'!$B50)</f>
        <v>0</v>
      </c>
      <c r="L50">
        <f>totalNumberOfJobsCompletedPorter(Dates!L$6,Dates!L$7,'Day2'!$B50)</f>
        <v>0</v>
      </c>
      <c r="M50">
        <f>totalNumberOfJobsCompletedPorter(Dates!M$6,Dates!M$7,'Day2'!$B50)</f>
        <v>0</v>
      </c>
      <c r="N50">
        <f>totalNumberOfJobsCompletedPorter(Dates!N$6,Dates!N$7,'Day2'!$B50)</f>
        <v>0</v>
      </c>
      <c r="O50">
        <f>totalNumberOfJobsCompletedPorter(Dates!O$6,Dates!O$7,'Day2'!$B50)</f>
        <v>0</v>
      </c>
      <c r="P50">
        <f>totalNumberOfJobsCompletedPorter(Dates!P$6,Dates!P$7,'Day2'!$B50)</f>
        <v>0</v>
      </c>
      <c r="Q50">
        <f>totalNumberOfJobsCompletedPorter(Dates!Q$6,Dates!Q$7,'Day2'!$B50)</f>
        <v>0</v>
      </c>
      <c r="R50">
        <f>totalNumberOfJobsCompletedPorter(Dates!R$6,Dates!R$7,'Day2'!$B50)</f>
        <v>0</v>
      </c>
      <c r="S50">
        <f>totalNumberOfJobsCompletedPorter(Dates!S$6,Dates!S$7,'Day2'!$B50)</f>
        <v>0</v>
      </c>
      <c r="T50">
        <f>totalNumberOfJobsCompletedPorter(Dates!T$6,Dates!T$7,'Day2'!$B50)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totalNumberOfJobsCompletedPorter(Dates!C$6,Dates!C$7,'Day2'!$B51)</f>
        <v>0</v>
      </c>
      <c r="D51">
        <f>totalNumberOfJobsCompletedPorter(Dates!D$6,Dates!D$7,'Day2'!$B51)</f>
        <v>0</v>
      </c>
      <c r="E51">
        <f>totalNumberOfJobsCompletedPorter(Dates!E$6,Dates!E$7,'Day2'!$B51)</f>
        <v>0</v>
      </c>
      <c r="F51">
        <f>totalNumberOfJobsCompletedPorter(Dates!F$6,Dates!F$7,'Day2'!$B51)</f>
        <v>0</v>
      </c>
      <c r="G51">
        <f>totalNumberOfJobsCompletedPorter(Dates!G$6,Dates!G$7,'Day2'!$B51)</f>
        <v>0</v>
      </c>
      <c r="H51">
        <f>totalNumberOfJobsCompletedPorter(Dates!H$6,Dates!H$7,'Day2'!$B51)</f>
        <v>0</v>
      </c>
      <c r="I51">
        <f>totalNumberOfJobsCompletedPorter(Dates!I$6,Dates!I$7,'Day2'!$B51)</f>
        <v>0</v>
      </c>
      <c r="J51">
        <f>totalNumberOfJobsCompletedPorter(Dates!J$6,Dates!J$7,'Day2'!$B51)</f>
        <v>0</v>
      </c>
      <c r="K51">
        <f>totalNumberOfJobsCompletedPorter(Dates!K$6,Dates!K$7,'Day2'!$B51)</f>
        <v>0</v>
      </c>
      <c r="L51">
        <f>totalNumberOfJobsCompletedPorter(Dates!L$6,Dates!L$7,'Day2'!$B51)</f>
        <v>0</v>
      </c>
      <c r="M51">
        <f>totalNumberOfJobsCompletedPorter(Dates!M$6,Dates!M$7,'Day2'!$B51)</f>
        <v>0</v>
      </c>
      <c r="N51">
        <f>totalNumberOfJobsCompletedPorter(Dates!N$6,Dates!N$7,'Day2'!$B51)</f>
        <v>0</v>
      </c>
      <c r="O51">
        <f>totalNumberOfJobsCompletedPorter(Dates!O$6,Dates!O$7,'Day2'!$B51)</f>
        <v>0</v>
      </c>
      <c r="P51">
        <f>totalNumberOfJobsCompletedPorter(Dates!P$6,Dates!P$7,'Day2'!$B51)</f>
        <v>0</v>
      </c>
      <c r="Q51">
        <f>totalNumberOfJobsCompletedPorter(Dates!Q$6,Dates!Q$7,'Day2'!$B51)</f>
        <v>0</v>
      </c>
      <c r="R51">
        <f>totalNumberOfJobsCompletedPorter(Dates!R$6,Dates!R$7,'Day2'!$B51)</f>
        <v>0</v>
      </c>
      <c r="S51">
        <f>totalNumberOfJobsCompletedPorter(Dates!S$6,Dates!S$7,'Day2'!$B51)</f>
        <v>0</v>
      </c>
      <c r="T51">
        <f>totalNumberOfJobsCompletedPorter(Dates!T$6,Dates!T$7,'Day2'!$B51)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totalNumberOfJobsCompletedPorter(Dates!C$6,Dates!C$7,'Day2'!$B52)</f>
        <v>0</v>
      </c>
      <c r="D52">
        <f>totalNumberOfJobsCompletedPorter(Dates!D$6,Dates!D$7,'Day2'!$B52)</f>
        <v>0</v>
      </c>
      <c r="E52">
        <f>totalNumberOfJobsCompletedPorter(Dates!E$6,Dates!E$7,'Day2'!$B52)</f>
        <v>0</v>
      </c>
      <c r="F52">
        <f>totalNumberOfJobsCompletedPorter(Dates!F$6,Dates!F$7,'Day2'!$B52)</f>
        <v>0</v>
      </c>
      <c r="G52">
        <f>totalNumberOfJobsCompletedPorter(Dates!G$6,Dates!G$7,'Day2'!$B52)</f>
        <v>0</v>
      </c>
      <c r="H52">
        <f>totalNumberOfJobsCompletedPorter(Dates!H$6,Dates!H$7,'Day2'!$B52)</f>
        <v>0</v>
      </c>
      <c r="I52">
        <f>totalNumberOfJobsCompletedPorter(Dates!I$6,Dates!I$7,'Day2'!$B52)</f>
        <v>0</v>
      </c>
      <c r="J52">
        <f>totalNumberOfJobsCompletedPorter(Dates!J$6,Dates!J$7,'Day2'!$B52)</f>
        <v>0</v>
      </c>
      <c r="K52">
        <f>totalNumberOfJobsCompletedPorter(Dates!K$6,Dates!K$7,'Day2'!$B52)</f>
        <v>0</v>
      </c>
      <c r="L52">
        <f>totalNumberOfJobsCompletedPorter(Dates!L$6,Dates!L$7,'Day2'!$B52)</f>
        <v>0</v>
      </c>
      <c r="M52">
        <f>totalNumberOfJobsCompletedPorter(Dates!M$6,Dates!M$7,'Day2'!$B52)</f>
        <v>0</v>
      </c>
      <c r="N52">
        <f>totalNumberOfJobsCompletedPorter(Dates!N$6,Dates!N$7,'Day2'!$B52)</f>
        <v>0</v>
      </c>
      <c r="O52">
        <f>totalNumberOfJobsCompletedPorter(Dates!O$6,Dates!O$7,'Day2'!$B52)</f>
        <v>0</v>
      </c>
      <c r="P52">
        <f>totalNumberOfJobsCompletedPorter(Dates!P$6,Dates!P$7,'Day2'!$B52)</f>
        <v>0</v>
      </c>
      <c r="Q52">
        <f>totalNumberOfJobsCompletedPorter(Dates!Q$6,Dates!Q$7,'Day2'!$B52)</f>
        <v>0</v>
      </c>
      <c r="R52">
        <f>totalNumberOfJobsCompletedPorter(Dates!R$6,Dates!R$7,'Day2'!$B52)</f>
        <v>0</v>
      </c>
      <c r="S52">
        <f>totalNumberOfJobsCompletedPorter(Dates!S$6,Dates!S$7,'Day2'!$B52)</f>
        <v>0</v>
      </c>
      <c r="T52">
        <f>totalNumberOfJobsCompletedPorter(Dates!T$6,Dates!T$7,'Day2'!$B52)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totalNumberOfJobsCompletedPorter(Dates!C$6,Dates!C$7,'Day2'!$B53)</f>
        <v>0</v>
      </c>
      <c r="D53">
        <f>totalNumberOfJobsCompletedPorter(Dates!D$6,Dates!D$7,'Day2'!$B53)</f>
        <v>0</v>
      </c>
      <c r="E53">
        <f>totalNumberOfJobsCompletedPorter(Dates!E$6,Dates!E$7,'Day2'!$B53)</f>
        <v>0</v>
      </c>
      <c r="F53">
        <f>totalNumberOfJobsCompletedPorter(Dates!F$6,Dates!F$7,'Day2'!$B53)</f>
        <v>0</v>
      </c>
      <c r="G53">
        <f>totalNumberOfJobsCompletedPorter(Dates!G$6,Dates!G$7,'Day2'!$B53)</f>
        <v>0</v>
      </c>
      <c r="H53">
        <f>totalNumberOfJobsCompletedPorter(Dates!H$6,Dates!H$7,'Day2'!$B53)</f>
        <v>0</v>
      </c>
      <c r="I53">
        <f>totalNumberOfJobsCompletedPorter(Dates!I$6,Dates!I$7,'Day2'!$B53)</f>
        <v>0</v>
      </c>
      <c r="J53">
        <f>totalNumberOfJobsCompletedPorter(Dates!J$6,Dates!J$7,'Day2'!$B53)</f>
        <v>0</v>
      </c>
      <c r="K53">
        <f>totalNumberOfJobsCompletedPorter(Dates!K$6,Dates!K$7,'Day2'!$B53)</f>
        <v>0</v>
      </c>
      <c r="L53">
        <f>totalNumberOfJobsCompletedPorter(Dates!L$6,Dates!L$7,'Day2'!$B53)</f>
        <v>0</v>
      </c>
      <c r="M53">
        <f>totalNumberOfJobsCompletedPorter(Dates!M$6,Dates!M$7,'Day2'!$B53)</f>
        <v>0</v>
      </c>
      <c r="N53">
        <f>totalNumberOfJobsCompletedPorter(Dates!N$6,Dates!N$7,'Day2'!$B53)</f>
        <v>0</v>
      </c>
      <c r="O53">
        <f>totalNumberOfJobsCompletedPorter(Dates!O$6,Dates!O$7,'Day2'!$B53)</f>
        <v>0</v>
      </c>
      <c r="P53">
        <f>totalNumberOfJobsCompletedPorter(Dates!P$6,Dates!P$7,'Day2'!$B53)</f>
        <v>0</v>
      </c>
      <c r="Q53">
        <f>totalNumberOfJobsCompletedPorter(Dates!Q$6,Dates!Q$7,'Day2'!$B53)</f>
        <v>0</v>
      </c>
      <c r="R53">
        <f>totalNumberOfJobsCompletedPorter(Dates!R$6,Dates!R$7,'Day2'!$B53)</f>
        <v>0</v>
      </c>
      <c r="S53">
        <f>totalNumberOfJobsCompletedPorter(Dates!S$6,Dates!S$7,'Day2'!$B53)</f>
        <v>0</v>
      </c>
      <c r="T53">
        <f>totalNumberOfJobsCompletedPorter(Dates!T$6,Dates!T$7,'Day2'!$B53)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totalNumberOfJobsCompletedPorter(Dates!C$6,Dates!C$7,'Day2'!$B54)</f>
        <v>0</v>
      </c>
      <c r="D54">
        <f>totalNumberOfJobsCompletedPorter(Dates!D$6,Dates!D$7,'Day2'!$B54)</f>
        <v>0</v>
      </c>
      <c r="E54">
        <f>totalNumberOfJobsCompletedPorter(Dates!E$6,Dates!E$7,'Day2'!$B54)</f>
        <v>0</v>
      </c>
      <c r="F54">
        <f>totalNumberOfJobsCompletedPorter(Dates!F$6,Dates!F$7,'Day2'!$B54)</f>
        <v>0</v>
      </c>
      <c r="G54">
        <f>totalNumberOfJobsCompletedPorter(Dates!G$6,Dates!G$7,'Day2'!$B54)</f>
        <v>0</v>
      </c>
      <c r="H54">
        <f>totalNumberOfJobsCompletedPorter(Dates!H$6,Dates!H$7,'Day2'!$B54)</f>
        <v>0</v>
      </c>
      <c r="I54">
        <f>totalNumberOfJobsCompletedPorter(Dates!I$6,Dates!I$7,'Day2'!$B54)</f>
        <v>0</v>
      </c>
      <c r="J54">
        <f>totalNumberOfJobsCompletedPorter(Dates!J$6,Dates!J$7,'Day2'!$B54)</f>
        <v>0</v>
      </c>
      <c r="K54">
        <f>totalNumberOfJobsCompletedPorter(Dates!K$6,Dates!K$7,'Day2'!$B54)</f>
        <v>0</v>
      </c>
      <c r="L54">
        <f>totalNumberOfJobsCompletedPorter(Dates!L$6,Dates!L$7,'Day2'!$B54)</f>
        <v>0</v>
      </c>
      <c r="M54">
        <f>totalNumberOfJobsCompletedPorter(Dates!M$6,Dates!M$7,'Day2'!$B54)</f>
        <v>0</v>
      </c>
      <c r="N54">
        <f>totalNumberOfJobsCompletedPorter(Dates!N$6,Dates!N$7,'Day2'!$B54)</f>
        <v>0</v>
      </c>
      <c r="O54">
        <f>totalNumberOfJobsCompletedPorter(Dates!O$6,Dates!O$7,'Day2'!$B54)</f>
        <v>0</v>
      </c>
      <c r="P54">
        <f>totalNumberOfJobsCompletedPorter(Dates!P$6,Dates!P$7,'Day2'!$B54)</f>
        <v>0</v>
      </c>
      <c r="Q54">
        <f>totalNumberOfJobsCompletedPorter(Dates!Q$6,Dates!Q$7,'Day2'!$B54)</f>
        <v>0</v>
      </c>
      <c r="R54">
        <f>totalNumberOfJobsCompletedPorter(Dates!R$6,Dates!R$7,'Day2'!$B54)</f>
        <v>0</v>
      </c>
      <c r="S54">
        <f>totalNumberOfJobsCompletedPorter(Dates!S$6,Dates!S$7,'Day2'!$B54)</f>
        <v>0</v>
      </c>
      <c r="T54">
        <f>totalNumberOfJobsCompletedPorter(Dates!T$6,Dates!T$7,'Day2'!$B54)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averageResponseTime(Dates!C$6,Dates!C$7)</f>
        <v>0</v>
      </c>
      <c r="D56" s="5">
        <f>averageResponseTime(Dates!D$6,Dates!D$7)</f>
        <v>0</v>
      </c>
      <c r="E56" s="5">
        <f>averageResponseTime(Dates!E$6,Dates!E$7)</f>
        <v>0</v>
      </c>
      <c r="F56" s="5">
        <f>averageResponseTime(Dates!F$6,Dates!F$7)</f>
        <v>0</v>
      </c>
      <c r="G56" s="5">
        <f>averageResponseTime(Dates!G$6,Dates!G$7)</f>
        <v>0</v>
      </c>
      <c r="H56" s="5">
        <f>averageResponseTime(Dates!H$6,Dates!H$7)</f>
        <v>0</v>
      </c>
      <c r="I56" s="5">
        <f>averageResponseTime(Dates!I$6,Dates!I$7)</f>
        <v>0</v>
      </c>
      <c r="J56" s="5">
        <f>averageResponseTime(Dates!J$6,Dates!J$7)</f>
        <v>0</v>
      </c>
      <c r="K56" s="5">
        <f>averageResponseTime(Dates!K$6,Dates!K$7)</f>
        <v>0</v>
      </c>
      <c r="L56" s="5">
        <f>averageResponseTime(Dates!L$6,Dates!L$7)</f>
        <v>0</v>
      </c>
      <c r="M56" s="5">
        <f>averageResponseTime(Dates!M$6,Dates!M$7)</f>
        <v>0</v>
      </c>
      <c r="N56" s="5">
        <f>averageResponseTime(Dates!N$6,Dates!N$7)</f>
        <v>0</v>
      </c>
      <c r="O56" s="5">
        <f>averageResponseTime(Dates!O$6,Dates!O$7)</f>
        <v>0</v>
      </c>
      <c r="P56" s="5">
        <f>averageResponseTime(Dates!P$6,Dates!P$7)</f>
        <v>0</v>
      </c>
      <c r="Q56" s="5">
        <f>averageResponseTime(Dates!Q$6,Dates!Q$7)</f>
        <v>0</v>
      </c>
      <c r="R56" s="5">
        <f>averageResponseTime(Dates!R$6,Dates!R$7)</f>
        <v>0</v>
      </c>
      <c r="S56" s="5">
        <f>averageResponseTime(Dates!S$6,Dates!S$7)</f>
        <v>0</v>
      </c>
      <c r="T56" s="5">
        <f>averageResponseTime(Dates!T$6,Dates!T$7)</f>
        <v>0</v>
      </c>
      <c r="U56" s="5">
        <f>averageResponseTime(Dates!C$6,Dates!T$7)</f>
        <v>0</v>
      </c>
    </row>
    <row r="57" spans="2:21" x14ac:dyDescent="0.3">
      <c r="B57" s="7">
        <f t="shared" ref="B57:B81" si="2">B3</f>
        <v>1</v>
      </c>
      <c r="C57" s="5">
        <f>averageResponseTimePorter(Dates!C$6,Dates!C$7,'Day2'!$B57)</f>
        <v>0</v>
      </c>
      <c r="D57" s="5">
        <f>averageResponseTimePorter(Dates!D$6,Dates!D$7,'Day2'!$B57)</f>
        <v>0</v>
      </c>
      <c r="E57" s="5">
        <f>averageResponseTimePorter(Dates!E$6,Dates!E$7,'Day2'!$B57)</f>
        <v>0</v>
      </c>
      <c r="F57" s="5">
        <f>averageResponseTimePorter(Dates!F$6,Dates!F$7,'Day2'!$B57)</f>
        <v>0</v>
      </c>
      <c r="G57" s="5">
        <f>averageResponseTimePorter(Dates!G$6,Dates!G$7,'Day2'!$B57)</f>
        <v>0</v>
      </c>
      <c r="H57" s="5">
        <f>averageResponseTimePorter(Dates!H$6,Dates!H$7,'Day2'!$B57)</f>
        <v>0</v>
      </c>
      <c r="I57" s="5">
        <f>averageResponseTimePorter(Dates!I$6,Dates!I$7,'Day2'!$B57)</f>
        <v>0</v>
      </c>
      <c r="J57" s="5">
        <f>averageResponseTimePorter(Dates!J$6,Dates!J$7,'Day2'!$B57)</f>
        <v>0</v>
      </c>
      <c r="K57" s="5">
        <f>averageResponseTimePorter(Dates!K$6,Dates!K$7,'Day2'!$B57)</f>
        <v>0</v>
      </c>
      <c r="L57" s="5">
        <f>averageResponseTimePorter(Dates!L$6,Dates!L$7,'Day2'!$B57)</f>
        <v>0</v>
      </c>
      <c r="M57" s="5">
        <f>averageResponseTimePorter(Dates!M$6,Dates!M$7,'Day2'!$B57)</f>
        <v>0</v>
      </c>
      <c r="N57" s="5">
        <f>averageResponseTimePorter(Dates!N$6,Dates!N$7,'Day2'!$B57)</f>
        <v>0</v>
      </c>
      <c r="O57" s="5">
        <f>averageResponseTimePorter(Dates!O$6,Dates!O$7,'Day2'!$B57)</f>
        <v>0</v>
      </c>
      <c r="P57" s="5">
        <f>averageResponseTimePorter(Dates!P$6,Dates!P$7,'Day2'!$B57)</f>
        <v>0</v>
      </c>
      <c r="Q57" s="5">
        <f>averageResponseTimePorter(Dates!Q$6,Dates!Q$7,'Day2'!$B57)</f>
        <v>0</v>
      </c>
      <c r="R57" s="5">
        <f>averageResponseTimePorter(Dates!R$6,Dates!R$7,'Day2'!$B57)</f>
        <v>0</v>
      </c>
      <c r="S57" s="5">
        <f>averageResponseTimePorter(Dates!S$6,Dates!S$7,'Day2'!$B57)</f>
        <v>0</v>
      </c>
      <c r="T57" s="5">
        <f>averageResponseTimePorter(Dates!T$6,Dates!T$7,'Day2'!$B57)</f>
        <v>0</v>
      </c>
      <c r="U57" s="5">
        <f>averageResponseTimePorter(Dates!$C$6,Dates!$T$7,'Day2'!$B3)</f>
        <v>0</v>
      </c>
    </row>
    <row r="58" spans="2:21" x14ac:dyDescent="0.3">
      <c r="B58" s="7">
        <f t="shared" si="2"/>
        <v>0</v>
      </c>
      <c r="C58" s="5">
        <f>averageResponseTimePorter(Dates!C$6,Dates!C$7,'Day2'!$B58)</f>
        <v>0</v>
      </c>
      <c r="D58" s="5">
        <f>averageResponseTimePorter(Dates!D$6,Dates!D$7,'Day2'!$B58)</f>
        <v>0</v>
      </c>
      <c r="E58" s="5">
        <f>averageResponseTimePorter(Dates!E$6,Dates!E$7,'Day2'!$B58)</f>
        <v>0</v>
      </c>
      <c r="F58" s="5">
        <f>averageResponseTimePorter(Dates!F$6,Dates!F$7,'Day2'!$B58)</f>
        <v>0</v>
      </c>
      <c r="G58" s="5">
        <f>averageResponseTimePorter(Dates!G$6,Dates!G$7,'Day2'!$B58)</f>
        <v>0</v>
      </c>
      <c r="H58" s="5">
        <f>averageResponseTimePorter(Dates!H$6,Dates!H$7,'Day2'!$B58)</f>
        <v>0</v>
      </c>
      <c r="I58" s="5">
        <f>averageResponseTimePorter(Dates!I$6,Dates!I$7,'Day2'!$B58)</f>
        <v>0</v>
      </c>
      <c r="J58" s="5">
        <f>averageResponseTimePorter(Dates!J$6,Dates!J$7,'Day2'!$B58)</f>
        <v>0</v>
      </c>
      <c r="K58" s="5">
        <f>averageResponseTimePorter(Dates!K$6,Dates!K$7,'Day2'!$B58)</f>
        <v>0</v>
      </c>
      <c r="L58" s="5">
        <f>averageResponseTimePorter(Dates!L$6,Dates!L$7,'Day2'!$B58)</f>
        <v>0</v>
      </c>
      <c r="M58" s="5">
        <f>averageResponseTimePorter(Dates!M$6,Dates!M$7,'Day2'!$B58)</f>
        <v>0</v>
      </c>
      <c r="N58" s="5">
        <f>averageResponseTimePorter(Dates!N$6,Dates!N$7,'Day2'!$B58)</f>
        <v>0</v>
      </c>
      <c r="O58" s="5">
        <f>averageResponseTimePorter(Dates!O$6,Dates!O$7,'Day2'!$B58)</f>
        <v>0</v>
      </c>
      <c r="P58" s="5">
        <f>averageResponseTimePorter(Dates!P$6,Dates!P$7,'Day2'!$B58)</f>
        <v>0</v>
      </c>
      <c r="Q58" s="5">
        <f>averageResponseTimePorter(Dates!Q$6,Dates!Q$7,'Day2'!$B58)</f>
        <v>0</v>
      </c>
      <c r="R58" s="5">
        <f>averageResponseTimePorter(Dates!R$6,Dates!R$7,'Day2'!$B58)</f>
        <v>0</v>
      </c>
      <c r="S58" s="5">
        <f>averageResponseTimePorter(Dates!S$6,Dates!S$7,'Day2'!$B58)</f>
        <v>0</v>
      </c>
      <c r="T58" s="5">
        <f>averageResponseTimePorter(Dates!T$6,Dates!T$7,'Day2'!$B58)</f>
        <v>0</v>
      </c>
      <c r="U58" s="5">
        <f>averageResponseTimePorter(Dates!$C$6,Dates!$T$7,'Day2'!$B4)</f>
        <v>0</v>
      </c>
    </row>
    <row r="59" spans="2:21" x14ac:dyDescent="0.3">
      <c r="B59" s="7">
        <f t="shared" si="2"/>
        <v>3</v>
      </c>
      <c r="C59" s="5">
        <f>averageResponseTimePorter(Dates!C$6,Dates!C$7,'Day2'!$B59)</f>
        <v>0</v>
      </c>
      <c r="D59" s="5">
        <f>averageResponseTimePorter(Dates!D$6,Dates!D$7,'Day2'!$B59)</f>
        <v>0</v>
      </c>
      <c r="E59" s="5">
        <f>averageResponseTimePorter(Dates!E$6,Dates!E$7,'Day2'!$B59)</f>
        <v>0</v>
      </c>
      <c r="F59" s="5">
        <f>averageResponseTimePorter(Dates!F$6,Dates!F$7,'Day2'!$B59)</f>
        <v>0</v>
      </c>
      <c r="G59" s="5">
        <f>averageResponseTimePorter(Dates!G$6,Dates!G$7,'Day2'!$B59)</f>
        <v>0</v>
      </c>
      <c r="H59" s="5">
        <f>averageResponseTimePorter(Dates!H$6,Dates!H$7,'Day2'!$B59)</f>
        <v>0</v>
      </c>
      <c r="I59" s="5">
        <f>averageResponseTimePorter(Dates!I$6,Dates!I$7,'Day2'!$B59)</f>
        <v>0</v>
      </c>
      <c r="J59" s="5">
        <f>averageResponseTimePorter(Dates!J$6,Dates!J$7,'Day2'!$B59)</f>
        <v>0</v>
      </c>
      <c r="K59" s="5">
        <f>averageResponseTimePorter(Dates!K$6,Dates!K$7,'Day2'!$B59)</f>
        <v>0</v>
      </c>
      <c r="L59" s="5">
        <f>averageResponseTimePorter(Dates!L$6,Dates!L$7,'Day2'!$B59)</f>
        <v>0</v>
      </c>
      <c r="M59" s="5">
        <f>averageResponseTimePorter(Dates!M$6,Dates!M$7,'Day2'!$B59)</f>
        <v>0</v>
      </c>
      <c r="N59" s="5">
        <f>averageResponseTimePorter(Dates!N$6,Dates!N$7,'Day2'!$B59)</f>
        <v>0</v>
      </c>
      <c r="O59" s="5">
        <f>averageResponseTimePorter(Dates!O$6,Dates!O$7,'Day2'!$B59)</f>
        <v>0</v>
      </c>
      <c r="P59" s="5">
        <f>averageResponseTimePorter(Dates!P$6,Dates!P$7,'Day2'!$B59)</f>
        <v>0</v>
      </c>
      <c r="Q59" s="5">
        <f>averageResponseTimePorter(Dates!Q$6,Dates!Q$7,'Day2'!$B59)</f>
        <v>0</v>
      </c>
      <c r="R59" s="5">
        <f>averageResponseTimePorter(Dates!R$6,Dates!R$7,'Day2'!$B59)</f>
        <v>0</v>
      </c>
      <c r="S59" s="5">
        <f>averageResponseTimePorter(Dates!S$6,Dates!S$7,'Day2'!$B59)</f>
        <v>0</v>
      </c>
      <c r="T59" s="5">
        <f>averageResponseTimePorter(Dates!T$6,Dates!T$7,'Day2'!$B59)</f>
        <v>0</v>
      </c>
      <c r="U59" s="5">
        <f>averageResponseTimePorter(Dates!$C$6,Dates!$T$7,'Day2'!$B5)</f>
        <v>0</v>
      </c>
    </row>
    <row r="60" spans="2:21" x14ac:dyDescent="0.3">
      <c r="B60" s="7">
        <f t="shared" si="2"/>
        <v>2</v>
      </c>
      <c r="C60" s="5">
        <f>averageResponseTimePorter(Dates!C$6,Dates!C$7,'Day2'!$B60)</f>
        <v>0</v>
      </c>
      <c r="D60" s="5">
        <f>averageResponseTimePorter(Dates!D$6,Dates!D$7,'Day2'!$B60)</f>
        <v>0</v>
      </c>
      <c r="E60" s="5">
        <f>averageResponseTimePorter(Dates!E$6,Dates!E$7,'Day2'!$B60)</f>
        <v>0</v>
      </c>
      <c r="F60" s="5">
        <f>averageResponseTimePorter(Dates!F$6,Dates!F$7,'Day2'!$B60)</f>
        <v>0</v>
      </c>
      <c r="G60" s="5">
        <f>averageResponseTimePorter(Dates!G$6,Dates!G$7,'Day2'!$B60)</f>
        <v>0</v>
      </c>
      <c r="H60" s="5">
        <f>averageResponseTimePorter(Dates!H$6,Dates!H$7,'Day2'!$B60)</f>
        <v>0</v>
      </c>
      <c r="I60" s="5">
        <f>averageResponseTimePorter(Dates!I$6,Dates!I$7,'Day2'!$B60)</f>
        <v>0</v>
      </c>
      <c r="J60" s="5">
        <f>averageResponseTimePorter(Dates!J$6,Dates!J$7,'Day2'!$B60)</f>
        <v>0</v>
      </c>
      <c r="K60" s="5">
        <f>averageResponseTimePorter(Dates!K$6,Dates!K$7,'Day2'!$B60)</f>
        <v>0</v>
      </c>
      <c r="L60" s="5">
        <f>averageResponseTimePorter(Dates!L$6,Dates!L$7,'Day2'!$B60)</f>
        <v>0</v>
      </c>
      <c r="M60" s="5">
        <f>averageResponseTimePorter(Dates!M$6,Dates!M$7,'Day2'!$B60)</f>
        <v>0</v>
      </c>
      <c r="N60" s="5">
        <f>averageResponseTimePorter(Dates!N$6,Dates!N$7,'Day2'!$B60)</f>
        <v>0</v>
      </c>
      <c r="O60" s="5">
        <f>averageResponseTimePorter(Dates!O$6,Dates!O$7,'Day2'!$B60)</f>
        <v>0</v>
      </c>
      <c r="P60" s="5">
        <f>averageResponseTimePorter(Dates!P$6,Dates!P$7,'Day2'!$B60)</f>
        <v>0</v>
      </c>
      <c r="Q60" s="5">
        <f>averageResponseTimePorter(Dates!Q$6,Dates!Q$7,'Day2'!$B60)</f>
        <v>0</v>
      </c>
      <c r="R60" s="5">
        <f>averageResponseTimePorter(Dates!R$6,Dates!R$7,'Day2'!$B60)</f>
        <v>0</v>
      </c>
      <c r="S60" s="5">
        <f>averageResponseTimePorter(Dates!S$6,Dates!S$7,'Day2'!$B60)</f>
        <v>0</v>
      </c>
      <c r="T60" s="5">
        <f>averageResponseTimePorter(Dates!T$6,Dates!T$7,'Day2'!$B60)</f>
        <v>0</v>
      </c>
      <c r="U60" s="5">
        <f>averageResponseTimePorter(Dates!$C$6,Dates!$T$7,'Day2'!$B6)</f>
        <v>0</v>
      </c>
    </row>
    <row r="61" spans="2:21" x14ac:dyDescent="0.3">
      <c r="B61" s="7">
        <f t="shared" si="2"/>
        <v>5</v>
      </c>
      <c r="C61" s="5">
        <f>averageResponseTimePorter(Dates!C$6,Dates!C$7,'Day2'!$B61)</f>
        <v>0</v>
      </c>
      <c r="D61" s="5">
        <f>averageResponseTimePorter(Dates!D$6,Dates!D$7,'Day2'!$B61)</f>
        <v>0</v>
      </c>
      <c r="E61" s="5">
        <f>averageResponseTimePorter(Dates!E$6,Dates!E$7,'Day2'!$B61)</f>
        <v>0</v>
      </c>
      <c r="F61" s="5">
        <f>averageResponseTimePorter(Dates!F$6,Dates!F$7,'Day2'!$B61)</f>
        <v>0</v>
      </c>
      <c r="G61" s="5">
        <f>averageResponseTimePorter(Dates!G$6,Dates!G$7,'Day2'!$B61)</f>
        <v>0</v>
      </c>
      <c r="H61" s="5">
        <f>averageResponseTimePorter(Dates!H$6,Dates!H$7,'Day2'!$B61)</f>
        <v>0</v>
      </c>
      <c r="I61" s="5">
        <f>averageResponseTimePorter(Dates!I$6,Dates!I$7,'Day2'!$B61)</f>
        <v>0</v>
      </c>
      <c r="J61" s="5">
        <f>averageResponseTimePorter(Dates!J$6,Dates!J$7,'Day2'!$B61)</f>
        <v>0</v>
      </c>
      <c r="K61" s="5">
        <f>averageResponseTimePorter(Dates!K$6,Dates!K$7,'Day2'!$B61)</f>
        <v>0</v>
      </c>
      <c r="L61" s="5">
        <f>averageResponseTimePorter(Dates!L$6,Dates!L$7,'Day2'!$B61)</f>
        <v>0</v>
      </c>
      <c r="M61" s="5">
        <f>averageResponseTimePorter(Dates!M$6,Dates!M$7,'Day2'!$B61)</f>
        <v>0</v>
      </c>
      <c r="N61" s="5">
        <f>averageResponseTimePorter(Dates!N$6,Dates!N$7,'Day2'!$B61)</f>
        <v>0</v>
      </c>
      <c r="O61" s="5">
        <f>averageResponseTimePorter(Dates!O$6,Dates!O$7,'Day2'!$B61)</f>
        <v>0</v>
      </c>
      <c r="P61" s="5">
        <f>averageResponseTimePorter(Dates!P$6,Dates!P$7,'Day2'!$B61)</f>
        <v>0</v>
      </c>
      <c r="Q61" s="5">
        <f>averageResponseTimePorter(Dates!Q$6,Dates!Q$7,'Day2'!$B61)</f>
        <v>0</v>
      </c>
      <c r="R61" s="5">
        <f>averageResponseTimePorter(Dates!R$6,Dates!R$7,'Day2'!$B61)</f>
        <v>0</v>
      </c>
      <c r="S61" s="5">
        <f>averageResponseTimePorter(Dates!S$6,Dates!S$7,'Day2'!$B61)</f>
        <v>0</v>
      </c>
      <c r="T61" s="5">
        <f>averageResponseTimePorter(Dates!T$6,Dates!T$7,'Day2'!$B61)</f>
        <v>0</v>
      </c>
      <c r="U61" s="5">
        <f>averageResponseTimePorter(Dates!$C$6,Dates!$T$7,'Day2'!$B7)</f>
        <v>0</v>
      </c>
    </row>
    <row r="62" spans="2:21" x14ac:dyDescent="0.3">
      <c r="B62" s="7">
        <f t="shared" si="2"/>
        <v>4</v>
      </c>
      <c r="C62" s="5">
        <f>averageResponseTimePorter(Dates!C$6,Dates!C$7,'Day2'!$B62)</f>
        <v>0</v>
      </c>
      <c r="D62" s="5">
        <f>averageResponseTimePorter(Dates!D$6,Dates!D$7,'Day2'!$B62)</f>
        <v>0</v>
      </c>
      <c r="E62" s="5">
        <f>averageResponseTimePorter(Dates!E$6,Dates!E$7,'Day2'!$B62)</f>
        <v>0</v>
      </c>
      <c r="F62" s="5">
        <f>averageResponseTimePorter(Dates!F$6,Dates!F$7,'Day2'!$B62)</f>
        <v>0</v>
      </c>
      <c r="G62" s="5">
        <f>averageResponseTimePorter(Dates!G$6,Dates!G$7,'Day2'!$B62)</f>
        <v>0</v>
      </c>
      <c r="H62" s="5">
        <f>averageResponseTimePorter(Dates!H$6,Dates!H$7,'Day2'!$B62)</f>
        <v>0</v>
      </c>
      <c r="I62" s="5">
        <f>averageResponseTimePorter(Dates!I$6,Dates!I$7,'Day2'!$B62)</f>
        <v>0</v>
      </c>
      <c r="J62" s="5">
        <f>averageResponseTimePorter(Dates!J$6,Dates!J$7,'Day2'!$B62)</f>
        <v>0</v>
      </c>
      <c r="K62" s="5">
        <f>averageResponseTimePorter(Dates!K$6,Dates!K$7,'Day2'!$B62)</f>
        <v>0</v>
      </c>
      <c r="L62" s="5">
        <f>averageResponseTimePorter(Dates!L$6,Dates!L$7,'Day2'!$B62)</f>
        <v>0</v>
      </c>
      <c r="M62" s="5">
        <f>averageResponseTimePorter(Dates!M$6,Dates!M$7,'Day2'!$B62)</f>
        <v>0</v>
      </c>
      <c r="N62" s="5">
        <f>averageResponseTimePorter(Dates!N$6,Dates!N$7,'Day2'!$B62)</f>
        <v>0</v>
      </c>
      <c r="O62" s="5">
        <f>averageResponseTimePorter(Dates!O$6,Dates!O$7,'Day2'!$B62)</f>
        <v>0</v>
      </c>
      <c r="P62" s="5">
        <f>averageResponseTimePorter(Dates!P$6,Dates!P$7,'Day2'!$B62)</f>
        <v>0</v>
      </c>
      <c r="Q62" s="5">
        <f>averageResponseTimePorter(Dates!Q$6,Dates!Q$7,'Day2'!$B62)</f>
        <v>0</v>
      </c>
      <c r="R62" s="5">
        <f>averageResponseTimePorter(Dates!R$6,Dates!R$7,'Day2'!$B62)</f>
        <v>0</v>
      </c>
      <c r="S62" s="5">
        <f>averageResponseTimePorter(Dates!S$6,Dates!S$7,'Day2'!$B62)</f>
        <v>0</v>
      </c>
      <c r="T62" s="5">
        <f>averageResponseTimePorter(Dates!T$6,Dates!T$7,'Day2'!$B62)</f>
        <v>0</v>
      </c>
      <c r="U62" s="5">
        <f>averageResponseTimePorter(Dates!$C$6,Dates!$T$7,'Day2'!$B8)</f>
        <v>0</v>
      </c>
    </row>
    <row r="63" spans="2:21" x14ac:dyDescent="0.3">
      <c r="B63" s="7">
        <f t="shared" si="2"/>
        <v>6</v>
      </c>
      <c r="C63" s="5">
        <f>averageResponseTimePorter(Dates!C$6,Dates!C$7,'Day2'!$B63)</f>
        <v>0</v>
      </c>
      <c r="D63" s="5">
        <f>averageResponseTimePorter(Dates!D$6,Dates!D$7,'Day2'!$B63)</f>
        <v>0</v>
      </c>
      <c r="E63" s="5">
        <f>averageResponseTimePorter(Dates!E$6,Dates!E$7,'Day2'!$B63)</f>
        <v>0</v>
      </c>
      <c r="F63" s="5">
        <f>averageResponseTimePorter(Dates!F$6,Dates!F$7,'Day2'!$B63)</f>
        <v>0</v>
      </c>
      <c r="G63" s="5">
        <f>averageResponseTimePorter(Dates!G$6,Dates!G$7,'Day2'!$B63)</f>
        <v>0</v>
      </c>
      <c r="H63" s="5">
        <f>averageResponseTimePorter(Dates!H$6,Dates!H$7,'Day2'!$B63)</f>
        <v>0</v>
      </c>
      <c r="I63" s="5">
        <f>averageResponseTimePorter(Dates!I$6,Dates!I$7,'Day2'!$B63)</f>
        <v>0</v>
      </c>
      <c r="J63" s="5">
        <f>averageResponseTimePorter(Dates!J$6,Dates!J$7,'Day2'!$B63)</f>
        <v>0</v>
      </c>
      <c r="K63" s="5">
        <f>averageResponseTimePorter(Dates!K$6,Dates!K$7,'Day2'!$B63)</f>
        <v>0</v>
      </c>
      <c r="L63" s="5">
        <f>averageResponseTimePorter(Dates!L$6,Dates!L$7,'Day2'!$B63)</f>
        <v>0</v>
      </c>
      <c r="M63" s="5">
        <f>averageResponseTimePorter(Dates!M$6,Dates!M$7,'Day2'!$B63)</f>
        <v>0</v>
      </c>
      <c r="N63" s="5">
        <f>averageResponseTimePorter(Dates!N$6,Dates!N$7,'Day2'!$B63)</f>
        <v>0</v>
      </c>
      <c r="O63" s="5">
        <f>averageResponseTimePorter(Dates!O$6,Dates!O$7,'Day2'!$B63)</f>
        <v>0</v>
      </c>
      <c r="P63" s="5">
        <f>averageResponseTimePorter(Dates!P$6,Dates!P$7,'Day2'!$B63)</f>
        <v>0</v>
      </c>
      <c r="Q63" s="5">
        <f>averageResponseTimePorter(Dates!Q$6,Dates!Q$7,'Day2'!$B63)</f>
        <v>0</v>
      </c>
      <c r="R63" s="5">
        <f>averageResponseTimePorter(Dates!R$6,Dates!R$7,'Day2'!$B63)</f>
        <v>0</v>
      </c>
      <c r="S63" s="5">
        <f>averageResponseTimePorter(Dates!S$6,Dates!S$7,'Day2'!$B63)</f>
        <v>0</v>
      </c>
      <c r="T63" s="5">
        <f>averageResponseTimePorter(Dates!T$6,Dates!T$7,'Day2'!$B63)</f>
        <v>0</v>
      </c>
      <c r="U63" s="5">
        <f>averageResponseTimePorter(Dates!$C$6,Dates!$T$7,'Day2'!$B9)</f>
        <v>0</v>
      </c>
    </row>
    <row r="64" spans="2:21" x14ac:dyDescent="0.3">
      <c r="B64" s="7" t="str">
        <f t="shared" si="2"/>
        <v>NA10</v>
      </c>
      <c r="C64" s="5">
        <f>averageResponseTimePorter(Dates!C$6,Dates!C$7,'Day2'!$B64)</f>
        <v>0</v>
      </c>
      <c r="D64" s="5">
        <f>averageResponseTimePorter(Dates!D$6,Dates!D$7,'Day2'!$B64)</f>
        <v>0</v>
      </c>
      <c r="E64" s="5">
        <f>averageResponseTimePorter(Dates!E$6,Dates!E$7,'Day2'!$B64)</f>
        <v>0</v>
      </c>
      <c r="F64" s="5">
        <f>averageResponseTimePorter(Dates!F$6,Dates!F$7,'Day2'!$B64)</f>
        <v>0</v>
      </c>
      <c r="G64" s="5">
        <f>averageResponseTimePorter(Dates!G$6,Dates!G$7,'Day2'!$B64)</f>
        <v>0</v>
      </c>
      <c r="H64" s="5">
        <f>averageResponseTimePorter(Dates!H$6,Dates!H$7,'Day2'!$B64)</f>
        <v>0</v>
      </c>
      <c r="I64" s="5">
        <f>averageResponseTimePorter(Dates!I$6,Dates!I$7,'Day2'!$B64)</f>
        <v>0</v>
      </c>
      <c r="J64" s="5">
        <f>averageResponseTimePorter(Dates!J$6,Dates!J$7,'Day2'!$B64)</f>
        <v>0</v>
      </c>
      <c r="K64" s="5">
        <f>averageResponseTimePorter(Dates!K$6,Dates!K$7,'Day2'!$B64)</f>
        <v>0</v>
      </c>
      <c r="L64" s="5">
        <f>averageResponseTimePorter(Dates!L$6,Dates!L$7,'Day2'!$B64)</f>
        <v>0</v>
      </c>
      <c r="M64" s="5">
        <f>averageResponseTimePorter(Dates!M$6,Dates!M$7,'Day2'!$B64)</f>
        <v>0</v>
      </c>
      <c r="N64" s="5">
        <f>averageResponseTimePorter(Dates!N$6,Dates!N$7,'Day2'!$B64)</f>
        <v>0</v>
      </c>
      <c r="O64" s="5">
        <f>averageResponseTimePorter(Dates!O$6,Dates!O$7,'Day2'!$B64)</f>
        <v>0</v>
      </c>
      <c r="P64" s="5">
        <f>averageResponseTimePorter(Dates!P$6,Dates!P$7,'Day2'!$B64)</f>
        <v>0</v>
      </c>
      <c r="Q64" s="5">
        <f>averageResponseTimePorter(Dates!Q$6,Dates!Q$7,'Day2'!$B64)</f>
        <v>0</v>
      </c>
      <c r="R64" s="5">
        <f>averageResponseTimePorter(Dates!R$6,Dates!R$7,'Day2'!$B64)</f>
        <v>0</v>
      </c>
      <c r="S64" s="5">
        <f>averageResponseTimePorter(Dates!S$6,Dates!S$7,'Day2'!$B64)</f>
        <v>0</v>
      </c>
      <c r="T64" s="5">
        <f>averageResponseTimePorter(Dates!T$6,Dates!T$7,'Day2'!$B64)</f>
        <v>0</v>
      </c>
      <c r="U64" s="5">
        <f>averageResponseTimePorter(Dates!$C$6,Dates!$T$7,'Day2'!$B10)</f>
        <v>0</v>
      </c>
    </row>
    <row r="65" spans="2:21" x14ac:dyDescent="0.3">
      <c r="B65" s="7" t="str">
        <f t="shared" si="2"/>
        <v>NA11</v>
      </c>
      <c r="C65" s="5">
        <f>averageResponseTimePorter(Dates!C$6,Dates!C$7,'Day2'!$B65)</f>
        <v>0</v>
      </c>
      <c r="D65" s="5">
        <f>averageResponseTimePorter(Dates!D$6,Dates!D$7,'Day2'!$B65)</f>
        <v>0</v>
      </c>
      <c r="E65" s="5">
        <f>averageResponseTimePorter(Dates!E$6,Dates!E$7,'Day2'!$B65)</f>
        <v>0</v>
      </c>
      <c r="F65" s="5">
        <f>averageResponseTimePorter(Dates!F$6,Dates!F$7,'Day2'!$B65)</f>
        <v>0</v>
      </c>
      <c r="G65" s="5">
        <f>averageResponseTimePorter(Dates!G$6,Dates!G$7,'Day2'!$B65)</f>
        <v>0</v>
      </c>
      <c r="H65" s="5">
        <f>averageResponseTimePorter(Dates!H$6,Dates!H$7,'Day2'!$B65)</f>
        <v>0</v>
      </c>
      <c r="I65" s="5">
        <f>averageResponseTimePorter(Dates!I$6,Dates!I$7,'Day2'!$B65)</f>
        <v>0</v>
      </c>
      <c r="J65" s="5">
        <f>averageResponseTimePorter(Dates!J$6,Dates!J$7,'Day2'!$B65)</f>
        <v>0</v>
      </c>
      <c r="K65" s="5">
        <f>averageResponseTimePorter(Dates!K$6,Dates!K$7,'Day2'!$B65)</f>
        <v>0</v>
      </c>
      <c r="L65" s="5">
        <f>averageResponseTimePorter(Dates!L$6,Dates!L$7,'Day2'!$B65)</f>
        <v>0</v>
      </c>
      <c r="M65" s="5">
        <f>averageResponseTimePorter(Dates!M$6,Dates!M$7,'Day2'!$B65)</f>
        <v>0</v>
      </c>
      <c r="N65" s="5">
        <f>averageResponseTimePorter(Dates!N$6,Dates!N$7,'Day2'!$B65)</f>
        <v>0</v>
      </c>
      <c r="O65" s="5">
        <f>averageResponseTimePorter(Dates!O$6,Dates!O$7,'Day2'!$B65)</f>
        <v>0</v>
      </c>
      <c r="P65" s="5">
        <f>averageResponseTimePorter(Dates!P$6,Dates!P$7,'Day2'!$B65)</f>
        <v>0</v>
      </c>
      <c r="Q65" s="5">
        <f>averageResponseTimePorter(Dates!Q$6,Dates!Q$7,'Day2'!$B65)</f>
        <v>0</v>
      </c>
      <c r="R65" s="5">
        <f>averageResponseTimePorter(Dates!R$6,Dates!R$7,'Day2'!$B65)</f>
        <v>0</v>
      </c>
      <c r="S65" s="5">
        <f>averageResponseTimePorter(Dates!S$6,Dates!S$7,'Day2'!$B65)</f>
        <v>0</v>
      </c>
      <c r="T65" s="5">
        <f>averageResponseTimePorter(Dates!T$6,Dates!T$7,'Day2'!$B65)</f>
        <v>0</v>
      </c>
      <c r="U65" s="5">
        <f>averageResponseTimePorter(Dates!$C$6,Dates!$T$7,'Day2'!$B11)</f>
        <v>0</v>
      </c>
    </row>
    <row r="66" spans="2:21" x14ac:dyDescent="0.3">
      <c r="B66" s="7" t="str">
        <f t="shared" si="2"/>
        <v>NA12</v>
      </c>
      <c r="C66" s="5">
        <f>averageResponseTimePorter(Dates!C$6,Dates!C$7,'Day2'!$B66)</f>
        <v>0</v>
      </c>
      <c r="D66" s="5">
        <f>averageResponseTimePorter(Dates!D$6,Dates!D$7,'Day2'!$B66)</f>
        <v>0</v>
      </c>
      <c r="E66" s="5">
        <f>averageResponseTimePorter(Dates!E$6,Dates!E$7,'Day2'!$B66)</f>
        <v>0</v>
      </c>
      <c r="F66" s="5">
        <f>averageResponseTimePorter(Dates!F$6,Dates!F$7,'Day2'!$B66)</f>
        <v>0</v>
      </c>
      <c r="G66" s="5">
        <f>averageResponseTimePorter(Dates!G$6,Dates!G$7,'Day2'!$B66)</f>
        <v>0</v>
      </c>
      <c r="H66" s="5">
        <f>averageResponseTimePorter(Dates!H$6,Dates!H$7,'Day2'!$B66)</f>
        <v>0</v>
      </c>
      <c r="I66" s="5">
        <f>averageResponseTimePorter(Dates!I$6,Dates!I$7,'Day2'!$B66)</f>
        <v>0</v>
      </c>
      <c r="J66" s="5">
        <f>averageResponseTimePorter(Dates!J$6,Dates!J$7,'Day2'!$B66)</f>
        <v>0</v>
      </c>
      <c r="K66" s="5">
        <f>averageResponseTimePorter(Dates!K$6,Dates!K$7,'Day2'!$B66)</f>
        <v>0</v>
      </c>
      <c r="L66" s="5">
        <f>averageResponseTimePorter(Dates!L$6,Dates!L$7,'Day2'!$B66)</f>
        <v>0</v>
      </c>
      <c r="M66" s="5">
        <f>averageResponseTimePorter(Dates!M$6,Dates!M$7,'Day2'!$B66)</f>
        <v>0</v>
      </c>
      <c r="N66" s="5">
        <f>averageResponseTimePorter(Dates!N$6,Dates!N$7,'Day2'!$B66)</f>
        <v>0</v>
      </c>
      <c r="O66" s="5">
        <f>averageResponseTimePorter(Dates!O$6,Dates!O$7,'Day2'!$B66)</f>
        <v>0</v>
      </c>
      <c r="P66" s="5">
        <f>averageResponseTimePorter(Dates!P$6,Dates!P$7,'Day2'!$B66)</f>
        <v>0</v>
      </c>
      <c r="Q66" s="5">
        <f>averageResponseTimePorter(Dates!Q$6,Dates!Q$7,'Day2'!$B66)</f>
        <v>0</v>
      </c>
      <c r="R66" s="5">
        <f>averageResponseTimePorter(Dates!R$6,Dates!R$7,'Day2'!$B66)</f>
        <v>0</v>
      </c>
      <c r="S66" s="5">
        <f>averageResponseTimePorter(Dates!S$6,Dates!S$7,'Day2'!$B66)</f>
        <v>0</v>
      </c>
      <c r="T66" s="5">
        <f>averageResponseTimePorter(Dates!T$6,Dates!T$7,'Day2'!$B66)</f>
        <v>0</v>
      </c>
      <c r="U66" s="5">
        <f>averageResponseTimePorter(Dates!$C$6,Dates!$T$7,'Day2'!$B12)</f>
        <v>0</v>
      </c>
    </row>
    <row r="67" spans="2:21" x14ac:dyDescent="0.3">
      <c r="B67" s="7" t="str">
        <f t="shared" si="2"/>
        <v>NA13</v>
      </c>
      <c r="C67" s="5">
        <f>averageResponseTimePorter(Dates!C$6,Dates!C$7,'Day2'!$B67)</f>
        <v>0</v>
      </c>
      <c r="D67" s="5">
        <f>averageResponseTimePorter(Dates!D$6,Dates!D$7,'Day2'!$B67)</f>
        <v>0</v>
      </c>
      <c r="E67" s="5">
        <f>averageResponseTimePorter(Dates!E$6,Dates!E$7,'Day2'!$B67)</f>
        <v>0</v>
      </c>
      <c r="F67" s="5">
        <f>averageResponseTimePorter(Dates!F$6,Dates!F$7,'Day2'!$B67)</f>
        <v>0</v>
      </c>
      <c r="G67" s="5">
        <f>averageResponseTimePorter(Dates!G$6,Dates!G$7,'Day2'!$B67)</f>
        <v>0</v>
      </c>
      <c r="H67" s="5">
        <f>averageResponseTimePorter(Dates!H$6,Dates!H$7,'Day2'!$B67)</f>
        <v>0</v>
      </c>
      <c r="I67" s="5">
        <f>averageResponseTimePorter(Dates!I$6,Dates!I$7,'Day2'!$B67)</f>
        <v>0</v>
      </c>
      <c r="J67" s="5">
        <f>averageResponseTimePorter(Dates!J$6,Dates!J$7,'Day2'!$B67)</f>
        <v>0</v>
      </c>
      <c r="K67" s="5">
        <f>averageResponseTimePorter(Dates!K$6,Dates!K$7,'Day2'!$B67)</f>
        <v>0</v>
      </c>
      <c r="L67" s="5">
        <f>averageResponseTimePorter(Dates!L$6,Dates!L$7,'Day2'!$B67)</f>
        <v>0</v>
      </c>
      <c r="M67" s="5">
        <f>averageResponseTimePorter(Dates!M$6,Dates!M$7,'Day2'!$B67)</f>
        <v>0</v>
      </c>
      <c r="N67" s="5">
        <f>averageResponseTimePorter(Dates!N$6,Dates!N$7,'Day2'!$B67)</f>
        <v>0</v>
      </c>
      <c r="O67" s="5">
        <f>averageResponseTimePorter(Dates!O$6,Dates!O$7,'Day2'!$B67)</f>
        <v>0</v>
      </c>
      <c r="P67" s="5">
        <f>averageResponseTimePorter(Dates!P$6,Dates!P$7,'Day2'!$B67)</f>
        <v>0</v>
      </c>
      <c r="Q67" s="5">
        <f>averageResponseTimePorter(Dates!Q$6,Dates!Q$7,'Day2'!$B67)</f>
        <v>0</v>
      </c>
      <c r="R67" s="5">
        <f>averageResponseTimePorter(Dates!R$6,Dates!R$7,'Day2'!$B67)</f>
        <v>0</v>
      </c>
      <c r="S67" s="5">
        <f>averageResponseTimePorter(Dates!S$6,Dates!S$7,'Day2'!$B67)</f>
        <v>0</v>
      </c>
      <c r="T67" s="5">
        <f>averageResponseTimePorter(Dates!T$6,Dates!T$7,'Day2'!$B67)</f>
        <v>0</v>
      </c>
      <c r="U67" s="5">
        <f>averageResponseTimePorter(Dates!$C$6,Dates!$T$7,'Day2'!$B13)</f>
        <v>0</v>
      </c>
    </row>
    <row r="68" spans="2:21" x14ac:dyDescent="0.3">
      <c r="B68" s="7" t="str">
        <f t="shared" si="2"/>
        <v>NA14</v>
      </c>
      <c r="C68" s="5">
        <f>averageResponseTimePorter(Dates!C$6,Dates!C$7,'Day2'!$B68)</f>
        <v>0</v>
      </c>
      <c r="D68" s="5">
        <f>averageResponseTimePorter(Dates!D$6,Dates!D$7,'Day2'!$B68)</f>
        <v>0</v>
      </c>
      <c r="E68" s="5">
        <f>averageResponseTimePorter(Dates!E$6,Dates!E$7,'Day2'!$B68)</f>
        <v>0</v>
      </c>
      <c r="F68" s="5">
        <f>averageResponseTimePorter(Dates!F$6,Dates!F$7,'Day2'!$B68)</f>
        <v>0</v>
      </c>
      <c r="G68" s="5">
        <f>averageResponseTimePorter(Dates!G$6,Dates!G$7,'Day2'!$B68)</f>
        <v>0</v>
      </c>
      <c r="H68" s="5">
        <f>averageResponseTimePorter(Dates!H$6,Dates!H$7,'Day2'!$B68)</f>
        <v>0</v>
      </c>
      <c r="I68" s="5">
        <f>averageResponseTimePorter(Dates!I$6,Dates!I$7,'Day2'!$B68)</f>
        <v>0</v>
      </c>
      <c r="J68" s="5">
        <f>averageResponseTimePorter(Dates!J$6,Dates!J$7,'Day2'!$B68)</f>
        <v>0</v>
      </c>
      <c r="K68" s="5">
        <f>averageResponseTimePorter(Dates!K$6,Dates!K$7,'Day2'!$B68)</f>
        <v>0</v>
      </c>
      <c r="L68" s="5">
        <f>averageResponseTimePorter(Dates!L$6,Dates!L$7,'Day2'!$B68)</f>
        <v>0</v>
      </c>
      <c r="M68" s="5">
        <f>averageResponseTimePorter(Dates!M$6,Dates!M$7,'Day2'!$B68)</f>
        <v>0</v>
      </c>
      <c r="N68" s="5">
        <f>averageResponseTimePorter(Dates!N$6,Dates!N$7,'Day2'!$B68)</f>
        <v>0</v>
      </c>
      <c r="O68" s="5">
        <f>averageResponseTimePorter(Dates!O$6,Dates!O$7,'Day2'!$B68)</f>
        <v>0</v>
      </c>
      <c r="P68" s="5">
        <f>averageResponseTimePorter(Dates!P$6,Dates!P$7,'Day2'!$B68)</f>
        <v>0</v>
      </c>
      <c r="Q68" s="5">
        <f>averageResponseTimePorter(Dates!Q$6,Dates!Q$7,'Day2'!$B68)</f>
        <v>0</v>
      </c>
      <c r="R68" s="5">
        <f>averageResponseTimePorter(Dates!R$6,Dates!R$7,'Day2'!$B68)</f>
        <v>0</v>
      </c>
      <c r="S68" s="5">
        <f>averageResponseTimePorter(Dates!S$6,Dates!S$7,'Day2'!$B68)</f>
        <v>0</v>
      </c>
      <c r="T68" s="5">
        <f>averageResponseTimePorter(Dates!T$6,Dates!T$7,'Day2'!$B68)</f>
        <v>0</v>
      </c>
      <c r="U68" s="5">
        <f>averageResponseTimePorter(Dates!$C$6,Dates!$T$7,'Day2'!$B14)</f>
        <v>0</v>
      </c>
    </row>
    <row r="69" spans="2:21" x14ac:dyDescent="0.3">
      <c r="B69" s="7" t="str">
        <f t="shared" si="2"/>
        <v>NA15</v>
      </c>
      <c r="C69" s="5">
        <f>averageResponseTimePorter(Dates!C$6,Dates!C$7,'Day2'!$B69)</f>
        <v>0</v>
      </c>
      <c r="D69" s="5">
        <f>averageResponseTimePorter(Dates!D$6,Dates!D$7,'Day2'!$B69)</f>
        <v>0</v>
      </c>
      <c r="E69" s="5">
        <f>averageResponseTimePorter(Dates!E$6,Dates!E$7,'Day2'!$B69)</f>
        <v>0</v>
      </c>
      <c r="F69" s="5">
        <f>averageResponseTimePorter(Dates!F$6,Dates!F$7,'Day2'!$B69)</f>
        <v>0</v>
      </c>
      <c r="G69" s="5">
        <f>averageResponseTimePorter(Dates!G$6,Dates!G$7,'Day2'!$B69)</f>
        <v>0</v>
      </c>
      <c r="H69" s="5">
        <f>averageResponseTimePorter(Dates!H$6,Dates!H$7,'Day2'!$B69)</f>
        <v>0</v>
      </c>
      <c r="I69" s="5">
        <f>averageResponseTimePorter(Dates!I$6,Dates!I$7,'Day2'!$B69)</f>
        <v>0</v>
      </c>
      <c r="J69" s="5">
        <f>averageResponseTimePorter(Dates!J$6,Dates!J$7,'Day2'!$B69)</f>
        <v>0</v>
      </c>
      <c r="K69" s="5">
        <f>averageResponseTimePorter(Dates!K$6,Dates!K$7,'Day2'!$B69)</f>
        <v>0</v>
      </c>
      <c r="L69" s="5">
        <f>averageResponseTimePorter(Dates!L$6,Dates!L$7,'Day2'!$B69)</f>
        <v>0</v>
      </c>
      <c r="M69" s="5">
        <f>averageResponseTimePorter(Dates!M$6,Dates!M$7,'Day2'!$B69)</f>
        <v>0</v>
      </c>
      <c r="N69" s="5">
        <f>averageResponseTimePorter(Dates!N$6,Dates!N$7,'Day2'!$B69)</f>
        <v>0</v>
      </c>
      <c r="O69" s="5">
        <f>averageResponseTimePorter(Dates!O$6,Dates!O$7,'Day2'!$B69)</f>
        <v>0</v>
      </c>
      <c r="P69" s="5">
        <f>averageResponseTimePorter(Dates!P$6,Dates!P$7,'Day2'!$B69)</f>
        <v>0</v>
      </c>
      <c r="Q69" s="5">
        <f>averageResponseTimePorter(Dates!Q$6,Dates!Q$7,'Day2'!$B69)</f>
        <v>0</v>
      </c>
      <c r="R69" s="5">
        <f>averageResponseTimePorter(Dates!R$6,Dates!R$7,'Day2'!$B69)</f>
        <v>0</v>
      </c>
      <c r="S69" s="5">
        <f>averageResponseTimePorter(Dates!S$6,Dates!S$7,'Day2'!$B69)</f>
        <v>0</v>
      </c>
      <c r="T69" s="5">
        <f>averageResponseTimePorter(Dates!T$6,Dates!T$7,'Day2'!$B69)</f>
        <v>0</v>
      </c>
      <c r="U69" s="5">
        <f>averageResponseTimePorter(Dates!$C$6,Dates!$T$7,'Day2'!$B15)</f>
        <v>0</v>
      </c>
    </row>
    <row r="70" spans="2:21" x14ac:dyDescent="0.3">
      <c r="B70" s="7" t="str">
        <f t="shared" si="2"/>
        <v>NA16</v>
      </c>
      <c r="C70" s="5">
        <f>averageResponseTimePorter(Dates!C$6,Dates!C$7,'Day2'!$B70)</f>
        <v>0</v>
      </c>
      <c r="D70" s="5">
        <f>averageResponseTimePorter(Dates!D$6,Dates!D$7,'Day2'!$B70)</f>
        <v>0</v>
      </c>
      <c r="E70" s="5">
        <f>averageResponseTimePorter(Dates!E$6,Dates!E$7,'Day2'!$B70)</f>
        <v>0</v>
      </c>
      <c r="F70" s="5">
        <f>averageResponseTimePorter(Dates!F$6,Dates!F$7,'Day2'!$B70)</f>
        <v>0</v>
      </c>
      <c r="G70" s="5">
        <f>averageResponseTimePorter(Dates!G$6,Dates!G$7,'Day2'!$B70)</f>
        <v>0</v>
      </c>
      <c r="H70" s="5">
        <f>averageResponseTimePorter(Dates!H$6,Dates!H$7,'Day2'!$B70)</f>
        <v>0</v>
      </c>
      <c r="I70" s="5">
        <f>averageResponseTimePorter(Dates!I$6,Dates!I$7,'Day2'!$B70)</f>
        <v>0</v>
      </c>
      <c r="J70" s="5">
        <f>averageResponseTimePorter(Dates!J$6,Dates!J$7,'Day2'!$B70)</f>
        <v>0</v>
      </c>
      <c r="K70" s="5">
        <f>averageResponseTimePorter(Dates!K$6,Dates!K$7,'Day2'!$B70)</f>
        <v>0</v>
      </c>
      <c r="L70" s="5">
        <f>averageResponseTimePorter(Dates!L$6,Dates!L$7,'Day2'!$B70)</f>
        <v>0</v>
      </c>
      <c r="M70" s="5">
        <f>averageResponseTimePorter(Dates!M$6,Dates!M$7,'Day2'!$B70)</f>
        <v>0</v>
      </c>
      <c r="N70" s="5">
        <f>averageResponseTimePorter(Dates!N$6,Dates!N$7,'Day2'!$B70)</f>
        <v>0</v>
      </c>
      <c r="O70" s="5">
        <f>averageResponseTimePorter(Dates!O$6,Dates!O$7,'Day2'!$B70)</f>
        <v>0</v>
      </c>
      <c r="P70" s="5">
        <f>averageResponseTimePorter(Dates!P$6,Dates!P$7,'Day2'!$B70)</f>
        <v>0</v>
      </c>
      <c r="Q70" s="5">
        <f>averageResponseTimePorter(Dates!Q$6,Dates!Q$7,'Day2'!$B70)</f>
        <v>0</v>
      </c>
      <c r="R70" s="5">
        <f>averageResponseTimePorter(Dates!R$6,Dates!R$7,'Day2'!$B70)</f>
        <v>0</v>
      </c>
      <c r="S70" s="5">
        <f>averageResponseTimePorter(Dates!S$6,Dates!S$7,'Day2'!$B70)</f>
        <v>0</v>
      </c>
      <c r="T70" s="5">
        <f>averageResponseTimePorter(Dates!T$6,Dates!T$7,'Day2'!$B70)</f>
        <v>0</v>
      </c>
      <c r="U70" s="5">
        <f>averageResponseTimePorter(Dates!$C$6,Dates!$T$7,'Day2'!$B16)</f>
        <v>0</v>
      </c>
    </row>
    <row r="71" spans="2:21" x14ac:dyDescent="0.3">
      <c r="B71" s="7" t="str">
        <f t="shared" si="2"/>
        <v>NA17</v>
      </c>
      <c r="C71" s="5">
        <f>averageResponseTimePorter(Dates!C$6,Dates!C$7,'Day2'!$B71)</f>
        <v>0</v>
      </c>
      <c r="D71" s="5">
        <f>averageResponseTimePorter(Dates!D$6,Dates!D$7,'Day2'!$B71)</f>
        <v>0</v>
      </c>
      <c r="E71" s="5">
        <f>averageResponseTimePorter(Dates!E$6,Dates!E$7,'Day2'!$B71)</f>
        <v>0</v>
      </c>
      <c r="F71" s="5">
        <f>averageResponseTimePorter(Dates!F$6,Dates!F$7,'Day2'!$B71)</f>
        <v>0</v>
      </c>
      <c r="G71" s="5">
        <f>averageResponseTimePorter(Dates!G$6,Dates!G$7,'Day2'!$B71)</f>
        <v>0</v>
      </c>
      <c r="H71" s="5">
        <f>averageResponseTimePorter(Dates!H$6,Dates!H$7,'Day2'!$B71)</f>
        <v>0</v>
      </c>
      <c r="I71" s="5">
        <f>averageResponseTimePorter(Dates!I$6,Dates!I$7,'Day2'!$B71)</f>
        <v>0</v>
      </c>
      <c r="J71" s="5">
        <f>averageResponseTimePorter(Dates!J$6,Dates!J$7,'Day2'!$B71)</f>
        <v>0</v>
      </c>
      <c r="K71" s="5">
        <f>averageResponseTimePorter(Dates!K$6,Dates!K$7,'Day2'!$B71)</f>
        <v>0</v>
      </c>
      <c r="L71" s="5">
        <f>averageResponseTimePorter(Dates!L$6,Dates!L$7,'Day2'!$B71)</f>
        <v>0</v>
      </c>
      <c r="M71" s="5">
        <f>averageResponseTimePorter(Dates!M$6,Dates!M$7,'Day2'!$B71)</f>
        <v>0</v>
      </c>
      <c r="N71" s="5">
        <f>averageResponseTimePorter(Dates!N$6,Dates!N$7,'Day2'!$B71)</f>
        <v>0</v>
      </c>
      <c r="O71" s="5">
        <f>averageResponseTimePorter(Dates!O$6,Dates!O$7,'Day2'!$B71)</f>
        <v>0</v>
      </c>
      <c r="P71" s="5">
        <f>averageResponseTimePorter(Dates!P$6,Dates!P$7,'Day2'!$B71)</f>
        <v>0</v>
      </c>
      <c r="Q71" s="5">
        <f>averageResponseTimePorter(Dates!Q$6,Dates!Q$7,'Day2'!$B71)</f>
        <v>0</v>
      </c>
      <c r="R71" s="5">
        <f>averageResponseTimePorter(Dates!R$6,Dates!R$7,'Day2'!$B71)</f>
        <v>0</v>
      </c>
      <c r="S71" s="5">
        <f>averageResponseTimePorter(Dates!S$6,Dates!S$7,'Day2'!$B71)</f>
        <v>0</v>
      </c>
      <c r="T71" s="5">
        <f>averageResponseTimePorter(Dates!T$6,Dates!T$7,'Day2'!$B71)</f>
        <v>0</v>
      </c>
      <c r="U71" s="5">
        <f>averageResponseTimePorter(Dates!$C$6,Dates!$T$7,'Day2'!$B17)</f>
        <v>0</v>
      </c>
    </row>
    <row r="72" spans="2:21" x14ac:dyDescent="0.3">
      <c r="B72" s="7" t="str">
        <f t="shared" si="2"/>
        <v>NA18</v>
      </c>
      <c r="C72" s="5">
        <f>averageResponseTimePorter(Dates!C$6,Dates!C$7,'Day2'!$B72)</f>
        <v>0</v>
      </c>
      <c r="D72" s="5">
        <f>averageResponseTimePorter(Dates!D$6,Dates!D$7,'Day2'!$B72)</f>
        <v>0</v>
      </c>
      <c r="E72" s="5">
        <f>averageResponseTimePorter(Dates!E$6,Dates!E$7,'Day2'!$B72)</f>
        <v>0</v>
      </c>
      <c r="F72" s="5">
        <f>averageResponseTimePorter(Dates!F$6,Dates!F$7,'Day2'!$B72)</f>
        <v>0</v>
      </c>
      <c r="G72" s="5">
        <f>averageResponseTimePorter(Dates!G$6,Dates!G$7,'Day2'!$B72)</f>
        <v>0</v>
      </c>
      <c r="H72" s="5">
        <f>averageResponseTimePorter(Dates!H$6,Dates!H$7,'Day2'!$B72)</f>
        <v>0</v>
      </c>
      <c r="I72" s="5">
        <f>averageResponseTimePorter(Dates!I$6,Dates!I$7,'Day2'!$B72)</f>
        <v>0</v>
      </c>
      <c r="J72" s="5">
        <f>averageResponseTimePorter(Dates!J$6,Dates!J$7,'Day2'!$B72)</f>
        <v>0</v>
      </c>
      <c r="K72" s="5">
        <f>averageResponseTimePorter(Dates!K$6,Dates!K$7,'Day2'!$B72)</f>
        <v>0</v>
      </c>
      <c r="L72" s="5">
        <f>averageResponseTimePorter(Dates!L$6,Dates!L$7,'Day2'!$B72)</f>
        <v>0</v>
      </c>
      <c r="M72" s="5">
        <f>averageResponseTimePorter(Dates!M$6,Dates!M$7,'Day2'!$B72)</f>
        <v>0</v>
      </c>
      <c r="N72" s="5">
        <f>averageResponseTimePorter(Dates!N$6,Dates!N$7,'Day2'!$B72)</f>
        <v>0</v>
      </c>
      <c r="O72" s="5">
        <f>averageResponseTimePorter(Dates!O$6,Dates!O$7,'Day2'!$B72)</f>
        <v>0</v>
      </c>
      <c r="P72" s="5">
        <f>averageResponseTimePorter(Dates!P$6,Dates!P$7,'Day2'!$B72)</f>
        <v>0</v>
      </c>
      <c r="Q72" s="5">
        <f>averageResponseTimePorter(Dates!Q$6,Dates!Q$7,'Day2'!$B72)</f>
        <v>0</v>
      </c>
      <c r="R72" s="5">
        <f>averageResponseTimePorter(Dates!R$6,Dates!R$7,'Day2'!$B72)</f>
        <v>0</v>
      </c>
      <c r="S72" s="5">
        <f>averageResponseTimePorter(Dates!S$6,Dates!S$7,'Day2'!$B72)</f>
        <v>0</v>
      </c>
      <c r="T72" s="5">
        <f>averageResponseTimePorter(Dates!T$6,Dates!T$7,'Day2'!$B72)</f>
        <v>0</v>
      </c>
      <c r="U72" s="5">
        <f>averageResponseTimePorter(Dates!$C$6,Dates!$T$7,'Day2'!$B18)</f>
        <v>0</v>
      </c>
    </row>
    <row r="73" spans="2:21" x14ac:dyDescent="0.3">
      <c r="B73" s="7" t="str">
        <f t="shared" si="2"/>
        <v>NA19</v>
      </c>
      <c r="C73" s="5">
        <f>averageResponseTimePorter(Dates!C$6,Dates!C$7,'Day2'!$B73)</f>
        <v>0</v>
      </c>
      <c r="D73" s="5">
        <f>averageResponseTimePorter(Dates!D$6,Dates!D$7,'Day2'!$B73)</f>
        <v>0</v>
      </c>
      <c r="E73" s="5">
        <f>averageResponseTimePorter(Dates!E$6,Dates!E$7,'Day2'!$B73)</f>
        <v>0</v>
      </c>
      <c r="F73" s="5">
        <f>averageResponseTimePorter(Dates!F$6,Dates!F$7,'Day2'!$B73)</f>
        <v>0</v>
      </c>
      <c r="G73" s="5">
        <f>averageResponseTimePorter(Dates!G$6,Dates!G$7,'Day2'!$B73)</f>
        <v>0</v>
      </c>
      <c r="H73" s="5">
        <f>averageResponseTimePorter(Dates!H$6,Dates!H$7,'Day2'!$B73)</f>
        <v>0</v>
      </c>
      <c r="I73" s="5">
        <f>averageResponseTimePorter(Dates!I$6,Dates!I$7,'Day2'!$B73)</f>
        <v>0</v>
      </c>
      <c r="J73" s="5">
        <f>averageResponseTimePorter(Dates!J$6,Dates!J$7,'Day2'!$B73)</f>
        <v>0</v>
      </c>
      <c r="K73" s="5">
        <f>averageResponseTimePorter(Dates!K$6,Dates!K$7,'Day2'!$B73)</f>
        <v>0</v>
      </c>
      <c r="L73" s="5">
        <f>averageResponseTimePorter(Dates!L$6,Dates!L$7,'Day2'!$B73)</f>
        <v>0</v>
      </c>
      <c r="M73" s="5">
        <f>averageResponseTimePorter(Dates!M$6,Dates!M$7,'Day2'!$B73)</f>
        <v>0</v>
      </c>
      <c r="N73" s="5">
        <f>averageResponseTimePorter(Dates!N$6,Dates!N$7,'Day2'!$B73)</f>
        <v>0</v>
      </c>
      <c r="O73" s="5">
        <f>averageResponseTimePorter(Dates!O$6,Dates!O$7,'Day2'!$B73)</f>
        <v>0</v>
      </c>
      <c r="P73" s="5">
        <f>averageResponseTimePorter(Dates!P$6,Dates!P$7,'Day2'!$B73)</f>
        <v>0</v>
      </c>
      <c r="Q73" s="5">
        <f>averageResponseTimePorter(Dates!Q$6,Dates!Q$7,'Day2'!$B73)</f>
        <v>0</v>
      </c>
      <c r="R73" s="5">
        <f>averageResponseTimePorter(Dates!R$6,Dates!R$7,'Day2'!$B73)</f>
        <v>0</v>
      </c>
      <c r="S73" s="5">
        <f>averageResponseTimePorter(Dates!S$6,Dates!S$7,'Day2'!$B73)</f>
        <v>0</v>
      </c>
      <c r="T73" s="5">
        <f>averageResponseTimePorter(Dates!T$6,Dates!T$7,'Day2'!$B73)</f>
        <v>0</v>
      </c>
      <c r="U73" s="5">
        <f>averageResponseTimePorter(Dates!$C$6,Dates!$T$7,'Day2'!$B19)</f>
        <v>0</v>
      </c>
    </row>
    <row r="74" spans="2:21" x14ac:dyDescent="0.3">
      <c r="B74" s="7" t="str">
        <f t="shared" si="2"/>
        <v>NA20</v>
      </c>
      <c r="C74" s="5">
        <f>averageResponseTimePorter(Dates!C$6,Dates!C$7,'Day2'!$B74)</f>
        <v>0</v>
      </c>
      <c r="D74" s="5">
        <f>averageResponseTimePorter(Dates!D$6,Dates!D$7,'Day2'!$B74)</f>
        <v>0</v>
      </c>
      <c r="E74" s="5">
        <f>averageResponseTimePorter(Dates!E$6,Dates!E$7,'Day2'!$B74)</f>
        <v>0</v>
      </c>
      <c r="F74" s="5">
        <f>averageResponseTimePorter(Dates!F$6,Dates!F$7,'Day2'!$B74)</f>
        <v>0</v>
      </c>
      <c r="G74" s="5">
        <f>averageResponseTimePorter(Dates!G$6,Dates!G$7,'Day2'!$B74)</f>
        <v>0</v>
      </c>
      <c r="H74" s="5">
        <f>averageResponseTimePorter(Dates!H$6,Dates!H$7,'Day2'!$B74)</f>
        <v>0</v>
      </c>
      <c r="I74" s="5">
        <f>averageResponseTimePorter(Dates!I$6,Dates!I$7,'Day2'!$B74)</f>
        <v>0</v>
      </c>
      <c r="J74" s="5">
        <f>averageResponseTimePorter(Dates!J$6,Dates!J$7,'Day2'!$B74)</f>
        <v>0</v>
      </c>
      <c r="K74" s="5">
        <f>averageResponseTimePorter(Dates!K$6,Dates!K$7,'Day2'!$B74)</f>
        <v>0</v>
      </c>
      <c r="L74" s="5">
        <f>averageResponseTimePorter(Dates!L$6,Dates!L$7,'Day2'!$B74)</f>
        <v>0</v>
      </c>
      <c r="M74" s="5">
        <f>averageResponseTimePorter(Dates!M$6,Dates!M$7,'Day2'!$B74)</f>
        <v>0</v>
      </c>
      <c r="N74" s="5">
        <f>averageResponseTimePorter(Dates!N$6,Dates!N$7,'Day2'!$B74)</f>
        <v>0</v>
      </c>
      <c r="O74" s="5">
        <f>averageResponseTimePorter(Dates!O$6,Dates!O$7,'Day2'!$B74)</f>
        <v>0</v>
      </c>
      <c r="P74" s="5">
        <f>averageResponseTimePorter(Dates!P$6,Dates!P$7,'Day2'!$B74)</f>
        <v>0</v>
      </c>
      <c r="Q74" s="5">
        <f>averageResponseTimePorter(Dates!Q$6,Dates!Q$7,'Day2'!$B74)</f>
        <v>0</v>
      </c>
      <c r="R74" s="5">
        <f>averageResponseTimePorter(Dates!R$6,Dates!R$7,'Day2'!$B74)</f>
        <v>0</v>
      </c>
      <c r="S74" s="5">
        <f>averageResponseTimePorter(Dates!S$6,Dates!S$7,'Day2'!$B74)</f>
        <v>0</v>
      </c>
      <c r="T74" s="5">
        <f>averageResponseTimePorter(Dates!T$6,Dates!T$7,'Day2'!$B74)</f>
        <v>0</v>
      </c>
      <c r="U74" s="5">
        <f>averageResponseTimePorter(Dates!$C$6,Dates!$T$7,'Day2'!$B20)</f>
        <v>0</v>
      </c>
    </row>
    <row r="75" spans="2:21" x14ac:dyDescent="0.3">
      <c r="B75" s="7" t="str">
        <f t="shared" si="2"/>
        <v>NA21</v>
      </c>
      <c r="C75" s="5">
        <f>averageResponseTimePorter(Dates!C$6,Dates!C$7,'Day2'!$B75)</f>
        <v>0</v>
      </c>
      <c r="D75" s="5">
        <f>averageResponseTimePorter(Dates!D$6,Dates!D$7,'Day2'!$B75)</f>
        <v>0</v>
      </c>
      <c r="E75" s="5">
        <f>averageResponseTimePorter(Dates!E$6,Dates!E$7,'Day2'!$B75)</f>
        <v>0</v>
      </c>
      <c r="F75" s="5">
        <f>averageResponseTimePorter(Dates!F$6,Dates!F$7,'Day2'!$B75)</f>
        <v>0</v>
      </c>
      <c r="G75" s="5">
        <f>averageResponseTimePorter(Dates!G$6,Dates!G$7,'Day2'!$B75)</f>
        <v>0</v>
      </c>
      <c r="H75" s="5">
        <f>averageResponseTimePorter(Dates!H$6,Dates!H$7,'Day2'!$B75)</f>
        <v>0</v>
      </c>
      <c r="I75" s="5">
        <f>averageResponseTimePorter(Dates!I$6,Dates!I$7,'Day2'!$B75)</f>
        <v>0</v>
      </c>
      <c r="J75" s="5">
        <f>averageResponseTimePorter(Dates!J$6,Dates!J$7,'Day2'!$B75)</f>
        <v>0</v>
      </c>
      <c r="K75" s="5">
        <f>averageResponseTimePorter(Dates!K$6,Dates!K$7,'Day2'!$B75)</f>
        <v>0</v>
      </c>
      <c r="L75" s="5">
        <f>averageResponseTimePorter(Dates!L$6,Dates!L$7,'Day2'!$B75)</f>
        <v>0</v>
      </c>
      <c r="M75" s="5">
        <f>averageResponseTimePorter(Dates!M$6,Dates!M$7,'Day2'!$B75)</f>
        <v>0</v>
      </c>
      <c r="N75" s="5">
        <f>averageResponseTimePorter(Dates!N$6,Dates!N$7,'Day2'!$B75)</f>
        <v>0</v>
      </c>
      <c r="O75" s="5">
        <f>averageResponseTimePorter(Dates!O$6,Dates!O$7,'Day2'!$B75)</f>
        <v>0</v>
      </c>
      <c r="P75" s="5">
        <f>averageResponseTimePorter(Dates!P$6,Dates!P$7,'Day2'!$B75)</f>
        <v>0</v>
      </c>
      <c r="Q75" s="5">
        <f>averageResponseTimePorter(Dates!Q$6,Dates!Q$7,'Day2'!$B75)</f>
        <v>0</v>
      </c>
      <c r="R75" s="5">
        <f>averageResponseTimePorter(Dates!R$6,Dates!R$7,'Day2'!$B75)</f>
        <v>0</v>
      </c>
      <c r="S75" s="5">
        <f>averageResponseTimePorter(Dates!S$6,Dates!S$7,'Day2'!$B75)</f>
        <v>0</v>
      </c>
      <c r="T75" s="5">
        <f>averageResponseTimePorter(Dates!T$6,Dates!T$7,'Day2'!$B75)</f>
        <v>0</v>
      </c>
      <c r="U75" s="5">
        <f>averageResponseTimePorter(Dates!$C$6,Dates!$T$7,'Day2'!$B21)</f>
        <v>0</v>
      </c>
    </row>
    <row r="76" spans="2:21" x14ac:dyDescent="0.3">
      <c r="B76" s="7" t="str">
        <f t="shared" si="2"/>
        <v>NA22</v>
      </c>
      <c r="C76" s="5">
        <f>averageResponseTimePorter(Dates!C$6,Dates!C$7,'Day2'!$B76)</f>
        <v>0</v>
      </c>
      <c r="D76" s="5">
        <f>averageResponseTimePorter(Dates!D$6,Dates!D$7,'Day2'!$B76)</f>
        <v>0</v>
      </c>
      <c r="E76" s="5">
        <f>averageResponseTimePorter(Dates!E$6,Dates!E$7,'Day2'!$B76)</f>
        <v>0</v>
      </c>
      <c r="F76" s="5">
        <f>averageResponseTimePorter(Dates!F$6,Dates!F$7,'Day2'!$B76)</f>
        <v>0</v>
      </c>
      <c r="G76" s="5">
        <f>averageResponseTimePorter(Dates!G$6,Dates!G$7,'Day2'!$B76)</f>
        <v>0</v>
      </c>
      <c r="H76" s="5">
        <f>averageResponseTimePorter(Dates!H$6,Dates!H$7,'Day2'!$B76)</f>
        <v>0</v>
      </c>
      <c r="I76" s="5">
        <f>averageResponseTimePorter(Dates!I$6,Dates!I$7,'Day2'!$B76)</f>
        <v>0</v>
      </c>
      <c r="J76" s="5">
        <f>averageResponseTimePorter(Dates!J$6,Dates!J$7,'Day2'!$B76)</f>
        <v>0</v>
      </c>
      <c r="K76" s="5">
        <f>averageResponseTimePorter(Dates!K$6,Dates!K$7,'Day2'!$B76)</f>
        <v>0</v>
      </c>
      <c r="L76" s="5">
        <f>averageResponseTimePorter(Dates!L$6,Dates!L$7,'Day2'!$B76)</f>
        <v>0</v>
      </c>
      <c r="M76" s="5">
        <f>averageResponseTimePorter(Dates!M$6,Dates!M$7,'Day2'!$B76)</f>
        <v>0</v>
      </c>
      <c r="N76" s="5">
        <f>averageResponseTimePorter(Dates!N$6,Dates!N$7,'Day2'!$B76)</f>
        <v>0</v>
      </c>
      <c r="O76" s="5">
        <f>averageResponseTimePorter(Dates!O$6,Dates!O$7,'Day2'!$B76)</f>
        <v>0</v>
      </c>
      <c r="P76" s="5">
        <f>averageResponseTimePorter(Dates!P$6,Dates!P$7,'Day2'!$B76)</f>
        <v>0</v>
      </c>
      <c r="Q76" s="5">
        <f>averageResponseTimePorter(Dates!Q$6,Dates!Q$7,'Day2'!$B76)</f>
        <v>0</v>
      </c>
      <c r="R76" s="5">
        <f>averageResponseTimePorter(Dates!R$6,Dates!R$7,'Day2'!$B76)</f>
        <v>0</v>
      </c>
      <c r="S76" s="5">
        <f>averageResponseTimePorter(Dates!S$6,Dates!S$7,'Day2'!$B76)</f>
        <v>0</v>
      </c>
      <c r="T76" s="5">
        <f>averageResponseTimePorter(Dates!T$6,Dates!T$7,'Day2'!$B76)</f>
        <v>0</v>
      </c>
      <c r="U76" s="5">
        <f>averageResponseTimePorter(Dates!$C$6,Dates!$T$7,'Day2'!$B22)</f>
        <v>0</v>
      </c>
    </row>
    <row r="77" spans="2:21" x14ac:dyDescent="0.3">
      <c r="B77" s="7" t="str">
        <f t="shared" si="2"/>
        <v>NA23</v>
      </c>
      <c r="C77" s="5">
        <f>averageResponseTimePorter(Dates!C$6,Dates!C$7,'Day2'!$B77)</f>
        <v>0</v>
      </c>
      <c r="D77" s="5">
        <f>averageResponseTimePorter(Dates!D$6,Dates!D$7,'Day2'!$B77)</f>
        <v>0</v>
      </c>
      <c r="E77" s="5">
        <f>averageResponseTimePorter(Dates!E$6,Dates!E$7,'Day2'!$B77)</f>
        <v>0</v>
      </c>
      <c r="F77" s="5">
        <f>averageResponseTimePorter(Dates!F$6,Dates!F$7,'Day2'!$B77)</f>
        <v>0</v>
      </c>
      <c r="G77" s="5">
        <f>averageResponseTimePorter(Dates!G$6,Dates!G$7,'Day2'!$B77)</f>
        <v>0</v>
      </c>
      <c r="H77" s="5">
        <f>averageResponseTimePorter(Dates!H$6,Dates!H$7,'Day2'!$B77)</f>
        <v>0</v>
      </c>
      <c r="I77" s="5">
        <f>averageResponseTimePorter(Dates!I$6,Dates!I$7,'Day2'!$B77)</f>
        <v>0</v>
      </c>
      <c r="J77" s="5">
        <f>averageResponseTimePorter(Dates!J$6,Dates!J$7,'Day2'!$B77)</f>
        <v>0</v>
      </c>
      <c r="K77" s="5">
        <f>averageResponseTimePorter(Dates!K$6,Dates!K$7,'Day2'!$B77)</f>
        <v>0</v>
      </c>
      <c r="L77" s="5">
        <f>averageResponseTimePorter(Dates!L$6,Dates!L$7,'Day2'!$B77)</f>
        <v>0</v>
      </c>
      <c r="M77" s="5">
        <f>averageResponseTimePorter(Dates!M$6,Dates!M$7,'Day2'!$B77)</f>
        <v>0</v>
      </c>
      <c r="N77" s="5">
        <f>averageResponseTimePorter(Dates!N$6,Dates!N$7,'Day2'!$B77)</f>
        <v>0</v>
      </c>
      <c r="O77" s="5">
        <f>averageResponseTimePorter(Dates!O$6,Dates!O$7,'Day2'!$B77)</f>
        <v>0</v>
      </c>
      <c r="P77" s="5">
        <f>averageResponseTimePorter(Dates!P$6,Dates!P$7,'Day2'!$B77)</f>
        <v>0</v>
      </c>
      <c r="Q77" s="5">
        <f>averageResponseTimePorter(Dates!Q$6,Dates!Q$7,'Day2'!$B77)</f>
        <v>0</v>
      </c>
      <c r="R77" s="5">
        <f>averageResponseTimePorter(Dates!R$6,Dates!R$7,'Day2'!$B77)</f>
        <v>0</v>
      </c>
      <c r="S77" s="5">
        <f>averageResponseTimePorter(Dates!S$6,Dates!S$7,'Day2'!$B77)</f>
        <v>0</v>
      </c>
      <c r="T77" s="5">
        <f>averageResponseTimePorter(Dates!T$6,Dates!T$7,'Day2'!$B77)</f>
        <v>0</v>
      </c>
      <c r="U77" s="5">
        <f>averageResponseTimePorter(Dates!$C$6,Dates!$T$7,'Day2'!$B23)</f>
        <v>0</v>
      </c>
    </row>
    <row r="78" spans="2:21" x14ac:dyDescent="0.3">
      <c r="B78" s="7" t="str">
        <f t="shared" si="2"/>
        <v>NA24</v>
      </c>
      <c r="C78" s="5">
        <f>averageResponseTimePorter(Dates!C$6,Dates!C$7,'Day2'!$B78)</f>
        <v>0</v>
      </c>
      <c r="D78" s="5">
        <f>averageResponseTimePorter(Dates!D$6,Dates!D$7,'Day2'!$B78)</f>
        <v>0</v>
      </c>
      <c r="E78" s="5">
        <f>averageResponseTimePorter(Dates!E$6,Dates!E$7,'Day2'!$B78)</f>
        <v>0</v>
      </c>
      <c r="F78" s="5">
        <f>averageResponseTimePorter(Dates!F$6,Dates!F$7,'Day2'!$B78)</f>
        <v>0</v>
      </c>
      <c r="G78" s="5">
        <f>averageResponseTimePorter(Dates!G$6,Dates!G$7,'Day2'!$B78)</f>
        <v>0</v>
      </c>
      <c r="H78" s="5">
        <f>averageResponseTimePorter(Dates!H$6,Dates!H$7,'Day2'!$B78)</f>
        <v>0</v>
      </c>
      <c r="I78" s="5">
        <f>averageResponseTimePorter(Dates!I$6,Dates!I$7,'Day2'!$B78)</f>
        <v>0</v>
      </c>
      <c r="J78" s="5">
        <f>averageResponseTimePorter(Dates!J$6,Dates!J$7,'Day2'!$B78)</f>
        <v>0</v>
      </c>
      <c r="K78" s="5">
        <f>averageResponseTimePorter(Dates!K$6,Dates!K$7,'Day2'!$B78)</f>
        <v>0</v>
      </c>
      <c r="L78" s="5">
        <f>averageResponseTimePorter(Dates!L$6,Dates!L$7,'Day2'!$B78)</f>
        <v>0</v>
      </c>
      <c r="M78" s="5">
        <f>averageResponseTimePorter(Dates!M$6,Dates!M$7,'Day2'!$B78)</f>
        <v>0</v>
      </c>
      <c r="N78" s="5">
        <f>averageResponseTimePorter(Dates!N$6,Dates!N$7,'Day2'!$B78)</f>
        <v>0</v>
      </c>
      <c r="O78" s="5">
        <f>averageResponseTimePorter(Dates!O$6,Dates!O$7,'Day2'!$B78)</f>
        <v>0</v>
      </c>
      <c r="P78" s="5">
        <f>averageResponseTimePorter(Dates!P$6,Dates!P$7,'Day2'!$B78)</f>
        <v>0</v>
      </c>
      <c r="Q78" s="5">
        <f>averageResponseTimePorter(Dates!Q$6,Dates!Q$7,'Day2'!$B78)</f>
        <v>0</v>
      </c>
      <c r="R78" s="5">
        <f>averageResponseTimePorter(Dates!R$6,Dates!R$7,'Day2'!$B78)</f>
        <v>0</v>
      </c>
      <c r="S78" s="5">
        <f>averageResponseTimePorter(Dates!S$6,Dates!S$7,'Day2'!$B78)</f>
        <v>0</v>
      </c>
      <c r="T78" s="5">
        <f>averageResponseTimePorter(Dates!T$6,Dates!T$7,'Day2'!$B78)</f>
        <v>0</v>
      </c>
      <c r="U78" s="5">
        <f>averageResponseTimePorter(Dates!$C$6,Dates!$T$7,'Day2'!$B24)</f>
        <v>0</v>
      </c>
    </row>
    <row r="79" spans="2:21" x14ac:dyDescent="0.3">
      <c r="B79" s="7" t="str">
        <f t="shared" si="2"/>
        <v>NA25</v>
      </c>
      <c r="C79" s="5">
        <f>averageResponseTimePorter(Dates!C$6,Dates!C$7,'Day2'!$B79)</f>
        <v>0</v>
      </c>
      <c r="D79" s="5">
        <f>averageResponseTimePorter(Dates!D$6,Dates!D$7,'Day2'!$B79)</f>
        <v>0</v>
      </c>
      <c r="E79" s="5">
        <f>averageResponseTimePorter(Dates!E$6,Dates!E$7,'Day2'!$B79)</f>
        <v>0</v>
      </c>
      <c r="F79" s="5">
        <f>averageResponseTimePorter(Dates!F$6,Dates!F$7,'Day2'!$B79)</f>
        <v>0</v>
      </c>
      <c r="G79" s="5">
        <f>averageResponseTimePorter(Dates!G$6,Dates!G$7,'Day2'!$B79)</f>
        <v>0</v>
      </c>
      <c r="H79" s="5">
        <f>averageResponseTimePorter(Dates!H$6,Dates!H$7,'Day2'!$B79)</f>
        <v>0</v>
      </c>
      <c r="I79" s="5">
        <f>averageResponseTimePorter(Dates!I$6,Dates!I$7,'Day2'!$B79)</f>
        <v>0</v>
      </c>
      <c r="J79" s="5">
        <f>averageResponseTimePorter(Dates!J$6,Dates!J$7,'Day2'!$B79)</f>
        <v>0</v>
      </c>
      <c r="K79" s="5">
        <f>averageResponseTimePorter(Dates!K$6,Dates!K$7,'Day2'!$B79)</f>
        <v>0</v>
      </c>
      <c r="L79" s="5">
        <f>averageResponseTimePorter(Dates!L$6,Dates!L$7,'Day2'!$B79)</f>
        <v>0</v>
      </c>
      <c r="M79" s="5">
        <f>averageResponseTimePorter(Dates!M$6,Dates!M$7,'Day2'!$B79)</f>
        <v>0</v>
      </c>
      <c r="N79" s="5">
        <f>averageResponseTimePorter(Dates!N$6,Dates!N$7,'Day2'!$B79)</f>
        <v>0</v>
      </c>
      <c r="O79" s="5">
        <f>averageResponseTimePorter(Dates!O$6,Dates!O$7,'Day2'!$B79)</f>
        <v>0</v>
      </c>
      <c r="P79" s="5">
        <f>averageResponseTimePorter(Dates!P$6,Dates!P$7,'Day2'!$B79)</f>
        <v>0</v>
      </c>
      <c r="Q79" s="5">
        <f>averageResponseTimePorter(Dates!Q$6,Dates!Q$7,'Day2'!$B79)</f>
        <v>0</v>
      </c>
      <c r="R79" s="5">
        <f>averageResponseTimePorter(Dates!R$6,Dates!R$7,'Day2'!$B79)</f>
        <v>0</v>
      </c>
      <c r="S79" s="5">
        <f>averageResponseTimePorter(Dates!S$6,Dates!S$7,'Day2'!$B79)</f>
        <v>0</v>
      </c>
      <c r="T79" s="5">
        <f>averageResponseTimePorter(Dates!T$6,Dates!T$7,'Day2'!$B79)</f>
        <v>0</v>
      </c>
      <c r="U79" s="5">
        <f>averageResponseTimePorter(Dates!$C$6,Dates!$T$7,'Day2'!$B25)</f>
        <v>0</v>
      </c>
    </row>
    <row r="80" spans="2:21" x14ac:dyDescent="0.3">
      <c r="B80" s="7" t="str">
        <f t="shared" si="2"/>
        <v>NA26</v>
      </c>
      <c r="C80" s="5">
        <f>averageResponseTimePorter(Dates!C$6,Dates!C$7,'Day2'!$B80)</f>
        <v>0</v>
      </c>
      <c r="D80" s="5">
        <f>averageResponseTimePorter(Dates!D$6,Dates!D$7,'Day2'!$B80)</f>
        <v>0</v>
      </c>
      <c r="E80" s="5">
        <f>averageResponseTimePorter(Dates!E$6,Dates!E$7,'Day2'!$B80)</f>
        <v>0</v>
      </c>
      <c r="F80" s="5">
        <f>averageResponseTimePorter(Dates!F$6,Dates!F$7,'Day2'!$B80)</f>
        <v>0</v>
      </c>
      <c r="G80" s="5">
        <f>averageResponseTimePorter(Dates!G$6,Dates!G$7,'Day2'!$B80)</f>
        <v>0</v>
      </c>
      <c r="H80" s="5">
        <f>averageResponseTimePorter(Dates!H$6,Dates!H$7,'Day2'!$B80)</f>
        <v>0</v>
      </c>
      <c r="I80" s="5">
        <f>averageResponseTimePorter(Dates!I$6,Dates!I$7,'Day2'!$B80)</f>
        <v>0</v>
      </c>
      <c r="J80" s="5">
        <f>averageResponseTimePorter(Dates!J$6,Dates!J$7,'Day2'!$B80)</f>
        <v>0</v>
      </c>
      <c r="K80" s="5">
        <f>averageResponseTimePorter(Dates!K$6,Dates!K$7,'Day2'!$B80)</f>
        <v>0</v>
      </c>
      <c r="L80" s="5">
        <f>averageResponseTimePorter(Dates!L$6,Dates!L$7,'Day2'!$B80)</f>
        <v>0</v>
      </c>
      <c r="M80" s="5">
        <f>averageResponseTimePorter(Dates!M$6,Dates!M$7,'Day2'!$B80)</f>
        <v>0</v>
      </c>
      <c r="N80" s="5">
        <f>averageResponseTimePorter(Dates!N$6,Dates!N$7,'Day2'!$B80)</f>
        <v>0</v>
      </c>
      <c r="O80" s="5">
        <f>averageResponseTimePorter(Dates!O$6,Dates!O$7,'Day2'!$B80)</f>
        <v>0</v>
      </c>
      <c r="P80" s="5">
        <f>averageResponseTimePorter(Dates!P$6,Dates!P$7,'Day2'!$B80)</f>
        <v>0</v>
      </c>
      <c r="Q80" s="5">
        <f>averageResponseTimePorter(Dates!Q$6,Dates!Q$7,'Day2'!$B80)</f>
        <v>0</v>
      </c>
      <c r="R80" s="5">
        <f>averageResponseTimePorter(Dates!R$6,Dates!R$7,'Day2'!$B80)</f>
        <v>0</v>
      </c>
      <c r="S80" s="5">
        <f>averageResponseTimePorter(Dates!S$6,Dates!S$7,'Day2'!$B80)</f>
        <v>0</v>
      </c>
      <c r="T80" s="5">
        <f>averageResponseTimePorter(Dates!T$6,Dates!T$7,'Day2'!$B80)</f>
        <v>0</v>
      </c>
      <c r="U80" s="5">
        <f>averageResponseTimePorter(Dates!$C$6,Dates!$T$7,'Day2'!$B26)</f>
        <v>0</v>
      </c>
    </row>
    <row r="81" spans="2:21" x14ac:dyDescent="0.3">
      <c r="B81" s="7" t="str">
        <f t="shared" si="2"/>
        <v>NA27</v>
      </c>
      <c r="C81" s="5">
        <f>averageResponseTimePorter(Dates!C$6,Dates!C$7,'Day2'!$B81)</f>
        <v>0</v>
      </c>
      <c r="D81" s="5">
        <f>averageResponseTimePorter(Dates!D$6,Dates!D$7,'Day2'!$B81)</f>
        <v>0</v>
      </c>
      <c r="E81" s="5">
        <f>averageResponseTimePorter(Dates!E$6,Dates!E$7,'Day2'!$B81)</f>
        <v>0</v>
      </c>
      <c r="F81" s="5">
        <f>averageResponseTimePorter(Dates!F$6,Dates!F$7,'Day2'!$B81)</f>
        <v>0</v>
      </c>
      <c r="G81" s="5">
        <f>averageResponseTimePorter(Dates!G$6,Dates!G$7,'Day2'!$B81)</f>
        <v>0</v>
      </c>
      <c r="H81" s="5">
        <f>averageResponseTimePorter(Dates!H$6,Dates!H$7,'Day2'!$B81)</f>
        <v>0</v>
      </c>
      <c r="I81" s="5">
        <f>averageResponseTimePorter(Dates!I$6,Dates!I$7,'Day2'!$B81)</f>
        <v>0</v>
      </c>
      <c r="J81" s="5">
        <f>averageResponseTimePorter(Dates!J$6,Dates!J$7,'Day2'!$B81)</f>
        <v>0</v>
      </c>
      <c r="K81" s="5">
        <f>averageResponseTimePorter(Dates!K$6,Dates!K$7,'Day2'!$B81)</f>
        <v>0</v>
      </c>
      <c r="L81" s="5">
        <f>averageResponseTimePorter(Dates!L$6,Dates!L$7,'Day2'!$B81)</f>
        <v>0</v>
      </c>
      <c r="M81" s="5">
        <f>averageResponseTimePorter(Dates!M$6,Dates!M$7,'Day2'!$B81)</f>
        <v>0</v>
      </c>
      <c r="N81" s="5">
        <f>averageResponseTimePorter(Dates!N$6,Dates!N$7,'Day2'!$B81)</f>
        <v>0</v>
      </c>
      <c r="O81" s="5">
        <f>averageResponseTimePorter(Dates!O$6,Dates!O$7,'Day2'!$B81)</f>
        <v>0</v>
      </c>
      <c r="P81" s="5">
        <f>averageResponseTimePorter(Dates!P$6,Dates!P$7,'Day2'!$B81)</f>
        <v>0</v>
      </c>
      <c r="Q81" s="5">
        <f>averageResponseTimePorter(Dates!Q$6,Dates!Q$7,'Day2'!$B81)</f>
        <v>0</v>
      </c>
      <c r="R81" s="5">
        <f>averageResponseTimePorter(Dates!R$6,Dates!R$7,'Day2'!$B81)</f>
        <v>0</v>
      </c>
      <c r="S81" s="5">
        <f>averageResponseTimePorter(Dates!S$6,Dates!S$7,'Day2'!$B81)</f>
        <v>0</v>
      </c>
      <c r="T81" s="5">
        <f>averageResponseTimePorter(Dates!T$6,Dates!T$7,'Day2'!$B81)</f>
        <v>0</v>
      </c>
      <c r="U81" s="5">
        <f>averageResponseTimePorter(Dates!$C$6,Dates!$T$7,'Day2'!$B27)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83"/>
  <sheetViews>
    <sheetView topLeftCell="B60" zoomScale="70" zoomScaleNormal="70" workbookViewId="0">
      <selection activeCell="J72" sqref="J72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averageCompletionTime(Dates!C$8,Dates!C$9)</f>
        <v>0</v>
      </c>
      <c r="D2" s="5">
        <f>averageCompletionTime(Dates!D$8,Dates!D$9)</f>
        <v>0</v>
      </c>
      <c r="E2" s="5">
        <f>averageCompletionTime(Dates!E$8,Dates!E$9)</f>
        <v>0</v>
      </c>
      <c r="F2" s="5">
        <f>averageCompletionTime(Dates!F$8,Dates!F$9)</f>
        <v>0</v>
      </c>
      <c r="G2" s="5">
        <f>averageCompletionTime(Dates!G$8,Dates!G$9)</f>
        <v>0</v>
      </c>
      <c r="H2" s="5">
        <f>averageCompletionTime(Dates!H$8,Dates!H$9)</f>
        <v>0</v>
      </c>
      <c r="I2" s="5">
        <f>averageCompletionTime(Dates!I$8,Dates!I$9)</f>
        <v>0</v>
      </c>
      <c r="J2" s="5">
        <f>averageCompletionTime(Dates!J$8,Dates!J$9)</f>
        <v>0</v>
      </c>
      <c r="K2" s="5">
        <f>averageCompletionTime(Dates!K$8,Dates!K$9)</f>
        <v>0</v>
      </c>
      <c r="L2" s="5">
        <f>averageCompletionTime(Dates!L$8,Dates!L$9)</f>
        <v>0</v>
      </c>
      <c r="M2" s="5">
        <f>averageCompletionTime(Dates!M$8,Dates!M$9)</f>
        <v>0</v>
      </c>
      <c r="N2" s="5">
        <f>averageCompletionTime(Dates!N$8,Dates!N$9)</f>
        <v>0</v>
      </c>
      <c r="O2" s="5">
        <f>averageCompletionTime(Dates!O$8,Dates!O$9)</f>
        <v>0</v>
      </c>
      <c r="P2" s="5">
        <f>averageCompletionTime(Dates!P$8,Dates!P$9)</f>
        <v>0</v>
      </c>
      <c r="Q2" s="5">
        <f>averageCompletionTime(Dates!Q$8,Dates!Q$9)</f>
        <v>0</v>
      </c>
      <c r="R2" s="5">
        <f>averageCompletionTime(Dates!R$8,Dates!R$9)</f>
        <v>0</v>
      </c>
      <c r="S2" s="5">
        <f>averageCompletionTime(Dates!S$8,Dates!S$9)</f>
        <v>0</v>
      </c>
      <c r="T2" s="5">
        <f>averageCompletionTime(Dates!T$8,Dates!T$9)</f>
        <v>0</v>
      </c>
      <c r="U2" s="5">
        <f>averageCompletionTime(Dates!C$8,Dates!T$9)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43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44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42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4" spans="2:21" x14ac:dyDescent="0.3">
      <c r="B24" s="8" t="s">
        <v>62</v>
      </c>
      <c r="C24" s="5">
        <f>averageCompletionTimePorter(Dates!C$8,Dates!C$9,'Day3'!$B24)</f>
        <v>0</v>
      </c>
      <c r="D24" s="5">
        <f>averageCompletionTimePorter(Dates!D$8,Dates!D$9,'Day3'!$B24)</f>
        <v>0</v>
      </c>
      <c r="E24" s="5">
        <f>averageCompletionTimePorter(Dates!E$8,Dates!E$9,'Day3'!$B24)</f>
        <v>0</v>
      </c>
      <c r="F24" s="5">
        <f>averageCompletionTimePorter(Dates!F$8,Dates!F$9,'Day3'!$B24)</f>
        <v>0</v>
      </c>
      <c r="G24" s="5">
        <f>averageCompletionTimePorter(Dates!G$8,Dates!G$9,'Day3'!$B24)</f>
        <v>0</v>
      </c>
      <c r="H24" s="5">
        <f>averageCompletionTimePorter(Dates!H$8,Dates!H$9,'Day3'!$B24)</f>
        <v>0</v>
      </c>
      <c r="I24" s="5">
        <f>averageCompletionTimePorter(Dates!I$8,Dates!I$9,'Day3'!$B24)</f>
        <v>0</v>
      </c>
      <c r="J24" s="5">
        <f>averageCompletionTimePorter(Dates!J$8,Dates!J$9,'Day3'!$B24)</f>
        <v>0</v>
      </c>
      <c r="K24" s="5">
        <f>averageCompletionTimePorter(Dates!K$8,Dates!K$9,'Day3'!$B24)</f>
        <v>0</v>
      </c>
      <c r="L24" s="5">
        <f>averageCompletionTimePorter(Dates!L$8,Dates!L$9,'Day3'!$B24)</f>
        <v>0</v>
      </c>
      <c r="M24" s="5">
        <f>averageCompletionTimePorter(Dates!M$8,Dates!M$9,'Day3'!$B24)</f>
        <v>0</v>
      </c>
      <c r="N24" s="5">
        <f>averageCompletionTimePorter(Dates!N$8,Dates!N$9,'Day3'!$B24)</f>
        <v>0</v>
      </c>
      <c r="O24" s="5">
        <f>averageCompletionTimePorter(Dates!O$8,Dates!O$9,'Day3'!$B24)</f>
        <v>0</v>
      </c>
      <c r="P24" s="5">
        <f>averageCompletionTimePorter(Dates!P$8,Dates!P$9,'Day3'!$B24)</f>
        <v>0</v>
      </c>
      <c r="Q24" s="5">
        <f>averageCompletionTimePorter(Dates!Q$8,Dates!Q$9,'Day3'!$B24)</f>
        <v>0</v>
      </c>
      <c r="R24" s="5">
        <f>averageCompletionTimePorter(Dates!R$8,Dates!R$9,'Day3'!$B24)</f>
        <v>0</v>
      </c>
      <c r="S24" s="5">
        <f>averageCompletionTimePorter(Dates!S$8,Dates!S$9,'Day3'!$B24)</f>
        <v>0</v>
      </c>
      <c r="T24" s="5">
        <f>averageCompletionTimePorter(Dates!T$8,Dates!T$9,'Day3'!$B24)</f>
        <v>0</v>
      </c>
      <c r="U24" s="5">
        <f>averageCompletionTimePorter(Dates!$C$8,Dates!$T$9,'Day3'!$B24)</f>
        <v>0</v>
      </c>
    </row>
    <row r="25" spans="2:21" x14ac:dyDescent="0.3">
      <c r="B25" s="8" t="s">
        <v>63</v>
      </c>
      <c r="C25" s="5">
        <f>averageCompletionTimePorter(Dates!C$8,Dates!C$9,'Day3'!$B25)</f>
        <v>0</v>
      </c>
      <c r="D25" s="5">
        <f>averageCompletionTimePorter(Dates!D$8,Dates!D$9,'Day3'!$B25)</f>
        <v>0</v>
      </c>
      <c r="E25" s="5">
        <f>averageCompletionTimePorter(Dates!E$8,Dates!E$9,'Day3'!$B25)</f>
        <v>0</v>
      </c>
      <c r="F25" s="5">
        <f>averageCompletionTimePorter(Dates!F$8,Dates!F$9,'Day3'!$B25)</f>
        <v>0</v>
      </c>
      <c r="G25" s="5">
        <f>averageCompletionTimePorter(Dates!G$8,Dates!G$9,'Day3'!$B25)</f>
        <v>0</v>
      </c>
      <c r="H25" s="5">
        <f>averageCompletionTimePorter(Dates!H$8,Dates!H$9,'Day3'!$B25)</f>
        <v>0</v>
      </c>
      <c r="I25" s="5">
        <f>averageCompletionTimePorter(Dates!I$8,Dates!I$9,'Day3'!$B25)</f>
        <v>0</v>
      </c>
      <c r="J25" s="5">
        <f>averageCompletionTimePorter(Dates!J$8,Dates!J$9,'Day3'!$B25)</f>
        <v>0</v>
      </c>
      <c r="K25" s="5">
        <f>averageCompletionTimePorter(Dates!K$8,Dates!K$9,'Day3'!$B25)</f>
        <v>0</v>
      </c>
      <c r="L25" s="5">
        <f>averageCompletionTimePorter(Dates!L$8,Dates!L$9,'Day3'!$B25)</f>
        <v>0</v>
      </c>
      <c r="M25" s="5">
        <f>averageCompletionTimePorter(Dates!M$8,Dates!M$9,'Day3'!$B25)</f>
        <v>0</v>
      </c>
      <c r="N25" s="5">
        <f>averageCompletionTimePorter(Dates!N$8,Dates!N$9,'Day3'!$B25)</f>
        <v>0</v>
      </c>
      <c r="O25" s="5">
        <f>averageCompletionTimePorter(Dates!O$8,Dates!O$9,'Day3'!$B25)</f>
        <v>0</v>
      </c>
      <c r="P25" s="5">
        <f>averageCompletionTimePorter(Dates!P$8,Dates!P$9,'Day3'!$B25)</f>
        <v>0</v>
      </c>
      <c r="Q25" s="5">
        <f>averageCompletionTimePorter(Dates!Q$8,Dates!Q$9,'Day3'!$B25)</f>
        <v>0</v>
      </c>
      <c r="R25" s="5">
        <f>averageCompletionTimePorter(Dates!R$8,Dates!R$9,'Day3'!$B25)</f>
        <v>0</v>
      </c>
      <c r="S25" s="5">
        <f>averageCompletionTimePorter(Dates!S$8,Dates!S$9,'Day3'!$B25)</f>
        <v>0</v>
      </c>
      <c r="T25" s="5">
        <f>averageCompletionTimePorter(Dates!T$8,Dates!T$9,'Day3'!$B25)</f>
        <v>0</v>
      </c>
      <c r="U25" s="5">
        <f>averageCompletionTimePorter(Dates!$C$8,Dates!$T$9,'Day3'!$B25)</f>
        <v>0</v>
      </c>
    </row>
    <row r="26" spans="2:21" x14ac:dyDescent="0.3">
      <c r="B26" s="8" t="s">
        <v>64</v>
      </c>
      <c r="C26" s="5">
        <f>averageCompletionTimePorter(Dates!C$8,Dates!C$9,'Day3'!$B26)</f>
        <v>0</v>
      </c>
      <c r="D26" s="5">
        <f>averageCompletionTimePorter(Dates!D$8,Dates!D$9,'Day3'!$B26)</f>
        <v>0</v>
      </c>
      <c r="E26" s="5">
        <f>averageCompletionTimePorter(Dates!E$8,Dates!E$9,'Day3'!$B26)</f>
        <v>0</v>
      </c>
      <c r="F26" s="5">
        <f>averageCompletionTimePorter(Dates!F$8,Dates!F$9,'Day3'!$B26)</f>
        <v>0</v>
      </c>
      <c r="G26" s="5">
        <f>averageCompletionTimePorter(Dates!G$8,Dates!G$9,'Day3'!$B26)</f>
        <v>0</v>
      </c>
      <c r="H26" s="5">
        <f>averageCompletionTimePorter(Dates!H$8,Dates!H$9,'Day3'!$B26)</f>
        <v>0</v>
      </c>
      <c r="I26" s="5">
        <f>averageCompletionTimePorter(Dates!I$8,Dates!I$9,'Day3'!$B26)</f>
        <v>0</v>
      </c>
      <c r="J26" s="5">
        <f>averageCompletionTimePorter(Dates!J$8,Dates!J$9,'Day3'!$B26)</f>
        <v>0</v>
      </c>
      <c r="K26" s="5">
        <f>averageCompletionTimePorter(Dates!K$8,Dates!K$9,'Day3'!$B26)</f>
        <v>0</v>
      </c>
      <c r="L26" s="5">
        <f>averageCompletionTimePorter(Dates!L$8,Dates!L$9,'Day3'!$B26)</f>
        <v>0</v>
      </c>
      <c r="M26" s="5">
        <f>averageCompletionTimePorter(Dates!M$8,Dates!M$9,'Day3'!$B26)</f>
        <v>0</v>
      </c>
      <c r="N26" s="5">
        <f>averageCompletionTimePorter(Dates!N$8,Dates!N$9,'Day3'!$B26)</f>
        <v>0</v>
      </c>
      <c r="O26" s="5">
        <f>averageCompletionTimePorter(Dates!O$8,Dates!O$9,'Day3'!$B26)</f>
        <v>0</v>
      </c>
      <c r="P26" s="5">
        <f>averageCompletionTimePorter(Dates!P$8,Dates!P$9,'Day3'!$B26)</f>
        <v>0</v>
      </c>
      <c r="Q26" s="5">
        <f>averageCompletionTimePorter(Dates!Q$8,Dates!Q$9,'Day3'!$B26)</f>
        <v>0</v>
      </c>
      <c r="R26" s="5">
        <f>averageCompletionTimePorter(Dates!R$8,Dates!R$9,'Day3'!$B26)</f>
        <v>0</v>
      </c>
      <c r="S26" s="5">
        <f>averageCompletionTimePorter(Dates!S$8,Dates!S$9,'Day3'!$B26)</f>
        <v>0</v>
      </c>
      <c r="T26" s="5">
        <f>averageCompletionTimePorter(Dates!T$8,Dates!T$9,'Day3'!$B26)</f>
        <v>0</v>
      </c>
      <c r="U26" s="5">
        <f>averageCompletionTimePorter(Dates!$C$8,Dates!$T$9,'Day3'!$B26)</f>
        <v>0</v>
      </c>
    </row>
    <row r="27" spans="2:21" x14ac:dyDescent="0.3">
      <c r="B27" s="8" t="s">
        <v>65</v>
      </c>
      <c r="C27" s="5">
        <f>averageCompletionTimePorter(Dates!C$8,Dates!C$9,'Day3'!$B27)</f>
        <v>0</v>
      </c>
      <c r="D27" s="5">
        <f>averageCompletionTimePorter(Dates!D$8,Dates!D$9,'Day3'!$B27)</f>
        <v>0</v>
      </c>
      <c r="E27" s="5">
        <f>averageCompletionTimePorter(Dates!E$8,Dates!E$9,'Day3'!$B27)</f>
        <v>0</v>
      </c>
      <c r="F27" s="5">
        <f>averageCompletionTimePorter(Dates!F$8,Dates!F$9,'Day3'!$B27)</f>
        <v>0</v>
      </c>
      <c r="G27" s="5">
        <f>averageCompletionTimePorter(Dates!G$8,Dates!G$9,'Day3'!$B27)</f>
        <v>0</v>
      </c>
      <c r="H27" s="5">
        <f>averageCompletionTimePorter(Dates!H$8,Dates!H$9,'Day3'!$B27)</f>
        <v>0</v>
      </c>
      <c r="I27" s="5">
        <f>averageCompletionTimePorter(Dates!I$8,Dates!I$9,'Day3'!$B27)</f>
        <v>0</v>
      </c>
      <c r="J27" s="5">
        <f>averageCompletionTimePorter(Dates!J$8,Dates!J$9,'Day3'!$B27)</f>
        <v>0</v>
      </c>
      <c r="K27" s="5">
        <f>averageCompletionTimePorter(Dates!K$8,Dates!K$9,'Day3'!$B27)</f>
        <v>0</v>
      </c>
      <c r="L27" s="5">
        <f>averageCompletionTimePorter(Dates!L$8,Dates!L$9,'Day3'!$B27)</f>
        <v>0</v>
      </c>
      <c r="M27" s="5">
        <f>averageCompletionTimePorter(Dates!M$8,Dates!M$9,'Day3'!$B27)</f>
        <v>0</v>
      </c>
      <c r="N27" s="5">
        <f>averageCompletionTimePorter(Dates!N$8,Dates!N$9,'Day3'!$B27)</f>
        <v>0</v>
      </c>
      <c r="O27" s="5">
        <f>averageCompletionTimePorter(Dates!O$8,Dates!O$9,'Day3'!$B27)</f>
        <v>0</v>
      </c>
      <c r="P27" s="5">
        <f>averageCompletionTimePorter(Dates!P$8,Dates!P$9,'Day3'!$B27)</f>
        <v>0</v>
      </c>
      <c r="Q27" s="5">
        <f>averageCompletionTimePorter(Dates!Q$8,Dates!Q$9,'Day3'!$B27)</f>
        <v>0</v>
      </c>
      <c r="R27" s="5">
        <f>averageCompletionTimePorter(Dates!R$8,Dates!R$9,'Day3'!$B27)</f>
        <v>0</v>
      </c>
      <c r="S27" s="5">
        <f>averageCompletionTimePorter(Dates!S$8,Dates!S$9,'Day3'!$B27)</f>
        <v>0</v>
      </c>
      <c r="T27" s="5">
        <f>averageCompletionTimePorter(Dates!T$8,Dates!T$9,'Day3'!$B27)</f>
        <v>0</v>
      </c>
      <c r="U27" s="5">
        <f>averageCompletionTimePorter(Dates!$C$8,Dates!$T$9,'Day3'!$B27)</f>
        <v>0</v>
      </c>
    </row>
    <row r="29" spans="2:21" x14ac:dyDescent="0.3">
      <c r="B29" s="7" t="s">
        <v>66</v>
      </c>
      <c r="C29">
        <f>totalNumberOfJobsCompleted(Dates!C$8,Dates!C$9)</f>
        <v>0</v>
      </c>
      <c r="D29">
        <f>totalNumberOfJobsCompleted(Dates!D$8,Dates!D$9)</f>
        <v>0</v>
      </c>
      <c r="E29">
        <f>totalNumberOfJobsCompleted(Dates!E$8,Dates!E$9)</f>
        <v>0</v>
      </c>
      <c r="F29">
        <f>totalNumberOfJobsCompleted(Dates!F$8,Dates!F$9)</f>
        <v>0</v>
      </c>
      <c r="G29">
        <f>totalNumberOfJobsCompleted(Dates!G$8,Dates!G$9)</f>
        <v>0</v>
      </c>
      <c r="H29">
        <f>totalNumberOfJobsCompleted(Dates!H$8,Dates!H$9)</f>
        <v>0</v>
      </c>
      <c r="I29">
        <f>totalNumberOfJobsCompleted(Dates!I$8,Dates!I$9)</f>
        <v>0</v>
      </c>
      <c r="J29">
        <f>totalNumberOfJobsCompleted(Dates!J$8,Dates!J$9)</f>
        <v>0</v>
      </c>
      <c r="K29">
        <f>totalNumberOfJobsCompleted(Dates!K$8,Dates!K$9)</f>
        <v>0</v>
      </c>
      <c r="L29">
        <f>totalNumberOfJobsCompleted(Dates!L$8,Dates!L$9)</f>
        <v>0</v>
      </c>
      <c r="M29">
        <f>totalNumberOfJobsCompleted(Dates!M$8,Dates!M$9)</f>
        <v>0</v>
      </c>
      <c r="N29">
        <f>totalNumberOfJobsCompleted(Dates!N$8,Dates!N$9)</f>
        <v>0</v>
      </c>
      <c r="O29">
        <f>totalNumberOfJobsCompleted(Dates!O$8,Dates!O$9)</f>
        <v>0</v>
      </c>
      <c r="P29">
        <f>totalNumberOfJobsCompleted(Dates!P$8,Dates!P$9)</f>
        <v>0</v>
      </c>
      <c r="Q29">
        <f>totalNumberOfJobsCompleted(Dates!Q$8,Dates!Q$9)</f>
        <v>0</v>
      </c>
      <c r="R29">
        <f>totalNumberOfJobsCompleted(Dates!R$8,Dates!R$9)</f>
        <v>0</v>
      </c>
      <c r="S29">
        <f>totalNumberOfJobsCompleted(Dates!S$8,Dates!S$9)</f>
        <v>0</v>
      </c>
      <c r="T29">
        <f>totalNumberOfJobsCompleted(Dates!T$8,Dates!T$9)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totalNumberOfJobsCompletedPorter(Dates!C$8,Dates!C$9,'Day3'!$B30)</f>
        <v>0</v>
      </c>
      <c r="D30">
        <f>totalNumberOfJobsCompletedPorter(Dates!D$8,Dates!D$9,'Day3'!$B30)</f>
        <v>0</v>
      </c>
      <c r="E30">
        <f>totalNumberOfJobsCompletedPorter(Dates!E$8,Dates!E$9,'Day3'!$B30)</f>
        <v>0</v>
      </c>
      <c r="F30">
        <f>totalNumberOfJobsCompletedPorter(Dates!F$8,Dates!F$9,'Day3'!$B30)</f>
        <v>0</v>
      </c>
      <c r="G30">
        <f>totalNumberOfJobsCompletedPorter(Dates!G$8,Dates!G$9,'Day3'!$B30)</f>
        <v>0</v>
      </c>
      <c r="H30">
        <f>totalNumberOfJobsCompletedPorter(Dates!H$8,Dates!H$9,'Day3'!$B30)</f>
        <v>0</v>
      </c>
      <c r="I30">
        <f>totalNumberOfJobsCompletedPorter(Dates!I$8,Dates!I$9,'Day3'!$B30)</f>
        <v>0</v>
      </c>
      <c r="J30">
        <f>totalNumberOfJobsCompletedPorter(Dates!J$8,Dates!J$9,'Day3'!$B30)</f>
        <v>0</v>
      </c>
      <c r="K30">
        <f>totalNumberOfJobsCompletedPorter(Dates!K$8,Dates!K$9,'Day3'!$B30)</f>
        <v>0</v>
      </c>
      <c r="L30">
        <f>totalNumberOfJobsCompletedPorter(Dates!L$8,Dates!L$9,'Day3'!$B30)</f>
        <v>0</v>
      </c>
      <c r="M30">
        <f>totalNumberOfJobsCompletedPorter(Dates!M$8,Dates!M$9,'Day3'!$B30)</f>
        <v>0</v>
      </c>
      <c r="N30">
        <f>totalNumberOfJobsCompletedPorter(Dates!N$8,Dates!N$9,'Day3'!$B30)</f>
        <v>0</v>
      </c>
      <c r="O30">
        <f>totalNumberOfJobsCompletedPorter(Dates!O$8,Dates!O$9,'Day3'!$B30)</f>
        <v>0</v>
      </c>
      <c r="P30">
        <f>totalNumberOfJobsCompletedPorter(Dates!P$8,Dates!P$9,'Day3'!$B30)</f>
        <v>0</v>
      </c>
      <c r="Q30">
        <f>totalNumberOfJobsCompletedPorter(Dates!Q$8,Dates!Q$9,'Day3'!$B30)</f>
        <v>0</v>
      </c>
      <c r="R30">
        <f>totalNumberOfJobsCompletedPorter(Dates!R$8,Dates!R$9,'Day3'!$B30)</f>
        <v>0</v>
      </c>
      <c r="S30">
        <f>totalNumberOfJobsCompletedPorter(Dates!S$8,Dates!S$9,'Day3'!$B30)</f>
        <v>0</v>
      </c>
      <c r="T30">
        <f>totalNumberOfJobsCompletedPorter(Dates!T$8,Dates!T$9,'Day3'!$B30)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totalNumberOfJobsCompletedPorter(Dates!C$8,Dates!C$9,'Day3'!$B31)</f>
        <v>0</v>
      </c>
      <c r="D31">
        <f>totalNumberOfJobsCompletedPorter(Dates!D$8,Dates!D$9,'Day3'!$B31)</f>
        <v>0</v>
      </c>
      <c r="E31">
        <f>totalNumberOfJobsCompletedPorter(Dates!E$8,Dates!E$9,'Day3'!$B31)</f>
        <v>0</v>
      </c>
      <c r="F31">
        <f>totalNumberOfJobsCompletedPorter(Dates!F$8,Dates!F$9,'Day3'!$B31)</f>
        <v>0</v>
      </c>
      <c r="G31">
        <f>totalNumberOfJobsCompletedPorter(Dates!G$8,Dates!G$9,'Day3'!$B31)</f>
        <v>0</v>
      </c>
      <c r="H31">
        <f>totalNumberOfJobsCompletedPorter(Dates!H$8,Dates!H$9,'Day3'!$B31)</f>
        <v>0</v>
      </c>
      <c r="I31">
        <f>totalNumberOfJobsCompletedPorter(Dates!I$8,Dates!I$9,'Day3'!$B31)</f>
        <v>0</v>
      </c>
      <c r="J31">
        <f>totalNumberOfJobsCompletedPorter(Dates!J$8,Dates!J$9,'Day3'!$B31)</f>
        <v>0</v>
      </c>
      <c r="K31">
        <f>totalNumberOfJobsCompletedPorter(Dates!K$8,Dates!K$9,'Day3'!$B31)</f>
        <v>0</v>
      </c>
      <c r="L31">
        <f>totalNumberOfJobsCompletedPorter(Dates!L$8,Dates!L$9,'Day3'!$B31)</f>
        <v>0</v>
      </c>
      <c r="M31">
        <f>totalNumberOfJobsCompletedPorter(Dates!M$8,Dates!M$9,'Day3'!$B31)</f>
        <v>0</v>
      </c>
      <c r="N31">
        <f>totalNumberOfJobsCompletedPorter(Dates!N$8,Dates!N$9,'Day3'!$B31)</f>
        <v>0</v>
      </c>
      <c r="O31">
        <f>totalNumberOfJobsCompletedPorter(Dates!O$8,Dates!O$9,'Day3'!$B31)</f>
        <v>0</v>
      </c>
      <c r="P31">
        <f>totalNumberOfJobsCompletedPorter(Dates!P$8,Dates!P$9,'Day3'!$B31)</f>
        <v>0</v>
      </c>
      <c r="Q31">
        <f>totalNumberOfJobsCompletedPorter(Dates!Q$8,Dates!Q$9,'Day3'!$B31)</f>
        <v>0</v>
      </c>
      <c r="R31">
        <f>totalNumberOfJobsCompletedPorter(Dates!R$8,Dates!R$9,'Day3'!$B31)</f>
        <v>0</v>
      </c>
      <c r="S31">
        <f>totalNumberOfJobsCompletedPorter(Dates!S$8,Dates!S$9,'Day3'!$B31)</f>
        <v>0</v>
      </c>
      <c r="T31">
        <f>totalNumberOfJobsCompletedPorter(Dates!T$8,Dates!T$9,'Day3'!$B31)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totalNumberOfJobsCompletedPorter(Dates!C$8,Dates!C$9,'Day3'!$B32)</f>
        <v>0</v>
      </c>
      <c r="D32">
        <f>totalNumberOfJobsCompletedPorter(Dates!D$8,Dates!D$9,'Day3'!$B32)</f>
        <v>0</v>
      </c>
      <c r="E32">
        <f>totalNumberOfJobsCompletedPorter(Dates!E$8,Dates!E$9,'Day3'!$B32)</f>
        <v>0</v>
      </c>
      <c r="F32">
        <f>totalNumberOfJobsCompletedPorter(Dates!F$8,Dates!F$9,'Day3'!$B32)</f>
        <v>0</v>
      </c>
      <c r="G32">
        <f>totalNumberOfJobsCompletedPorter(Dates!G$8,Dates!G$9,'Day3'!$B32)</f>
        <v>0</v>
      </c>
      <c r="H32">
        <f>totalNumberOfJobsCompletedPorter(Dates!H$8,Dates!H$9,'Day3'!$B32)</f>
        <v>0</v>
      </c>
      <c r="I32">
        <f>totalNumberOfJobsCompletedPorter(Dates!I$8,Dates!I$9,'Day3'!$B32)</f>
        <v>0</v>
      </c>
      <c r="J32">
        <f>totalNumberOfJobsCompletedPorter(Dates!J$8,Dates!J$9,'Day3'!$B32)</f>
        <v>0</v>
      </c>
      <c r="K32">
        <f>totalNumberOfJobsCompletedPorter(Dates!K$8,Dates!K$9,'Day3'!$B32)</f>
        <v>0</v>
      </c>
      <c r="L32">
        <f>totalNumberOfJobsCompletedPorter(Dates!L$8,Dates!L$9,'Day3'!$B32)</f>
        <v>0</v>
      </c>
      <c r="M32">
        <f>totalNumberOfJobsCompletedPorter(Dates!M$8,Dates!M$9,'Day3'!$B32)</f>
        <v>0</v>
      </c>
      <c r="N32">
        <f>totalNumberOfJobsCompletedPorter(Dates!N$8,Dates!N$9,'Day3'!$B32)</f>
        <v>0</v>
      </c>
      <c r="O32">
        <f>totalNumberOfJobsCompletedPorter(Dates!O$8,Dates!O$9,'Day3'!$B32)</f>
        <v>0</v>
      </c>
      <c r="P32">
        <f>totalNumberOfJobsCompletedPorter(Dates!P$8,Dates!P$9,'Day3'!$B32)</f>
        <v>0</v>
      </c>
      <c r="Q32">
        <f>totalNumberOfJobsCompletedPorter(Dates!Q$8,Dates!Q$9,'Day3'!$B32)</f>
        <v>0</v>
      </c>
      <c r="R32">
        <f>totalNumberOfJobsCompletedPorter(Dates!R$8,Dates!R$9,'Day3'!$B32)</f>
        <v>0</v>
      </c>
      <c r="S32">
        <f>totalNumberOfJobsCompletedPorter(Dates!S$8,Dates!S$9,'Day3'!$B32)</f>
        <v>0</v>
      </c>
      <c r="T32">
        <f>totalNumberOfJobsCompletedPorter(Dates!T$8,Dates!T$9,'Day3'!$B32)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totalNumberOfJobsCompletedPorter(Dates!C$8,Dates!C$9,'Day3'!$B33)</f>
        <v>0</v>
      </c>
      <c r="D33">
        <f>totalNumberOfJobsCompletedPorter(Dates!D$8,Dates!D$9,'Day3'!$B33)</f>
        <v>0</v>
      </c>
      <c r="E33">
        <f>totalNumberOfJobsCompletedPorter(Dates!E$8,Dates!E$9,'Day3'!$B33)</f>
        <v>0</v>
      </c>
      <c r="F33">
        <f>totalNumberOfJobsCompletedPorter(Dates!F$8,Dates!F$9,'Day3'!$B33)</f>
        <v>0</v>
      </c>
      <c r="G33">
        <f>totalNumberOfJobsCompletedPorter(Dates!G$8,Dates!G$9,'Day3'!$B33)</f>
        <v>0</v>
      </c>
      <c r="H33">
        <f>totalNumberOfJobsCompletedPorter(Dates!H$8,Dates!H$9,'Day3'!$B33)</f>
        <v>0</v>
      </c>
      <c r="I33">
        <f>totalNumberOfJobsCompletedPorter(Dates!I$8,Dates!I$9,'Day3'!$B33)</f>
        <v>0</v>
      </c>
      <c r="J33">
        <f>totalNumberOfJobsCompletedPorter(Dates!J$8,Dates!J$9,'Day3'!$B33)</f>
        <v>0</v>
      </c>
      <c r="K33">
        <f>totalNumberOfJobsCompletedPorter(Dates!K$8,Dates!K$9,'Day3'!$B33)</f>
        <v>0</v>
      </c>
      <c r="L33">
        <f>totalNumberOfJobsCompletedPorter(Dates!L$8,Dates!L$9,'Day3'!$B33)</f>
        <v>0</v>
      </c>
      <c r="M33">
        <f>totalNumberOfJobsCompletedPorter(Dates!M$8,Dates!M$9,'Day3'!$B33)</f>
        <v>0</v>
      </c>
      <c r="N33">
        <f>totalNumberOfJobsCompletedPorter(Dates!N$8,Dates!N$9,'Day3'!$B33)</f>
        <v>0</v>
      </c>
      <c r="O33">
        <f>totalNumberOfJobsCompletedPorter(Dates!O$8,Dates!O$9,'Day3'!$B33)</f>
        <v>0</v>
      </c>
      <c r="P33">
        <f>totalNumberOfJobsCompletedPorter(Dates!P$8,Dates!P$9,'Day3'!$B33)</f>
        <v>0</v>
      </c>
      <c r="Q33">
        <f>totalNumberOfJobsCompletedPorter(Dates!Q$8,Dates!Q$9,'Day3'!$B33)</f>
        <v>0</v>
      </c>
      <c r="R33">
        <f>totalNumberOfJobsCompletedPorter(Dates!R$8,Dates!R$9,'Day3'!$B33)</f>
        <v>0</v>
      </c>
      <c r="S33">
        <f>totalNumberOfJobsCompletedPorter(Dates!S$8,Dates!S$9,'Day3'!$B33)</f>
        <v>0</v>
      </c>
      <c r="T33">
        <f>totalNumberOfJobsCompletedPorter(Dates!T$8,Dates!T$9,'Day3'!$B33)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totalNumberOfJobsCompletedPorter(Dates!C$8,Dates!C$9,'Day3'!$B34)</f>
        <v>0</v>
      </c>
      <c r="D34">
        <f>totalNumberOfJobsCompletedPorter(Dates!D$8,Dates!D$9,'Day3'!$B34)</f>
        <v>0</v>
      </c>
      <c r="E34">
        <f>totalNumberOfJobsCompletedPorter(Dates!E$8,Dates!E$9,'Day3'!$B34)</f>
        <v>0</v>
      </c>
      <c r="F34">
        <f>totalNumberOfJobsCompletedPorter(Dates!F$8,Dates!F$9,'Day3'!$B34)</f>
        <v>0</v>
      </c>
      <c r="G34">
        <f>totalNumberOfJobsCompletedPorter(Dates!G$8,Dates!G$9,'Day3'!$B34)</f>
        <v>0</v>
      </c>
      <c r="H34">
        <f>totalNumberOfJobsCompletedPorter(Dates!H$8,Dates!H$9,'Day3'!$B34)</f>
        <v>0</v>
      </c>
      <c r="I34">
        <f>totalNumberOfJobsCompletedPorter(Dates!I$8,Dates!I$9,'Day3'!$B34)</f>
        <v>0</v>
      </c>
      <c r="J34">
        <f>totalNumberOfJobsCompletedPorter(Dates!J$8,Dates!J$9,'Day3'!$B34)</f>
        <v>0</v>
      </c>
      <c r="K34">
        <f>totalNumberOfJobsCompletedPorter(Dates!K$8,Dates!K$9,'Day3'!$B34)</f>
        <v>0</v>
      </c>
      <c r="L34">
        <f>totalNumberOfJobsCompletedPorter(Dates!L$8,Dates!L$9,'Day3'!$B34)</f>
        <v>0</v>
      </c>
      <c r="M34">
        <f>totalNumberOfJobsCompletedPorter(Dates!M$8,Dates!M$9,'Day3'!$B34)</f>
        <v>0</v>
      </c>
      <c r="N34">
        <f>totalNumberOfJobsCompletedPorter(Dates!N$8,Dates!N$9,'Day3'!$B34)</f>
        <v>0</v>
      </c>
      <c r="O34">
        <f>totalNumberOfJobsCompletedPorter(Dates!O$8,Dates!O$9,'Day3'!$B34)</f>
        <v>0</v>
      </c>
      <c r="P34">
        <f>totalNumberOfJobsCompletedPorter(Dates!P$8,Dates!P$9,'Day3'!$B34)</f>
        <v>0</v>
      </c>
      <c r="Q34">
        <f>totalNumberOfJobsCompletedPorter(Dates!Q$8,Dates!Q$9,'Day3'!$B34)</f>
        <v>0</v>
      </c>
      <c r="R34">
        <f>totalNumberOfJobsCompletedPorter(Dates!R$8,Dates!R$9,'Day3'!$B34)</f>
        <v>0</v>
      </c>
      <c r="S34">
        <f>totalNumberOfJobsCompletedPorter(Dates!S$8,Dates!S$9,'Day3'!$B34)</f>
        <v>0</v>
      </c>
      <c r="T34">
        <f>totalNumberOfJobsCompletedPorter(Dates!T$8,Dates!T$9,'Day3'!$B34)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totalNumberOfJobsCompletedPorter(Dates!C$8,Dates!C$9,'Day3'!$B35)</f>
        <v>0</v>
      </c>
      <c r="D35">
        <f>totalNumberOfJobsCompletedPorter(Dates!D$8,Dates!D$9,'Day3'!$B35)</f>
        <v>0</v>
      </c>
      <c r="E35">
        <f>totalNumberOfJobsCompletedPorter(Dates!E$8,Dates!E$9,'Day3'!$B35)</f>
        <v>0</v>
      </c>
      <c r="F35">
        <f>totalNumberOfJobsCompletedPorter(Dates!F$8,Dates!F$9,'Day3'!$B35)</f>
        <v>0</v>
      </c>
      <c r="G35">
        <f>totalNumberOfJobsCompletedPorter(Dates!G$8,Dates!G$9,'Day3'!$B35)</f>
        <v>0</v>
      </c>
      <c r="H35">
        <f>totalNumberOfJobsCompletedPorter(Dates!H$8,Dates!H$9,'Day3'!$B35)</f>
        <v>0</v>
      </c>
      <c r="I35">
        <f>totalNumberOfJobsCompletedPorter(Dates!I$8,Dates!I$9,'Day3'!$B35)</f>
        <v>0</v>
      </c>
      <c r="J35">
        <f>totalNumberOfJobsCompletedPorter(Dates!J$8,Dates!J$9,'Day3'!$B35)</f>
        <v>0</v>
      </c>
      <c r="K35">
        <f>totalNumberOfJobsCompletedPorter(Dates!K$8,Dates!K$9,'Day3'!$B35)</f>
        <v>0</v>
      </c>
      <c r="L35">
        <f>totalNumberOfJobsCompletedPorter(Dates!L$8,Dates!L$9,'Day3'!$B35)</f>
        <v>0</v>
      </c>
      <c r="M35">
        <f>totalNumberOfJobsCompletedPorter(Dates!M$8,Dates!M$9,'Day3'!$B35)</f>
        <v>0</v>
      </c>
      <c r="N35">
        <f>totalNumberOfJobsCompletedPorter(Dates!N$8,Dates!N$9,'Day3'!$B35)</f>
        <v>0</v>
      </c>
      <c r="O35">
        <f>totalNumberOfJobsCompletedPorter(Dates!O$8,Dates!O$9,'Day3'!$B35)</f>
        <v>0</v>
      </c>
      <c r="P35">
        <f>totalNumberOfJobsCompletedPorter(Dates!P$8,Dates!P$9,'Day3'!$B35)</f>
        <v>0</v>
      </c>
      <c r="Q35">
        <f>totalNumberOfJobsCompletedPorter(Dates!Q$8,Dates!Q$9,'Day3'!$B35)</f>
        <v>0</v>
      </c>
      <c r="R35">
        <f>totalNumberOfJobsCompletedPorter(Dates!R$8,Dates!R$9,'Day3'!$B35)</f>
        <v>0</v>
      </c>
      <c r="S35">
        <f>totalNumberOfJobsCompletedPorter(Dates!S$8,Dates!S$9,'Day3'!$B35)</f>
        <v>0</v>
      </c>
      <c r="T35">
        <f>totalNumberOfJobsCompletedPorter(Dates!T$8,Dates!T$9,'Day3'!$B35)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totalNumberOfJobsCompletedPorter(Dates!C$8,Dates!C$9,'Day3'!$B36)</f>
        <v>0</v>
      </c>
      <c r="D36">
        <f>totalNumberOfJobsCompletedPorter(Dates!D$8,Dates!D$9,'Day3'!$B36)</f>
        <v>0</v>
      </c>
      <c r="E36">
        <f>totalNumberOfJobsCompletedPorter(Dates!E$8,Dates!E$9,'Day3'!$B36)</f>
        <v>0</v>
      </c>
      <c r="F36">
        <f>totalNumberOfJobsCompletedPorter(Dates!F$8,Dates!F$9,'Day3'!$B36)</f>
        <v>0</v>
      </c>
      <c r="G36">
        <f>totalNumberOfJobsCompletedPorter(Dates!G$8,Dates!G$9,'Day3'!$B36)</f>
        <v>0</v>
      </c>
      <c r="H36">
        <f>totalNumberOfJobsCompletedPorter(Dates!H$8,Dates!H$9,'Day3'!$B36)</f>
        <v>0</v>
      </c>
      <c r="I36">
        <f>totalNumberOfJobsCompletedPorter(Dates!I$8,Dates!I$9,'Day3'!$B36)</f>
        <v>0</v>
      </c>
      <c r="J36">
        <f>totalNumberOfJobsCompletedPorter(Dates!J$8,Dates!J$9,'Day3'!$B36)</f>
        <v>0</v>
      </c>
      <c r="K36">
        <f>totalNumberOfJobsCompletedPorter(Dates!K$8,Dates!K$9,'Day3'!$B36)</f>
        <v>0</v>
      </c>
      <c r="L36">
        <f>totalNumberOfJobsCompletedPorter(Dates!L$8,Dates!L$9,'Day3'!$B36)</f>
        <v>0</v>
      </c>
      <c r="M36">
        <f>totalNumberOfJobsCompletedPorter(Dates!M$8,Dates!M$9,'Day3'!$B36)</f>
        <v>0</v>
      </c>
      <c r="N36">
        <f>totalNumberOfJobsCompletedPorter(Dates!N$8,Dates!N$9,'Day3'!$B36)</f>
        <v>0</v>
      </c>
      <c r="O36">
        <f>totalNumberOfJobsCompletedPorter(Dates!O$8,Dates!O$9,'Day3'!$B36)</f>
        <v>0</v>
      </c>
      <c r="P36">
        <f>totalNumberOfJobsCompletedPorter(Dates!P$8,Dates!P$9,'Day3'!$B36)</f>
        <v>0</v>
      </c>
      <c r="Q36">
        <f>totalNumberOfJobsCompletedPorter(Dates!Q$8,Dates!Q$9,'Day3'!$B36)</f>
        <v>0</v>
      </c>
      <c r="R36">
        <f>totalNumberOfJobsCompletedPorter(Dates!R$8,Dates!R$9,'Day3'!$B36)</f>
        <v>0</v>
      </c>
      <c r="S36">
        <f>totalNumberOfJobsCompletedPorter(Dates!S$8,Dates!S$9,'Day3'!$B36)</f>
        <v>0</v>
      </c>
      <c r="T36">
        <f>totalNumberOfJobsCompletedPorter(Dates!T$8,Dates!T$9,'Day3'!$B36)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totalNumberOfJobsCompletedPorter(Dates!C$8,Dates!C$9,'Day3'!$B37)</f>
        <v>0</v>
      </c>
      <c r="D37">
        <f>totalNumberOfJobsCompletedPorter(Dates!D$8,Dates!D$9,'Day3'!$B37)</f>
        <v>0</v>
      </c>
      <c r="E37">
        <f>totalNumberOfJobsCompletedPorter(Dates!E$8,Dates!E$9,'Day3'!$B37)</f>
        <v>0</v>
      </c>
      <c r="F37">
        <f>totalNumberOfJobsCompletedPorter(Dates!F$8,Dates!F$9,'Day3'!$B37)</f>
        <v>0</v>
      </c>
      <c r="G37">
        <f>totalNumberOfJobsCompletedPorter(Dates!G$8,Dates!G$9,'Day3'!$B37)</f>
        <v>0</v>
      </c>
      <c r="H37">
        <f>totalNumberOfJobsCompletedPorter(Dates!H$8,Dates!H$9,'Day3'!$B37)</f>
        <v>0</v>
      </c>
      <c r="I37">
        <f>totalNumberOfJobsCompletedPorter(Dates!I$8,Dates!I$9,'Day3'!$B37)</f>
        <v>0</v>
      </c>
      <c r="J37">
        <f>totalNumberOfJobsCompletedPorter(Dates!J$8,Dates!J$9,'Day3'!$B37)</f>
        <v>0</v>
      </c>
      <c r="K37">
        <f>totalNumberOfJobsCompletedPorter(Dates!K$8,Dates!K$9,'Day3'!$B37)</f>
        <v>0</v>
      </c>
      <c r="L37">
        <f>totalNumberOfJobsCompletedPorter(Dates!L$8,Dates!L$9,'Day3'!$B37)</f>
        <v>0</v>
      </c>
      <c r="M37">
        <f>totalNumberOfJobsCompletedPorter(Dates!M$8,Dates!M$9,'Day3'!$B37)</f>
        <v>0</v>
      </c>
      <c r="N37">
        <f>totalNumberOfJobsCompletedPorter(Dates!N$8,Dates!N$9,'Day3'!$B37)</f>
        <v>0</v>
      </c>
      <c r="O37">
        <f>totalNumberOfJobsCompletedPorter(Dates!O$8,Dates!O$9,'Day3'!$B37)</f>
        <v>0</v>
      </c>
      <c r="P37">
        <f>totalNumberOfJobsCompletedPorter(Dates!P$8,Dates!P$9,'Day3'!$B37)</f>
        <v>0</v>
      </c>
      <c r="Q37">
        <f>totalNumberOfJobsCompletedPorter(Dates!Q$8,Dates!Q$9,'Day3'!$B37)</f>
        <v>0</v>
      </c>
      <c r="R37">
        <f>totalNumberOfJobsCompletedPorter(Dates!R$8,Dates!R$9,'Day3'!$B37)</f>
        <v>0</v>
      </c>
      <c r="S37">
        <f>totalNumberOfJobsCompletedPorter(Dates!S$8,Dates!S$9,'Day3'!$B37)</f>
        <v>0</v>
      </c>
      <c r="T37">
        <f>totalNumberOfJobsCompletedPorter(Dates!T$8,Dates!T$9,'Day3'!$B37)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totalNumberOfJobsCompletedPorter(Dates!C$8,Dates!C$9,'Day3'!$B38)</f>
        <v>0</v>
      </c>
      <c r="D38">
        <f>totalNumberOfJobsCompletedPorter(Dates!D$8,Dates!D$9,'Day3'!$B38)</f>
        <v>0</v>
      </c>
      <c r="E38">
        <f>totalNumberOfJobsCompletedPorter(Dates!E$8,Dates!E$9,'Day3'!$B38)</f>
        <v>0</v>
      </c>
      <c r="F38">
        <f>totalNumberOfJobsCompletedPorter(Dates!F$8,Dates!F$9,'Day3'!$B38)</f>
        <v>0</v>
      </c>
      <c r="G38">
        <f>totalNumberOfJobsCompletedPorter(Dates!G$8,Dates!G$9,'Day3'!$B38)</f>
        <v>0</v>
      </c>
      <c r="H38">
        <f>totalNumberOfJobsCompletedPorter(Dates!H$8,Dates!H$9,'Day3'!$B38)</f>
        <v>0</v>
      </c>
      <c r="I38">
        <f>totalNumberOfJobsCompletedPorter(Dates!I$8,Dates!I$9,'Day3'!$B38)</f>
        <v>0</v>
      </c>
      <c r="J38">
        <f>totalNumberOfJobsCompletedPorter(Dates!J$8,Dates!J$9,'Day3'!$B38)</f>
        <v>0</v>
      </c>
      <c r="K38">
        <f>totalNumberOfJobsCompletedPorter(Dates!K$8,Dates!K$9,'Day3'!$B38)</f>
        <v>0</v>
      </c>
      <c r="L38">
        <f>totalNumberOfJobsCompletedPorter(Dates!L$8,Dates!L$9,'Day3'!$B38)</f>
        <v>0</v>
      </c>
      <c r="M38">
        <f>totalNumberOfJobsCompletedPorter(Dates!M$8,Dates!M$9,'Day3'!$B38)</f>
        <v>0</v>
      </c>
      <c r="N38">
        <f>totalNumberOfJobsCompletedPorter(Dates!N$8,Dates!N$9,'Day3'!$B38)</f>
        <v>0</v>
      </c>
      <c r="O38">
        <f>totalNumberOfJobsCompletedPorter(Dates!O$8,Dates!O$9,'Day3'!$B38)</f>
        <v>0</v>
      </c>
      <c r="P38">
        <f>totalNumberOfJobsCompletedPorter(Dates!P$8,Dates!P$9,'Day3'!$B38)</f>
        <v>0</v>
      </c>
      <c r="Q38">
        <f>totalNumberOfJobsCompletedPorter(Dates!Q$8,Dates!Q$9,'Day3'!$B38)</f>
        <v>0</v>
      </c>
      <c r="R38">
        <f>totalNumberOfJobsCompletedPorter(Dates!R$8,Dates!R$9,'Day3'!$B38)</f>
        <v>0</v>
      </c>
      <c r="S38">
        <f>totalNumberOfJobsCompletedPorter(Dates!S$8,Dates!S$9,'Day3'!$B38)</f>
        <v>0</v>
      </c>
      <c r="T38">
        <f>totalNumberOfJobsCompletedPorter(Dates!T$8,Dates!T$9,'Day3'!$B38)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totalNumberOfJobsCompletedPorter(Dates!C$8,Dates!C$9,'Day3'!$B39)</f>
        <v>0</v>
      </c>
      <c r="D39">
        <f>totalNumberOfJobsCompletedPorter(Dates!D$8,Dates!D$9,'Day3'!$B39)</f>
        <v>0</v>
      </c>
      <c r="E39">
        <f>totalNumberOfJobsCompletedPorter(Dates!E$8,Dates!E$9,'Day3'!$B39)</f>
        <v>0</v>
      </c>
      <c r="F39">
        <f>totalNumberOfJobsCompletedPorter(Dates!F$8,Dates!F$9,'Day3'!$B39)</f>
        <v>0</v>
      </c>
      <c r="G39">
        <f>totalNumberOfJobsCompletedPorter(Dates!G$8,Dates!G$9,'Day3'!$B39)</f>
        <v>0</v>
      </c>
      <c r="H39">
        <f>totalNumberOfJobsCompletedPorter(Dates!H$8,Dates!H$9,'Day3'!$B39)</f>
        <v>0</v>
      </c>
      <c r="I39">
        <f>totalNumberOfJobsCompletedPorter(Dates!I$8,Dates!I$9,'Day3'!$B39)</f>
        <v>0</v>
      </c>
      <c r="J39">
        <f>totalNumberOfJobsCompletedPorter(Dates!J$8,Dates!J$9,'Day3'!$B39)</f>
        <v>0</v>
      </c>
      <c r="K39">
        <f>totalNumberOfJobsCompletedPorter(Dates!K$8,Dates!K$9,'Day3'!$B39)</f>
        <v>0</v>
      </c>
      <c r="L39">
        <f>totalNumberOfJobsCompletedPorter(Dates!L$8,Dates!L$9,'Day3'!$B39)</f>
        <v>0</v>
      </c>
      <c r="M39">
        <f>totalNumberOfJobsCompletedPorter(Dates!M$8,Dates!M$9,'Day3'!$B39)</f>
        <v>0</v>
      </c>
      <c r="N39">
        <f>totalNumberOfJobsCompletedPorter(Dates!N$8,Dates!N$9,'Day3'!$B39)</f>
        <v>0</v>
      </c>
      <c r="O39">
        <f>totalNumberOfJobsCompletedPorter(Dates!O$8,Dates!O$9,'Day3'!$B39)</f>
        <v>0</v>
      </c>
      <c r="P39">
        <f>totalNumberOfJobsCompletedPorter(Dates!P$8,Dates!P$9,'Day3'!$B39)</f>
        <v>0</v>
      </c>
      <c r="Q39">
        <f>totalNumberOfJobsCompletedPorter(Dates!Q$8,Dates!Q$9,'Day3'!$B39)</f>
        <v>0</v>
      </c>
      <c r="R39">
        <f>totalNumberOfJobsCompletedPorter(Dates!R$8,Dates!R$9,'Day3'!$B39)</f>
        <v>0</v>
      </c>
      <c r="S39">
        <f>totalNumberOfJobsCompletedPorter(Dates!S$8,Dates!S$9,'Day3'!$B39)</f>
        <v>0</v>
      </c>
      <c r="T39">
        <f>totalNumberOfJobsCompletedPorter(Dates!T$8,Dates!T$9,'Day3'!$B39)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totalNumberOfJobsCompletedPorter(Dates!C$8,Dates!C$9,'Day3'!$B40)</f>
        <v>0</v>
      </c>
      <c r="D40">
        <f>totalNumberOfJobsCompletedPorter(Dates!D$8,Dates!D$9,'Day3'!$B40)</f>
        <v>0</v>
      </c>
      <c r="E40">
        <f>totalNumberOfJobsCompletedPorter(Dates!E$8,Dates!E$9,'Day3'!$B40)</f>
        <v>0</v>
      </c>
      <c r="F40">
        <f>totalNumberOfJobsCompletedPorter(Dates!F$8,Dates!F$9,'Day3'!$B40)</f>
        <v>0</v>
      </c>
      <c r="G40">
        <f>totalNumberOfJobsCompletedPorter(Dates!G$8,Dates!G$9,'Day3'!$B40)</f>
        <v>0</v>
      </c>
      <c r="H40">
        <f>totalNumberOfJobsCompletedPorter(Dates!H$8,Dates!H$9,'Day3'!$B40)</f>
        <v>0</v>
      </c>
      <c r="I40">
        <f>totalNumberOfJobsCompletedPorter(Dates!I$8,Dates!I$9,'Day3'!$B40)</f>
        <v>0</v>
      </c>
      <c r="J40">
        <f>totalNumberOfJobsCompletedPorter(Dates!J$8,Dates!J$9,'Day3'!$B40)</f>
        <v>0</v>
      </c>
      <c r="K40">
        <f>totalNumberOfJobsCompletedPorter(Dates!K$8,Dates!K$9,'Day3'!$B40)</f>
        <v>0</v>
      </c>
      <c r="L40">
        <f>totalNumberOfJobsCompletedPorter(Dates!L$8,Dates!L$9,'Day3'!$B40)</f>
        <v>0</v>
      </c>
      <c r="M40">
        <f>totalNumberOfJobsCompletedPorter(Dates!M$8,Dates!M$9,'Day3'!$B40)</f>
        <v>0</v>
      </c>
      <c r="N40">
        <f>totalNumberOfJobsCompletedPorter(Dates!N$8,Dates!N$9,'Day3'!$B40)</f>
        <v>0</v>
      </c>
      <c r="O40">
        <f>totalNumberOfJobsCompletedPorter(Dates!O$8,Dates!O$9,'Day3'!$B40)</f>
        <v>0</v>
      </c>
      <c r="P40">
        <f>totalNumberOfJobsCompletedPorter(Dates!P$8,Dates!P$9,'Day3'!$B40)</f>
        <v>0</v>
      </c>
      <c r="Q40">
        <f>totalNumberOfJobsCompletedPorter(Dates!Q$8,Dates!Q$9,'Day3'!$B40)</f>
        <v>0</v>
      </c>
      <c r="R40">
        <f>totalNumberOfJobsCompletedPorter(Dates!R$8,Dates!R$9,'Day3'!$B40)</f>
        <v>0</v>
      </c>
      <c r="S40">
        <f>totalNumberOfJobsCompletedPorter(Dates!S$8,Dates!S$9,'Day3'!$B40)</f>
        <v>0</v>
      </c>
      <c r="T40">
        <f>totalNumberOfJobsCompletedPorter(Dates!T$8,Dates!T$9,'Day3'!$B40)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totalNumberOfJobsCompletedPorter(Dates!C$8,Dates!C$9,'Day3'!$B41)</f>
        <v>0</v>
      </c>
      <c r="D41">
        <f>totalNumberOfJobsCompletedPorter(Dates!D$8,Dates!D$9,'Day3'!$B41)</f>
        <v>0</v>
      </c>
      <c r="E41">
        <f>totalNumberOfJobsCompletedPorter(Dates!E$8,Dates!E$9,'Day3'!$B41)</f>
        <v>0</v>
      </c>
      <c r="F41">
        <f>totalNumberOfJobsCompletedPorter(Dates!F$8,Dates!F$9,'Day3'!$B41)</f>
        <v>0</v>
      </c>
      <c r="G41">
        <f>totalNumberOfJobsCompletedPorter(Dates!G$8,Dates!G$9,'Day3'!$B41)</f>
        <v>0</v>
      </c>
      <c r="H41">
        <f>totalNumberOfJobsCompletedPorter(Dates!H$8,Dates!H$9,'Day3'!$B41)</f>
        <v>0</v>
      </c>
      <c r="I41">
        <f>totalNumberOfJobsCompletedPorter(Dates!I$8,Dates!I$9,'Day3'!$B41)</f>
        <v>0</v>
      </c>
      <c r="J41">
        <f>totalNumberOfJobsCompletedPorter(Dates!J$8,Dates!J$9,'Day3'!$B41)</f>
        <v>0</v>
      </c>
      <c r="K41">
        <f>totalNumberOfJobsCompletedPorter(Dates!K$8,Dates!K$9,'Day3'!$B41)</f>
        <v>0</v>
      </c>
      <c r="L41">
        <f>totalNumberOfJobsCompletedPorter(Dates!L$8,Dates!L$9,'Day3'!$B41)</f>
        <v>0</v>
      </c>
      <c r="M41">
        <f>totalNumberOfJobsCompletedPorter(Dates!M$8,Dates!M$9,'Day3'!$B41)</f>
        <v>0</v>
      </c>
      <c r="N41">
        <f>totalNumberOfJobsCompletedPorter(Dates!N$8,Dates!N$9,'Day3'!$B41)</f>
        <v>0</v>
      </c>
      <c r="O41">
        <f>totalNumberOfJobsCompletedPorter(Dates!O$8,Dates!O$9,'Day3'!$B41)</f>
        <v>0</v>
      </c>
      <c r="P41">
        <f>totalNumberOfJobsCompletedPorter(Dates!P$8,Dates!P$9,'Day3'!$B41)</f>
        <v>0</v>
      </c>
      <c r="Q41">
        <f>totalNumberOfJobsCompletedPorter(Dates!Q$8,Dates!Q$9,'Day3'!$B41)</f>
        <v>0</v>
      </c>
      <c r="R41">
        <f>totalNumberOfJobsCompletedPorter(Dates!R$8,Dates!R$9,'Day3'!$B41)</f>
        <v>0</v>
      </c>
      <c r="S41">
        <f>totalNumberOfJobsCompletedPorter(Dates!S$8,Dates!S$9,'Day3'!$B41)</f>
        <v>0</v>
      </c>
      <c r="T41">
        <f>totalNumberOfJobsCompletedPorter(Dates!T$8,Dates!T$9,'Day3'!$B41)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totalNumberOfJobsCompletedPorter(Dates!C$8,Dates!C$9,'Day3'!$B42)</f>
        <v>0</v>
      </c>
      <c r="D42">
        <f>totalNumberOfJobsCompletedPorter(Dates!D$8,Dates!D$9,'Day3'!$B42)</f>
        <v>0</v>
      </c>
      <c r="E42">
        <f>totalNumberOfJobsCompletedPorter(Dates!E$8,Dates!E$9,'Day3'!$B42)</f>
        <v>0</v>
      </c>
      <c r="F42">
        <f>totalNumberOfJobsCompletedPorter(Dates!F$8,Dates!F$9,'Day3'!$B42)</f>
        <v>0</v>
      </c>
      <c r="G42">
        <f>totalNumberOfJobsCompletedPorter(Dates!G$8,Dates!G$9,'Day3'!$B42)</f>
        <v>0</v>
      </c>
      <c r="H42">
        <f>totalNumberOfJobsCompletedPorter(Dates!H$8,Dates!H$9,'Day3'!$B42)</f>
        <v>0</v>
      </c>
      <c r="I42">
        <f>totalNumberOfJobsCompletedPorter(Dates!I$8,Dates!I$9,'Day3'!$B42)</f>
        <v>0</v>
      </c>
      <c r="J42">
        <f>totalNumberOfJobsCompletedPorter(Dates!J$8,Dates!J$9,'Day3'!$B42)</f>
        <v>0</v>
      </c>
      <c r="K42">
        <f>totalNumberOfJobsCompletedPorter(Dates!K$8,Dates!K$9,'Day3'!$B42)</f>
        <v>0</v>
      </c>
      <c r="L42">
        <f>totalNumberOfJobsCompletedPorter(Dates!L$8,Dates!L$9,'Day3'!$B42)</f>
        <v>0</v>
      </c>
      <c r="M42">
        <f>totalNumberOfJobsCompletedPorter(Dates!M$8,Dates!M$9,'Day3'!$B42)</f>
        <v>0</v>
      </c>
      <c r="N42">
        <f>totalNumberOfJobsCompletedPorter(Dates!N$8,Dates!N$9,'Day3'!$B42)</f>
        <v>0</v>
      </c>
      <c r="O42">
        <f>totalNumberOfJobsCompletedPorter(Dates!O$8,Dates!O$9,'Day3'!$B42)</f>
        <v>0</v>
      </c>
      <c r="P42">
        <f>totalNumberOfJobsCompletedPorter(Dates!P$8,Dates!P$9,'Day3'!$B42)</f>
        <v>0</v>
      </c>
      <c r="Q42">
        <f>totalNumberOfJobsCompletedPorter(Dates!Q$8,Dates!Q$9,'Day3'!$B42)</f>
        <v>0</v>
      </c>
      <c r="R42">
        <f>totalNumberOfJobsCompletedPorter(Dates!R$8,Dates!R$9,'Day3'!$B42)</f>
        <v>0</v>
      </c>
      <c r="S42">
        <f>totalNumberOfJobsCompletedPorter(Dates!S$8,Dates!S$9,'Day3'!$B42)</f>
        <v>0</v>
      </c>
      <c r="T42">
        <f>totalNumberOfJobsCompletedPorter(Dates!T$8,Dates!T$9,'Day3'!$B42)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totalNumberOfJobsCompletedPorter(Dates!C$8,Dates!C$9,'Day3'!$B43)</f>
        <v>0</v>
      </c>
      <c r="D43">
        <f>totalNumberOfJobsCompletedPorter(Dates!D$8,Dates!D$9,'Day3'!$B43)</f>
        <v>0</v>
      </c>
      <c r="E43">
        <f>totalNumberOfJobsCompletedPorter(Dates!E$8,Dates!E$9,'Day3'!$B43)</f>
        <v>0</v>
      </c>
      <c r="F43">
        <f>totalNumberOfJobsCompletedPorter(Dates!F$8,Dates!F$9,'Day3'!$B43)</f>
        <v>0</v>
      </c>
      <c r="G43">
        <f>totalNumberOfJobsCompletedPorter(Dates!G$8,Dates!G$9,'Day3'!$B43)</f>
        <v>0</v>
      </c>
      <c r="H43">
        <f>totalNumberOfJobsCompletedPorter(Dates!H$8,Dates!H$9,'Day3'!$B43)</f>
        <v>0</v>
      </c>
      <c r="I43">
        <f>totalNumberOfJobsCompletedPorter(Dates!I$8,Dates!I$9,'Day3'!$B43)</f>
        <v>0</v>
      </c>
      <c r="J43">
        <f>totalNumberOfJobsCompletedPorter(Dates!J$8,Dates!J$9,'Day3'!$B43)</f>
        <v>0</v>
      </c>
      <c r="K43">
        <f>totalNumberOfJobsCompletedPorter(Dates!K$8,Dates!K$9,'Day3'!$B43)</f>
        <v>0</v>
      </c>
      <c r="L43">
        <f>totalNumberOfJobsCompletedPorter(Dates!L$8,Dates!L$9,'Day3'!$B43)</f>
        <v>0</v>
      </c>
      <c r="M43">
        <f>totalNumberOfJobsCompletedPorter(Dates!M$8,Dates!M$9,'Day3'!$B43)</f>
        <v>0</v>
      </c>
      <c r="N43">
        <f>totalNumberOfJobsCompletedPorter(Dates!N$8,Dates!N$9,'Day3'!$B43)</f>
        <v>0</v>
      </c>
      <c r="O43">
        <f>totalNumberOfJobsCompletedPorter(Dates!O$8,Dates!O$9,'Day3'!$B43)</f>
        <v>0</v>
      </c>
      <c r="P43">
        <f>totalNumberOfJobsCompletedPorter(Dates!P$8,Dates!P$9,'Day3'!$B43)</f>
        <v>0</v>
      </c>
      <c r="Q43">
        <f>totalNumberOfJobsCompletedPorter(Dates!Q$8,Dates!Q$9,'Day3'!$B43)</f>
        <v>0</v>
      </c>
      <c r="R43">
        <f>totalNumberOfJobsCompletedPorter(Dates!R$8,Dates!R$9,'Day3'!$B43)</f>
        <v>0</v>
      </c>
      <c r="S43">
        <f>totalNumberOfJobsCompletedPorter(Dates!S$8,Dates!S$9,'Day3'!$B43)</f>
        <v>0</v>
      </c>
      <c r="T43">
        <f>totalNumberOfJobsCompletedPorter(Dates!T$8,Dates!T$9,'Day3'!$B43)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totalNumberOfJobsCompletedPorter(Dates!C$8,Dates!C$9,'Day3'!$B44)</f>
        <v>0</v>
      </c>
      <c r="D44">
        <f>totalNumberOfJobsCompletedPorter(Dates!D$8,Dates!D$9,'Day3'!$B44)</f>
        <v>0</v>
      </c>
      <c r="E44">
        <f>totalNumberOfJobsCompletedPorter(Dates!E$8,Dates!E$9,'Day3'!$B44)</f>
        <v>0</v>
      </c>
      <c r="F44">
        <f>totalNumberOfJobsCompletedPorter(Dates!F$8,Dates!F$9,'Day3'!$B44)</f>
        <v>0</v>
      </c>
      <c r="G44">
        <f>totalNumberOfJobsCompletedPorter(Dates!G$8,Dates!G$9,'Day3'!$B44)</f>
        <v>0</v>
      </c>
      <c r="H44">
        <f>totalNumberOfJobsCompletedPorter(Dates!H$8,Dates!H$9,'Day3'!$B44)</f>
        <v>0</v>
      </c>
      <c r="I44">
        <f>totalNumberOfJobsCompletedPorter(Dates!I$8,Dates!I$9,'Day3'!$B44)</f>
        <v>0</v>
      </c>
      <c r="J44">
        <f>totalNumberOfJobsCompletedPorter(Dates!J$8,Dates!J$9,'Day3'!$B44)</f>
        <v>0</v>
      </c>
      <c r="K44">
        <f>totalNumberOfJobsCompletedPorter(Dates!K$8,Dates!K$9,'Day3'!$B44)</f>
        <v>0</v>
      </c>
      <c r="L44">
        <f>totalNumberOfJobsCompletedPorter(Dates!L$8,Dates!L$9,'Day3'!$B44)</f>
        <v>0</v>
      </c>
      <c r="M44">
        <f>totalNumberOfJobsCompletedPorter(Dates!M$8,Dates!M$9,'Day3'!$B44)</f>
        <v>0</v>
      </c>
      <c r="N44">
        <f>totalNumberOfJobsCompletedPorter(Dates!N$8,Dates!N$9,'Day3'!$B44)</f>
        <v>0</v>
      </c>
      <c r="O44">
        <f>totalNumberOfJobsCompletedPorter(Dates!O$8,Dates!O$9,'Day3'!$B44)</f>
        <v>0</v>
      </c>
      <c r="P44">
        <f>totalNumberOfJobsCompletedPorter(Dates!P$8,Dates!P$9,'Day3'!$B44)</f>
        <v>0</v>
      </c>
      <c r="Q44">
        <f>totalNumberOfJobsCompletedPorter(Dates!Q$8,Dates!Q$9,'Day3'!$B44)</f>
        <v>0</v>
      </c>
      <c r="R44">
        <f>totalNumberOfJobsCompletedPorter(Dates!R$8,Dates!R$9,'Day3'!$B44)</f>
        <v>0</v>
      </c>
      <c r="S44">
        <f>totalNumberOfJobsCompletedPorter(Dates!S$8,Dates!S$9,'Day3'!$B44)</f>
        <v>0</v>
      </c>
      <c r="T44">
        <f>totalNumberOfJobsCompletedPorter(Dates!T$8,Dates!T$9,'Day3'!$B44)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totalNumberOfJobsCompletedPorter(Dates!C$8,Dates!C$9,'Day3'!$B45)</f>
        <v>0</v>
      </c>
      <c r="D45">
        <f>totalNumberOfJobsCompletedPorter(Dates!D$8,Dates!D$9,'Day3'!$B45)</f>
        <v>0</v>
      </c>
      <c r="E45">
        <f>totalNumberOfJobsCompletedPorter(Dates!E$8,Dates!E$9,'Day3'!$B45)</f>
        <v>0</v>
      </c>
      <c r="F45">
        <f>totalNumberOfJobsCompletedPorter(Dates!F$8,Dates!F$9,'Day3'!$B45)</f>
        <v>0</v>
      </c>
      <c r="G45">
        <f>totalNumberOfJobsCompletedPorter(Dates!G$8,Dates!G$9,'Day3'!$B45)</f>
        <v>0</v>
      </c>
      <c r="H45">
        <f>totalNumberOfJobsCompletedPorter(Dates!H$8,Dates!H$9,'Day3'!$B45)</f>
        <v>0</v>
      </c>
      <c r="I45">
        <f>totalNumberOfJobsCompletedPorter(Dates!I$8,Dates!I$9,'Day3'!$B45)</f>
        <v>0</v>
      </c>
      <c r="J45">
        <f>totalNumberOfJobsCompletedPorter(Dates!J$8,Dates!J$9,'Day3'!$B45)</f>
        <v>0</v>
      </c>
      <c r="K45">
        <f>totalNumberOfJobsCompletedPorter(Dates!K$8,Dates!K$9,'Day3'!$B45)</f>
        <v>0</v>
      </c>
      <c r="L45">
        <f>totalNumberOfJobsCompletedPorter(Dates!L$8,Dates!L$9,'Day3'!$B45)</f>
        <v>0</v>
      </c>
      <c r="M45">
        <f>totalNumberOfJobsCompletedPorter(Dates!M$8,Dates!M$9,'Day3'!$B45)</f>
        <v>0</v>
      </c>
      <c r="N45">
        <f>totalNumberOfJobsCompletedPorter(Dates!N$8,Dates!N$9,'Day3'!$B45)</f>
        <v>0</v>
      </c>
      <c r="O45">
        <f>totalNumberOfJobsCompletedPorter(Dates!O$8,Dates!O$9,'Day3'!$B45)</f>
        <v>0</v>
      </c>
      <c r="P45">
        <f>totalNumberOfJobsCompletedPorter(Dates!P$8,Dates!P$9,'Day3'!$B45)</f>
        <v>0</v>
      </c>
      <c r="Q45">
        <f>totalNumberOfJobsCompletedPorter(Dates!Q$8,Dates!Q$9,'Day3'!$B45)</f>
        <v>0</v>
      </c>
      <c r="R45">
        <f>totalNumberOfJobsCompletedPorter(Dates!R$8,Dates!R$9,'Day3'!$B45)</f>
        <v>0</v>
      </c>
      <c r="S45">
        <f>totalNumberOfJobsCompletedPorter(Dates!S$8,Dates!S$9,'Day3'!$B45)</f>
        <v>0</v>
      </c>
      <c r="T45">
        <f>totalNumberOfJobsCompletedPorter(Dates!T$8,Dates!T$9,'Day3'!$B45)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totalNumberOfJobsCompletedPorter(Dates!C$8,Dates!C$9,'Day3'!$B46)</f>
        <v>0</v>
      </c>
      <c r="D46">
        <f>totalNumberOfJobsCompletedPorter(Dates!D$8,Dates!D$9,'Day3'!$B46)</f>
        <v>0</v>
      </c>
      <c r="E46">
        <f>totalNumberOfJobsCompletedPorter(Dates!E$8,Dates!E$9,'Day3'!$B46)</f>
        <v>0</v>
      </c>
      <c r="F46">
        <f>totalNumberOfJobsCompletedPorter(Dates!F$8,Dates!F$9,'Day3'!$B46)</f>
        <v>0</v>
      </c>
      <c r="G46">
        <f>totalNumberOfJobsCompletedPorter(Dates!G$8,Dates!G$9,'Day3'!$B46)</f>
        <v>0</v>
      </c>
      <c r="H46">
        <f>totalNumberOfJobsCompletedPorter(Dates!H$8,Dates!H$9,'Day3'!$B46)</f>
        <v>0</v>
      </c>
      <c r="I46">
        <f>totalNumberOfJobsCompletedPorter(Dates!I$8,Dates!I$9,'Day3'!$B46)</f>
        <v>0</v>
      </c>
      <c r="J46">
        <f>totalNumberOfJobsCompletedPorter(Dates!J$8,Dates!J$9,'Day3'!$B46)</f>
        <v>0</v>
      </c>
      <c r="K46">
        <f>totalNumberOfJobsCompletedPorter(Dates!K$8,Dates!K$9,'Day3'!$B46)</f>
        <v>0</v>
      </c>
      <c r="L46">
        <f>totalNumberOfJobsCompletedPorter(Dates!L$8,Dates!L$9,'Day3'!$B46)</f>
        <v>0</v>
      </c>
      <c r="M46">
        <f>totalNumberOfJobsCompletedPorter(Dates!M$8,Dates!M$9,'Day3'!$B46)</f>
        <v>0</v>
      </c>
      <c r="N46">
        <f>totalNumberOfJobsCompletedPorter(Dates!N$8,Dates!N$9,'Day3'!$B46)</f>
        <v>0</v>
      </c>
      <c r="O46">
        <f>totalNumberOfJobsCompletedPorter(Dates!O$8,Dates!O$9,'Day3'!$B46)</f>
        <v>0</v>
      </c>
      <c r="P46">
        <f>totalNumberOfJobsCompletedPorter(Dates!P$8,Dates!P$9,'Day3'!$B46)</f>
        <v>0</v>
      </c>
      <c r="Q46">
        <f>totalNumberOfJobsCompletedPorter(Dates!Q$8,Dates!Q$9,'Day3'!$B46)</f>
        <v>0</v>
      </c>
      <c r="R46">
        <f>totalNumberOfJobsCompletedPorter(Dates!R$8,Dates!R$9,'Day3'!$B46)</f>
        <v>0</v>
      </c>
      <c r="S46">
        <f>totalNumberOfJobsCompletedPorter(Dates!S$8,Dates!S$9,'Day3'!$B46)</f>
        <v>0</v>
      </c>
      <c r="T46">
        <f>totalNumberOfJobsCompletedPorter(Dates!T$8,Dates!T$9,'Day3'!$B46)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totalNumberOfJobsCompletedPorter(Dates!C$8,Dates!C$9,'Day3'!$B47)</f>
        <v>0</v>
      </c>
      <c r="D47">
        <f>totalNumberOfJobsCompletedPorter(Dates!D$8,Dates!D$9,'Day3'!$B47)</f>
        <v>0</v>
      </c>
      <c r="E47">
        <f>totalNumberOfJobsCompletedPorter(Dates!E$8,Dates!E$9,'Day3'!$B47)</f>
        <v>0</v>
      </c>
      <c r="F47">
        <f>totalNumberOfJobsCompletedPorter(Dates!F$8,Dates!F$9,'Day3'!$B47)</f>
        <v>0</v>
      </c>
      <c r="G47">
        <f>totalNumberOfJobsCompletedPorter(Dates!G$8,Dates!G$9,'Day3'!$B47)</f>
        <v>0</v>
      </c>
      <c r="H47">
        <f>totalNumberOfJobsCompletedPorter(Dates!H$8,Dates!H$9,'Day3'!$B47)</f>
        <v>0</v>
      </c>
      <c r="I47">
        <f>totalNumberOfJobsCompletedPorter(Dates!I$8,Dates!I$9,'Day3'!$B47)</f>
        <v>0</v>
      </c>
      <c r="J47">
        <f>totalNumberOfJobsCompletedPorter(Dates!J$8,Dates!J$9,'Day3'!$B47)</f>
        <v>0</v>
      </c>
      <c r="K47">
        <f>totalNumberOfJobsCompletedPorter(Dates!K$8,Dates!K$9,'Day3'!$B47)</f>
        <v>0</v>
      </c>
      <c r="L47">
        <f>totalNumberOfJobsCompletedPorter(Dates!L$8,Dates!L$9,'Day3'!$B47)</f>
        <v>0</v>
      </c>
      <c r="M47">
        <f>totalNumberOfJobsCompletedPorter(Dates!M$8,Dates!M$9,'Day3'!$B47)</f>
        <v>0</v>
      </c>
      <c r="N47">
        <f>totalNumberOfJobsCompletedPorter(Dates!N$8,Dates!N$9,'Day3'!$B47)</f>
        <v>0</v>
      </c>
      <c r="O47">
        <f>totalNumberOfJobsCompletedPorter(Dates!O$8,Dates!O$9,'Day3'!$B47)</f>
        <v>0</v>
      </c>
      <c r="P47">
        <f>totalNumberOfJobsCompletedPorter(Dates!P$8,Dates!P$9,'Day3'!$B47)</f>
        <v>0</v>
      </c>
      <c r="Q47">
        <f>totalNumberOfJobsCompletedPorter(Dates!Q$8,Dates!Q$9,'Day3'!$B47)</f>
        <v>0</v>
      </c>
      <c r="R47">
        <f>totalNumberOfJobsCompletedPorter(Dates!R$8,Dates!R$9,'Day3'!$B47)</f>
        <v>0</v>
      </c>
      <c r="S47">
        <f>totalNumberOfJobsCompletedPorter(Dates!S$8,Dates!S$9,'Day3'!$B47)</f>
        <v>0</v>
      </c>
      <c r="T47">
        <f>totalNumberOfJobsCompletedPorter(Dates!T$8,Dates!T$9,'Day3'!$B47)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totalNumberOfJobsCompletedPorter(Dates!C$8,Dates!C$9,'Day3'!$B48)</f>
        <v>0</v>
      </c>
      <c r="D48">
        <f>totalNumberOfJobsCompletedPorter(Dates!D$8,Dates!D$9,'Day3'!$B48)</f>
        <v>0</v>
      </c>
      <c r="E48">
        <f>totalNumberOfJobsCompletedPorter(Dates!E$8,Dates!E$9,'Day3'!$B48)</f>
        <v>0</v>
      </c>
      <c r="F48">
        <f>totalNumberOfJobsCompletedPorter(Dates!F$8,Dates!F$9,'Day3'!$B48)</f>
        <v>0</v>
      </c>
      <c r="G48">
        <f>totalNumberOfJobsCompletedPorter(Dates!G$8,Dates!G$9,'Day3'!$B48)</f>
        <v>0</v>
      </c>
      <c r="H48">
        <f>totalNumberOfJobsCompletedPorter(Dates!H$8,Dates!H$9,'Day3'!$B48)</f>
        <v>0</v>
      </c>
      <c r="I48">
        <f>totalNumberOfJobsCompletedPorter(Dates!I$8,Dates!I$9,'Day3'!$B48)</f>
        <v>0</v>
      </c>
      <c r="J48">
        <f>totalNumberOfJobsCompletedPorter(Dates!J$8,Dates!J$9,'Day3'!$B48)</f>
        <v>0</v>
      </c>
      <c r="K48">
        <f>totalNumberOfJobsCompletedPorter(Dates!K$8,Dates!K$9,'Day3'!$B48)</f>
        <v>0</v>
      </c>
      <c r="L48">
        <f>totalNumberOfJobsCompletedPorter(Dates!L$8,Dates!L$9,'Day3'!$B48)</f>
        <v>0</v>
      </c>
      <c r="M48">
        <f>totalNumberOfJobsCompletedPorter(Dates!M$8,Dates!M$9,'Day3'!$B48)</f>
        <v>0</v>
      </c>
      <c r="N48">
        <f>totalNumberOfJobsCompletedPorter(Dates!N$8,Dates!N$9,'Day3'!$B48)</f>
        <v>0</v>
      </c>
      <c r="O48">
        <f>totalNumberOfJobsCompletedPorter(Dates!O$8,Dates!O$9,'Day3'!$B48)</f>
        <v>0</v>
      </c>
      <c r="P48">
        <f>totalNumberOfJobsCompletedPorter(Dates!P$8,Dates!P$9,'Day3'!$B48)</f>
        <v>0</v>
      </c>
      <c r="Q48">
        <f>totalNumberOfJobsCompletedPorter(Dates!Q$8,Dates!Q$9,'Day3'!$B48)</f>
        <v>0</v>
      </c>
      <c r="R48">
        <f>totalNumberOfJobsCompletedPorter(Dates!R$8,Dates!R$9,'Day3'!$B48)</f>
        <v>0</v>
      </c>
      <c r="S48">
        <f>totalNumberOfJobsCompletedPorter(Dates!S$8,Dates!S$9,'Day3'!$B48)</f>
        <v>0</v>
      </c>
      <c r="T48">
        <f>totalNumberOfJobsCompletedPorter(Dates!T$8,Dates!T$9,'Day3'!$B48)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totalNumberOfJobsCompletedPorter(Dates!C$8,Dates!C$9,'Day3'!$B49)</f>
        <v>0</v>
      </c>
      <c r="D49">
        <f>totalNumberOfJobsCompletedPorter(Dates!D$8,Dates!D$9,'Day3'!$B49)</f>
        <v>0</v>
      </c>
      <c r="E49">
        <f>totalNumberOfJobsCompletedPorter(Dates!E$8,Dates!E$9,'Day3'!$B49)</f>
        <v>0</v>
      </c>
      <c r="F49">
        <f>totalNumberOfJobsCompletedPorter(Dates!F$8,Dates!F$9,'Day3'!$B49)</f>
        <v>0</v>
      </c>
      <c r="G49">
        <f>totalNumberOfJobsCompletedPorter(Dates!G$8,Dates!G$9,'Day3'!$B49)</f>
        <v>0</v>
      </c>
      <c r="H49">
        <f>totalNumberOfJobsCompletedPorter(Dates!H$8,Dates!H$9,'Day3'!$B49)</f>
        <v>0</v>
      </c>
      <c r="I49">
        <f>totalNumberOfJobsCompletedPorter(Dates!I$8,Dates!I$9,'Day3'!$B49)</f>
        <v>0</v>
      </c>
      <c r="J49">
        <f>totalNumberOfJobsCompletedPorter(Dates!J$8,Dates!J$9,'Day3'!$B49)</f>
        <v>0</v>
      </c>
      <c r="K49">
        <f>totalNumberOfJobsCompletedPorter(Dates!K$8,Dates!K$9,'Day3'!$B49)</f>
        <v>0</v>
      </c>
      <c r="L49">
        <f>totalNumberOfJobsCompletedPorter(Dates!L$8,Dates!L$9,'Day3'!$B49)</f>
        <v>0</v>
      </c>
      <c r="M49">
        <f>totalNumberOfJobsCompletedPorter(Dates!M$8,Dates!M$9,'Day3'!$B49)</f>
        <v>0</v>
      </c>
      <c r="N49">
        <f>totalNumberOfJobsCompletedPorter(Dates!N$8,Dates!N$9,'Day3'!$B49)</f>
        <v>0</v>
      </c>
      <c r="O49">
        <f>totalNumberOfJobsCompletedPorter(Dates!O$8,Dates!O$9,'Day3'!$B49)</f>
        <v>0</v>
      </c>
      <c r="P49">
        <f>totalNumberOfJobsCompletedPorter(Dates!P$8,Dates!P$9,'Day3'!$B49)</f>
        <v>0</v>
      </c>
      <c r="Q49">
        <f>totalNumberOfJobsCompletedPorter(Dates!Q$8,Dates!Q$9,'Day3'!$B49)</f>
        <v>0</v>
      </c>
      <c r="R49">
        <f>totalNumberOfJobsCompletedPorter(Dates!R$8,Dates!R$9,'Day3'!$B49)</f>
        <v>0</v>
      </c>
      <c r="S49">
        <f>totalNumberOfJobsCompletedPorter(Dates!S$8,Dates!S$9,'Day3'!$B49)</f>
        <v>0</v>
      </c>
      <c r="T49">
        <f>totalNumberOfJobsCompletedPorter(Dates!T$8,Dates!T$9,'Day3'!$B49)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totalNumberOfJobsCompletedPorter(Dates!C$8,Dates!C$9,'Day3'!$B50)</f>
        <v>0</v>
      </c>
      <c r="D50">
        <f>totalNumberOfJobsCompletedPorter(Dates!D$8,Dates!D$9,'Day3'!$B50)</f>
        <v>0</v>
      </c>
      <c r="E50">
        <f>totalNumberOfJobsCompletedPorter(Dates!E$8,Dates!E$9,'Day3'!$B50)</f>
        <v>0</v>
      </c>
      <c r="F50">
        <f>totalNumberOfJobsCompletedPorter(Dates!F$8,Dates!F$9,'Day3'!$B50)</f>
        <v>0</v>
      </c>
      <c r="G50">
        <f>totalNumberOfJobsCompletedPorter(Dates!G$8,Dates!G$9,'Day3'!$B50)</f>
        <v>0</v>
      </c>
      <c r="H50">
        <f>totalNumberOfJobsCompletedPorter(Dates!H$8,Dates!H$9,'Day3'!$B50)</f>
        <v>0</v>
      </c>
      <c r="I50">
        <f>totalNumberOfJobsCompletedPorter(Dates!I$8,Dates!I$9,'Day3'!$B50)</f>
        <v>0</v>
      </c>
      <c r="J50">
        <f>totalNumberOfJobsCompletedPorter(Dates!J$8,Dates!J$9,'Day3'!$B50)</f>
        <v>0</v>
      </c>
      <c r="K50">
        <f>totalNumberOfJobsCompletedPorter(Dates!K$8,Dates!K$9,'Day3'!$B50)</f>
        <v>0</v>
      </c>
      <c r="L50">
        <f>totalNumberOfJobsCompletedPorter(Dates!L$8,Dates!L$9,'Day3'!$B50)</f>
        <v>0</v>
      </c>
      <c r="M50">
        <f>totalNumberOfJobsCompletedPorter(Dates!M$8,Dates!M$9,'Day3'!$B50)</f>
        <v>0</v>
      </c>
      <c r="N50">
        <f>totalNumberOfJobsCompletedPorter(Dates!N$8,Dates!N$9,'Day3'!$B50)</f>
        <v>0</v>
      </c>
      <c r="O50">
        <f>totalNumberOfJobsCompletedPorter(Dates!O$8,Dates!O$9,'Day3'!$B50)</f>
        <v>0</v>
      </c>
      <c r="P50">
        <f>totalNumberOfJobsCompletedPorter(Dates!P$8,Dates!P$9,'Day3'!$B50)</f>
        <v>0</v>
      </c>
      <c r="Q50">
        <f>totalNumberOfJobsCompletedPorter(Dates!Q$8,Dates!Q$9,'Day3'!$B50)</f>
        <v>0</v>
      </c>
      <c r="R50">
        <f>totalNumberOfJobsCompletedPorter(Dates!R$8,Dates!R$9,'Day3'!$B50)</f>
        <v>0</v>
      </c>
      <c r="S50">
        <f>totalNumberOfJobsCompletedPorter(Dates!S$8,Dates!S$9,'Day3'!$B50)</f>
        <v>0</v>
      </c>
      <c r="T50">
        <f>totalNumberOfJobsCompletedPorter(Dates!T$8,Dates!T$9,'Day3'!$B50)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totalNumberOfJobsCompletedPorter(Dates!C$8,Dates!C$9,'Day3'!$B51)</f>
        <v>0</v>
      </c>
      <c r="D51">
        <f>totalNumberOfJobsCompletedPorter(Dates!D$8,Dates!D$9,'Day3'!$B51)</f>
        <v>0</v>
      </c>
      <c r="E51">
        <f>totalNumberOfJobsCompletedPorter(Dates!E$8,Dates!E$9,'Day3'!$B51)</f>
        <v>0</v>
      </c>
      <c r="F51">
        <f>totalNumberOfJobsCompletedPorter(Dates!F$8,Dates!F$9,'Day3'!$B51)</f>
        <v>0</v>
      </c>
      <c r="G51">
        <f>totalNumberOfJobsCompletedPorter(Dates!G$8,Dates!G$9,'Day3'!$B51)</f>
        <v>0</v>
      </c>
      <c r="H51">
        <f>totalNumberOfJobsCompletedPorter(Dates!H$8,Dates!H$9,'Day3'!$B51)</f>
        <v>0</v>
      </c>
      <c r="I51">
        <f>totalNumberOfJobsCompletedPorter(Dates!I$8,Dates!I$9,'Day3'!$B51)</f>
        <v>0</v>
      </c>
      <c r="J51">
        <f>totalNumberOfJobsCompletedPorter(Dates!J$8,Dates!J$9,'Day3'!$B51)</f>
        <v>0</v>
      </c>
      <c r="K51">
        <f>totalNumberOfJobsCompletedPorter(Dates!K$8,Dates!K$9,'Day3'!$B51)</f>
        <v>0</v>
      </c>
      <c r="L51">
        <f>totalNumberOfJobsCompletedPorter(Dates!L$8,Dates!L$9,'Day3'!$B51)</f>
        <v>0</v>
      </c>
      <c r="M51">
        <f>totalNumberOfJobsCompletedPorter(Dates!M$8,Dates!M$9,'Day3'!$B51)</f>
        <v>0</v>
      </c>
      <c r="N51">
        <f>totalNumberOfJobsCompletedPorter(Dates!N$8,Dates!N$9,'Day3'!$B51)</f>
        <v>0</v>
      </c>
      <c r="O51">
        <f>totalNumberOfJobsCompletedPorter(Dates!O$8,Dates!O$9,'Day3'!$B51)</f>
        <v>0</v>
      </c>
      <c r="P51">
        <f>totalNumberOfJobsCompletedPorter(Dates!P$8,Dates!P$9,'Day3'!$B51)</f>
        <v>0</v>
      </c>
      <c r="Q51">
        <f>totalNumberOfJobsCompletedPorter(Dates!Q$8,Dates!Q$9,'Day3'!$B51)</f>
        <v>0</v>
      </c>
      <c r="R51">
        <f>totalNumberOfJobsCompletedPorter(Dates!R$8,Dates!R$9,'Day3'!$B51)</f>
        <v>0</v>
      </c>
      <c r="S51">
        <f>totalNumberOfJobsCompletedPorter(Dates!S$8,Dates!S$9,'Day3'!$B51)</f>
        <v>0</v>
      </c>
      <c r="T51">
        <f>totalNumberOfJobsCompletedPorter(Dates!T$8,Dates!T$9,'Day3'!$B51)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totalNumberOfJobsCompletedPorter(Dates!C$8,Dates!C$9,'Day3'!$B52)</f>
        <v>0</v>
      </c>
      <c r="D52">
        <f>totalNumberOfJobsCompletedPorter(Dates!D$8,Dates!D$9,'Day3'!$B52)</f>
        <v>0</v>
      </c>
      <c r="E52">
        <f>totalNumberOfJobsCompletedPorter(Dates!E$8,Dates!E$9,'Day3'!$B52)</f>
        <v>0</v>
      </c>
      <c r="F52">
        <f>totalNumberOfJobsCompletedPorter(Dates!F$8,Dates!F$9,'Day3'!$B52)</f>
        <v>0</v>
      </c>
      <c r="G52">
        <f>totalNumberOfJobsCompletedPorter(Dates!G$8,Dates!G$9,'Day3'!$B52)</f>
        <v>0</v>
      </c>
      <c r="H52">
        <f>totalNumberOfJobsCompletedPorter(Dates!H$8,Dates!H$9,'Day3'!$B52)</f>
        <v>0</v>
      </c>
      <c r="I52">
        <f>totalNumberOfJobsCompletedPorter(Dates!I$8,Dates!I$9,'Day3'!$B52)</f>
        <v>0</v>
      </c>
      <c r="J52">
        <f>totalNumberOfJobsCompletedPorter(Dates!J$8,Dates!J$9,'Day3'!$B52)</f>
        <v>0</v>
      </c>
      <c r="K52">
        <f>totalNumberOfJobsCompletedPorter(Dates!K$8,Dates!K$9,'Day3'!$B52)</f>
        <v>0</v>
      </c>
      <c r="L52">
        <f>totalNumberOfJobsCompletedPorter(Dates!L$8,Dates!L$9,'Day3'!$B52)</f>
        <v>0</v>
      </c>
      <c r="M52">
        <f>totalNumberOfJobsCompletedPorter(Dates!M$8,Dates!M$9,'Day3'!$B52)</f>
        <v>0</v>
      </c>
      <c r="N52">
        <f>totalNumberOfJobsCompletedPorter(Dates!N$8,Dates!N$9,'Day3'!$B52)</f>
        <v>0</v>
      </c>
      <c r="O52">
        <f>totalNumberOfJobsCompletedPorter(Dates!O$8,Dates!O$9,'Day3'!$B52)</f>
        <v>0</v>
      </c>
      <c r="P52">
        <f>totalNumberOfJobsCompletedPorter(Dates!P$8,Dates!P$9,'Day3'!$B52)</f>
        <v>0</v>
      </c>
      <c r="Q52">
        <f>totalNumberOfJobsCompletedPorter(Dates!Q$8,Dates!Q$9,'Day3'!$B52)</f>
        <v>0</v>
      </c>
      <c r="R52">
        <f>totalNumberOfJobsCompletedPorter(Dates!R$8,Dates!R$9,'Day3'!$B52)</f>
        <v>0</v>
      </c>
      <c r="S52">
        <f>totalNumberOfJobsCompletedPorter(Dates!S$8,Dates!S$9,'Day3'!$B52)</f>
        <v>0</v>
      </c>
      <c r="T52">
        <f>totalNumberOfJobsCompletedPorter(Dates!T$8,Dates!T$9,'Day3'!$B52)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totalNumberOfJobsCompletedPorter(Dates!C$8,Dates!C$9,'Day3'!$B53)</f>
        <v>0</v>
      </c>
      <c r="D53">
        <f>totalNumberOfJobsCompletedPorter(Dates!D$8,Dates!D$9,'Day3'!$B53)</f>
        <v>0</v>
      </c>
      <c r="E53">
        <f>totalNumberOfJobsCompletedPorter(Dates!E$8,Dates!E$9,'Day3'!$B53)</f>
        <v>0</v>
      </c>
      <c r="F53">
        <f>totalNumberOfJobsCompletedPorter(Dates!F$8,Dates!F$9,'Day3'!$B53)</f>
        <v>0</v>
      </c>
      <c r="G53">
        <f>totalNumberOfJobsCompletedPorter(Dates!G$8,Dates!G$9,'Day3'!$B53)</f>
        <v>0</v>
      </c>
      <c r="H53">
        <f>totalNumberOfJobsCompletedPorter(Dates!H$8,Dates!H$9,'Day3'!$B53)</f>
        <v>0</v>
      </c>
      <c r="I53">
        <f>totalNumberOfJobsCompletedPorter(Dates!I$8,Dates!I$9,'Day3'!$B53)</f>
        <v>0</v>
      </c>
      <c r="J53">
        <f>totalNumberOfJobsCompletedPorter(Dates!J$8,Dates!J$9,'Day3'!$B53)</f>
        <v>0</v>
      </c>
      <c r="K53">
        <f>totalNumberOfJobsCompletedPorter(Dates!K$8,Dates!K$9,'Day3'!$B53)</f>
        <v>0</v>
      </c>
      <c r="L53">
        <f>totalNumberOfJobsCompletedPorter(Dates!L$8,Dates!L$9,'Day3'!$B53)</f>
        <v>0</v>
      </c>
      <c r="M53">
        <f>totalNumberOfJobsCompletedPorter(Dates!M$8,Dates!M$9,'Day3'!$B53)</f>
        <v>0</v>
      </c>
      <c r="N53">
        <f>totalNumberOfJobsCompletedPorter(Dates!N$8,Dates!N$9,'Day3'!$B53)</f>
        <v>0</v>
      </c>
      <c r="O53">
        <f>totalNumberOfJobsCompletedPorter(Dates!O$8,Dates!O$9,'Day3'!$B53)</f>
        <v>0</v>
      </c>
      <c r="P53">
        <f>totalNumberOfJobsCompletedPorter(Dates!P$8,Dates!P$9,'Day3'!$B53)</f>
        <v>0</v>
      </c>
      <c r="Q53">
        <f>totalNumberOfJobsCompletedPorter(Dates!Q$8,Dates!Q$9,'Day3'!$B53)</f>
        <v>0</v>
      </c>
      <c r="R53">
        <f>totalNumberOfJobsCompletedPorter(Dates!R$8,Dates!R$9,'Day3'!$B53)</f>
        <v>0</v>
      </c>
      <c r="S53">
        <f>totalNumberOfJobsCompletedPorter(Dates!S$8,Dates!S$9,'Day3'!$B53)</f>
        <v>0</v>
      </c>
      <c r="T53">
        <f>totalNumberOfJobsCompletedPorter(Dates!T$8,Dates!T$9,'Day3'!$B53)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totalNumberOfJobsCompletedPorter(Dates!C$8,Dates!C$9,'Day3'!$B54)</f>
        <v>0</v>
      </c>
      <c r="D54">
        <f>totalNumberOfJobsCompletedPorter(Dates!D$8,Dates!D$9,'Day3'!$B54)</f>
        <v>0</v>
      </c>
      <c r="E54">
        <f>totalNumberOfJobsCompletedPorter(Dates!E$8,Dates!E$9,'Day3'!$B54)</f>
        <v>0</v>
      </c>
      <c r="F54">
        <f>totalNumberOfJobsCompletedPorter(Dates!F$8,Dates!F$9,'Day3'!$B54)</f>
        <v>0</v>
      </c>
      <c r="G54">
        <f>totalNumberOfJobsCompletedPorter(Dates!G$8,Dates!G$9,'Day3'!$B54)</f>
        <v>0</v>
      </c>
      <c r="H54">
        <f>totalNumberOfJobsCompletedPorter(Dates!H$8,Dates!H$9,'Day3'!$B54)</f>
        <v>0</v>
      </c>
      <c r="I54">
        <f>totalNumberOfJobsCompletedPorter(Dates!I$8,Dates!I$9,'Day3'!$B54)</f>
        <v>0</v>
      </c>
      <c r="J54">
        <f>totalNumberOfJobsCompletedPorter(Dates!J$8,Dates!J$9,'Day3'!$B54)</f>
        <v>0</v>
      </c>
      <c r="K54">
        <f>totalNumberOfJobsCompletedPorter(Dates!K$8,Dates!K$9,'Day3'!$B54)</f>
        <v>0</v>
      </c>
      <c r="L54">
        <f>totalNumberOfJobsCompletedPorter(Dates!L$8,Dates!L$9,'Day3'!$B54)</f>
        <v>0</v>
      </c>
      <c r="M54">
        <f>totalNumberOfJobsCompletedPorter(Dates!M$8,Dates!M$9,'Day3'!$B54)</f>
        <v>0</v>
      </c>
      <c r="N54">
        <f>totalNumberOfJobsCompletedPorter(Dates!N$8,Dates!N$9,'Day3'!$B54)</f>
        <v>0</v>
      </c>
      <c r="O54">
        <f>totalNumberOfJobsCompletedPorter(Dates!O$8,Dates!O$9,'Day3'!$B54)</f>
        <v>0</v>
      </c>
      <c r="P54">
        <f>totalNumberOfJobsCompletedPorter(Dates!P$8,Dates!P$9,'Day3'!$B54)</f>
        <v>0</v>
      </c>
      <c r="Q54">
        <f>totalNumberOfJobsCompletedPorter(Dates!Q$8,Dates!Q$9,'Day3'!$B54)</f>
        <v>0</v>
      </c>
      <c r="R54">
        <f>totalNumberOfJobsCompletedPorter(Dates!R$8,Dates!R$9,'Day3'!$B54)</f>
        <v>0</v>
      </c>
      <c r="S54">
        <f>totalNumberOfJobsCompletedPorter(Dates!S$8,Dates!S$9,'Day3'!$B54)</f>
        <v>0</v>
      </c>
      <c r="T54">
        <f>totalNumberOfJobsCompletedPorter(Dates!T$8,Dates!T$9,'Day3'!$B54)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averageResponseTime(Dates!C$8,Dates!C$9)</f>
        <v>0</v>
      </c>
      <c r="D56" s="5">
        <f>averageResponseTime(Dates!D$8,Dates!D$9)</f>
        <v>0</v>
      </c>
      <c r="E56" s="5">
        <f>averageResponseTime(Dates!E$8,Dates!E$9)</f>
        <v>0</v>
      </c>
      <c r="F56" s="5">
        <f>averageResponseTime(Dates!F$8,Dates!F$9)</f>
        <v>0</v>
      </c>
      <c r="G56" s="5">
        <f>averageResponseTime(Dates!G$8,Dates!G$9)</f>
        <v>0</v>
      </c>
      <c r="H56" s="5">
        <f>averageResponseTime(Dates!H$8,Dates!H$9)</f>
        <v>0</v>
      </c>
      <c r="I56" s="5">
        <f>averageResponseTime(Dates!I$8,Dates!I$9)</f>
        <v>0</v>
      </c>
      <c r="J56" s="5">
        <f>averageResponseTime(Dates!J$8,Dates!J$9)</f>
        <v>0</v>
      </c>
      <c r="K56" s="5">
        <f>averageResponseTime(Dates!K$8,Dates!K$9)</f>
        <v>0</v>
      </c>
      <c r="L56" s="5">
        <f>averageResponseTime(Dates!L$8,Dates!L$9)</f>
        <v>0</v>
      </c>
      <c r="M56" s="5">
        <f>averageResponseTime(Dates!M$8,Dates!M$9)</f>
        <v>0</v>
      </c>
      <c r="N56" s="5">
        <f>averageResponseTime(Dates!N$8,Dates!N$9)</f>
        <v>0</v>
      </c>
      <c r="O56" s="5">
        <f>averageResponseTime(Dates!O$8,Dates!O$9)</f>
        <v>0</v>
      </c>
      <c r="P56" s="5">
        <f>averageResponseTime(Dates!P$8,Dates!P$9)</f>
        <v>0</v>
      </c>
      <c r="Q56" s="5">
        <f>averageResponseTime(Dates!Q$8,Dates!Q$9)</f>
        <v>0</v>
      </c>
      <c r="R56" s="5">
        <f>averageResponseTime(Dates!R$8,Dates!R$9)</f>
        <v>0</v>
      </c>
      <c r="S56" s="5">
        <f>averageResponseTime(Dates!S$8,Dates!S$9)</f>
        <v>0</v>
      </c>
      <c r="T56" s="5">
        <f>averageResponseTime(Dates!T$8,Dates!T$9)</f>
        <v>0</v>
      </c>
      <c r="U56" s="5">
        <f>averageResponseTime(Dates!C$8,Dates!T$9)</f>
        <v>0</v>
      </c>
    </row>
    <row r="57" spans="2:21" x14ac:dyDescent="0.3">
      <c r="B57" s="7">
        <f t="shared" ref="B57:B81" si="2">B3</f>
        <v>1</v>
      </c>
      <c r="C57" s="5">
        <f>averageResponseTimePorter(Dates!C$8,Dates!C$9,'Day3'!$B57)</f>
        <v>0</v>
      </c>
      <c r="D57" s="5">
        <f>averageResponseTimePorter(Dates!D$8,Dates!D$9,'Day3'!$B57)</f>
        <v>0</v>
      </c>
      <c r="E57" s="5">
        <f>averageResponseTimePorter(Dates!E$8,Dates!E$9,'Day3'!$B57)</f>
        <v>0</v>
      </c>
      <c r="F57" s="5">
        <f>averageResponseTimePorter(Dates!F$8,Dates!F$9,'Day3'!$B57)</f>
        <v>0</v>
      </c>
      <c r="G57" s="5">
        <f>averageResponseTimePorter(Dates!G$8,Dates!G$9,'Day3'!$B57)</f>
        <v>0</v>
      </c>
      <c r="H57" s="5">
        <f>averageResponseTimePorter(Dates!H$8,Dates!H$9,'Day3'!$B57)</f>
        <v>0</v>
      </c>
      <c r="I57" s="5">
        <f>averageResponseTimePorter(Dates!I$8,Dates!I$9,'Day3'!$B57)</f>
        <v>0</v>
      </c>
      <c r="J57" s="5">
        <f>averageResponseTimePorter(Dates!J$8,Dates!J$9,'Day3'!$B57)</f>
        <v>0</v>
      </c>
      <c r="K57" s="5">
        <f>averageResponseTimePorter(Dates!K$8,Dates!K$9,'Day3'!$B57)</f>
        <v>0</v>
      </c>
      <c r="L57" s="5">
        <f>averageResponseTimePorter(Dates!L$8,Dates!L$9,'Day3'!$B57)</f>
        <v>0</v>
      </c>
      <c r="M57" s="5">
        <f>averageResponseTimePorter(Dates!M$8,Dates!M$9,'Day3'!$B57)</f>
        <v>0</v>
      </c>
      <c r="N57" s="5">
        <f>averageResponseTimePorter(Dates!N$8,Dates!N$9,'Day3'!$B57)</f>
        <v>0</v>
      </c>
      <c r="O57" s="5">
        <f>averageResponseTimePorter(Dates!O$8,Dates!O$9,'Day3'!$B57)</f>
        <v>0</v>
      </c>
      <c r="P57" s="5">
        <f>averageResponseTimePorter(Dates!P$8,Dates!P$9,'Day3'!$B57)</f>
        <v>0</v>
      </c>
      <c r="Q57" s="5">
        <f>averageResponseTimePorter(Dates!Q$8,Dates!Q$9,'Day3'!$B57)</f>
        <v>0</v>
      </c>
      <c r="R57" s="5">
        <f>averageResponseTimePorter(Dates!R$8,Dates!R$9,'Day3'!$B57)</f>
        <v>0</v>
      </c>
      <c r="S57" s="5">
        <f>averageResponseTimePorter(Dates!S$8,Dates!S$9,'Day3'!$B57)</f>
        <v>0</v>
      </c>
      <c r="T57" s="5">
        <f>averageResponseTimePorter(Dates!T$8,Dates!T$9,'Day3'!$B57)</f>
        <v>0</v>
      </c>
      <c r="U57" s="5">
        <f>averageResponseTimePorter(Dates!$C$8,Dates!$T$9,'Day3'!$B3)</f>
        <v>0</v>
      </c>
    </row>
    <row r="58" spans="2:21" x14ac:dyDescent="0.3">
      <c r="B58" s="7">
        <f t="shared" si="2"/>
        <v>0</v>
      </c>
      <c r="C58" s="5">
        <f>averageResponseTimePorter(Dates!C$8,Dates!C$9,'Day3'!$B58)</f>
        <v>0</v>
      </c>
      <c r="D58" s="5">
        <f>averageResponseTimePorter(Dates!D$8,Dates!D$9,'Day3'!$B58)</f>
        <v>0</v>
      </c>
      <c r="E58" s="5">
        <f>averageResponseTimePorter(Dates!E$8,Dates!E$9,'Day3'!$B58)</f>
        <v>0</v>
      </c>
      <c r="F58" s="5">
        <f>averageResponseTimePorter(Dates!F$8,Dates!F$9,'Day3'!$B58)</f>
        <v>0</v>
      </c>
      <c r="G58" s="5">
        <f>averageResponseTimePorter(Dates!G$8,Dates!G$9,'Day3'!$B58)</f>
        <v>0</v>
      </c>
      <c r="H58" s="5">
        <f>averageResponseTimePorter(Dates!H$8,Dates!H$9,'Day3'!$B58)</f>
        <v>0</v>
      </c>
      <c r="I58" s="5">
        <f>averageResponseTimePorter(Dates!I$8,Dates!I$9,'Day3'!$B58)</f>
        <v>0</v>
      </c>
      <c r="J58" s="5">
        <f>averageResponseTimePorter(Dates!J$8,Dates!J$9,'Day3'!$B58)</f>
        <v>0</v>
      </c>
      <c r="K58" s="5">
        <f>averageResponseTimePorter(Dates!K$8,Dates!K$9,'Day3'!$B58)</f>
        <v>0</v>
      </c>
      <c r="L58" s="5">
        <f>averageResponseTimePorter(Dates!L$8,Dates!L$9,'Day3'!$B58)</f>
        <v>0</v>
      </c>
      <c r="M58" s="5">
        <f>averageResponseTimePorter(Dates!M$8,Dates!M$9,'Day3'!$B58)</f>
        <v>0</v>
      </c>
      <c r="N58" s="5">
        <f>averageResponseTimePorter(Dates!N$8,Dates!N$9,'Day3'!$B58)</f>
        <v>0</v>
      </c>
      <c r="O58" s="5">
        <f>averageResponseTimePorter(Dates!O$8,Dates!O$9,'Day3'!$B58)</f>
        <v>0</v>
      </c>
      <c r="P58" s="5">
        <f>averageResponseTimePorter(Dates!P$8,Dates!P$9,'Day3'!$B58)</f>
        <v>0</v>
      </c>
      <c r="Q58" s="5">
        <f>averageResponseTimePorter(Dates!Q$8,Dates!Q$9,'Day3'!$B58)</f>
        <v>0</v>
      </c>
      <c r="R58" s="5">
        <f>averageResponseTimePorter(Dates!R$8,Dates!R$9,'Day3'!$B58)</f>
        <v>0</v>
      </c>
      <c r="S58" s="5">
        <f>averageResponseTimePorter(Dates!S$8,Dates!S$9,'Day3'!$B58)</f>
        <v>0</v>
      </c>
      <c r="T58" s="5">
        <f>averageResponseTimePorter(Dates!T$8,Dates!T$9,'Day3'!$B58)</f>
        <v>0</v>
      </c>
      <c r="U58" s="5">
        <f>averageResponseTimePorter(Dates!$C$8,Dates!$T$9,'Day3'!$B4)</f>
        <v>0</v>
      </c>
    </row>
    <row r="59" spans="2:21" x14ac:dyDescent="0.3">
      <c r="B59" s="7">
        <f t="shared" si="2"/>
        <v>3</v>
      </c>
      <c r="C59" s="5">
        <f>averageResponseTimePorter(Dates!C$8,Dates!C$9,'Day3'!$B59)</f>
        <v>0</v>
      </c>
      <c r="D59" s="5">
        <f>averageResponseTimePorter(Dates!D$8,Dates!D$9,'Day3'!$B59)</f>
        <v>0</v>
      </c>
      <c r="E59" s="5">
        <f>averageResponseTimePorter(Dates!E$8,Dates!E$9,'Day3'!$B59)</f>
        <v>0</v>
      </c>
      <c r="F59" s="5">
        <f>averageResponseTimePorter(Dates!F$8,Dates!F$9,'Day3'!$B59)</f>
        <v>0</v>
      </c>
      <c r="G59" s="5">
        <f>averageResponseTimePorter(Dates!G$8,Dates!G$9,'Day3'!$B59)</f>
        <v>0</v>
      </c>
      <c r="H59" s="5">
        <f>averageResponseTimePorter(Dates!H$8,Dates!H$9,'Day3'!$B59)</f>
        <v>0</v>
      </c>
      <c r="I59" s="5">
        <f>averageResponseTimePorter(Dates!I$8,Dates!I$9,'Day3'!$B59)</f>
        <v>0</v>
      </c>
      <c r="J59" s="5">
        <f>averageResponseTimePorter(Dates!J$8,Dates!J$9,'Day3'!$B59)</f>
        <v>0</v>
      </c>
      <c r="K59" s="5">
        <f>averageResponseTimePorter(Dates!K$8,Dates!K$9,'Day3'!$B59)</f>
        <v>0</v>
      </c>
      <c r="L59" s="5">
        <f>averageResponseTimePorter(Dates!L$8,Dates!L$9,'Day3'!$B59)</f>
        <v>0</v>
      </c>
      <c r="M59" s="5">
        <f>averageResponseTimePorter(Dates!M$8,Dates!M$9,'Day3'!$B59)</f>
        <v>0</v>
      </c>
      <c r="N59" s="5">
        <f>averageResponseTimePorter(Dates!N$8,Dates!N$9,'Day3'!$B59)</f>
        <v>0</v>
      </c>
      <c r="O59" s="5">
        <f>averageResponseTimePorter(Dates!O$8,Dates!O$9,'Day3'!$B59)</f>
        <v>0</v>
      </c>
      <c r="P59" s="5">
        <f>averageResponseTimePorter(Dates!P$8,Dates!P$9,'Day3'!$B59)</f>
        <v>0</v>
      </c>
      <c r="Q59" s="5">
        <f>averageResponseTimePorter(Dates!Q$8,Dates!Q$9,'Day3'!$B59)</f>
        <v>0</v>
      </c>
      <c r="R59" s="5">
        <f>averageResponseTimePorter(Dates!R$8,Dates!R$9,'Day3'!$B59)</f>
        <v>0</v>
      </c>
      <c r="S59" s="5">
        <f>averageResponseTimePorter(Dates!S$8,Dates!S$9,'Day3'!$B59)</f>
        <v>0</v>
      </c>
      <c r="T59" s="5">
        <f>averageResponseTimePorter(Dates!T$8,Dates!T$9,'Day3'!$B59)</f>
        <v>0</v>
      </c>
      <c r="U59" s="5">
        <f>averageResponseTimePorter(Dates!$C$8,Dates!$T$9,'Day3'!$B5)</f>
        <v>0</v>
      </c>
    </row>
    <row r="60" spans="2:21" x14ac:dyDescent="0.3">
      <c r="B60" s="7">
        <f t="shared" si="2"/>
        <v>2</v>
      </c>
      <c r="C60" s="5">
        <f>averageResponseTimePorter(Dates!C$8,Dates!C$9,'Day3'!$B60)</f>
        <v>0</v>
      </c>
      <c r="D60" s="5">
        <f>averageResponseTimePorter(Dates!D$8,Dates!D$9,'Day3'!$B60)</f>
        <v>0</v>
      </c>
      <c r="E60" s="5">
        <f>averageResponseTimePorter(Dates!E$8,Dates!E$9,'Day3'!$B60)</f>
        <v>0</v>
      </c>
      <c r="F60" s="5">
        <f>averageResponseTimePorter(Dates!F$8,Dates!F$9,'Day3'!$B60)</f>
        <v>0</v>
      </c>
      <c r="G60" s="5">
        <f>averageResponseTimePorter(Dates!G$8,Dates!G$9,'Day3'!$B60)</f>
        <v>0</v>
      </c>
      <c r="H60" s="5">
        <f>averageResponseTimePorter(Dates!H$8,Dates!H$9,'Day3'!$B60)</f>
        <v>0</v>
      </c>
      <c r="I60" s="5">
        <f>averageResponseTimePorter(Dates!I$8,Dates!I$9,'Day3'!$B60)</f>
        <v>0</v>
      </c>
      <c r="J60" s="5">
        <f>averageResponseTimePorter(Dates!J$8,Dates!J$9,'Day3'!$B60)</f>
        <v>0</v>
      </c>
      <c r="K60" s="5">
        <f>averageResponseTimePorter(Dates!K$8,Dates!K$9,'Day3'!$B60)</f>
        <v>0</v>
      </c>
      <c r="L60" s="5">
        <f>averageResponseTimePorter(Dates!L$8,Dates!L$9,'Day3'!$B60)</f>
        <v>0</v>
      </c>
      <c r="M60" s="5">
        <f>averageResponseTimePorter(Dates!M$8,Dates!M$9,'Day3'!$B60)</f>
        <v>0</v>
      </c>
      <c r="N60" s="5">
        <f>averageResponseTimePorter(Dates!N$8,Dates!N$9,'Day3'!$B60)</f>
        <v>0</v>
      </c>
      <c r="O60" s="5">
        <f>averageResponseTimePorter(Dates!O$8,Dates!O$9,'Day3'!$B60)</f>
        <v>0</v>
      </c>
      <c r="P60" s="5">
        <f>averageResponseTimePorter(Dates!P$8,Dates!P$9,'Day3'!$B60)</f>
        <v>0</v>
      </c>
      <c r="Q60" s="5">
        <f>averageResponseTimePorter(Dates!Q$8,Dates!Q$9,'Day3'!$B60)</f>
        <v>0</v>
      </c>
      <c r="R60" s="5">
        <f>averageResponseTimePorter(Dates!R$8,Dates!R$9,'Day3'!$B60)</f>
        <v>0</v>
      </c>
      <c r="S60" s="5">
        <f>averageResponseTimePorter(Dates!S$8,Dates!S$9,'Day3'!$B60)</f>
        <v>0</v>
      </c>
      <c r="T60" s="5">
        <f>averageResponseTimePorter(Dates!T$8,Dates!T$9,'Day3'!$B60)</f>
        <v>0</v>
      </c>
      <c r="U60" s="5">
        <f>averageResponseTimePorter(Dates!$C$8,Dates!$T$9,'Day3'!$B6)</f>
        <v>0</v>
      </c>
    </row>
    <row r="61" spans="2:21" x14ac:dyDescent="0.3">
      <c r="B61" s="7">
        <f t="shared" si="2"/>
        <v>5</v>
      </c>
      <c r="C61" s="5">
        <f>averageResponseTimePorter(Dates!C$8,Dates!C$9,'Day3'!$B61)</f>
        <v>0</v>
      </c>
      <c r="D61" s="5">
        <f>averageResponseTimePorter(Dates!D$8,Dates!D$9,'Day3'!$B61)</f>
        <v>0</v>
      </c>
      <c r="E61" s="5">
        <f>averageResponseTimePorter(Dates!E$8,Dates!E$9,'Day3'!$B61)</f>
        <v>0</v>
      </c>
      <c r="F61" s="5">
        <f>averageResponseTimePorter(Dates!F$8,Dates!F$9,'Day3'!$B61)</f>
        <v>0</v>
      </c>
      <c r="G61" s="5">
        <f>averageResponseTimePorter(Dates!G$8,Dates!G$9,'Day3'!$B61)</f>
        <v>0</v>
      </c>
      <c r="H61" s="5">
        <f>averageResponseTimePorter(Dates!H$8,Dates!H$9,'Day3'!$B61)</f>
        <v>0</v>
      </c>
      <c r="I61" s="5">
        <f>averageResponseTimePorter(Dates!I$8,Dates!I$9,'Day3'!$B61)</f>
        <v>0</v>
      </c>
      <c r="J61" s="5">
        <f>averageResponseTimePorter(Dates!J$8,Dates!J$9,'Day3'!$B61)</f>
        <v>0</v>
      </c>
      <c r="K61" s="5">
        <f>averageResponseTimePorter(Dates!K$8,Dates!K$9,'Day3'!$B61)</f>
        <v>0</v>
      </c>
      <c r="L61" s="5">
        <f>averageResponseTimePorter(Dates!L$8,Dates!L$9,'Day3'!$B61)</f>
        <v>0</v>
      </c>
      <c r="M61" s="5">
        <f>averageResponseTimePorter(Dates!M$8,Dates!M$9,'Day3'!$B61)</f>
        <v>0</v>
      </c>
      <c r="N61" s="5">
        <f>averageResponseTimePorter(Dates!N$8,Dates!N$9,'Day3'!$B61)</f>
        <v>0</v>
      </c>
      <c r="O61" s="5">
        <f>averageResponseTimePorter(Dates!O$8,Dates!O$9,'Day3'!$B61)</f>
        <v>0</v>
      </c>
      <c r="P61" s="5">
        <f>averageResponseTimePorter(Dates!P$8,Dates!P$9,'Day3'!$B61)</f>
        <v>0</v>
      </c>
      <c r="Q61" s="5">
        <f>averageResponseTimePorter(Dates!Q$8,Dates!Q$9,'Day3'!$B61)</f>
        <v>0</v>
      </c>
      <c r="R61" s="5">
        <f>averageResponseTimePorter(Dates!R$8,Dates!R$9,'Day3'!$B61)</f>
        <v>0</v>
      </c>
      <c r="S61" s="5">
        <f>averageResponseTimePorter(Dates!S$8,Dates!S$9,'Day3'!$B61)</f>
        <v>0</v>
      </c>
      <c r="T61" s="5">
        <f>averageResponseTimePorter(Dates!T$8,Dates!T$9,'Day3'!$B61)</f>
        <v>0</v>
      </c>
      <c r="U61" s="5">
        <f>averageResponseTimePorter(Dates!$C$8,Dates!$T$9,'Day3'!$B7)</f>
        <v>0</v>
      </c>
    </row>
    <row r="62" spans="2:21" x14ac:dyDescent="0.3">
      <c r="B62" s="7">
        <f t="shared" si="2"/>
        <v>4</v>
      </c>
      <c r="C62" s="5">
        <f>averageResponseTimePorter(Dates!C$8,Dates!C$9,'Day3'!$B62)</f>
        <v>0</v>
      </c>
      <c r="D62" s="5">
        <f>averageResponseTimePorter(Dates!D$8,Dates!D$9,'Day3'!$B62)</f>
        <v>0</v>
      </c>
      <c r="E62" s="5">
        <f>averageResponseTimePorter(Dates!E$8,Dates!E$9,'Day3'!$B62)</f>
        <v>0</v>
      </c>
      <c r="F62" s="5">
        <f>averageResponseTimePorter(Dates!F$8,Dates!F$9,'Day3'!$B62)</f>
        <v>0</v>
      </c>
      <c r="G62" s="5">
        <f>averageResponseTimePorter(Dates!G$8,Dates!G$9,'Day3'!$B62)</f>
        <v>0</v>
      </c>
      <c r="H62" s="5">
        <f>averageResponseTimePorter(Dates!H$8,Dates!H$9,'Day3'!$B62)</f>
        <v>0</v>
      </c>
      <c r="I62" s="5">
        <f>averageResponseTimePorter(Dates!I$8,Dates!I$9,'Day3'!$B62)</f>
        <v>0</v>
      </c>
      <c r="J62" s="5">
        <f>averageResponseTimePorter(Dates!J$8,Dates!J$9,'Day3'!$B62)</f>
        <v>0</v>
      </c>
      <c r="K62" s="5">
        <f>averageResponseTimePorter(Dates!K$8,Dates!K$9,'Day3'!$B62)</f>
        <v>0</v>
      </c>
      <c r="L62" s="5">
        <f>averageResponseTimePorter(Dates!L$8,Dates!L$9,'Day3'!$B62)</f>
        <v>0</v>
      </c>
      <c r="M62" s="5">
        <f>averageResponseTimePorter(Dates!M$8,Dates!M$9,'Day3'!$B62)</f>
        <v>0</v>
      </c>
      <c r="N62" s="5">
        <f>averageResponseTimePorter(Dates!N$8,Dates!N$9,'Day3'!$B62)</f>
        <v>0</v>
      </c>
      <c r="O62" s="5">
        <f>averageResponseTimePorter(Dates!O$8,Dates!O$9,'Day3'!$B62)</f>
        <v>0</v>
      </c>
      <c r="P62" s="5">
        <f>averageResponseTimePorter(Dates!P$8,Dates!P$9,'Day3'!$B62)</f>
        <v>0</v>
      </c>
      <c r="Q62" s="5">
        <f>averageResponseTimePorter(Dates!Q$8,Dates!Q$9,'Day3'!$B62)</f>
        <v>0</v>
      </c>
      <c r="R62" s="5">
        <f>averageResponseTimePorter(Dates!R$8,Dates!R$9,'Day3'!$B62)</f>
        <v>0</v>
      </c>
      <c r="S62" s="5">
        <f>averageResponseTimePorter(Dates!S$8,Dates!S$9,'Day3'!$B62)</f>
        <v>0</v>
      </c>
      <c r="T62" s="5">
        <f>averageResponseTimePorter(Dates!T$8,Dates!T$9,'Day3'!$B62)</f>
        <v>0</v>
      </c>
      <c r="U62" s="5">
        <f>averageResponseTimePorter(Dates!$C$8,Dates!$T$9,'Day3'!$B8)</f>
        <v>0</v>
      </c>
    </row>
    <row r="63" spans="2:21" x14ac:dyDescent="0.3">
      <c r="B63" s="7">
        <f t="shared" si="2"/>
        <v>6</v>
      </c>
      <c r="C63" s="5">
        <f>averageResponseTimePorter(Dates!C$8,Dates!C$9,'Day3'!$B63)</f>
        <v>0</v>
      </c>
      <c r="D63" s="5">
        <f>averageResponseTimePorter(Dates!D$8,Dates!D$9,'Day3'!$B63)</f>
        <v>0</v>
      </c>
      <c r="E63" s="5">
        <f>averageResponseTimePorter(Dates!E$8,Dates!E$9,'Day3'!$B63)</f>
        <v>0</v>
      </c>
      <c r="F63" s="5">
        <f>averageResponseTimePorter(Dates!F$8,Dates!F$9,'Day3'!$B63)</f>
        <v>0</v>
      </c>
      <c r="G63" s="5">
        <f>averageResponseTimePorter(Dates!G$8,Dates!G$9,'Day3'!$B63)</f>
        <v>0</v>
      </c>
      <c r="H63" s="5">
        <f>averageResponseTimePorter(Dates!H$8,Dates!H$9,'Day3'!$B63)</f>
        <v>0</v>
      </c>
      <c r="I63" s="5">
        <f>averageResponseTimePorter(Dates!I$8,Dates!I$9,'Day3'!$B63)</f>
        <v>0</v>
      </c>
      <c r="J63" s="5">
        <f>averageResponseTimePorter(Dates!J$8,Dates!J$9,'Day3'!$B63)</f>
        <v>0</v>
      </c>
      <c r="K63" s="5">
        <f>averageResponseTimePorter(Dates!K$8,Dates!K$9,'Day3'!$B63)</f>
        <v>0</v>
      </c>
      <c r="L63" s="5">
        <f>averageResponseTimePorter(Dates!L$8,Dates!L$9,'Day3'!$B63)</f>
        <v>0</v>
      </c>
      <c r="M63" s="5">
        <f>averageResponseTimePorter(Dates!M$8,Dates!M$9,'Day3'!$B63)</f>
        <v>0</v>
      </c>
      <c r="N63" s="5">
        <f>averageResponseTimePorter(Dates!N$8,Dates!N$9,'Day3'!$B63)</f>
        <v>0</v>
      </c>
      <c r="O63" s="5">
        <f>averageResponseTimePorter(Dates!O$8,Dates!O$9,'Day3'!$B63)</f>
        <v>0</v>
      </c>
      <c r="P63" s="5">
        <f>averageResponseTimePorter(Dates!P$8,Dates!P$9,'Day3'!$B63)</f>
        <v>0</v>
      </c>
      <c r="Q63" s="5">
        <f>averageResponseTimePorter(Dates!Q$8,Dates!Q$9,'Day3'!$B63)</f>
        <v>0</v>
      </c>
      <c r="R63" s="5">
        <f>averageResponseTimePorter(Dates!R$8,Dates!R$9,'Day3'!$B63)</f>
        <v>0</v>
      </c>
      <c r="S63" s="5">
        <f>averageResponseTimePorter(Dates!S$8,Dates!S$9,'Day3'!$B63)</f>
        <v>0</v>
      </c>
      <c r="T63" s="5">
        <f>averageResponseTimePorter(Dates!T$8,Dates!T$9,'Day3'!$B63)</f>
        <v>0</v>
      </c>
      <c r="U63" s="5">
        <f>averageResponseTimePorter(Dates!$C$8,Dates!$T$9,'Day3'!$B9)</f>
        <v>0</v>
      </c>
    </row>
    <row r="64" spans="2:21" x14ac:dyDescent="0.3">
      <c r="B64" s="7" t="str">
        <f t="shared" si="2"/>
        <v>NA10</v>
      </c>
      <c r="C64" s="5">
        <f>averageResponseTimePorter(Dates!C$8,Dates!C$9,'Day3'!$B64)</f>
        <v>0</v>
      </c>
      <c r="D64" s="5">
        <f>averageResponseTimePorter(Dates!D$8,Dates!D$9,'Day3'!$B64)</f>
        <v>0</v>
      </c>
      <c r="E64" s="5">
        <f>averageResponseTimePorter(Dates!E$8,Dates!E$9,'Day3'!$B64)</f>
        <v>0</v>
      </c>
      <c r="F64" s="5">
        <f>averageResponseTimePorter(Dates!F$8,Dates!F$9,'Day3'!$B64)</f>
        <v>0</v>
      </c>
      <c r="G64" s="5">
        <f>averageResponseTimePorter(Dates!G$8,Dates!G$9,'Day3'!$B64)</f>
        <v>0</v>
      </c>
      <c r="H64" s="5">
        <f>averageResponseTimePorter(Dates!H$8,Dates!H$9,'Day3'!$B64)</f>
        <v>0</v>
      </c>
      <c r="I64" s="5">
        <f>averageResponseTimePorter(Dates!I$8,Dates!I$9,'Day3'!$B64)</f>
        <v>0</v>
      </c>
      <c r="J64" s="5">
        <f>averageResponseTimePorter(Dates!J$8,Dates!J$9,'Day3'!$B64)</f>
        <v>0</v>
      </c>
      <c r="K64" s="5">
        <f>averageResponseTimePorter(Dates!K$8,Dates!K$9,'Day3'!$B64)</f>
        <v>0</v>
      </c>
      <c r="L64" s="5">
        <f>averageResponseTimePorter(Dates!L$8,Dates!L$9,'Day3'!$B64)</f>
        <v>0</v>
      </c>
      <c r="M64" s="5">
        <f>averageResponseTimePorter(Dates!M$8,Dates!M$9,'Day3'!$B64)</f>
        <v>0</v>
      </c>
      <c r="N64" s="5">
        <f>averageResponseTimePorter(Dates!N$8,Dates!N$9,'Day3'!$B64)</f>
        <v>0</v>
      </c>
      <c r="O64" s="5">
        <f>averageResponseTimePorter(Dates!O$8,Dates!O$9,'Day3'!$B64)</f>
        <v>0</v>
      </c>
      <c r="P64" s="5">
        <f>averageResponseTimePorter(Dates!P$8,Dates!P$9,'Day3'!$B64)</f>
        <v>0</v>
      </c>
      <c r="Q64" s="5">
        <f>averageResponseTimePorter(Dates!Q$8,Dates!Q$9,'Day3'!$B64)</f>
        <v>0</v>
      </c>
      <c r="R64" s="5">
        <f>averageResponseTimePorter(Dates!R$8,Dates!R$9,'Day3'!$B64)</f>
        <v>0</v>
      </c>
      <c r="S64" s="5">
        <f>averageResponseTimePorter(Dates!S$8,Dates!S$9,'Day3'!$B64)</f>
        <v>0</v>
      </c>
      <c r="T64" s="5">
        <f>averageResponseTimePorter(Dates!T$8,Dates!T$9,'Day3'!$B64)</f>
        <v>0</v>
      </c>
      <c r="U64" s="5">
        <f>averageResponseTimePorter(Dates!$C$8,Dates!$T$9,'Day3'!$B10)</f>
        <v>0</v>
      </c>
    </row>
    <row r="65" spans="2:21" x14ac:dyDescent="0.3">
      <c r="B65" s="7" t="str">
        <f t="shared" si="2"/>
        <v>NA11</v>
      </c>
      <c r="C65" s="5">
        <f>averageResponseTimePorter(Dates!C$8,Dates!C$9,'Day3'!$B65)</f>
        <v>0</v>
      </c>
      <c r="D65" s="5">
        <f>averageResponseTimePorter(Dates!D$8,Dates!D$9,'Day3'!$B65)</f>
        <v>0</v>
      </c>
      <c r="E65" s="5">
        <f>averageResponseTimePorter(Dates!E$8,Dates!E$9,'Day3'!$B65)</f>
        <v>0</v>
      </c>
      <c r="F65" s="5">
        <f>averageResponseTimePorter(Dates!F$8,Dates!F$9,'Day3'!$B65)</f>
        <v>0</v>
      </c>
      <c r="G65" s="5">
        <f>averageResponseTimePorter(Dates!G$8,Dates!G$9,'Day3'!$B65)</f>
        <v>0</v>
      </c>
      <c r="H65" s="5">
        <f>averageResponseTimePorter(Dates!H$8,Dates!H$9,'Day3'!$B65)</f>
        <v>0</v>
      </c>
      <c r="I65" s="5">
        <f>averageResponseTimePorter(Dates!I$8,Dates!I$9,'Day3'!$B65)</f>
        <v>0</v>
      </c>
      <c r="J65" s="5">
        <f>averageResponseTimePorter(Dates!J$8,Dates!J$9,'Day3'!$B65)</f>
        <v>0</v>
      </c>
      <c r="K65" s="5">
        <f>averageResponseTimePorter(Dates!K$8,Dates!K$9,'Day3'!$B65)</f>
        <v>0</v>
      </c>
      <c r="L65" s="5">
        <f>averageResponseTimePorter(Dates!L$8,Dates!L$9,'Day3'!$B65)</f>
        <v>0</v>
      </c>
      <c r="M65" s="5">
        <f>averageResponseTimePorter(Dates!M$8,Dates!M$9,'Day3'!$B65)</f>
        <v>0</v>
      </c>
      <c r="N65" s="5">
        <f>averageResponseTimePorter(Dates!N$8,Dates!N$9,'Day3'!$B65)</f>
        <v>0</v>
      </c>
      <c r="O65" s="5">
        <f>averageResponseTimePorter(Dates!O$8,Dates!O$9,'Day3'!$B65)</f>
        <v>0</v>
      </c>
      <c r="P65" s="5">
        <f>averageResponseTimePorter(Dates!P$8,Dates!P$9,'Day3'!$B65)</f>
        <v>0</v>
      </c>
      <c r="Q65" s="5">
        <f>averageResponseTimePorter(Dates!Q$8,Dates!Q$9,'Day3'!$B65)</f>
        <v>0</v>
      </c>
      <c r="R65" s="5">
        <f>averageResponseTimePorter(Dates!R$8,Dates!R$9,'Day3'!$B65)</f>
        <v>0</v>
      </c>
      <c r="S65" s="5">
        <f>averageResponseTimePorter(Dates!S$8,Dates!S$9,'Day3'!$B65)</f>
        <v>0</v>
      </c>
      <c r="T65" s="5">
        <f>averageResponseTimePorter(Dates!T$8,Dates!T$9,'Day3'!$B65)</f>
        <v>0</v>
      </c>
      <c r="U65" s="5">
        <f>averageResponseTimePorter(Dates!$C$8,Dates!$T$9,'Day3'!$B11)</f>
        <v>0</v>
      </c>
    </row>
    <row r="66" spans="2:21" x14ac:dyDescent="0.3">
      <c r="B66" s="7" t="str">
        <f t="shared" si="2"/>
        <v>NA12</v>
      </c>
      <c r="C66" s="5">
        <f>averageResponseTimePorter(Dates!C$8,Dates!C$9,'Day3'!$B66)</f>
        <v>0</v>
      </c>
      <c r="D66" s="5">
        <f>averageResponseTimePorter(Dates!D$8,Dates!D$9,'Day3'!$B66)</f>
        <v>0</v>
      </c>
      <c r="E66" s="5">
        <f>averageResponseTimePorter(Dates!E$8,Dates!E$9,'Day3'!$B66)</f>
        <v>0</v>
      </c>
      <c r="F66" s="5">
        <f>averageResponseTimePorter(Dates!F$8,Dates!F$9,'Day3'!$B66)</f>
        <v>0</v>
      </c>
      <c r="G66" s="5">
        <f>averageResponseTimePorter(Dates!G$8,Dates!G$9,'Day3'!$B66)</f>
        <v>0</v>
      </c>
      <c r="H66" s="5">
        <f>averageResponseTimePorter(Dates!H$8,Dates!H$9,'Day3'!$B66)</f>
        <v>0</v>
      </c>
      <c r="I66" s="5">
        <f>averageResponseTimePorter(Dates!I$8,Dates!I$9,'Day3'!$B66)</f>
        <v>0</v>
      </c>
      <c r="J66" s="5">
        <f>averageResponseTimePorter(Dates!J$8,Dates!J$9,'Day3'!$B66)</f>
        <v>0</v>
      </c>
      <c r="K66" s="5">
        <f>averageResponseTimePorter(Dates!K$8,Dates!K$9,'Day3'!$B66)</f>
        <v>0</v>
      </c>
      <c r="L66" s="5">
        <f>averageResponseTimePorter(Dates!L$8,Dates!L$9,'Day3'!$B66)</f>
        <v>0</v>
      </c>
      <c r="M66" s="5">
        <f>averageResponseTimePorter(Dates!M$8,Dates!M$9,'Day3'!$B66)</f>
        <v>0</v>
      </c>
      <c r="N66" s="5">
        <f>averageResponseTimePorter(Dates!N$8,Dates!N$9,'Day3'!$B66)</f>
        <v>0</v>
      </c>
      <c r="O66" s="5">
        <f>averageResponseTimePorter(Dates!O$8,Dates!O$9,'Day3'!$B66)</f>
        <v>0</v>
      </c>
      <c r="P66" s="5">
        <f>averageResponseTimePorter(Dates!P$8,Dates!P$9,'Day3'!$B66)</f>
        <v>0</v>
      </c>
      <c r="Q66" s="5">
        <f>averageResponseTimePorter(Dates!Q$8,Dates!Q$9,'Day3'!$B66)</f>
        <v>0</v>
      </c>
      <c r="R66" s="5">
        <f>averageResponseTimePorter(Dates!R$8,Dates!R$9,'Day3'!$B66)</f>
        <v>0</v>
      </c>
      <c r="S66" s="5">
        <f>averageResponseTimePorter(Dates!S$8,Dates!S$9,'Day3'!$B66)</f>
        <v>0</v>
      </c>
      <c r="T66" s="5">
        <f>averageResponseTimePorter(Dates!T$8,Dates!T$9,'Day3'!$B66)</f>
        <v>0</v>
      </c>
      <c r="U66" s="5">
        <f>averageResponseTimePorter(Dates!$C$8,Dates!$T$9,'Day3'!$B12)</f>
        <v>0</v>
      </c>
    </row>
    <row r="67" spans="2:21" x14ac:dyDescent="0.3">
      <c r="B67" s="7" t="str">
        <f t="shared" si="2"/>
        <v>NA13</v>
      </c>
      <c r="C67" s="5">
        <f>averageResponseTimePorter(Dates!C$8,Dates!C$9,'Day3'!$B67)</f>
        <v>0</v>
      </c>
      <c r="D67" s="5">
        <f>averageResponseTimePorter(Dates!D$8,Dates!D$9,'Day3'!$B67)</f>
        <v>0</v>
      </c>
      <c r="E67" s="5">
        <f>averageResponseTimePorter(Dates!E$8,Dates!E$9,'Day3'!$B67)</f>
        <v>0</v>
      </c>
      <c r="F67" s="5">
        <f>averageResponseTimePorter(Dates!F$8,Dates!F$9,'Day3'!$B67)</f>
        <v>0</v>
      </c>
      <c r="G67" s="5">
        <f>averageResponseTimePorter(Dates!G$8,Dates!G$9,'Day3'!$B67)</f>
        <v>0</v>
      </c>
      <c r="H67" s="5">
        <f>averageResponseTimePorter(Dates!H$8,Dates!H$9,'Day3'!$B67)</f>
        <v>0</v>
      </c>
      <c r="I67" s="5">
        <f>averageResponseTimePorter(Dates!I$8,Dates!I$9,'Day3'!$B67)</f>
        <v>0</v>
      </c>
      <c r="J67" s="5">
        <f>averageResponseTimePorter(Dates!J$8,Dates!J$9,'Day3'!$B67)</f>
        <v>0</v>
      </c>
      <c r="K67" s="5">
        <f>averageResponseTimePorter(Dates!K$8,Dates!K$9,'Day3'!$B67)</f>
        <v>0</v>
      </c>
      <c r="L67" s="5">
        <f>averageResponseTimePorter(Dates!L$8,Dates!L$9,'Day3'!$B67)</f>
        <v>0</v>
      </c>
      <c r="M67" s="5">
        <f>averageResponseTimePorter(Dates!M$8,Dates!M$9,'Day3'!$B67)</f>
        <v>0</v>
      </c>
      <c r="N67" s="5">
        <f>averageResponseTimePorter(Dates!N$8,Dates!N$9,'Day3'!$B67)</f>
        <v>0</v>
      </c>
      <c r="O67" s="5">
        <f>averageResponseTimePorter(Dates!O$8,Dates!O$9,'Day3'!$B67)</f>
        <v>0</v>
      </c>
      <c r="P67" s="5">
        <f>averageResponseTimePorter(Dates!P$8,Dates!P$9,'Day3'!$B67)</f>
        <v>0</v>
      </c>
      <c r="Q67" s="5">
        <f>averageResponseTimePorter(Dates!Q$8,Dates!Q$9,'Day3'!$B67)</f>
        <v>0</v>
      </c>
      <c r="R67" s="5">
        <f>averageResponseTimePorter(Dates!R$8,Dates!R$9,'Day3'!$B67)</f>
        <v>0</v>
      </c>
      <c r="S67" s="5">
        <f>averageResponseTimePorter(Dates!S$8,Dates!S$9,'Day3'!$B67)</f>
        <v>0</v>
      </c>
      <c r="T67" s="5">
        <f>averageResponseTimePorter(Dates!T$8,Dates!T$9,'Day3'!$B67)</f>
        <v>0</v>
      </c>
      <c r="U67" s="5">
        <f>averageResponseTimePorter(Dates!$C$8,Dates!$T$9,'Day3'!$B13)</f>
        <v>0</v>
      </c>
    </row>
    <row r="68" spans="2:21" x14ac:dyDescent="0.3">
      <c r="B68" s="7" t="str">
        <f t="shared" si="2"/>
        <v>NA14</v>
      </c>
      <c r="C68" s="5">
        <f>averageResponseTimePorter(Dates!C$8,Dates!C$9,'Day3'!$B68)</f>
        <v>0</v>
      </c>
      <c r="D68" s="5">
        <f>averageResponseTimePorter(Dates!D$8,Dates!D$9,'Day3'!$B68)</f>
        <v>0</v>
      </c>
      <c r="E68" s="5">
        <f>averageResponseTimePorter(Dates!E$8,Dates!E$9,'Day3'!$B68)</f>
        <v>0</v>
      </c>
      <c r="F68" s="5">
        <f>averageResponseTimePorter(Dates!F$8,Dates!F$9,'Day3'!$B68)</f>
        <v>0</v>
      </c>
      <c r="G68" s="5">
        <f>averageResponseTimePorter(Dates!G$8,Dates!G$9,'Day3'!$B68)</f>
        <v>0</v>
      </c>
      <c r="H68" s="5">
        <f>averageResponseTimePorter(Dates!H$8,Dates!H$9,'Day3'!$B68)</f>
        <v>0</v>
      </c>
      <c r="I68" s="5">
        <f>averageResponseTimePorter(Dates!I$8,Dates!I$9,'Day3'!$B68)</f>
        <v>0</v>
      </c>
      <c r="J68" s="5">
        <f>averageResponseTimePorter(Dates!J$8,Dates!J$9,'Day3'!$B68)</f>
        <v>0</v>
      </c>
      <c r="K68" s="5">
        <f>averageResponseTimePorter(Dates!K$8,Dates!K$9,'Day3'!$B68)</f>
        <v>0</v>
      </c>
      <c r="L68" s="5">
        <f>averageResponseTimePorter(Dates!L$8,Dates!L$9,'Day3'!$B68)</f>
        <v>0</v>
      </c>
      <c r="M68" s="5">
        <f>averageResponseTimePorter(Dates!M$8,Dates!M$9,'Day3'!$B68)</f>
        <v>0</v>
      </c>
      <c r="N68" s="5">
        <f>averageResponseTimePorter(Dates!N$8,Dates!N$9,'Day3'!$B68)</f>
        <v>0</v>
      </c>
      <c r="O68" s="5">
        <f>averageResponseTimePorter(Dates!O$8,Dates!O$9,'Day3'!$B68)</f>
        <v>0</v>
      </c>
      <c r="P68" s="5">
        <f>averageResponseTimePorter(Dates!P$8,Dates!P$9,'Day3'!$B68)</f>
        <v>0</v>
      </c>
      <c r="Q68" s="5">
        <f>averageResponseTimePorter(Dates!Q$8,Dates!Q$9,'Day3'!$B68)</f>
        <v>0</v>
      </c>
      <c r="R68" s="5">
        <f>averageResponseTimePorter(Dates!R$8,Dates!R$9,'Day3'!$B68)</f>
        <v>0</v>
      </c>
      <c r="S68" s="5">
        <f>averageResponseTimePorter(Dates!S$8,Dates!S$9,'Day3'!$B68)</f>
        <v>0</v>
      </c>
      <c r="T68" s="5">
        <f>averageResponseTimePorter(Dates!T$8,Dates!T$9,'Day3'!$B68)</f>
        <v>0</v>
      </c>
      <c r="U68" s="5">
        <f>averageResponseTimePorter(Dates!$C$8,Dates!$T$9,'Day3'!$B14)</f>
        <v>0</v>
      </c>
    </row>
    <row r="69" spans="2:21" x14ac:dyDescent="0.3">
      <c r="B69" s="7" t="str">
        <f t="shared" si="2"/>
        <v>NA15</v>
      </c>
      <c r="C69" s="5">
        <f>averageResponseTimePorter(Dates!C$8,Dates!C$9,'Day3'!$B69)</f>
        <v>0</v>
      </c>
      <c r="D69" s="5">
        <f>averageResponseTimePorter(Dates!D$8,Dates!D$9,'Day3'!$B69)</f>
        <v>0</v>
      </c>
      <c r="E69" s="5">
        <f>averageResponseTimePorter(Dates!E$8,Dates!E$9,'Day3'!$B69)</f>
        <v>0</v>
      </c>
      <c r="F69" s="5">
        <f>averageResponseTimePorter(Dates!F$8,Dates!F$9,'Day3'!$B69)</f>
        <v>0</v>
      </c>
      <c r="G69" s="5">
        <f>averageResponseTimePorter(Dates!G$8,Dates!G$9,'Day3'!$B69)</f>
        <v>0</v>
      </c>
      <c r="H69" s="5">
        <f>averageResponseTimePorter(Dates!H$8,Dates!H$9,'Day3'!$B69)</f>
        <v>0</v>
      </c>
      <c r="I69" s="5">
        <f>averageResponseTimePorter(Dates!I$8,Dates!I$9,'Day3'!$B69)</f>
        <v>0</v>
      </c>
      <c r="J69" s="5">
        <f>averageResponseTimePorter(Dates!J$8,Dates!J$9,'Day3'!$B69)</f>
        <v>0</v>
      </c>
      <c r="K69" s="5">
        <f>averageResponseTimePorter(Dates!K$8,Dates!K$9,'Day3'!$B69)</f>
        <v>0</v>
      </c>
      <c r="L69" s="5">
        <f>averageResponseTimePorter(Dates!L$8,Dates!L$9,'Day3'!$B69)</f>
        <v>0</v>
      </c>
      <c r="M69" s="5">
        <f>averageResponseTimePorter(Dates!M$8,Dates!M$9,'Day3'!$B69)</f>
        <v>0</v>
      </c>
      <c r="N69" s="5">
        <f>averageResponseTimePorter(Dates!N$8,Dates!N$9,'Day3'!$B69)</f>
        <v>0</v>
      </c>
      <c r="O69" s="5">
        <f>averageResponseTimePorter(Dates!O$8,Dates!O$9,'Day3'!$B69)</f>
        <v>0</v>
      </c>
      <c r="P69" s="5">
        <f>averageResponseTimePorter(Dates!P$8,Dates!P$9,'Day3'!$B69)</f>
        <v>0</v>
      </c>
      <c r="Q69" s="5">
        <f>averageResponseTimePorter(Dates!Q$8,Dates!Q$9,'Day3'!$B69)</f>
        <v>0</v>
      </c>
      <c r="R69" s="5">
        <f>averageResponseTimePorter(Dates!R$8,Dates!R$9,'Day3'!$B69)</f>
        <v>0</v>
      </c>
      <c r="S69" s="5">
        <f>averageResponseTimePorter(Dates!S$8,Dates!S$9,'Day3'!$B69)</f>
        <v>0</v>
      </c>
      <c r="T69" s="5">
        <f>averageResponseTimePorter(Dates!T$8,Dates!T$9,'Day3'!$B69)</f>
        <v>0</v>
      </c>
      <c r="U69" s="5">
        <f>averageResponseTimePorter(Dates!$C$8,Dates!$T$9,'Day3'!$B15)</f>
        <v>0</v>
      </c>
    </row>
    <row r="70" spans="2:21" x14ac:dyDescent="0.3">
      <c r="B70" s="7" t="str">
        <f t="shared" si="2"/>
        <v>NA16</v>
      </c>
      <c r="C70" s="5">
        <f>averageResponseTimePorter(Dates!C$8,Dates!C$9,'Day3'!$B70)</f>
        <v>0</v>
      </c>
      <c r="D70" s="5">
        <f>averageResponseTimePorter(Dates!D$8,Dates!D$9,'Day3'!$B70)</f>
        <v>0</v>
      </c>
      <c r="E70" s="5">
        <f>averageResponseTimePorter(Dates!E$8,Dates!E$9,'Day3'!$B70)</f>
        <v>0</v>
      </c>
      <c r="F70" s="5">
        <f>averageResponseTimePorter(Dates!F$8,Dates!F$9,'Day3'!$B70)</f>
        <v>0</v>
      </c>
      <c r="G70" s="5">
        <f>averageResponseTimePorter(Dates!G$8,Dates!G$9,'Day3'!$B70)</f>
        <v>0</v>
      </c>
      <c r="H70" s="5">
        <f>averageResponseTimePorter(Dates!H$8,Dates!H$9,'Day3'!$B70)</f>
        <v>0</v>
      </c>
      <c r="I70" s="5">
        <f>averageResponseTimePorter(Dates!I$8,Dates!I$9,'Day3'!$B70)</f>
        <v>0</v>
      </c>
      <c r="J70" s="5">
        <f>averageResponseTimePorter(Dates!J$8,Dates!J$9,'Day3'!$B70)</f>
        <v>0</v>
      </c>
      <c r="K70" s="5">
        <f>averageResponseTimePorter(Dates!K$8,Dates!K$9,'Day3'!$B70)</f>
        <v>0</v>
      </c>
      <c r="L70" s="5">
        <f>averageResponseTimePorter(Dates!L$8,Dates!L$9,'Day3'!$B70)</f>
        <v>0</v>
      </c>
      <c r="M70" s="5">
        <f>averageResponseTimePorter(Dates!M$8,Dates!M$9,'Day3'!$B70)</f>
        <v>0</v>
      </c>
      <c r="N70" s="5">
        <f>averageResponseTimePorter(Dates!N$8,Dates!N$9,'Day3'!$B70)</f>
        <v>0</v>
      </c>
      <c r="O70" s="5">
        <f>averageResponseTimePorter(Dates!O$8,Dates!O$9,'Day3'!$B70)</f>
        <v>0</v>
      </c>
      <c r="P70" s="5">
        <f>averageResponseTimePorter(Dates!P$8,Dates!P$9,'Day3'!$B70)</f>
        <v>0</v>
      </c>
      <c r="Q70" s="5">
        <f>averageResponseTimePorter(Dates!Q$8,Dates!Q$9,'Day3'!$B70)</f>
        <v>0</v>
      </c>
      <c r="R70" s="5">
        <f>averageResponseTimePorter(Dates!R$8,Dates!R$9,'Day3'!$B70)</f>
        <v>0</v>
      </c>
      <c r="S70" s="5">
        <f>averageResponseTimePorter(Dates!S$8,Dates!S$9,'Day3'!$B70)</f>
        <v>0</v>
      </c>
      <c r="T70" s="5">
        <f>averageResponseTimePorter(Dates!T$8,Dates!T$9,'Day3'!$B70)</f>
        <v>0</v>
      </c>
      <c r="U70" s="5">
        <f>averageResponseTimePorter(Dates!$C$8,Dates!$T$9,'Day3'!$B16)</f>
        <v>0</v>
      </c>
    </row>
    <row r="71" spans="2:21" x14ac:dyDescent="0.3">
      <c r="B71" s="7" t="str">
        <f t="shared" si="2"/>
        <v>NA17</v>
      </c>
      <c r="C71" s="5">
        <f>averageResponseTimePorter(Dates!C$8,Dates!C$9,'Day3'!$B71)</f>
        <v>0</v>
      </c>
      <c r="D71" s="5">
        <f>averageResponseTimePorter(Dates!D$8,Dates!D$9,'Day3'!$B71)</f>
        <v>0</v>
      </c>
      <c r="E71" s="5">
        <f>averageResponseTimePorter(Dates!E$8,Dates!E$9,'Day3'!$B71)</f>
        <v>0</v>
      </c>
      <c r="F71" s="5">
        <f>averageResponseTimePorter(Dates!F$8,Dates!F$9,'Day3'!$B71)</f>
        <v>0</v>
      </c>
      <c r="G71" s="5">
        <f>averageResponseTimePorter(Dates!G$8,Dates!G$9,'Day3'!$B71)</f>
        <v>0</v>
      </c>
      <c r="H71" s="5">
        <f>averageResponseTimePorter(Dates!H$8,Dates!H$9,'Day3'!$B71)</f>
        <v>0</v>
      </c>
      <c r="I71" s="5">
        <f>averageResponseTimePorter(Dates!I$8,Dates!I$9,'Day3'!$B71)</f>
        <v>0</v>
      </c>
      <c r="J71" s="5">
        <f>averageResponseTimePorter(Dates!J$8,Dates!J$9,'Day3'!$B71)</f>
        <v>0</v>
      </c>
      <c r="K71" s="5">
        <f>averageResponseTimePorter(Dates!K$8,Dates!K$9,'Day3'!$B71)</f>
        <v>0</v>
      </c>
      <c r="L71" s="5">
        <f>averageResponseTimePorter(Dates!L$8,Dates!L$9,'Day3'!$B71)</f>
        <v>0</v>
      </c>
      <c r="M71" s="5">
        <f>averageResponseTimePorter(Dates!M$8,Dates!M$9,'Day3'!$B71)</f>
        <v>0</v>
      </c>
      <c r="N71" s="5">
        <f>averageResponseTimePorter(Dates!N$8,Dates!N$9,'Day3'!$B71)</f>
        <v>0</v>
      </c>
      <c r="O71" s="5">
        <f>averageResponseTimePorter(Dates!O$8,Dates!O$9,'Day3'!$B71)</f>
        <v>0</v>
      </c>
      <c r="P71" s="5">
        <f>averageResponseTimePorter(Dates!P$8,Dates!P$9,'Day3'!$B71)</f>
        <v>0</v>
      </c>
      <c r="Q71" s="5">
        <f>averageResponseTimePorter(Dates!Q$8,Dates!Q$9,'Day3'!$B71)</f>
        <v>0</v>
      </c>
      <c r="R71" s="5">
        <f>averageResponseTimePorter(Dates!R$8,Dates!R$9,'Day3'!$B71)</f>
        <v>0</v>
      </c>
      <c r="S71" s="5">
        <f>averageResponseTimePorter(Dates!S$8,Dates!S$9,'Day3'!$B71)</f>
        <v>0</v>
      </c>
      <c r="T71" s="5">
        <f>averageResponseTimePorter(Dates!T$8,Dates!T$9,'Day3'!$B71)</f>
        <v>0</v>
      </c>
      <c r="U71" s="5">
        <f>averageResponseTimePorter(Dates!$C$8,Dates!$T$9,'Day3'!$B17)</f>
        <v>0</v>
      </c>
    </row>
    <row r="72" spans="2:21" x14ac:dyDescent="0.3">
      <c r="B72" s="7" t="str">
        <f t="shared" si="2"/>
        <v>NA18</v>
      </c>
      <c r="C72" s="5">
        <f>averageResponseTimePorter(Dates!C$8,Dates!C$9,'Day3'!$B72)</f>
        <v>0</v>
      </c>
      <c r="D72" s="5">
        <f>averageResponseTimePorter(Dates!D$8,Dates!D$9,'Day3'!$B72)</f>
        <v>0</v>
      </c>
      <c r="E72" s="5">
        <f>averageResponseTimePorter(Dates!E$8,Dates!E$9,'Day3'!$B72)</f>
        <v>0</v>
      </c>
      <c r="F72" s="5">
        <f>averageResponseTimePorter(Dates!F$8,Dates!F$9,'Day3'!$B72)</f>
        <v>0</v>
      </c>
      <c r="G72" s="5">
        <f>averageResponseTimePorter(Dates!G$8,Dates!G$9,'Day3'!$B72)</f>
        <v>0</v>
      </c>
      <c r="H72" s="5">
        <f>averageResponseTimePorter(Dates!H$8,Dates!H$9,'Day3'!$B72)</f>
        <v>0</v>
      </c>
      <c r="I72" s="5">
        <f>averageResponseTimePorter(Dates!I$8,Dates!I$9,'Day3'!$B72)</f>
        <v>0</v>
      </c>
      <c r="J72" s="5">
        <f>averageResponseTimePorter(Dates!J$8,Dates!J$9,'Day3'!$B72)</f>
        <v>0</v>
      </c>
      <c r="K72" s="5">
        <f>averageResponseTimePorter(Dates!K$8,Dates!K$9,'Day3'!$B72)</f>
        <v>0</v>
      </c>
      <c r="L72" s="5">
        <f>averageResponseTimePorter(Dates!L$8,Dates!L$9,'Day3'!$B72)</f>
        <v>0</v>
      </c>
      <c r="M72" s="5">
        <f>averageResponseTimePorter(Dates!M$8,Dates!M$9,'Day3'!$B72)</f>
        <v>0</v>
      </c>
      <c r="N72" s="5">
        <f>averageResponseTimePorter(Dates!N$8,Dates!N$9,'Day3'!$B72)</f>
        <v>0</v>
      </c>
      <c r="O72" s="5">
        <f>averageResponseTimePorter(Dates!O$8,Dates!O$9,'Day3'!$B72)</f>
        <v>0</v>
      </c>
      <c r="P72" s="5">
        <f>averageResponseTimePorter(Dates!P$8,Dates!P$9,'Day3'!$B72)</f>
        <v>0</v>
      </c>
      <c r="Q72" s="5">
        <f>averageResponseTimePorter(Dates!Q$8,Dates!Q$9,'Day3'!$B72)</f>
        <v>0</v>
      </c>
      <c r="R72" s="5">
        <f>averageResponseTimePorter(Dates!R$8,Dates!R$9,'Day3'!$B72)</f>
        <v>0</v>
      </c>
      <c r="S72" s="5">
        <f>averageResponseTimePorter(Dates!S$8,Dates!S$9,'Day3'!$B72)</f>
        <v>0</v>
      </c>
      <c r="T72" s="5">
        <f>averageResponseTimePorter(Dates!T$8,Dates!T$9,'Day3'!$B72)</f>
        <v>0</v>
      </c>
      <c r="U72" s="5">
        <f>averageResponseTimePorter(Dates!$C$8,Dates!$T$9,'Day3'!$B18)</f>
        <v>0</v>
      </c>
    </row>
    <row r="73" spans="2:21" x14ac:dyDescent="0.3">
      <c r="B73" s="7" t="str">
        <f t="shared" si="2"/>
        <v>NA19</v>
      </c>
      <c r="C73" s="5">
        <f>averageResponseTimePorter(Dates!C$8,Dates!C$9,'Day3'!$B73)</f>
        <v>0</v>
      </c>
      <c r="D73" s="5">
        <f>averageResponseTimePorter(Dates!D$8,Dates!D$9,'Day3'!$B73)</f>
        <v>0</v>
      </c>
      <c r="E73" s="5">
        <f>averageResponseTimePorter(Dates!E$8,Dates!E$9,'Day3'!$B73)</f>
        <v>0</v>
      </c>
      <c r="F73" s="5">
        <f>averageResponseTimePorter(Dates!F$8,Dates!F$9,'Day3'!$B73)</f>
        <v>0</v>
      </c>
      <c r="G73" s="5">
        <f>averageResponseTimePorter(Dates!G$8,Dates!G$9,'Day3'!$B73)</f>
        <v>0</v>
      </c>
      <c r="H73" s="5">
        <f>averageResponseTimePorter(Dates!H$8,Dates!H$9,'Day3'!$B73)</f>
        <v>0</v>
      </c>
      <c r="I73" s="5">
        <f>averageResponseTimePorter(Dates!I$8,Dates!I$9,'Day3'!$B73)</f>
        <v>0</v>
      </c>
      <c r="J73" s="5">
        <f>averageResponseTimePorter(Dates!J$8,Dates!J$9,'Day3'!$B73)</f>
        <v>0</v>
      </c>
      <c r="K73" s="5">
        <f>averageResponseTimePorter(Dates!K$8,Dates!K$9,'Day3'!$B73)</f>
        <v>0</v>
      </c>
      <c r="L73" s="5">
        <f>averageResponseTimePorter(Dates!L$8,Dates!L$9,'Day3'!$B73)</f>
        <v>0</v>
      </c>
      <c r="M73" s="5">
        <f>averageResponseTimePorter(Dates!M$8,Dates!M$9,'Day3'!$B73)</f>
        <v>0</v>
      </c>
      <c r="N73" s="5">
        <f>averageResponseTimePorter(Dates!N$8,Dates!N$9,'Day3'!$B73)</f>
        <v>0</v>
      </c>
      <c r="O73" s="5">
        <f>averageResponseTimePorter(Dates!O$8,Dates!O$9,'Day3'!$B73)</f>
        <v>0</v>
      </c>
      <c r="P73" s="5">
        <f>averageResponseTimePorter(Dates!P$8,Dates!P$9,'Day3'!$B73)</f>
        <v>0</v>
      </c>
      <c r="Q73" s="5">
        <f>averageResponseTimePorter(Dates!Q$8,Dates!Q$9,'Day3'!$B73)</f>
        <v>0</v>
      </c>
      <c r="R73" s="5">
        <f>averageResponseTimePorter(Dates!R$8,Dates!R$9,'Day3'!$B73)</f>
        <v>0</v>
      </c>
      <c r="S73" s="5">
        <f>averageResponseTimePorter(Dates!S$8,Dates!S$9,'Day3'!$B73)</f>
        <v>0</v>
      </c>
      <c r="T73" s="5">
        <f>averageResponseTimePorter(Dates!T$8,Dates!T$9,'Day3'!$B73)</f>
        <v>0</v>
      </c>
      <c r="U73" s="5">
        <f>averageResponseTimePorter(Dates!$C$8,Dates!$T$9,'Day3'!$B19)</f>
        <v>0</v>
      </c>
    </row>
    <row r="74" spans="2:21" x14ac:dyDescent="0.3">
      <c r="B74" s="7" t="str">
        <f t="shared" si="2"/>
        <v>NA20</v>
      </c>
      <c r="C74" s="5">
        <f>averageResponseTimePorter(Dates!C$8,Dates!C$9,'Day3'!$B74)</f>
        <v>0</v>
      </c>
      <c r="D74" s="5">
        <f>averageResponseTimePorter(Dates!D$8,Dates!D$9,'Day3'!$B74)</f>
        <v>0</v>
      </c>
      <c r="E74" s="5">
        <f>averageResponseTimePorter(Dates!E$8,Dates!E$9,'Day3'!$B74)</f>
        <v>0</v>
      </c>
      <c r="F74" s="5">
        <f>averageResponseTimePorter(Dates!F$8,Dates!F$9,'Day3'!$B74)</f>
        <v>0</v>
      </c>
      <c r="G74" s="5">
        <f>averageResponseTimePorter(Dates!G$8,Dates!G$9,'Day3'!$B74)</f>
        <v>0</v>
      </c>
      <c r="H74" s="5">
        <f>averageResponseTimePorter(Dates!H$8,Dates!H$9,'Day3'!$B74)</f>
        <v>0</v>
      </c>
      <c r="I74" s="5">
        <f>averageResponseTimePorter(Dates!I$8,Dates!I$9,'Day3'!$B74)</f>
        <v>0</v>
      </c>
      <c r="J74" s="5">
        <f>averageResponseTimePorter(Dates!J$8,Dates!J$9,'Day3'!$B74)</f>
        <v>0</v>
      </c>
      <c r="K74" s="5">
        <f>averageResponseTimePorter(Dates!K$8,Dates!K$9,'Day3'!$B74)</f>
        <v>0</v>
      </c>
      <c r="L74" s="5">
        <f>averageResponseTimePorter(Dates!L$8,Dates!L$9,'Day3'!$B74)</f>
        <v>0</v>
      </c>
      <c r="M74" s="5">
        <f>averageResponseTimePorter(Dates!M$8,Dates!M$9,'Day3'!$B74)</f>
        <v>0</v>
      </c>
      <c r="N74" s="5">
        <f>averageResponseTimePorter(Dates!N$8,Dates!N$9,'Day3'!$B74)</f>
        <v>0</v>
      </c>
      <c r="O74" s="5">
        <f>averageResponseTimePorter(Dates!O$8,Dates!O$9,'Day3'!$B74)</f>
        <v>0</v>
      </c>
      <c r="P74" s="5">
        <f>averageResponseTimePorter(Dates!P$8,Dates!P$9,'Day3'!$B74)</f>
        <v>0</v>
      </c>
      <c r="Q74" s="5">
        <f>averageResponseTimePorter(Dates!Q$8,Dates!Q$9,'Day3'!$B74)</f>
        <v>0</v>
      </c>
      <c r="R74" s="5">
        <f>averageResponseTimePorter(Dates!R$8,Dates!R$9,'Day3'!$B74)</f>
        <v>0</v>
      </c>
      <c r="S74" s="5">
        <f>averageResponseTimePorter(Dates!S$8,Dates!S$9,'Day3'!$B74)</f>
        <v>0</v>
      </c>
      <c r="T74" s="5">
        <f>averageResponseTimePorter(Dates!T$8,Dates!T$9,'Day3'!$B74)</f>
        <v>0</v>
      </c>
      <c r="U74" s="5">
        <f>averageResponseTimePorter(Dates!$C$8,Dates!$T$9,'Day3'!$B20)</f>
        <v>0</v>
      </c>
    </row>
    <row r="75" spans="2:21" x14ac:dyDescent="0.3">
      <c r="B75" s="7" t="str">
        <f t="shared" si="2"/>
        <v>NA21</v>
      </c>
      <c r="C75" s="5">
        <f>averageResponseTimePorter(Dates!C$8,Dates!C$9,'Day3'!$B75)</f>
        <v>0</v>
      </c>
      <c r="D75" s="5">
        <f>averageResponseTimePorter(Dates!D$8,Dates!D$9,'Day3'!$B75)</f>
        <v>0</v>
      </c>
      <c r="E75" s="5">
        <f>averageResponseTimePorter(Dates!E$8,Dates!E$9,'Day3'!$B75)</f>
        <v>0</v>
      </c>
      <c r="F75" s="5">
        <f>averageResponseTimePorter(Dates!F$8,Dates!F$9,'Day3'!$B75)</f>
        <v>0</v>
      </c>
      <c r="G75" s="5">
        <f>averageResponseTimePorter(Dates!G$8,Dates!G$9,'Day3'!$B75)</f>
        <v>0</v>
      </c>
      <c r="H75" s="5">
        <f>averageResponseTimePorter(Dates!H$8,Dates!H$9,'Day3'!$B75)</f>
        <v>0</v>
      </c>
      <c r="I75" s="5">
        <f>averageResponseTimePorter(Dates!I$8,Dates!I$9,'Day3'!$B75)</f>
        <v>0</v>
      </c>
      <c r="J75" s="5">
        <f>averageResponseTimePorter(Dates!J$8,Dates!J$9,'Day3'!$B75)</f>
        <v>0</v>
      </c>
      <c r="K75" s="5">
        <f>averageResponseTimePorter(Dates!K$8,Dates!K$9,'Day3'!$B75)</f>
        <v>0</v>
      </c>
      <c r="L75" s="5">
        <f>averageResponseTimePorter(Dates!L$8,Dates!L$9,'Day3'!$B75)</f>
        <v>0</v>
      </c>
      <c r="M75" s="5">
        <f>averageResponseTimePorter(Dates!M$8,Dates!M$9,'Day3'!$B75)</f>
        <v>0</v>
      </c>
      <c r="N75" s="5">
        <f>averageResponseTimePorter(Dates!N$8,Dates!N$9,'Day3'!$B75)</f>
        <v>0</v>
      </c>
      <c r="O75" s="5">
        <f>averageResponseTimePorter(Dates!O$8,Dates!O$9,'Day3'!$B75)</f>
        <v>0</v>
      </c>
      <c r="P75" s="5">
        <f>averageResponseTimePorter(Dates!P$8,Dates!P$9,'Day3'!$B75)</f>
        <v>0</v>
      </c>
      <c r="Q75" s="5">
        <f>averageResponseTimePorter(Dates!Q$8,Dates!Q$9,'Day3'!$B75)</f>
        <v>0</v>
      </c>
      <c r="R75" s="5">
        <f>averageResponseTimePorter(Dates!R$8,Dates!R$9,'Day3'!$B75)</f>
        <v>0</v>
      </c>
      <c r="S75" s="5">
        <f>averageResponseTimePorter(Dates!S$8,Dates!S$9,'Day3'!$B75)</f>
        <v>0</v>
      </c>
      <c r="T75" s="5">
        <f>averageResponseTimePorter(Dates!T$8,Dates!T$9,'Day3'!$B75)</f>
        <v>0</v>
      </c>
      <c r="U75" s="5">
        <f>averageResponseTimePorter(Dates!$C$8,Dates!$T$9,'Day3'!$B21)</f>
        <v>0</v>
      </c>
    </row>
    <row r="76" spans="2:21" x14ac:dyDescent="0.3">
      <c r="B76" s="7" t="str">
        <f t="shared" si="2"/>
        <v>NA22</v>
      </c>
      <c r="C76" s="5">
        <f>averageResponseTimePorter(Dates!C$8,Dates!C$9,'Day3'!$B76)</f>
        <v>0</v>
      </c>
      <c r="D76" s="5">
        <f>averageResponseTimePorter(Dates!D$8,Dates!D$9,'Day3'!$B76)</f>
        <v>0</v>
      </c>
      <c r="E76" s="5">
        <f>averageResponseTimePorter(Dates!E$8,Dates!E$9,'Day3'!$B76)</f>
        <v>0</v>
      </c>
      <c r="F76" s="5">
        <f>averageResponseTimePorter(Dates!F$8,Dates!F$9,'Day3'!$B76)</f>
        <v>0</v>
      </c>
      <c r="G76" s="5">
        <f>averageResponseTimePorter(Dates!G$8,Dates!G$9,'Day3'!$B76)</f>
        <v>0</v>
      </c>
      <c r="H76" s="5">
        <f>averageResponseTimePorter(Dates!H$8,Dates!H$9,'Day3'!$B76)</f>
        <v>0</v>
      </c>
      <c r="I76" s="5">
        <f>averageResponseTimePorter(Dates!I$8,Dates!I$9,'Day3'!$B76)</f>
        <v>0</v>
      </c>
      <c r="J76" s="5">
        <f>averageResponseTimePorter(Dates!J$8,Dates!J$9,'Day3'!$B76)</f>
        <v>0</v>
      </c>
      <c r="K76" s="5">
        <f>averageResponseTimePorter(Dates!K$8,Dates!K$9,'Day3'!$B76)</f>
        <v>0</v>
      </c>
      <c r="L76" s="5">
        <f>averageResponseTimePorter(Dates!L$8,Dates!L$9,'Day3'!$B76)</f>
        <v>0</v>
      </c>
      <c r="M76" s="5">
        <f>averageResponseTimePorter(Dates!M$8,Dates!M$9,'Day3'!$B76)</f>
        <v>0</v>
      </c>
      <c r="N76" s="5">
        <f>averageResponseTimePorter(Dates!N$8,Dates!N$9,'Day3'!$B76)</f>
        <v>0</v>
      </c>
      <c r="O76" s="5">
        <f>averageResponseTimePorter(Dates!O$8,Dates!O$9,'Day3'!$B76)</f>
        <v>0</v>
      </c>
      <c r="P76" s="5">
        <f>averageResponseTimePorter(Dates!P$8,Dates!P$9,'Day3'!$B76)</f>
        <v>0</v>
      </c>
      <c r="Q76" s="5">
        <f>averageResponseTimePorter(Dates!Q$8,Dates!Q$9,'Day3'!$B76)</f>
        <v>0</v>
      </c>
      <c r="R76" s="5">
        <f>averageResponseTimePorter(Dates!R$8,Dates!R$9,'Day3'!$B76)</f>
        <v>0</v>
      </c>
      <c r="S76" s="5">
        <f>averageResponseTimePorter(Dates!S$8,Dates!S$9,'Day3'!$B76)</f>
        <v>0</v>
      </c>
      <c r="T76" s="5">
        <f>averageResponseTimePorter(Dates!T$8,Dates!T$9,'Day3'!$B76)</f>
        <v>0</v>
      </c>
      <c r="U76" s="5">
        <f>averageResponseTimePorter(Dates!$C$8,Dates!$T$9,'Day3'!$B22)</f>
        <v>0</v>
      </c>
    </row>
    <row r="77" spans="2:21" x14ac:dyDescent="0.3">
      <c r="B77" s="7" t="str">
        <f t="shared" si="2"/>
        <v>NA23</v>
      </c>
      <c r="C77" s="5">
        <f>averageResponseTimePorter(Dates!C$8,Dates!C$9,'Day3'!$B77)</f>
        <v>0</v>
      </c>
      <c r="D77" s="5">
        <f>averageResponseTimePorter(Dates!D$8,Dates!D$9,'Day3'!$B77)</f>
        <v>0</v>
      </c>
      <c r="E77" s="5">
        <f>averageResponseTimePorter(Dates!E$8,Dates!E$9,'Day3'!$B77)</f>
        <v>0</v>
      </c>
      <c r="F77" s="5">
        <f>averageResponseTimePorter(Dates!F$8,Dates!F$9,'Day3'!$B77)</f>
        <v>0</v>
      </c>
      <c r="G77" s="5">
        <f>averageResponseTimePorter(Dates!G$8,Dates!G$9,'Day3'!$B77)</f>
        <v>0</v>
      </c>
      <c r="H77" s="5">
        <f>averageResponseTimePorter(Dates!H$8,Dates!H$9,'Day3'!$B77)</f>
        <v>0</v>
      </c>
      <c r="I77" s="5">
        <f>averageResponseTimePorter(Dates!I$8,Dates!I$9,'Day3'!$B77)</f>
        <v>0</v>
      </c>
      <c r="J77" s="5">
        <f>averageResponseTimePorter(Dates!J$8,Dates!J$9,'Day3'!$B77)</f>
        <v>0</v>
      </c>
      <c r="K77" s="5">
        <f>averageResponseTimePorter(Dates!K$8,Dates!K$9,'Day3'!$B77)</f>
        <v>0</v>
      </c>
      <c r="L77" s="5">
        <f>averageResponseTimePorter(Dates!L$8,Dates!L$9,'Day3'!$B77)</f>
        <v>0</v>
      </c>
      <c r="M77" s="5">
        <f>averageResponseTimePorter(Dates!M$8,Dates!M$9,'Day3'!$B77)</f>
        <v>0</v>
      </c>
      <c r="N77" s="5">
        <f>averageResponseTimePorter(Dates!N$8,Dates!N$9,'Day3'!$B77)</f>
        <v>0</v>
      </c>
      <c r="O77" s="5">
        <f>averageResponseTimePorter(Dates!O$8,Dates!O$9,'Day3'!$B77)</f>
        <v>0</v>
      </c>
      <c r="P77" s="5">
        <f>averageResponseTimePorter(Dates!P$8,Dates!P$9,'Day3'!$B77)</f>
        <v>0</v>
      </c>
      <c r="Q77" s="5">
        <f>averageResponseTimePorter(Dates!Q$8,Dates!Q$9,'Day3'!$B77)</f>
        <v>0</v>
      </c>
      <c r="R77" s="5">
        <f>averageResponseTimePorter(Dates!R$8,Dates!R$9,'Day3'!$B77)</f>
        <v>0</v>
      </c>
      <c r="S77" s="5">
        <f>averageResponseTimePorter(Dates!S$8,Dates!S$9,'Day3'!$B77)</f>
        <v>0</v>
      </c>
      <c r="T77" s="5">
        <f>averageResponseTimePorter(Dates!T$8,Dates!T$9,'Day3'!$B77)</f>
        <v>0</v>
      </c>
      <c r="U77" s="5">
        <f>averageResponseTimePorter(Dates!$C$8,Dates!$T$9,'Day3'!$B23)</f>
        <v>0</v>
      </c>
    </row>
    <row r="78" spans="2:21" x14ac:dyDescent="0.3">
      <c r="B78" s="7" t="str">
        <f t="shared" si="2"/>
        <v>NA24</v>
      </c>
      <c r="C78" s="5">
        <f>averageResponseTimePorter(Dates!C$8,Dates!C$9,'Day3'!$B78)</f>
        <v>0</v>
      </c>
      <c r="D78" s="5">
        <f>averageResponseTimePorter(Dates!D$8,Dates!D$9,'Day3'!$B78)</f>
        <v>0</v>
      </c>
      <c r="E78" s="5">
        <f>averageResponseTimePorter(Dates!E$8,Dates!E$9,'Day3'!$B78)</f>
        <v>0</v>
      </c>
      <c r="F78" s="5">
        <f>averageResponseTimePorter(Dates!F$8,Dates!F$9,'Day3'!$B78)</f>
        <v>0</v>
      </c>
      <c r="G78" s="5">
        <f>averageResponseTimePorter(Dates!G$8,Dates!G$9,'Day3'!$B78)</f>
        <v>0</v>
      </c>
      <c r="H78" s="5">
        <f>averageResponseTimePorter(Dates!H$8,Dates!H$9,'Day3'!$B78)</f>
        <v>0</v>
      </c>
      <c r="I78" s="5">
        <f>averageResponseTimePorter(Dates!I$8,Dates!I$9,'Day3'!$B78)</f>
        <v>0</v>
      </c>
      <c r="J78" s="5">
        <f>averageResponseTimePorter(Dates!J$8,Dates!J$9,'Day3'!$B78)</f>
        <v>0</v>
      </c>
      <c r="K78" s="5">
        <f>averageResponseTimePorter(Dates!K$8,Dates!K$9,'Day3'!$B78)</f>
        <v>0</v>
      </c>
      <c r="L78" s="5">
        <f>averageResponseTimePorter(Dates!L$8,Dates!L$9,'Day3'!$B78)</f>
        <v>0</v>
      </c>
      <c r="M78" s="5">
        <f>averageResponseTimePorter(Dates!M$8,Dates!M$9,'Day3'!$B78)</f>
        <v>0</v>
      </c>
      <c r="N78" s="5">
        <f>averageResponseTimePorter(Dates!N$8,Dates!N$9,'Day3'!$B78)</f>
        <v>0</v>
      </c>
      <c r="O78" s="5">
        <f>averageResponseTimePorter(Dates!O$8,Dates!O$9,'Day3'!$B78)</f>
        <v>0</v>
      </c>
      <c r="P78" s="5">
        <f>averageResponseTimePorter(Dates!P$8,Dates!P$9,'Day3'!$B78)</f>
        <v>0</v>
      </c>
      <c r="Q78" s="5">
        <f>averageResponseTimePorter(Dates!Q$8,Dates!Q$9,'Day3'!$B78)</f>
        <v>0</v>
      </c>
      <c r="R78" s="5">
        <f>averageResponseTimePorter(Dates!R$8,Dates!R$9,'Day3'!$B78)</f>
        <v>0</v>
      </c>
      <c r="S78" s="5">
        <f>averageResponseTimePorter(Dates!S$8,Dates!S$9,'Day3'!$B78)</f>
        <v>0</v>
      </c>
      <c r="T78" s="5">
        <f>averageResponseTimePorter(Dates!T$8,Dates!T$9,'Day3'!$B78)</f>
        <v>0</v>
      </c>
      <c r="U78" s="5">
        <f>averageResponseTimePorter(Dates!$C$8,Dates!$T$9,'Day3'!$B24)</f>
        <v>0</v>
      </c>
    </row>
    <row r="79" spans="2:21" x14ac:dyDescent="0.3">
      <c r="B79" s="7" t="str">
        <f t="shared" si="2"/>
        <v>NA25</v>
      </c>
      <c r="C79" s="5">
        <f>averageResponseTimePorter(Dates!C$8,Dates!C$9,'Day3'!$B79)</f>
        <v>0</v>
      </c>
      <c r="D79" s="5">
        <f>averageResponseTimePorter(Dates!D$8,Dates!D$9,'Day3'!$B79)</f>
        <v>0</v>
      </c>
      <c r="E79" s="5">
        <f>averageResponseTimePorter(Dates!E$8,Dates!E$9,'Day3'!$B79)</f>
        <v>0</v>
      </c>
      <c r="F79" s="5">
        <f>averageResponseTimePorter(Dates!F$8,Dates!F$9,'Day3'!$B79)</f>
        <v>0</v>
      </c>
      <c r="G79" s="5">
        <f>averageResponseTimePorter(Dates!G$8,Dates!G$9,'Day3'!$B79)</f>
        <v>0</v>
      </c>
      <c r="H79" s="5">
        <f>averageResponseTimePorter(Dates!H$8,Dates!H$9,'Day3'!$B79)</f>
        <v>0</v>
      </c>
      <c r="I79" s="5">
        <f>averageResponseTimePorter(Dates!I$8,Dates!I$9,'Day3'!$B79)</f>
        <v>0</v>
      </c>
      <c r="J79" s="5">
        <f>averageResponseTimePorter(Dates!J$8,Dates!J$9,'Day3'!$B79)</f>
        <v>0</v>
      </c>
      <c r="K79" s="5">
        <f>averageResponseTimePorter(Dates!K$8,Dates!K$9,'Day3'!$B79)</f>
        <v>0</v>
      </c>
      <c r="L79" s="5">
        <f>averageResponseTimePorter(Dates!L$8,Dates!L$9,'Day3'!$B79)</f>
        <v>0</v>
      </c>
      <c r="M79" s="5">
        <f>averageResponseTimePorter(Dates!M$8,Dates!M$9,'Day3'!$B79)</f>
        <v>0</v>
      </c>
      <c r="N79" s="5">
        <f>averageResponseTimePorter(Dates!N$8,Dates!N$9,'Day3'!$B79)</f>
        <v>0</v>
      </c>
      <c r="O79" s="5">
        <f>averageResponseTimePorter(Dates!O$8,Dates!O$9,'Day3'!$B79)</f>
        <v>0</v>
      </c>
      <c r="P79" s="5">
        <f>averageResponseTimePorter(Dates!P$8,Dates!P$9,'Day3'!$B79)</f>
        <v>0</v>
      </c>
      <c r="Q79" s="5">
        <f>averageResponseTimePorter(Dates!Q$8,Dates!Q$9,'Day3'!$B79)</f>
        <v>0</v>
      </c>
      <c r="R79" s="5">
        <f>averageResponseTimePorter(Dates!R$8,Dates!R$9,'Day3'!$B79)</f>
        <v>0</v>
      </c>
      <c r="S79" s="5">
        <f>averageResponseTimePorter(Dates!S$8,Dates!S$9,'Day3'!$B79)</f>
        <v>0</v>
      </c>
      <c r="T79" s="5">
        <f>averageResponseTimePorter(Dates!T$8,Dates!T$9,'Day3'!$B79)</f>
        <v>0</v>
      </c>
      <c r="U79" s="5">
        <f>averageResponseTimePorter(Dates!$C$8,Dates!$T$9,'Day3'!$B25)</f>
        <v>0</v>
      </c>
    </row>
    <row r="80" spans="2:21" x14ac:dyDescent="0.3">
      <c r="B80" s="7" t="str">
        <f t="shared" si="2"/>
        <v>NA26</v>
      </c>
      <c r="C80" s="5">
        <f>averageResponseTimePorter(Dates!C$8,Dates!C$9,'Day3'!$B80)</f>
        <v>0</v>
      </c>
      <c r="D80" s="5">
        <f>averageResponseTimePorter(Dates!D$8,Dates!D$9,'Day3'!$B80)</f>
        <v>0</v>
      </c>
      <c r="E80" s="5">
        <f>averageResponseTimePorter(Dates!E$8,Dates!E$9,'Day3'!$B80)</f>
        <v>0</v>
      </c>
      <c r="F80" s="5">
        <f>averageResponseTimePorter(Dates!F$8,Dates!F$9,'Day3'!$B80)</f>
        <v>0</v>
      </c>
      <c r="G80" s="5">
        <f>averageResponseTimePorter(Dates!G$8,Dates!G$9,'Day3'!$B80)</f>
        <v>0</v>
      </c>
      <c r="H80" s="5">
        <f>averageResponseTimePorter(Dates!H$8,Dates!H$9,'Day3'!$B80)</f>
        <v>0</v>
      </c>
      <c r="I80" s="5">
        <f>averageResponseTimePorter(Dates!I$8,Dates!I$9,'Day3'!$B80)</f>
        <v>0</v>
      </c>
      <c r="J80" s="5">
        <f>averageResponseTimePorter(Dates!J$8,Dates!J$9,'Day3'!$B80)</f>
        <v>0</v>
      </c>
      <c r="K80" s="5">
        <f>averageResponseTimePorter(Dates!K$8,Dates!K$9,'Day3'!$B80)</f>
        <v>0</v>
      </c>
      <c r="L80" s="5">
        <f>averageResponseTimePorter(Dates!L$8,Dates!L$9,'Day3'!$B80)</f>
        <v>0</v>
      </c>
      <c r="M80" s="5">
        <f>averageResponseTimePorter(Dates!M$8,Dates!M$9,'Day3'!$B80)</f>
        <v>0</v>
      </c>
      <c r="N80" s="5">
        <f>averageResponseTimePorter(Dates!N$8,Dates!N$9,'Day3'!$B80)</f>
        <v>0</v>
      </c>
      <c r="O80" s="5">
        <f>averageResponseTimePorter(Dates!O$8,Dates!O$9,'Day3'!$B80)</f>
        <v>0</v>
      </c>
      <c r="P80" s="5">
        <f>averageResponseTimePorter(Dates!P$8,Dates!P$9,'Day3'!$B80)</f>
        <v>0</v>
      </c>
      <c r="Q80" s="5">
        <f>averageResponseTimePorter(Dates!Q$8,Dates!Q$9,'Day3'!$B80)</f>
        <v>0</v>
      </c>
      <c r="R80" s="5">
        <f>averageResponseTimePorter(Dates!R$8,Dates!R$9,'Day3'!$B80)</f>
        <v>0</v>
      </c>
      <c r="S80" s="5">
        <f>averageResponseTimePorter(Dates!S$8,Dates!S$9,'Day3'!$B80)</f>
        <v>0</v>
      </c>
      <c r="T80" s="5">
        <f>averageResponseTimePorter(Dates!T$8,Dates!T$9,'Day3'!$B80)</f>
        <v>0</v>
      </c>
      <c r="U80" s="5">
        <f>averageResponseTimePorter(Dates!$C$8,Dates!$T$9,'Day3'!$B26)</f>
        <v>0</v>
      </c>
    </row>
    <row r="81" spans="2:21" x14ac:dyDescent="0.3">
      <c r="B81" s="7" t="str">
        <f t="shared" si="2"/>
        <v>NA27</v>
      </c>
      <c r="C81" s="5">
        <f>averageResponseTimePorter(Dates!C$8,Dates!C$9,'Day3'!$B81)</f>
        <v>0</v>
      </c>
      <c r="D81" s="5">
        <f>averageResponseTimePorter(Dates!D$8,Dates!D$9,'Day3'!$B81)</f>
        <v>0</v>
      </c>
      <c r="E81" s="5">
        <f>averageResponseTimePorter(Dates!E$8,Dates!E$9,'Day3'!$B81)</f>
        <v>0</v>
      </c>
      <c r="F81" s="5">
        <f>averageResponseTimePorter(Dates!F$8,Dates!F$9,'Day3'!$B81)</f>
        <v>0</v>
      </c>
      <c r="G81" s="5">
        <f>averageResponseTimePorter(Dates!G$8,Dates!G$9,'Day3'!$B81)</f>
        <v>0</v>
      </c>
      <c r="H81" s="5">
        <f>averageResponseTimePorter(Dates!H$8,Dates!H$9,'Day3'!$B81)</f>
        <v>0</v>
      </c>
      <c r="I81" s="5">
        <f>averageResponseTimePorter(Dates!I$8,Dates!I$9,'Day3'!$B81)</f>
        <v>0</v>
      </c>
      <c r="J81" s="5">
        <f>averageResponseTimePorter(Dates!J$8,Dates!J$9,'Day3'!$B81)</f>
        <v>0</v>
      </c>
      <c r="K81" s="5">
        <f>averageResponseTimePorter(Dates!K$8,Dates!K$9,'Day3'!$B81)</f>
        <v>0</v>
      </c>
      <c r="L81" s="5">
        <f>averageResponseTimePorter(Dates!L$8,Dates!L$9,'Day3'!$B81)</f>
        <v>0</v>
      </c>
      <c r="M81" s="5">
        <f>averageResponseTimePorter(Dates!M$8,Dates!M$9,'Day3'!$B81)</f>
        <v>0</v>
      </c>
      <c r="N81" s="5">
        <f>averageResponseTimePorter(Dates!N$8,Dates!N$9,'Day3'!$B81)</f>
        <v>0</v>
      </c>
      <c r="O81" s="5">
        <f>averageResponseTimePorter(Dates!O$8,Dates!O$9,'Day3'!$B81)</f>
        <v>0</v>
      </c>
      <c r="P81" s="5">
        <f>averageResponseTimePorter(Dates!P$8,Dates!P$9,'Day3'!$B81)</f>
        <v>0</v>
      </c>
      <c r="Q81" s="5">
        <f>averageResponseTimePorter(Dates!Q$8,Dates!Q$9,'Day3'!$B81)</f>
        <v>0</v>
      </c>
      <c r="R81" s="5">
        <f>averageResponseTimePorter(Dates!R$8,Dates!R$9,'Day3'!$B81)</f>
        <v>0</v>
      </c>
      <c r="S81" s="5">
        <f>averageResponseTimePorter(Dates!S$8,Dates!S$9,'Day3'!$B81)</f>
        <v>0</v>
      </c>
      <c r="T81" s="5">
        <f>averageResponseTimePorter(Dates!T$8,Dates!T$9,'Day3'!$B81)</f>
        <v>0</v>
      </c>
      <c r="U81" s="5">
        <f>averageResponseTimePorter(Dates!$C$8,Dates!$T$9,'Day3'!$B27)</f>
        <v>0</v>
      </c>
    </row>
    <row r="83" spans="2:21" x14ac:dyDescent="0.3">
      <c r="B83" s="7" t="s">
        <v>67</v>
      </c>
      <c r="C83">
        <f>pendingJobs(Dates!C$9)</f>
        <v>0</v>
      </c>
      <c r="D83">
        <f>pendingJobs(Dates!D$9)</f>
        <v>0</v>
      </c>
      <c r="E83">
        <f>pendingJobs(Dates!E$9)</f>
        <v>0</v>
      </c>
      <c r="F83">
        <f>pendingJobs(Dates!F$9)</f>
        <v>0</v>
      </c>
      <c r="G83">
        <f>pendingJobs(Dates!G$9)</f>
        <v>0</v>
      </c>
      <c r="H83">
        <f>pendingJobs(Dates!H$9)</f>
        <v>0</v>
      </c>
      <c r="I83">
        <f>pendingJobs(Dates!I$9)</f>
        <v>0</v>
      </c>
      <c r="J83">
        <f>pendingJobs(Dates!J$9)</f>
        <v>0</v>
      </c>
      <c r="K83">
        <f>pendingJobs(Dates!K$9)</f>
        <v>0</v>
      </c>
      <c r="L83">
        <f>pendingJobs(Dates!L$9)</f>
        <v>0</v>
      </c>
      <c r="M83">
        <f>pendingJobs(Dates!M$9)</f>
        <v>0</v>
      </c>
      <c r="N83">
        <f>pendingJobs(Dates!N$9)</f>
        <v>0</v>
      </c>
      <c r="O83">
        <f>pendingJobs(Dates!O$9)</f>
        <v>0</v>
      </c>
      <c r="P83">
        <f>pendingJobs(Dates!P$9)</f>
        <v>0</v>
      </c>
      <c r="Q83">
        <f>pendingJobs(Dates!Q$9)</f>
        <v>0</v>
      </c>
      <c r="R83">
        <f>pendingJobs(Dates!R$9)</f>
        <v>0</v>
      </c>
      <c r="S83">
        <f>pendingJobs(Dates!S$9)</f>
        <v>0</v>
      </c>
      <c r="T83">
        <f>pendingJobs(Dates!T$9)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83"/>
  <sheetViews>
    <sheetView topLeftCell="B59" zoomScale="70" zoomScaleNormal="70" workbookViewId="0">
      <selection activeCell="H83" sqref="H8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averageCompletionTime(Dates!C$10,Dates!C$11)</f>
        <v>0</v>
      </c>
      <c r="D2" s="5">
        <f>averageCompletionTime(Dates!D$10,Dates!D$11)</f>
        <v>0</v>
      </c>
      <c r="E2" s="5">
        <f>averageCompletionTime(Dates!E$10,Dates!E$11)</f>
        <v>0</v>
      </c>
      <c r="F2" s="5">
        <f>averageCompletionTime(Dates!F$10,Dates!F$11)</f>
        <v>0</v>
      </c>
      <c r="G2" s="5">
        <f>averageCompletionTime(Dates!G$10,Dates!G$11)</f>
        <v>0</v>
      </c>
      <c r="H2" s="5">
        <f>averageCompletionTime(Dates!H$10,Dates!H$11)</f>
        <v>0</v>
      </c>
      <c r="I2" s="5">
        <f>averageCompletionTime(Dates!I$10,Dates!I$11)</f>
        <v>0</v>
      </c>
      <c r="J2" s="5">
        <f>averageCompletionTime(Dates!J$10,Dates!J$11)</f>
        <v>0</v>
      </c>
      <c r="K2" s="5">
        <f>averageCompletionTime(Dates!K$10,Dates!K$11)</f>
        <v>0</v>
      </c>
      <c r="L2" s="5">
        <f>averageCompletionTime(Dates!L$10,Dates!L$11)</f>
        <v>0</v>
      </c>
      <c r="M2" s="5">
        <f>averageCompletionTime(Dates!M$10,Dates!M$11)</f>
        <v>0</v>
      </c>
      <c r="N2" s="5">
        <f>averageCompletionTime(Dates!N$10,Dates!N$11)</f>
        <v>0</v>
      </c>
      <c r="O2" s="5">
        <f>averageCompletionTime(Dates!O$10,Dates!O$11)</f>
        <v>0</v>
      </c>
      <c r="P2" s="5">
        <f>averageCompletionTime(Dates!P$10,Dates!P$11)</f>
        <v>0</v>
      </c>
      <c r="Q2" s="5">
        <f>averageCompletionTime(Dates!Q$10,Dates!Q$11)</f>
        <v>0</v>
      </c>
      <c r="R2" s="5">
        <f>averageCompletionTime(Dates!R$10,Dates!R$11)</f>
        <v>0</v>
      </c>
      <c r="S2" s="5">
        <f>averageCompletionTime(Dates!S$10,Dates!S$11)</f>
        <v>0</v>
      </c>
      <c r="T2" s="5">
        <f>averageCompletionTime(Dates!T$10,Dates!T$11)</f>
        <v>0</v>
      </c>
      <c r="U2" s="5">
        <f>averageCompletionTime(Dates!C$10,Dates!T$11)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43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44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42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4" spans="2:21" x14ac:dyDescent="0.3">
      <c r="B24" s="8" t="s">
        <v>62</v>
      </c>
      <c r="C24" s="5">
        <f>averageCompletionTimePorter(Dates!C$10,Dates!C$11,'Day4'!$B24)</f>
        <v>0</v>
      </c>
      <c r="D24" s="5">
        <f>averageCompletionTimePorter(Dates!D$10,Dates!D$11,'Day4'!$B24)</f>
        <v>0</v>
      </c>
      <c r="E24" s="5">
        <f>averageCompletionTimePorter(Dates!E$10,Dates!E$11,'Day4'!$B24)</f>
        <v>0</v>
      </c>
      <c r="F24" s="5">
        <f>averageCompletionTimePorter(Dates!F$10,Dates!F$11,'Day4'!$B24)</f>
        <v>0</v>
      </c>
      <c r="G24" s="5">
        <f>averageCompletionTimePorter(Dates!G$10,Dates!G$11,'Day4'!$B24)</f>
        <v>0</v>
      </c>
      <c r="H24" s="5">
        <f>averageCompletionTimePorter(Dates!H$10,Dates!H$11,'Day4'!$B24)</f>
        <v>0</v>
      </c>
      <c r="I24" s="5">
        <f>averageCompletionTimePorter(Dates!I$10,Dates!I$11,'Day4'!$B24)</f>
        <v>0</v>
      </c>
      <c r="J24" s="5">
        <f>averageCompletionTimePorter(Dates!J$10,Dates!J$11,'Day4'!$B24)</f>
        <v>0</v>
      </c>
      <c r="K24" s="5">
        <f>averageCompletionTimePorter(Dates!K$10,Dates!K$11,'Day4'!$B24)</f>
        <v>0</v>
      </c>
      <c r="L24" s="5">
        <f>averageCompletionTimePorter(Dates!L$10,Dates!L$11,'Day4'!$B24)</f>
        <v>0</v>
      </c>
      <c r="M24" s="5">
        <f>averageCompletionTimePorter(Dates!M$10,Dates!M$11,'Day4'!$B24)</f>
        <v>0</v>
      </c>
      <c r="N24" s="5">
        <f>averageCompletionTimePorter(Dates!N$10,Dates!N$11,'Day4'!$B24)</f>
        <v>0</v>
      </c>
      <c r="O24" s="5">
        <f>averageCompletionTimePorter(Dates!O$10,Dates!O$11,'Day4'!$B24)</f>
        <v>0</v>
      </c>
      <c r="P24" s="5">
        <f>averageCompletionTimePorter(Dates!P$10,Dates!P$11,'Day4'!$B24)</f>
        <v>0</v>
      </c>
      <c r="Q24" s="5">
        <f>averageCompletionTimePorter(Dates!Q$10,Dates!Q$11,'Day4'!$B24)</f>
        <v>0</v>
      </c>
      <c r="R24" s="5">
        <f>averageCompletionTimePorter(Dates!R$10,Dates!R$11,'Day4'!$B24)</f>
        <v>0</v>
      </c>
      <c r="S24" s="5">
        <f>averageCompletionTimePorter(Dates!S$10,Dates!S$11,'Day4'!$B24)</f>
        <v>0</v>
      </c>
      <c r="T24" s="5">
        <f>averageCompletionTimePorter(Dates!T$10,Dates!T$11,'Day4'!$B24)</f>
        <v>0</v>
      </c>
      <c r="U24" s="5">
        <f>averageCompletionTimePorter(Dates!$C$10,Dates!$T$11,'Day4'!$B24)</f>
        <v>0</v>
      </c>
    </row>
    <row r="25" spans="2:21" x14ac:dyDescent="0.3">
      <c r="B25" s="8" t="s">
        <v>63</v>
      </c>
      <c r="C25" s="5">
        <f>averageCompletionTimePorter(Dates!C$10,Dates!C$11,'Day4'!$B25)</f>
        <v>0</v>
      </c>
      <c r="D25" s="5">
        <f>averageCompletionTimePorter(Dates!D$10,Dates!D$11,'Day4'!$B25)</f>
        <v>0</v>
      </c>
      <c r="E25" s="5">
        <f>averageCompletionTimePorter(Dates!E$10,Dates!E$11,'Day4'!$B25)</f>
        <v>0</v>
      </c>
      <c r="F25" s="5">
        <f>averageCompletionTimePorter(Dates!F$10,Dates!F$11,'Day4'!$B25)</f>
        <v>0</v>
      </c>
      <c r="G25" s="5">
        <f>averageCompletionTimePorter(Dates!G$10,Dates!G$11,'Day4'!$B25)</f>
        <v>0</v>
      </c>
      <c r="H25" s="5">
        <f>averageCompletionTimePorter(Dates!H$10,Dates!H$11,'Day4'!$B25)</f>
        <v>0</v>
      </c>
      <c r="I25" s="5">
        <f>averageCompletionTimePorter(Dates!I$10,Dates!I$11,'Day4'!$B25)</f>
        <v>0</v>
      </c>
      <c r="J25" s="5">
        <f>averageCompletionTimePorter(Dates!J$10,Dates!J$11,'Day4'!$B25)</f>
        <v>0</v>
      </c>
      <c r="K25" s="5">
        <f>averageCompletionTimePorter(Dates!K$10,Dates!K$11,'Day4'!$B25)</f>
        <v>0</v>
      </c>
      <c r="L25" s="5">
        <f>averageCompletionTimePorter(Dates!L$10,Dates!L$11,'Day4'!$B25)</f>
        <v>0</v>
      </c>
      <c r="M25" s="5">
        <f>averageCompletionTimePorter(Dates!M$10,Dates!M$11,'Day4'!$B25)</f>
        <v>0</v>
      </c>
      <c r="N25" s="5">
        <f>averageCompletionTimePorter(Dates!N$10,Dates!N$11,'Day4'!$B25)</f>
        <v>0</v>
      </c>
      <c r="O25" s="5">
        <f>averageCompletionTimePorter(Dates!O$10,Dates!O$11,'Day4'!$B25)</f>
        <v>0</v>
      </c>
      <c r="P25" s="5">
        <f>averageCompletionTimePorter(Dates!P$10,Dates!P$11,'Day4'!$B25)</f>
        <v>0</v>
      </c>
      <c r="Q25" s="5">
        <f>averageCompletionTimePorter(Dates!Q$10,Dates!Q$11,'Day4'!$B25)</f>
        <v>0</v>
      </c>
      <c r="R25" s="5">
        <f>averageCompletionTimePorter(Dates!R$10,Dates!R$11,'Day4'!$B25)</f>
        <v>0</v>
      </c>
      <c r="S25" s="5">
        <f>averageCompletionTimePorter(Dates!S$10,Dates!S$11,'Day4'!$B25)</f>
        <v>0</v>
      </c>
      <c r="T25" s="5">
        <f>averageCompletionTimePorter(Dates!T$10,Dates!T$11,'Day4'!$B25)</f>
        <v>0</v>
      </c>
      <c r="U25" s="5">
        <f>averageCompletionTimePorter(Dates!$C$10,Dates!$T$11,'Day4'!$B25)</f>
        <v>0</v>
      </c>
    </row>
    <row r="26" spans="2:21" x14ac:dyDescent="0.3">
      <c r="B26" s="8" t="s">
        <v>64</v>
      </c>
      <c r="C26" s="5">
        <f>averageCompletionTimePorter(Dates!C$10,Dates!C$11,'Day4'!$B26)</f>
        <v>0</v>
      </c>
      <c r="D26" s="5">
        <f>averageCompletionTimePorter(Dates!D$10,Dates!D$11,'Day4'!$B26)</f>
        <v>0</v>
      </c>
      <c r="E26" s="5">
        <f>averageCompletionTimePorter(Dates!E$10,Dates!E$11,'Day4'!$B26)</f>
        <v>0</v>
      </c>
      <c r="F26" s="5">
        <f>averageCompletionTimePorter(Dates!F$10,Dates!F$11,'Day4'!$B26)</f>
        <v>0</v>
      </c>
      <c r="G26" s="5">
        <f>averageCompletionTimePorter(Dates!G$10,Dates!G$11,'Day4'!$B26)</f>
        <v>0</v>
      </c>
      <c r="H26" s="5">
        <f>averageCompletionTimePorter(Dates!H$10,Dates!H$11,'Day4'!$B26)</f>
        <v>0</v>
      </c>
      <c r="I26" s="5">
        <f>averageCompletionTimePorter(Dates!I$10,Dates!I$11,'Day4'!$B26)</f>
        <v>0</v>
      </c>
      <c r="J26" s="5">
        <f>averageCompletionTimePorter(Dates!J$10,Dates!J$11,'Day4'!$B26)</f>
        <v>0</v>
      </c>
      <c r="K26" s="5">
        <f>averageCompletionTimePorter(Dates!K$10,Dates!K$11,'Day4'!$B26)</f>
        <v>0</v>
      </c>
      <c r="L26" s="5">
        <f>averageCompletionTimePorter(Dates!L$10,Dates!L$11,'Day4'!$B26)</f>
        <v>0</v>
      </c>
      <c r="M26" s="5">
        <f>averageCompletionTimePorter(Dates!M$10,Dates!M$11,'Day4'!$B26)</f>
        <v>0</v>
      </c>
      <c r="N26" s="5">
        <f>averageCompletionTimePorter(Dates!N$10,Dates!N$11,'Day4'!$B26)</f>
        <v>0</v>
      </c>
      <c r="O26" s="5">
        <f>averageCompletionTimePorter(Dates!O$10,Dates!O$11,'Day4'!$B26)</f>
        <v>0</v>
      </c>
      <c r="P26" s="5">
        <f>averageCompletionTimePorter(Dates!P$10,Dates!P$11,'Day4'!$B26)</f>
        <v>0</v>
      </c>
      <c r="Q26" s="5">
        <f>averageCompletionTimePorter(Dates!Q$10,Dates!Q$11,'Day4'!$B26)</f>
        <v>0</v>
      </c>
      <c r="R26" s="5">
        <f>averageCompletionTimePorter(Dates!R$10,Dates!R$11,'Day4'!$B26)</f>
        <v>0</v>
      </c>
      <c r="S26" s="5">
        <f>averageCompletionTimePorter(Dates!S$10,Dates!S$11,'Day4'!$B26)</f>
        <v>0</v>
      </c>
      <c r="T26" s="5">
        <f>averageCompletionTimePorter(Dates!T$10,Dates!T$11,'Day4'!$B26)</f>
        <v>0</v>
      </c>
      <c r="U26" s="5">
        <f>averageCompletionTimePorter(Dates!$C$10,Dates!$T$11,'Day4'!$B26)</f>
        <v>0</v>
      </c>
    </row>
    <row r="27" spans="2:21" x14ac:dyDescent="0.3">
      <c r="B27" s="8" t="s">
        <v>65</v>
      </c>
      <c r="C27" s="5">
        <f>averageCompletionTimePorter(Dates!C$10,Dates!C$11,'Day4'!$B27)</f>
        <v>0</v>
      </c>
      <c r="D27" s="5">
        <f>averageCompletionTimePorter(Dates!D$10,Dates!D$11,'Day4'!$B27)</f>
        <v>0</v>
      </c>
      <c r="E27" s="5">
        <f>averageCompletionTimePorter(Dates!E$10,Dates!E$11,'Day4'!$B27)</f>
        <v>0</v>
      </c>
      <c r="F27" s="5">
        <f>averageCompletionTimePorter(Dates!F$10,Dates!F$11,'Day4'!$B27)</f>
        <v>0</v>
      </c>
      <c r="G27" s="5">
        <f>averageCompletionTimePorter(Dates!G$10,Dates!G$11,'Day4'!$B27)</f>
        <v>0</v>
      </c>
      <c r="H27" s="5">
        <f>averageCompletionTimePorter(Dates!H$10,Dates!H$11,'Day4'!$B27)</f>
        <v>0</v>
      </c>
      <c r="I27" s="5">
        <f>averageCompletionTimePorter(Dates!I$10,Dates!I$11,'Day4'!$B27)</f>
        <v>0</v>
      </c>
      <c r="J27" s="5">
        <f>averageCompletionTimePorter(Dates!J$10,Dates!J$11,'Day4'!$B27)</f>
        <v>0</v>
      </c>
      <c r="K27" s="5">
        <f>averageCompletionTimePorter(Dates!K$10,Dates!K$11,'Day4'!$B27)</f>
        <v>0</v>
      </c>
      <c r="L27" s="5">
        <f>averageCompletionTimePorter(Dates!L$10,Dates!L$11,'Day4'!$B27)</f>
        <v>0</v>
      </c>
      <c r="M27" s="5">
        <f>averageCompletionTimePorter(Dates!M$10,Dates!M$11,'Day4'!$B27)</f>
        <v>0</v>
      </c>
      <c r="N27" s="5">
        <f>averageCompletionTimePorter(Dates!N$10,Dates!N$11,'Day4'!$B27)</f>
        <v>0</v>
      </c>
      <c r="O27" s="5">
        <f>averageCompletionTimePorter(Dates!O$10,Dates!O$11,'Day4'!$B27)</f>
        <v>0</v>
      </c>
      <c r="P27" s="5">
        <f>averageCompletionTimePorter(Dates!P$10,Dates!P$11,'Day4'!$B27)</f>
        <v>0</v>
      </c>
      <c r="Q27" s="5">
        <f>averageCompletionTimePorter(Dates!Q$10,Dates!Q$11,'Day4'!$B27)</f>
        <v>0</v>
      </c>
      <c r="R27" s="5">
        <f>averageCompletionTimePorter(Dates!R$10,Dates!R$11,'Day4'!$B27)</f>
        <v>0</v>
      </c>
      <c r="S27" s="5">
        <f>averageCompletionTimePorter(Dates!S$10,Dates!S$11,'Day4'!$B27)</f>
        <v>0</v>
      </c>
      <c r="T27" s="5">
        <f>averageCompletionTimePorter(Dates!T$10,Dates!T$11,'Day4'!$B27)</f>
        <v>0</v>
      </c>
      <c r="U27" s="5">
        <f>averageCompletionTimePorter(Dates!$C$10,Dates!$T$11,'Day4'!$B27)</f>
        <v>0</v>
      </c>
    </row>
    <row r="29" spans="2:21" x14ac:dyDescent="0.3">
      <c r="B29" s="7" t="s">
        <v>66</v>
      </c>
      <c r="C29">
        <f>totalNumberOfJobsCompleted(Dates!C$10,Dates!C$11)</f>
        <v>0</v>
      </c>
      <c r="D29">
        <f>totalNumberOfJobsCompleted(Dates!D$10,Dates!D$11)</f>
        <v>0</v>
      </c>
      <c r="E29">
        <f>totalNumberOfJobsCompleted(Dates!E$10,Dates!E$11)</f>
        <v>0</v>
      </c>
      <c r="F29">
        <f>totalNumberOfJobsCompleted(Dates!F$10,Dates!F$11)</f>
        <v>0</v>
      </c>
      <c r="G29">
        <f>totalNumberOfJobsCompleted(Dates!G$10,Dates!G$11)</f>
        <v>0</v>
      </c>
      <c r="H29">
        <f>totalNumberOfJobsCompleted(Dates!H$10,Dates!H$11)</f>
        <v>0</v>
      </c>
      <c r="I29">
        <f>totalNumberOfJobsCompleted(Dates!I$10,Dates!I$11)</f>
        <v>0</v>
      </c>
      <c r="J29">
        <f>totalNumberOfJobsCompleted(Dates!J$10,Dates!J$11)</f>
        <v>0</v>
      </c>
      <c r="K29">
        <f>totalNumberOfJobsCompleted(Dates!K$10,Dates!K$11)</f>
        <v>0</v>
      </c>
      <c r="L29">
        <f>totalNumberOfJobsCompleted(Dates!L$10,Dates!L$11)</f>
        <v>0</v>
      </c>
      <c r="M29">
        <f>totalNumberOfJobsCompleted(Dates!M$10,Dates!M$11)</f>
        <v>0</v>
      </c>
      <c r="N29">
        <f>totalNumberOfJobsCompleted(Dates!N$10,Dates!N$11)</f>
        <v>0</v>
      </c>
      <c r="O29">
        <f>totalNumberOfJobsCompleted(Dates!O$10,Dates!O$11)</f>
        <v>0</v>
      </c>
      <c r="P29">
        <f>totalNumberOfJobsCompleted(Dates!P$10,Dates!P$11)</f>
        <v>0</v>
      </c>
      <c r="Q29">
        <f>totalNumberOfJobsCompleted(Dates!Q$10,Dates!Q$11)</f>
        <v>0</v>
      </c>
      <c r="R29">
        <f>totalNumberOfJobsCompleted(Dates!R$10,Dates!R$11)</f>
        <v>0</v>
      </c>
      <c r="S29">
        <f>totalNumberOfJobsCompleted(Dates!S$10,Dates!S$11)</f>
        <v>0</v>
      </c>
      <c r="T29">
        <f>totalNumberOfJobsCompleted(Dates!T$10,Dates!T$11)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totalNumberOfJobsCompletedPorter(Dates!C$10,Dates!C$11,'Day4'!$B30)</f>
        <v>0</v>
      </c>
      <c r="D30">
        <f>totalNumberOfJobsCompletedPorter(Dates!D$10,Dates!D$11,'Day4'!$B30)</f>
        <v>0</v>
      </c>
      <c r="E30">
        <f>totalNumberOfJobsCompletedPorter(Dates!E$10,Dates!E$11,'Day4'!$B30)</f>
        <v>0</v>
      </c>
      <c r="F30">
        <f>totalNumberOfJobsCompletedPorter(Dates!F$10,Dates!F$11,'Day4'!$B30)</f>
        <v>0</v>
      </c>
      <c r="G30">
        <f>totalNumberOfJobsCompletedPorter(Dates!G$10,Dates!G$11,'Day4'!$B30)</f>
        <v>0</v>
      </c>
      <c r="H30">
        <f>totalNumberOfJobsCompletedPorter(Dates!H$10,Dates!H$11,'Day4'!$B30)</f>
        <v>0</v>
      </c>
      <c r="I30">
        <f>totalNumberOfJobsCompletedPorter(Dates!I$10,Dates!I$11,'Day4'!$B30)</f>
        <v>0</v>
      </c>
      <c r="J30">
        <f>totalNumberOfJobsCompletedPorter(Dates!J$10,Dates!J$11,'Day4'!$B30)</f>
        <v>0</v>
      </c>
      <c r="K30">
        <f>totalNumberOfJobsCompletedPorter(Dates!K$10,Dates!K$11,'Day4'!$B30)</f>
        <v>0</v>
      </c>
      <c r="L30">
        <f>totalNumberOfJobsCompletedPorter(Dates!L$10,Dates!L$11,'Day4'!$B30)</f>
        <v>0</v>
      </c>
      <c r="M30">
        <f>totalNumberOfJobsCompletedPorter(Dates!M$10,Dates!M$11,'Day4'!$B30)</f>
        <v>0</v>
      </c>
      <c r="N30">
        <f>totalNumberOfJobsCompletedPorter(Dates!N$10,Dates!N$11,'Day4'!$B30)</f>
        <v>0</v>
      </c>
      <c r="O30">
        <f>totalNumberOfJobsCompletedPorter(Dates!O$10,Dates!O$11,'Day4'!$B30)</f>
        <v>0</v>
      </c>
      <c r="P30">
        <f>totalNumberOfJobsCompletedPorter(Dates!P$10,Dates!P$11,'Day4'!$B30)</f>
        <v>0</v>
      </c>
      <c r="Q30">
        <f>totalNumberOfJobsCompletedPorter(Dates!Q$10,Dates!Q$11,'Day4'!$B30)</f>
        <v>0</v>
      </c>
      <c r="R30">
        <f>totalNumberOfJobsCompletedPorter(Dates!R$10,Dates!R$11,'Day4'!$B30)</f>
        <v>0</v>
      </c>
      <c r="S30">
        <f>totalNumberOfJobsCompletedPorter(Dates!S$10,Dates!S$11,'Day4'!$B30)</f>
        <v>0</v>
      </c>
      <c r="T30">
        <f>totalNumberOfJobsCompletedPorter(Dates!T$10,Dates!T$11,'Day4'!$B30)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totalNumberOfJobsCompletedPorter(Dates!C$10,Dates!C$11,'Day4'!$B31)</f>
        <v>0</v>
      </c>
      <c r="D31">
        <f>totalNumberOfJobsCompletedPorter(Dates!D$10,Dates!D$11,'Day4'!$B31)</f>
        <v>0</v>
      </c>
      <c r="E31">
        <f>totalNumberOfJobsCompletedPorter(Dates!E$10,Dates!E$11,'Day4'!$B31)</f>
        <v>0</v>
      </c>
      <c r="F31">
        <f>totalNumberOfJobsCompletedPorter(Dates!F$10,Dates!F$11,'Day4'!$B31)</f>
        <v>0</v>
      </c>
      <c r="G31">
        <f>totalNumberOfJobsCompletedPorter(Dates!G$10,Dates!G$11,'Day4'!$B31)</f>
        <v>0</v>
      </c>
      <c r="H31">
        <f>totalNumberOfJobsCompletedPorter(Dates!H$10,Dates!H$11,'Day4'!$B31)</f>
        <v>0</v>
      </c>
      <c r="I31">
        <f>totalNumberOfJobsCompletedPorter(Dates!I$10,Dates!I$11,'Day4'!$B31)</f>
        <v>0</v>
      </c>
      <c r="J31">
        <f>totalNumberOfJobsCompletedPorter(Dates!J$10,Dates!J$11,'Day4'!$B31)</f>
        <v>0</v>
      </c>
      <c r="K31">
        <f>totalNumberOfJobsCompletedPorter(Dates!K$10,Dates!K$11,'Day4'!$B31)</f>
        <v>0</v>
      </c>
      <c r="L31">
        <f>totalNumberOfJobsCompletedPorter(Dates!L$10,Dates!L$11,'Day4'!$B31)</f>
        <v>0</v>
      </c>
      <c r="M31">
        <f>totalNumberOfJobsCompletedPorter(Dates!M$10,Dates!M$11,'Day4'!$B31)</f>
        <v>0</v>
      </c>
      <c r="N31">
        <f>totalNumberOfJobsCompletedPorter(Dates!N$10,Dates!N$11,'Day4'!$B31)</f>
        <v>0</v>
      </c>
      <c r="O31">
        <f>totalNumberOfJobsCompletedPorter(Dates!O$10,Dates!O$11,'Day4'!$B31)</f>
        <v>0</v>
      </c>
      <c r="P31">
        <f>totalNumberOfJobsCompletedPorter(Dates!P$10,Dates!P$11,'Day4'!$B31)</f>
        <v>0</v>
      </c>
      <c r="Q31">
        <f>totalNumberOfJobsCompletedPorter(Dates!Q$10,Dates!Q$11,'Day4'!$B31)</f>
        <v>0</v>
      </c>
      <c r="R31">
        <f>totalNumberOfJobsCompletedPorter(Dates!R$10,Dates!R$11,'Day4'!$B31)</f>
        <v>0</v>
      </c>
      <c r="S31">
        <f>totalNumberOfJobsCompletedPorter(Dates!S$10,Dates!S$11,'Day4'!$B31)</f>
        <v>0</v>
      </c>
      <c r="T31">
        <f>totalNumberOfJobsCompletedPorter(Dates!T$10,Dates!T$11,'Day4'!$B31)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totalNumberOfJobsCompletedPorter(Dates!C$10,Dates!C$11,'Day4'!$B32)</f>
        <v>0</v>
      </c>
      <c r="D32">
        <f>totalNumberOfJobsCompletedPorter(Dates!D$10,Dates!D$11,'Day4'!$B32)</f>
        <v>0</v>
      </c>
      <c r="E32">
        <f>totalNumberOfJobsCompletedPorter(Dates!E$10,Dates!E$11,'Day4'!$B32)</f>
        <v>0</v>
      </c>
      <c r="F32">
        <f>totalNumberOfJobsCompletedPorter(Dates!F$10,Dates!F$11,'Day4'!$B32)</f>
        <v>0</v>
      </c>
      <c r="G32">
        <f>totalNumberOfJobsCompletedPorter(Dates!G$10,Dates!G$11,'Day4'!$B32)</f>
        <v>0</v>
      </c>
      <c r="H32">
        <f>totalNumberOfJobsCompletedPorter(Dates!H$10,Dates!H$11,'Day4'!$B32)</f>
        <v>0</v>
      </c>
      <c r="I32">
        <f>totalNumberOfJobsCompletedPorter(Dates!I$10,Dates!I$11,'Day4'!$B32)</f>
        <v>0</v>
      </c>
      <c r="J32">
        <f>totalNumberOfJobsCompletedPorter(Dates!J$10,Dates!J$11,'Day4'!$B32)</f>
        <v>0</v>
      </c>
      <c r="K32">
        <f>totalNumberOfJobsCompletedPorter(Dates!K$10,Dates!K$11,'Day4'!$B32)</f>
        <v>0</v>
      </c>
      <c r="L32">
        <f>totalNumberOfJobsCompletedPorter(Dates!L$10,Dates!L$11,'Day4'!$B32)</f>
        <v>0</v>
      </c>
      <c r="M32">
        <f>totalNumberOfJobsCompletedPorter(Dates!M$10,Dates!M$11,'Day4'!$B32)</f>
        <v>0</v>
      </c>
      <c r="N32">
        <f>totalNumberOfJobsCompletedPorter(Dates!N$10,Dates!N$11,'Day4'!$B32)</f>
        <v>0</v>
      </c>
      <c r="O32">
        <f>totalNumberOfJobsCompletedPorter(Dates!O$10,Dates!O$11,'Day4'!$B32)</f>
        <v>0</v>
      </c>
      <c r="P32">
        <f>totalNumberOfJobsCompletedPorter(Dates!P$10,Dates!P$11,'Day4'!$B32)</f>
        <v>0</v>
      </c>
      <c r="Q32">
        <f>totalNumberOfJobsCompletedPorter(Dates!Q$10,Dates!Q$11,'Day4'!$B32)</f>
        <v>0</v>
      </c>
      <c r="R32">
        <f>totalNumberOfJobsCompletedPorter(Dates!R$10,Dates!R$11,'Day4'!$B32)</f>
        <v>0</v>
      </c>
      <c r="S32">
        <f>totalNumberOfJobsCompletedPorter(Dates!S$10,Dates!S$11,'Day4'!$B32)</f>
        <v>0</v>
      </c>
      <c r="T32">
        <f>totalNumberOfJobsCompletedPorter(Dates!T$10,Dates!T$11,'Day4'!$B32)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totalNumberOfJobsCompletedPorter(Dates!C$10,Dates!C$11,'Day4'!$B33)</f>
        <v>0</v>
      </c>
      <c r="D33">
        <f>totalNumberOfJobsCompletedPorter(Dates!D$10,Dates!D$11,'Day4'!$B33)</f>
        <v>0</v>
      </c>
      <c r="E33">
        <f>totalNumberOfJobsCompletedPorter(Dates!E$10,Dates!E$11,'Day4'!$B33)</f>
        <v>0</v>
      </c>
      <c r="F33">
        <f>totalNumberOfJobsCompletedPorter(Dates!F$10,Dates!F$11,'Day4'!$B33)</f>
        <v>0</v>
      </c>
      <c r="G33">
        <f>totalNumberOfJobsCompletedPorter(Dates!G$10,Dates!G$11,'Day4'!$B33)</f>
        <v>0</v>
      </c>
      <c r="H33">
        <f>totalNumberOfJobsCompletedPorter(Dates!H$10,Dates!H$11,'Day4'!$B33)</f>
        <v>0</v>
      </c>
      <c r="I33">
        <f>totalNumberOfJobsCompletedPorter(Dates!I$10,Dates!I$11,'Day4'!$B33)</f>
        <v>0</v>
      </c>
      <c r="J33">
        <f>totalNumberOfJobsCompletedPorter(Dates!J$10,Dates!J$11,'Day4'!$B33)</f>
        <v>0</v>
      </c>
      <c r="K33">
        <f>totalNumberOfJobsCompletedPorter(Dates!K$10,Dates!K$11,'Day4'!$B33)</f>
        <v>0</v>
      </c>
      <c r="L33">
        <f>totalNumberOfJobsCompletedPorter(Dates!L$10,Dates!L$11,'Day4'!$B33)</f>
        <v>0</v>
      </c>
      <c r="M33">
        <f>totalNumberOfJobsCompletedPorter(Dates!M$10,Dates!M$11,'Day4'!$B33)</f>
        <v>0</v>
      </c>
      <c r="N33">
        <f>totalNumberOfJobsCompletedPorter(Dates!N$10,Dates!N$11,'Day4'!$B33)</f>
        <v>0</v>
      </c>
      <c r="O33">
        <f>totalNumberOfJobsCompletedPorter(Dates!O$10,Dates!O$11,'Day4'!$B33)</f>
        <v>0</v>
      </c>
      <c r="P33">
        <f>totalNumberOfJobsCompletedPorter(Dates!P$10,Dates!P$11,'Day4'!$B33)</f>
        <v>0</v>
      </c>
      <c r="Q33">
        <f>totalNumberOfJobsCompletedPorter(Dates!Q$10,Dates!Q$11,'Day4'!$B33)</f>
        <v>0</v>
      </c>
      <c r="R33">
        <f>totalNumberOfJobsCompletedPorter(Dates!R$10,Dates!R$11,'Day4'!$B33)</f>
        <v>0</v>
      </c>
      <c r="S33">
        <f>totalNumberOfJobsCompletedPorter(Dates!S$10,Dates!S$11,'Day4'!$B33)</f>
        <v>0</v>
      </c>
      <c r="T33">
        <f>totalNumberOfJobsCompletedPorter(Dates!T$10,Dates!T$11,'Day4'!$B33)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totalNumberOfJobsCompletedPorter(Dates!C$10,Dates!C$11,'Day4'!$B34)</f>
        <v>0</v>
      </c>
      <c r="D34">
        <f>totalNumberOfJobsCompletedPorter(Dates!D$10,Dates!D$11,'Day4'!$B34)</f>
        <v>0</v>
      </c>
      <c r="E34">
        <f>totalNumberOfJobsCompletedPorter(Dates!E$10,Dates!E$11,'Day4'!$B34)</f>
        <v>0</v>
      </c>
      <c r="F34">
        <f>totalNumberOfJobsCompletedPorter(Dates!F$10,Dates!F$11,'Day4'!$B34)</f>
        <v>0</v>
      </c>
      <c r="G34">
        <f>totalNumberOfJobsCompletedPorter(Dates!G$10,Dates!G$11,'Day4'!$B34)</f>
        <v>0</v>
      </c>
      <c r="H34">
        <f>totalNumberOfJobsCompletedPorter(Dates!H$10,Dates!H$11,'Day4'!$B34)</f>
        <v>0</v>
      </c>
      <c r="I34">
        <f>totalNumberOfJobsCompletedPorter(Dates!I$10,Dates!I$11,'Day4'!$B34)</f>
        <v>0</v>
      </c>
      <c r="J34">
        <f>totalNumberOfJobsCompletedPorter(Dates!J$10,Dates!J$11,'Day4'!$B34)</f>
        <v>0</v>
      </c>
      <c r="K34">
        <f>totalNumberOfJobsCompletedPorter(Dates!K$10,Dates!K$11,'Day4'!$B34)</f>
        <v>0</v>
      </c>
      <c r="L34">
        <f>totalNumberOfJobsCompletedPorter(Dates!L$10,Dates!L$11,'Day4'!$B34)</f>
        <v>0</v>
      </c>
      <c r="M34">
        <f>totalNumberOfJobsCompletedPorter(Dates!M$10,Dates!M$11,'Day4'!$B34)</f>
        <v>0</v>
      </c>
      <c r="N34">
        <f>totalNumberOfJobsCompletedPorter(Dates!N$10,Dates!N$11,'Day4'!$B34)</f>
        <v>0</v>
      </c>
      <c r="O34">
        <f>totalNumberOfJobsCompletedPorter(Dates!O$10,Dates!O$11,'Day4'!$B34)</f>
        <v>0</v>
      </c>
      <c r="P34">
        <f>totalNumberOfJobsCompletedPorter(Dates!P$10,Dates!P$11,'Day4'!$B34)</f>
        <v>0</v>
      </c>
      <c r="Q34">
        <f>totalNumberOfJobsCompletedPorter(Dates!Q$10,Dates!Q$11,'Day4'!$B34)</f>
        <v>0</v>
      </c>
      <c r="R34">
        <f>totalNumberOfJobsCompletedPorter(Dates!R$10,Dates!R$11,'Day4'!$B34)</f>
        <v>0</v>
      </c>
      <c r="S34">
        <f>totalNumberOfJobsCompletedPorter(Dates!S$10,Dates!S$11,'Day4'!$B34)</f>
        <v>0</v>
      </c>
      <c r="T34">
        <f>totalNumberOfJobsCompletedPorter(Dates!T$10,Dates!T$11,'Day4'!$B34)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totalNumberOfJobsCompletedPorter(Dates!C$10,Dates!C$11,'Day4'!$B35)</f>
        <v>0</v>
      </c>
      <c r="D35">
        <f>totalNumberOfJobsCompletedPorter(Dates!D$10,Dates!D$11,'Day4'!$B35)</f>
        <v>0</v>
      </c>
      <c r="E35">
        <f>totalNumberOfJobsCompletedPorter(Dates!E$10,Dates!E$11,'Day4'!$B35)</f>
        <v>0</v>
      </c>
      <c r="F35">
        <f>totalNumberOfJobsCompletedPorter(Dates!F$10,Dates!F$11,'Day4'!$B35)</f>
        <v>0</v>
      </c>
      <c r="G35">
        <f>totalNumberOfJobsCompletedPorter(Dates!G$10,Dates!G$11,'Day4'!$B35)</f>
        <v>0</v>
      </c>
      <c r="H35">
        <f>totalNumberOfJobsCompletedPorter(Dates!H$10,Dates!H$11,'Day4'!$B35)</f>
        <v>0</v>
      </c>
      <c r="I35">
        <f>totalNumberOfJobsCompletedPorter(Dates!I$10,Dates!I$11,'Day4'!$B35)</f>
        <v>0</v>
      </c>
      <c r="J35">
        <f>totalNumberOfJobsCompletedPorter(Dates!J$10,Dates!J$11,'Day4'!$B35)</f>
        <v>0</v>
      </c>
      <c r="K35">
        <f>totalNumberOfJobsCompletedPorter(Dates!K$10,Dates!K$11,'Day4'!$B35)</f>
        <v>0</v>
      </c>
      <c r="L35">
        <f>totalNumberOfJobsCompletedPorter(Dates!L$10,Dates!L$11,'Day4'!$B35)</f>
        <v>0</v>
      </c>
      <c r="M35">
        <f>totalNumberOfJobsCompletedPorter(Dates!M$10,Dates!M$11,'Day4'!$B35)</f>
        <v>0</v>
      </c>
      <c r="N35">
        <f>totalNumberOfJobsCompletedPorter(Dates!N$10,Dates!N$11,'Day4'!$B35)</f>
        <v>0</v>
      </c>
      <c r="O35">
        <f>totalNumberOfJobsCompletedPorter(Dates!O$10,Dates!O$11,'Day4'!$B35)</f>
        <v>0</v>
      </c>
      <c r="P35">
        <f>totalNumberOfJobsCompletedPorter(Dates!P$10,Dates!P$11,'Day4'!$B35)</f>
        <v>0</v>
      </c>
      <c r="Q35">
        <f>totalNumberOfJobsCompletedPorter(Dates!Q$10,Dates!Q$11,'Day4'!$B35)</f>
        <v>0</v>
      </c>
      <c r="R35">
        <f>totalNumberOfJobsCompletedPorter(Dates!R$10,Dates!R$11,'Day4'!$B35)</f>
        <v>0</v>
      </c>
      <c r="S35">
        <f>totalNumberOfJobsCompletedPorter(Dates!S$10,Dates!S$11,'Day4'!$B35)</f>
        <v>0</v>
      </c>
      <c r="T35">
        <f>totalNumberOfJobsCompletedPorter(Dates!T$10,Dates!T$11,'Day4'!$B35)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totalNumberOfJobsCompletedPorter(Dates!C$10,Dates!C$11,'Day4'!$B36)</f>
        <v>0</v>
      </c>
      <c r="D36">
        <f>totalNumberOfJobsCompletedPorter(Dates!D$10,Dates!D$11,'Day4'!$B36)</f>
        <v>0</v>
      </c>
      <c r="E36">
        <f>totalNumberOfJobsCompletedPorter(Dates!E$10,Dates!E$11,'Day4'!$B36)</f>
        <v>0</v>
      </c>
      <c r="F36">
        <f>totalNumberOfJobsCompletedPorter(Dates!F$10,Dates!F$11,'Day4'!$B36)</f>
        <v>0</v>
      </c>
      <c r="G36">
        <f>totalNumberOfJobsCompletedPorter(Dates!G$10,Dates!G$11,'Day4'!$B36)</f>
        <v>0</v>
      </c>
      <c r="H36">
        <f>totalNumberOfJobsCompletedPorter(Dates!H$10,Dates!H$11,'Day4'!$B36)</f>
        <v>0</v>
      </c>
      <c r="I36">
        <f>totalNumberOfJobsCompletedPorter(Dates!I$10,Dates!I$11,'Day4'!$B36)</f>
        <v>0</v>
      </c>
      <c r="J36">
        <f>totalNumberOfJobsCompletedPorter(Dates!J$10,Dates!J$11,'Day4'!$B36)</f>
        <v>0</v>
      </c>
      <c r="K36">
        <f>totalNumberOfJobsCompletedPorter(Dates!K$10,Dates!K$11,'Day4'!$B36)</f>
        <v>0</v>
      </c>
      <c r="L36">
        <f>totalNumberOfJobsCompletedPorter(Dates!L$10,Dates!L$11,'Day4'!$B36)</f>
        <v>0</v>
      </c>
      <c r="M36">
        <f>totalNumberOfJobsCompletedPorter(Dates!M$10,Dates!M$11,'Day4'!$B36)</f>
        <v>0</v>
      </c>
      <c r="N36">
        <f>totalNumberOfJobsCompletedPorter(Dates!N$10,Dates!N$11,'Day4'!$B36)</f>
        <v>0</v>
      </c>
      <c r="O36">
        <f>totalNumberOfJobsCompletedPorter(Dates!O$10,Dates!O$11,'Day4'!$B36)</f>
        <v>0</v>
      </c>
      <c r="P36">
        <f>totalNumberOfJobsCompletedPorter(Dates!P$10,Dates!P$11,'Day4'!$B36)</f>
        <v>0</v>
      </c>
      <c r="Q36">
        <f>totalNumberOfJobsCompletedPorter(Dates!Q$10,Dates!Q$11,'Day4'!$B36)</f>
        <v>0</v>
      </c>
      <c r="R36">
        <f>totalNumberOfJobsCompletedPorter(Dates!R$10,Dates!R$11,'Day4'!$B36)</f>
        <v>0</v>
      </c>
      <c r="S36">
        <f>totalNumberOfJobsCompletedPorter(Dates!S$10,Dates!S$11,'Day4'!$B36)</f>
        <v>0</v>
      </c>
      <c r="T36">
        <f>totalNumberOfJobsCompletedPorter(Dates!T$10,Dates!T$11,'Day4'!$B36)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totalNumberOfJobsCompletedPorter(Dates!C$10,Dates!C$11,'Day4'!$B37)</f>
        <v>0</v>
      </c>
      <c r="D37">
        <f>totalNumberOfJobsCompletedPorter(Dates!D$10,Dates!D$11,'Day4'!$B37)</f>
        <v>0</v>
      </c>
      <c r="E37">
        <f>totalNumberOfJobsCompletedPorter(Dates!E$10,Dates!E$11,'Day4'!$B37)</f>
        <v>0</v>
      </c>
      <c r="F37">
        <f>totalNumberOfJobsCompletedPorter(Dates!F$10,Dates!F$11,'Day4'!$B37)</f>
        <v>0</v>
      </c>
      <c r="G37">
        <f>totalNumberOfJobsCompletedPorter(Dates!G$10,Dates!G$11,'Day4'!$B37)</f>
        <v>0</v>
      </c>
      <c r="H37">
        <f>totalNumberOfJobsCompletedPorter(Dates!H$10,Dates!H$11,'Day4'!$B37)</f>
        <v>0</v>
      </c>
      <c r="I37">
        <f>totalNumberOfJobsCompletedPorter(Dates!I$10,Dates!I$11,'Day4'!$B37)</f>
        <v>0</v>
      </c>
      <c r="J37">
        <f>totalNumberOfJobsCompletedPorter(Dates!J$10,Dates!J$11,'Day4'!$B37)</f>
        <v>0</v>
      </c>
      <c r="K37">
        <f>totalNumberOfJobsCompletedPorter(Dates!K$10,Dates!K$11,'Day4'!$B37)</f>
        <v>0</v>
      </c>
      <c r="L37">
        <f>totalNumberOfJobsCompletedPorter(Dates!L$10,Dates!L$11,'Day4'!$B37)</f>
        <v>0</v>
      </c>
      <c r="M37">
        <f>totalNumberOfJobsCompletedPorter(Dates!M$10,Dates!M$11,'Day4'!$B37)</f>
        <v>0</v>
      </c>
      <c r="N37">
        <f>totalNumberOfJobsCompletedPorter(Dates!N$10,Dates!N$11,'Day4'!$B37)</f>
        <v>0</v>
      </c>
      <c r="O37">
        <f>totalNumberOfJobsCompletedPorter(Dates!O$10,Dates!O$11,'Day4'!$B37)</f>
        <v>0</v>
      </c>
      <c r="P37">
        <f>totalNumberOfJobsCompletedPorter(Dates!P$10,Dates!P$11,'Day4'!$B37)</f>
        <v>0</v>
      </c>
      <c r="Q37">
        <f>totalNumberOfJobsCompletedPorter(Dates!Q$10,Dates!Q$11,'Day4'!$B37)</f>
        <v>0</v>
      </c>
      <c r="R37">
        <f>totalNumberOfJobsCompletedPorter(Dates!R$10,Dates!R$11,'Day4'!$B37)</f>
        <v>0</v>
      </c>
      <c r="S37">
        <f>totalNumberOfJobsCompletedPorter(Dates!S$10,Dates!S$11,'Day4'!$B37)</f>
        <v>0</v>
      </c>
      <c r="T37">
        <f>totalNumberOfJobsCompletedPorter(Dates!T$10,Dates!T$11,'Day4'!$B37)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totalNumberOfJobsCompletedPorter(Dates!C$10,Dates!C$11,'Day4'!$B38)</f>
        <v>0</v>
      </c>
      <c r="D38">
        <f>totalNumberOfJobsCompletedPorter(Dates!D$10,Dates!D$11,'Day4'!$B38)</f>
        <v>0</v>
      </c>
      <c r="E38">
        <f>totalNumberOfJobsCompletedPorter(Dates!E$10,Dates!E$11,'Day4'!$B38)</f>
        <v>0</v>
      </c>
      <c r="F38">
        <f>totalNumberOfJobsCompletedPorter(Dates!F$10,Dates!F$11,'Day4'!$B38)</f>
        <v>0</v>
      </c>
      <c r="G38">
        <f>totalNumberOfJobsCompletedPorter(Dates!G$10,Dates!G$11,'Day4'!$B38)</f>
        <v>0</v>
      </c>
      <c r="H38">
        <f>totalNumberOfJobsCompletedPorter(Dates!H$10,Dates!H$11,'Day4'!$B38)</f>
        <v>0</v>
      </c>
      <c r="I38">
        <f>totalNumberOfJobsCompletedPorter(Dates!I$10,Dates!I$11,'Day4'!$B38)</f>
        <v>0</v>
      </c>
      <c r="J38">
        <f>totalNumberOfJobsCompletedPorter(Dates!J$10,Dates!J$11,'Day4'!$B38)</f>
        <v>0</v>
      </c>
      <c r="K38">
        <f>totalNumberOfJobsCompletedPorter(Dates!K$10,Dates!K$11,'Day4'!$B38)</f>
        <v>0</v>
      </c>
      <c r="L38">
        <f>totalNumberOfJobsCompletedPorter(Dates!L$10,Dates!L$11,'Day4'!$B38)</f>
        <v>0</v>
      </c>
      <c r="M38">
        <f>totalNumberOfJobsCompletedPorter(Dates!M$10,Dates!M$11,'Day4'!$B38)</f>
        <v>0</v>
      </c>
      <c r="N38">
        <f>totalNumberOfJobsCompletedPorter(Dates!N$10,Dates!N$11,'Day4'!$B38)</f>
        <v>0</v>
      </c>
      <c r="O38">
        <f>totalNumberOfJobsCompletedPorter(Dates!O$10,Dates!O$11,'Day4'!$B38)</f>
        <v>0</v>
      </c>
      <c r="P38">
        <f>totalNumberOfJobsCompletedPorter(Dates!P$10,Dates!P$11,'Day4'!$B38)</f>
        <v>0</v>
      </c>
      <c r="Q38">
        <f>totalNumberOfJobsCompletedPorter(Dates!Q$10,Dates!Q$11,'Day4'!$B38)</f>
        <v>0</v>
      </c>
      <c r="R38">
        <f>totalNumberOfJobsCompletedPorter(Dates!R$10,Dates!R$11,'Day4'!$B38)</f>
        <v>0</v>
      </c>
      <c r="S38">
        <f>totalNumberOfJobsCompletedPorter(Dates!S$10,Dates!S$11,'Day4'!$B38)</f>
        <v>0</v>
      </c>
      <c r="T38">
        <f>totalNumberOfJobsCompletedPorter(Dates!T$10,Dates!T$11,'Day4'!$B38)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totalNumberOfJobsCompletedPorter(Dates!C$10,Dates!C$11,'Day4'!$B39)</f>
        <v>0</v>
      </c>
      <c r="D39">
        <f>totalNumberOfJobsCompletedPorter(Dates!D$10,Dates!D$11,'Day4'!$B39)</f>
        <v>0</v>
      </c>
      <c r="E39">
        <f>totalNumberOfJobsCompletedPorter(Dates!E$10,Dates!E$11,'Day4'!$B39)</f>
        <v>0</v>
      </c>
      <c r="F39">
        <f>totalNumberOfJobsCompletedPorter(Dates!F$10,Dates!F$11,'Day4'!$B39)</f>
        <v>0</v>
      </c>
      <c r="G39">
        <f>totalNumberOfJobsCompletedPorter(Dates!G$10,Dates!G$11,'Day4'!$B39)</f>
        <v>0</v>
      </c>
      <c r="H39">
        <f>totalNumberOfJobsCompletedPorter(Dates!H$10,Dates!H$11,'Day4'!$B39)</f>
        <v>0</v>
      </c>
      <c r="I39">
        <f>totalNumberOfJobsCompletedPorter(Dates!I$10,Dates!I$11,'Day4'!$B39)</f>
        <v>0</v>
      </c>
      <c r="J39">
        <f>totalNumberOfJobsCompletedPorter(Dates!J$10,Dates!J$11,'Day4'!$B39)</f>
        <v>0</v>
      </c>
      <c r="K39">
        <f>totalNumberOfJobsCompletedPorter(Dates!K$10,Dates!K$11,'Day4'!$B39)</f>
        <v>0</v>
      </c>
      <c r="L39">
        <f>totalNumberOfJobsCompletedPorter(Dates!L$10,Dates!L$11,'Day4'!$B39)</f>
        <v>0</v>
      </c>
      <c r="M39">
        <f>totalNumberOfJobsCompletedPorter(Dates!M$10,Dates!M$11,'Day4'!$B39)</f>
        <v>0</v>
      </c>
      <c r="N39">
        <f>totalNumberOfJobsCompletedPorter(Dates!N$10,Dates!N$11,'Day4'!$B39)</f>
        <v>0</v>
      </c>
      <c r="O39">
        <f>totalNumberOfJobsCompletedPorter(Dates!O$10,Dates!O$11,'Day4'!$B39)</f>
        <v>0</v>
      </c>
      <c r="P39">
        <f>totalNumberOfJobsCompletedPorter(Dates!P$10,Dates!P$11,'Day4'!$B39)</f>
        <v>0</v>
      </c>
      <c r="Q39">
        <f>totalNumberOfJobsCompletedPorter(Dates!Q$10,Dates!Q$11,'Day4'!$B39)</f>
        <v>0</v>
      </c>
      <c r="R39">
        <f>totalNumberOfJobsCompletedPorter(Dates!R$10,Dates!R$11,'Day4'!$B39)</f>
        <v>0</v>
      </c>
      <c r="S39">
        <f>totalNumberOfJobsCompletedPorter(Dates!S$10,Dates!S$11,'Day4'!$B39)</f>
        <v>0</v>
      </c>
      <c r="T39">
        <f>totalNumberOfJobsCompletedPorter(Dates!T$10,Dates!T$11,'Day4'!$B39)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totalNumberOfJobsCompletedPorter(Dates!C$10,Dates!C$11,'Day4'!$B40)</f>
        <v>0</v>
      </c>
      <c r="D40">
        <f>totalNumberOfJobsCompletedPorter(Dates!D$10,Dates!D$11,'Day4'!$B40)</f>
        <v>0</v>
      </c>
      <c r="E40">
        <f>totalNumberOfJobsCompletedPorter(Dates!E$10,Dates!E$11,'Day4'!$B40)</f>
        <v>0</v>
      </c>
      <c r="F40">
        <f>totalNumberOfJobsCompletedPorter(Dates!F$10,Dates!F$11,'Day4'!$B40)</f>
        <v>0</v>
      </c>
      <c r="G40">
        <f>totalNumberOfJobsCompletedPorter(Dates!G$10,Dates!G$11,'Day4'!$B40)</f>
        <v>0</v>
      </c>
      <c r="H40">
        <f>totalNumberOfJobsCompletedPorter(Dates!H$10,Dates!H$11,'Day4'!$B40)</f>
        <v>0</v>
      </c>
      <c r="I40">
        <f>totalNumberOfJobsCompletedPorter(Dates!I$10,Dates!I$11,'Day4'!$B40)</f>
        <v>0</v>
      </c>
      <c r="J40">
        <f>totalNumberOfJobsCompletedPorter(Dates!J$10,Dates!J$11,'Day4'!$B40)</f>
        <v>0</v>
      </c>
      <c r="K40">
        <f>totalNumberOfJobsCompletedPorter(Dates!K$10,Dates!K$11,'Day4'!$B40)</f>
        <v>0</v>
      </c>
      <c r="L40">
        <f>totalNumberOfJobsCompletedPorter(Dates!L$10,Dates!L$11,'Day4'!$B40)</f>
        <v>0</v>
      </c>
      <c r="M40">
        <f>totalNumberOfJobsCompletedPorter(Dates!M$10,Dates!M$11,'Day4'!$B40)</f>
        <v>0</v>
      </c>
      <c r="N40">
        <f>totalNumberOfJobsCompletedPorter(Dates!N$10,Dates!N$11,'Day4'!$B40)</f>
        <v>0</v>
      </c>
      <c r="O40">
        <f>totalNumberOfJobsCompletedPorter(Dates!O$10,Dates!O$11,'Day4'!$B40)</f>
        <v>0</v>
      </c>
      <c r="P40">
        <f>totalNumberOfJobsCompletedPorter(Dates!P$10,Dates!P$11,'Day4'!$B40)</f>
        <v>0</v>
      </c>
      <c r="Q40">
        <f>totalNumberOfJobsCompletedPorter(Dates!Q$10,Dates!Q$11,'Day4'!$B40)</f>
        <v>0</v>
      </c>
      <c r="R40">
        <f>totalNumberOfJobsCompletedPorter(Dates!R$10,Dates!R$11,'Day4'!$B40)</f>
        <v>0</v>
      </c>
      <c r="S40">
        <f>totalNumberOfJobsCompletedPorter(Dates!S$10,Dates!S$11,'Day4'!$B40)</f>
        <v>0</v>
      </c>
      <c r="T40">
        <f>totalNumberOfJobsCompletedPorter(Dates!T$10,Dates!T$11,'Day4'!$B40)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totalNumberOfJobsCompletedPorter(Dates!C$10,Dates!C$11,'Day4'!$B41)</f>
        <v>0</v>
      </c>
      <c r="D41">
        <f>totalNumberOfJobsCompletedPorter(Dates!D$10,Dates!D$11,'Day4'!$B41)</f>
        <v>0</v>
      </c>
      <c r="E41">
        <f>totalNumberOfJobsCompletedPorter(Dates!E$10,Dates!E$11,'Day4'!$B41)</f>
        <v>0</v>
      </c>
      <c r="F41">
        <f>totalNumberOfJobsCompletedPorter(Dates!F$10,Dates!F$11,'Day4'!$B41)</f>
        <v>0</v>
      </c>
      <c r="G41">
        <f>totalNumberOfJobsCompletedPorter(Dates!G$10,Dates!G$11,'Day4'!$B41)</f>
        <v>0</v>
      </c>
      <c r="H41">
        <f>totalNumberOfJobsCompletedPorter(Dates!H$10,Dates!H$11,'Day4'!$B41)</f>
        <v>0</v>
      </c>
      <c r="I41">
        <f>totalNumberOfJobsCompletedPorter(Dates!I$10,Dates!I$11,'Day4'!$B41)</f>
        <v>0</v>
      </c>
      <c r="J41">
        <f>totalNumberOfJobsCompletedPorter(Dates!J$10,Dates!J$11,'Day4'!$B41)</f>
        <v>0</v>
      </c>
      <c r="K41">
        <f>totalNumberOfJobsCompletedPorter(Dates!K$10,Dates!K$11,'Day4'!$B41)</f>
        <v>0</v>
      </c>
      <c r="L41">
        <f>totalNumberOfJobsCompletedPorter(Dates!L$10,Dates!L$11,'Day4'!$B41)</f>
        <v>0</v>
      </c>
      <c r="M41">
        <f>totalNumberOfJobsCompletedPorter(Dates!M$10,Dates!M$11,'Day4'!$B41)</f>
        <v>0</v>
      </c>
      <c r="N41">
        <f>totalNumberOfJobsCompletedPorter(Dates!N$10,Dates!N$11,'Day4'!$B41)</f>
        <v>0</v>
      </c>
      <c r="O41">
        <f>totalNumberOfJobsCompletedPorter(Dates!O$10,Dates!O$11,'Day4'!$B41)</f>
        <v>0</v>
      </c>
      <c r="P41">
        <f>totalNumberOfJobsCompletedPorter(Dates!P$10,Dates!P$11,'Day4'!$B41)</f>
        <v>0</v>
      </c>
      <c r="Q41">
        <f>totalNumberOfJobsCompletedPorter(Dates!Q$10,Dates!Q$11,'Day4'!$B41)</f>
        <v>0</v>
      </c>
      <c r="R41">
        <f>totalNumberOfJobsCompletedPorter(Dates!R$10,Dates!R$11,'Day4'!$B41)</f>
        <v>0</v>
      </c>
      <c r="S41">
        <f>totalNumberOfJobsCompletedPorter(Dates!S$10,Dates!S$11,'Day4'!$B41)</f>
        <v>0</v>
      </c>
      <c r="T41">
        <f>totalNumberOfJobsCompletedPorter(Dates!T$10,Dates!T$11,'Day4'!$B41)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totalNumberOfJobsCompletedPorter(Dates!C$10,Dates!C$11,'Day4'!$B42)</f>
        <v>0</v>
      </c>
      <c r="D42">
        <f>totalNumberOfJobsCompletedPorter(Dates!D$10,Dates!D$11,'Day4'!$B42)</f>
        <v>0</v>
      </c>
      <c r="E42">
        <f>totalNumberOfJobsCompletedPorter(Dates!E$10,Dates!E$11,'Day4'!$B42)</f>
        <v>0</v>
      </c>
      <c r="F42">
        <f>totalNumberOfJobsCompletedPorter(Dates!F$10,Dates!F$11,'Day4'!$B42)</f>
        <v>0</v>
      </c>
      <c r="G42">
        <f>totalNumberOfJobsCompletedPorter(Dates!G$10,Dates!G$11,'Day4'!$B42)</f>
        <v>0</v>
      </c>
      <c r="H42">
        <f>totalNumberOfJobsCompletedPorter(Dates!H$10,Dates!H$11,'Day4'!$B42)</f>
        <v>0</v>
      </c>
      <c r="I42">
        <f>totalNumberOfJobsCompletedPorter(Dates!I$10,Dates!I$11,'Day4'!$B42)</f>
        <v>0</v>
      </c>
      <c r="J42">
        <f>totalNumberOfJobsCompletedPorter(Dates!J$10,Dates!J$11,'Day4'!$B42)</f>
        <v>0</v>
      </c>
      <c r="K42">
        <f>totalNumberOfJobsCompletedPorter(Dates!K$10,Dates!K$11,'Day4'!$B42)</f>
        <v>0</v>
      </c>
      <c r="L42">
        <f>totalNumberOfJobsCompletedPorter(Dates!L$10,Dates!L$11,'Day4'!$B42)</f>
        <v>0</v>
      </c>
      <c r="M42">
        <f>totalNumberOfJobsCompletedPorter(Dates!M$10,Dates!M$11,'Day4'!$B42)</f>
        <v>0</v>
      </c>
      <c r="N42">
        <f>totalNumberOfJobsCompletedPorter(Dates!N$10,Dates!N$11,'Day4'!$B42)</f>
        <v>0</v>
      </c>
      <c r="O42">
        <f>totalNumberOfJobsCompletedPorter(Dates!O$10,Dates!O$11,'Day4'!$B42)</f>
        <v>0</v>
      </c>
      <c r="P42">
        <f>totalNumberOfJobsCompletedPorter(Dates!P$10,Dates!P$11,'Day4'!$B42)</f>
        <v>0</v>
      </c>
      <c r="Q42">
        <f>totalNumberOfJobsCompletedPorter(Dates!Q$10,Dates!Q$11,'Day4'!$B42)</f>
        <v>0</v>
      </c>
      <c r="R42">
        <f>totalNumberOfJobsCompletedPorter(Dates!R$10,Dates!R$11,'Day4'!$B42)</f>
        <v>0</v>
      </c>
      <c r="S42">
        <f>totalNumberOfJobsCompletedPorter(Dates!S$10,Dates!S$11,'Day4'!$B42)</f>
        <v>0</v>
      </c>
      <c r="T42">
        <f>totalNumberOfJobsCompletedPorter(Dates!T$10,Dates!T$11,'Day4'!$B42)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totalNumberOfJobsCompletedPorter(Dates!C$10,Dates!C$11,'Day4'!$B43)</f>
        <v>0</v>
      </c>
      <c r="D43">
        <f>totalNumberOfJobsCompletedPorter(Dates!D$10,Dates!D$11,'Day4'!$B43)</f>
        <v>0</v>
      </c>
      <c r="E43">
        <f>totalNumberOfJobsCompletedPorter(Dates!E$10,Dates!E$11,'Day4'!$B43)</f>
        <v>0</v>
      </c>
      <c r="F43">
        <f>totalNumberOfJobsCompletedPorter(Dates!F$10,Dates!F$11,'Day4'!$B43)</f>
        <v>0</v>
      </c>
      <c r="G43">
        <f>totalNumberOfJobsCompletedPorter(Dates!G$10,Dates!G$11,'Day4'!$B43)</f>
        <v>0</v>
      </c>
      <c r="H43">
        <f>totalNumberOfJobsCompletedPorter(Dates!H$10,Dates!H$11,'Day4'!$B43)</f>
        <v>0</v>
      </c>
      <c r="I43">
        <f>totalNumberOfJobsCompletedPorter(Dates!I$10,Dates!I$11,'Day4'!$B43)</f>
        <v>0</v>
      </c>
      <c r="J43">
        <f>totalNumberOfJobsCompletedPorter(Dates!J$10,Dates!J$11,'Day4'!$B43)</f>
        <v>0</v>
      </c>
      <c r="K43">
        <f>totalNumberOfJobsCompletedPorter(Dates!K$10,Dates!K$11,'Day4'!$B43)</f>
        <v>0</v>
      </c>
      <c r="L43">
        <f>totalNumberOfJobsCompletedPorter(Dates!L$10,Dates!L$11,'Day4'!$B43)</f>
        <v>0</v>
      </c>
      <c r="M43">
        <f>totalNumberOfJobsCompletedPorter(Dates!M$10,Dates!M$11,'Day4'!$B43)</f>
        <v>0</v>
      </c>
      <c r="N43">
        <f>totalNumberOfJobsCompletedPorter(Dates!N$10,Dates!N$11,'Day4'!$B43)</f>
        <v>0</v>
      </c>
      <c r="O43">
        <f>totalNumberOfJobsCompletedPorter(Dates!O$10,Dates!O$11,'Day4'!$B43)</f>
        <v>0</v>
      </c>
      <c r="P43">
        <f>totalNumberOfJobsCompletedPorter(Dates!P$10,Dates!P$11,'Day4'!$B43)</f>
        <v>0</v>
      </c>
      <c r="Q43">
        <f>totalNumberOfJobsCompletedPorter(Dates!Q$10,Dates!Q$11,'Day4'!$B43)</f>
        <v>0</v>
      </c>
      <c r="R43">
        <f>totalNumberOfJobsCompletedPorter(Dates!R$10,Dates!R$11,'Day4'!$B43)</f>
        <v>0</v>
      </c>
      <c r="S43">
        <f>totalNumberOfJobsCompletedPorter(Dates!S$10,Dates!S$11,'Day4'!$B43)</f>
        <v>0</v>
      </c>
      <c r="T43">
        <f>totalNumberOfJobsCompletedPorter(Dates!T$10,Dates!T$11,'Day4'!$B43)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totalNumberOfJobsCompletedPorter(Dates!C$10,Dates!C$11,'Day4'!$B44)</f>
        <v>0</v>
      </c>
      <c r="D44">
        <f>totalNumberOfJobsCompletedPorter(Dates!D$10,Dates!D$11,'Day4'!$B44)</f>
        <v>0</v>
      </c>
      <c r="E44">
        <f>totalNumberOfJobsCompletedPorter(Dates!E$10,Dates!E$11,'Day4'!$B44)</f>
        <v>0</v>
      </c>
      <c r="F44">
        <f>totalNumberOfJobsCompletedPorter(Dates!F$10,Dates!F$11,'Day4'!$B44)</f>
        <v>0</v>
      </c>
      <c r="G44">
        <f>totalNumberOfJobsCompletedPorter(Dates!G$10,Dates!G$11,'Day4'!$B44)</f>
        <v>0</v>
      </c>
      <c r="H44">
        <f>totalNumberOfJobsCompletedPorter(Dates!H$10,Dates!H$11,'Day4'!$B44)</f>
        <v>0</v>
      </c>
      <c r="I44">
        <f>totalNumberOfJobsCompletedPorter(Dates!I$10,Dates!I$11,'Day4'!$B44)</f>
        <v>0</v>
      </c>
      <c r="J44">
        <f>totalNumberOfJobsCompletedPorter(Dates!J$10,Dates!J$11,'Day4'!$B44)</f>
        <v>0</v>
      </c>
      <c r="K44">
        <f>totalNumberOfJobsCompletedPorter(Dates!K$10,Dates!K$11,'Day4'!$B44)</f>
        <v>0</v>
      </c>
      <c r="L44">
        <f>totalNumberOfJobsCompletedPorter(Dates!L$10,Dates!L$11,'Day4'!$B44)</f>
        <v>0</v>
      </c>
      <c r="M44">
        <f>totalNumberOfJobsCompletedPorter(Dates!M$10,Dates!M$11,'Day4'!$B44)</f>
        <v>0</v>
      </c>
      <c r="N44">
        <f>totalNumberOfJobsCompletedPorter(Dates!N$10,Dates!N$11,'Day4'!$B44)</f>
        <v>0</v>
      </c>
      <c r="O44">
        <f>totalNumberOfJobsCompletedPorter(Dates!O$10,Dates!O$11,'Day4'!$B44)</f>
        <v>0</v>
      </c>
      <c r="P44">
        <f>totalNumberOfJobsCompletedPorter(Dates!P$10,Dates!P$11,'Day4'!$B44)</f>
        <v>0</v>
      </c>
      <c r="Q44">
        <f>totalNumberOfJobsCompletedPorter(Dates!Q$10,Dates!Q$11,'Day4'!$B44)</f>
        <v>0</v>
      </c>
      <c r="R44">
        <f>totalNumberOfJobsCompletedPorter(Dates!R$10,Dates!R$11,'Day4'!$B44)</f>
        <v>0</v>
      </c>
      <c r="S44">
        <f>totalNumberOfJobsCompletedPorter(Dates!S$10,Dates!S$11,'Day4'!$B44)</f>
        <v>0</v>
      </c>
      <c r="T44">
        <f>totalNumberOfJobsCompletedPorter(Dates!T$10,Dates!T$11,'Day4'!$B44)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totalNumberOfJobsCompletedPorter(Dates!C$10,Dates!C$11,'Day4'!$B45)</f>
        <v>0</v>
      </c>
      <c r="D45">
        <f>totalNumberOfJobsCompletedPorter(Dates!D$10,Dates!D$11,'Day4'!$B45)</f>
        <v>0</v>
      </c>
      <c r="E45">
        <f>totalNumberOfJobsCompletedPorter(Dates!E$10,Dates!E$11,'Day4'!$B45)</f>
        <v>0</v>
      </c>
      <c r="F45">
        <f>totalNumberOfJobsCompletedPorter(Dates!F$10,Dates!F$11,'Day4'!$B45)</f>
        <v>0</v>
      </c>
      <c r="G45">
        <f>totalNumberOfJobsCompletedPorter(Dates!G$10,Dates!G$11,'Day4'!$B45)</f>
        <v>0</v>
      </c>
      <c r="H45">
        <f>totalNumberOfJobsCompletedPorter(Dates!H$10,Dates!H$11,'Day4'!$B45)</f>
        <v>0</v>
      </c>
      <c r="I45">
        <f>totalNumberOfJobsCompletedPorter(Dates!I$10,Dates!I$11,'Day4'!$B45)</f>
        <v>0</v>
      </c>
      <c r="J45">
        <f>totalNumberOfJobsCompletedPorter(Dates!J$10,Dates!J$11,'Day4'!$B45)</f>
        <v>0</v>
      </c>
      <c r="K45">
        <f>totalNumberOfJobsCompletedPorter(Dates!K$10,Dates!K$11,'Day4'!$B45)</f>
        <v>0</v>
      </c>
      <c r="L45">
        <f>totalNumberOfJobsCompletedPorter(Dates!L$10,Dates!L$11,'Day4'!$B45)</f>
        <v>0</v>
      </c>
      <c r="M45">
        <f>totalNumberOfJobsCompletedPorter(Dates!M$10,Dates!M$11,'Day4'!$B45)</f>
        <v>0</v>
      </c>
      <c r="N45">
        <f>totalNumberOfJobsCompletedPorter(Dates!N$10,Dates!N$11,'Day4'!$B45)</f>
        <v>0</v>
      </c>
      <c r="O45">
        <f>totalNumberOfJobsCompletedPorter(Dates!O$10,Dates!O$11,'Day4'!$B45)</f>
        <v>0</v>
      </c>
      <c r="P45">
        <f>totalNumberOfJobsCompletedPorter(Dates!P$10,Dates!P$11,'Day4'!$B45)</f>
        <v>0</v>
      </c>
      <c r="Q45">
        <f>totalNumberOfJobsCompletedPorter(Dates!Q$10,Dates!Q$11,'Day4'!$B45)</f>
        <v>0</v>
      </c>
      <c r="R45">
        <f>totalNumberOfJobsCompletedPorter(Dates!R$10,Dates!R$11,'Day4'!$B45)</f>
        <v>0</v>
      </c>
      <c r="S45">
        <f>totalNumberOfJobsCompletedPorter(Dates!S$10,Dates!S$11,'Day4'!$B45)</f>
        <v>0</v>
      </c>
      <c r="T45">
        <f>totalNumberOfJobsCompletedPorter(Dates!T$10,Dates!T$11,'Day4'!$B45)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totalNumberOfJobsCompletedPorter(Dates!C$10,Dates!C$11,'Day4'!$B46)</f>
        <v>0</v>
      </c>
      <c r="D46">
        <f>totalNumberOfJobsCompletedPorter(Dates!D$10,Dates!D$11,'Day4'!$B46)</f>
        <v>0</v>
      </c>
      <c r="E46">
        <f>totalNumberOfJobsCompletedPorter(Dates!E$10,Dates!E$11,'Day4'!$B46)</f>
        <v>0</v>
      </c>
      <c r="F46">
        <f>totalNumberOfJobsCompletedPorter(Dates!F$10,Dates!F$11,'Day4'!$B46)</f>
        <v>0</v>
      </c>
      <c r="G46">
        <f>totalNumberOfJobsCompletedPorter(Dates!G$10,Dates!G$11,'Day4'!$B46)</f>
        <v>0</v>
      </c>
      <c r="H46">
        <f>totalNumberOfJobsCompletedPorter(Dates!H$10,Dates!H$11,'Day4'!$B46)</f>
        <v>0</v>
      </c>
      <c r="I46">
        <f>totalNumberOfJobsCompletedPorter(Dates!I$10,Dates!I$11,'Day4'!$B46)</f>
        <v>0</v>
      </c>
      <c r="J46">
        <f>totalNumberOfJobsCompletedPorter(Dates!J$10,Dates!J$11,'Day4'!$B46)</f>
        <v>0</v>
      </c>
      <c r="K46">
        <f>totalNumberOfJobsCompletedPorter(Dates!K$10,Dates!K$11,'Day4'!$B46)</f>
        <v>0</v>
      </c>
      <c r="L46">
        <f>totalNumberOfJobsCompletedPorter(Dates!L$10,Dates!L$11,'Day4'!$B46)</f>
        <v>0</v>
      </c>
      <c r="M46">
        <f>totalNumberOfJobsCompletedPorter(Dates!M$10,Dates!M$11,'Day4'!$B46)</f>
        <v>0</v>
      </c>
      <c r="N46">
        <f>totalNumberOfJobsCompletedPorter(Dates!N$10,Dates!N$11,'Day4'!$B46)</f>
        <v>0</v>
      </c>
      <c r="O46">
        <f>totalNumberOfJobsCompletedPorter(Dates!O$10,Dates!O$11,'Day4'!$B46)</f>
        <v>0</v>
      </c>
      <c r="P46">
        <f>totalNumberOfJobsCompletedPorter(Dates!P$10,Dates!P$11,'Day4'!$B46)</f>
        <v>0</v>
      </c>
      <c r="Q46">
        <f>totalNumberOfJobsCompletedPorter(Dates!Q$10,Dates!Q$11,'Day4'!$B46)</f>
        <v>0</v>
      </c>
      <c r="R46">
        <f>totalNumberOfJobsCompletedPorter(Dates!R$10,Dates!R$11,'Day4'!$B46)</f>
        <v>0</v>
      </c>
      <c r="S46">
        <f>totalNumberOfJobsCompletedPorter(Dates!S$10,Dates!S$11,'Day4'!$B46)</f>
        <v>0</v>
      </c>
      <c r="T46">
        <f>totalNumberOfJobsCompletedPorter(Dates!T$10,Dates!T$11,'Day4'!$B46)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totalNumberOfJobsCompletedPorter(Dates!C$10,Dates!C$11,'Day4'!$B47)</f>
        <v>0</v>
      </c>
      <c r="D47">
        <f>totalNumberOfJobsCompletedPorter(Dates!D$10,Dates!D$11,'Day4'!$B47)</f>
        <v>0</v>
      </c>
      <c r="E47">
        <f>totalNumberOfJobsCompletedPorter(Dates!E$10,Dates!E$11,'Day4'!$B47)</f>
        <v>0</v>
      </c>
      <c r="F47">
        <f>totalNumberOfJobsCompletedPorter(Dates!F$10,Dates!F$11,'Day4'!$B47)</f>
        <v>0</v>
      </c>
      <c r="G47">
        <f>totalNumberOfJobsCompletedPorter(Dates!G$10,Dates!G$11,'Day4'!$B47)</f>
        <v>0</v>
      </c>
      <c r="H47">
        <f>totalNumberOfJobsCompletedPorter(Dates!H$10,Dates!H$11,'Day4'!$B47)</f>
        <v>0</v>
      </c>
      <c r="I47">
        <f>totalNumberOfJobsCompletedPorter(Dates!I$10,Dates!I$11,'Day4'!$B47)</f>
        <v>0</v>
      </c>
      <c r="J47">
        <f>totalNumberOfJobsCompletedPorter(Dates!J$10,Dates!J$11,'Day4'!$B47)</f>
        <v>0</v>
      </c>
      <c r="K47">
        <f>totalNumberOfJobsCompletedPorter(Dates!K$10,Dates!K$11,'Day4'!$B47)</f>
        <v>0</v>
      </c>
      <c r="L47">
        <f>totalNumberOfJobsCompletedPorter(Dates!L$10,Dates!L$11,'Day4'!$B47)</f>
        <v>0</v>
      </c>
      <c r="M47">
        <f>totalNumberOfJobsCompletedPorter(Dates!M$10,Dates!M$11,'Day4'!$B47)</f>
        <v>0</v>
      </c>
      <c r="N47">
        <f>totalNumberOfJobsCompletedPorter(Dates!N$10,Dates!N$11,'Day4'!$B47)</f>
        <v>0</v>
      </c>
      <c r="O47">
        <f>totalNumberOfJobsCompletedPorter(Dates!O$10,Dates!O$11,'Day4'!$B47)</f>
        <v>0</v>
      </c>
      <c r="P47">
        <f>totalNumberOfJobsCompletedPorter(Dates!P$10,Dates!P$11,'Day4'!$B47)</f>
        <v>0</v>
      </c>
      <c r="Q47">
        <f>totalNumberOfJobsCompletedPorter(Dates!Q$10,Dates!Q$11,'Day4'!$B47)</f>
        <v>0</v>
      </c>
      <c r="R47">
        <f>totalNumberOfJobsCompletedPorter(Dates!R$10,Dates!R$11,'Day4'!$B47)</f>
        <v>0</v>
      </c>
      <c r="S47">
        <f>totalNumberOfJobsCompletedPorter(Dates!S$10,Dates!S$11,'Day4'!$B47)</f>
        <v>0</v>
      </c>
      <c r="T47">
        <f>totalNumberOfJobsCompletedPorter(Dates!T$10,Dates!T$11,'Day4'!$B47)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totalNumberOfJobsCompletedPorter(Dates!C$10,Dates!C$11,'Day4'!$B48)</f>
        <v>0</v>
      </c>
      <c r="D48">
        <f>totalNumberOfJobsCompletedPorter(Dates!D$10,Dates!D$11,'Day4'!$B48)</f>
        <v>0</v>
      </c>
      <c r="E48">
        <f>totalNumberOfJobsCompletedPorter(Dates!E$10,Dates!E$11,'Day4'!$B48)</f>
        <v>0</v>
      </c>
      <c r="F48">
        <f>totalNumberOfJobsCompletedPorter(Dates!F$10,Dates!F$11,'Day4'!$B48)</f>
        <v>0</v>
      </c>
      <c r="G48">
        <f>totalNumberOfJobsCompletedPorter(Dates!G$10,Dates!G$11,'Day4'!$B48)</f>
        <v>0</v>
      </c>
      <c r="H48">
        <f>totalNumberOfJobsCompletedPorter(Dates!H$10,Dates!H$11,'Day4'!$B48)</f>
        <v>0</v>
      </c>
      <c r="I48">
        <f>totalNumberOfJobsCompletedPorter(Dates!I$10,Dates!I$11,'Day4'!$B48)</f>
        <v>0</v>
      </c>
      <c r="J48">
        <f>totalNumberOfJobsCompletedPorter(Dates!J$10,Dates!J$11,'Day4'!$B48)</f>
        <v>0</v>
      </c>
      <c r="K48">
        <f>totalNumberOfJobsCompletedPorter(Dates!K$10,Dates!K$11,'Day4'!$B48)</f>
        <v>0</v>
      </c>
      <c r="L48">
        <f>totalNumberOfJobsCompletedPorter(Dates!L$10,Dates!L$11,'Day4'!$B48)</f>
        <v>0</v>
      </c>
      <c r="M48">
        <f>totalNumberOfJobsCompletedPorter(Dates!M$10,Dates!M$11,'Day4'!$B48)</f>
        <v>0</v>
      </c>
      <c r="N48">
        <f>totalNumberOfJobsCompletedPorter(Dates!N$10,Dates!N$11,'Day4'!$B48)</f>
        <v>0</v>
      </c>
      <c r="O48">
        <f>totalNumberOfJobsCompletedPorter(Dates!O$10,Dates!O$11,'Day4'!$B48)</f>
        <v>0</v>
      </c>
      <c r="P48">
        <f>totalNumberOfJobsCompletedPorter(Dates!P$10,Dates!P$11,'Day4'!$B48)</f>
        <v>0</v>
      </c>
      <c r="Q48">
        <f>totalNumberOfJobsCompletedPorter(Dates!Q$10,Dates!Q$11,'Day4'!$B48)</f>
        <v>0</v>
      </c>
      <c r="R48">
        <f>totalNumberOfJobsCompletedPorter(Dates!R$10,Dates!R$11,'Day4'!$B48)</f>
        <v>0</v>
      </c>
      <c r="S48">
        <f>totalNumberOfJobsCompletedPorter(Dates!S$10,Dates!S$11,'Day4'!$B48)</f>
        <v>0</v>
      </c>
      <c r="T48">
        <f>totalNumberOfJobsCompletedPorter(Dates!T$10,Dates!T$11,'Day4'!$B48)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totalNumberOfJobsCompletedPorter(Dates!C$10,Dates!C$11,'Day4'!$B49)</f>
        <v>0</v>
      </c>
      <c r="D49">
        <f>totalNumberOfJobsCompletedPorter(Dates!D$10,Dates!D$11,'Day4'!$B49)</f>
        <v>0</v>
      </c>
      <c r="E49">
        <f>totalNumberOfJobsCompletedPorter(Dates!E$10,Dates!E$11,'Day4'!$B49)</f>
        <v>0</v>
      </c>
      <c r="F49">
        <f>totalNumberOfJobsCompletedPorter(Dates!F$10,Dates!F$11,'Day4'!$B49)</f>
        <v>0</v>
      </c>
      <c r="G49">
        <f>totalNumberOfJobsCompletedPorter(Dates!G$10,Dates!G$11,'Day4'!$B49)</f>
        <v>0</v>
      </c>
      <c r="H49">
        <f>totalNumberOfJobsCompletedPorter(Dates!H$10,Dates!H$11,'Day4'!$B49)</f>
        <v>0</v>
      </c>
      <c r="I49">
        <f>totalNumberOfJobsCompletedPorter(Dates!I$10,Dates!I$11,'Day4'!$B49)</f>
        <v>0</v>
      </c>
      <c r="J49">
        <f>totalNumberOfJobsCompletedPorter(Dates!J$10,Dates!J$11,'Day4'!$B49)</f>
        <v>0</v>
      </c>
      <c r="K49">
        <f>totalNumberOfJobsCompletedPorter(Dates!K$10,Dates!K$11,'Day4'!$B49)</f>
        <v>0</v>
      </c>
      <c r="L49">
        <f>totalNumberOfJobsCompletedPorter(Dates!L$10,Dates!L$11,'Day4'!$B49)</f>
        <v>0</v>
      </c>
      <c r="M49">
        <f>totalNumberOfJobsCompletedPorter(Dates!M$10,Dates!M$11,'Day4'!$B49)</f>
        <v>0</v>
      </c>
      <c r="N49">
        <f>totalNumberOfJobsCompletedPorter(Dates!N$10,Dates!N$11,'Day4'!$B49)</f>
        <v>0</v>
      </c>
      <c r="O49">
        <f>totalNumberOfJobsCompletedPorter(Dates!O$10,Dates!O$11,'Day4'!$B49)</f>
        <v>0</v>
      </c>
      <c r="P49">
        <f>totalNumberOfJobsCompletedPorter(Dates!P$10,Dates!P$11,'Day4'!$B49)</f>
        <v>0</v>
      </c>
      <c r="Q49">
        <f>totalNumberOfJobsCompletedPorter(Dates!Q$10,Dates!Q$11,'Day4'!$B49)</f>
        <v>0</v>
      </c>
      <c r="R49">
        <f>totalNumberOfJobsCompletedPorter(Dates!R$10,Dates!R$11,'Day4'!$B49)</f>
        <v>0</v>
      </c>
      <c r="S49">
        <f>totalNumberOfJobsCompletedPorter(Dates!S$10,Dates!S$11,'Day4'!$B49)</f>
        <v>0</v>
      </c>
      <c r="T49">
        <f>totalNumberOfJobsCompletedPorter(Dates!T$10,Dates!T$11,'Day4'!$B49)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totalNumberOfJobsCompletedPorter(Dates!C$10,Dates!C$11,'Day4'!$B50)</f>
        <v>0</v>
      </c>
      <c r="D50">
        <f>totalNumberOfJobsCompletedPorter(Dates!D$10,Dates!D$11,'Day4'!$B50)</f>
        <v>0</v>
      </c>
      <c r="E50">
        <f>totalNumberOfJobsCompletedPorter(Dates!E$10,Dates!E$11,'Day4'!$B50)</f>
        <v>0</v>
      </c>
      <c r="F50">
        <f>totalNumberOfJobsCompletedPorter(Dates!F$10,Dates!F$11,'Day4'!$B50)</f>
        <v>0</v>
      </c>
      <c r="G50">
        <f>totalNumberOfJobsCompletedPorter(Dates!G$10,Dates!G$11,'Day4'!$B50)</f>
        <v>0</v>
      </c>
      <c r="H50">
        <f>totalNumberOfJobsCompletedPorter(Dates!H$10,Dates!H$11,'Day4'!$B50)</f>
        <v>0</v>
      </c>
      <c r="I50">
        <f>totalNumberOfJobsCompletedPorter(Dates!I$10,Dates!I$11,'Day4'!$B50)</f>
        <v>0</v>
      </c>
      <c r="J50">
        <f>totalNumberOfJobsCompletedPorter(Dates!J$10,Dates!J$11,'Day4'!$B50)</f>
        <v>0</v>
      </c>
      <c r="K50">
        <f>totalNumberOfJobsCompletedPorter(Dates!K$10,Dates!K$11,'Day4'!$B50)</f>
        <v>0</v>
      </c>
      <c r="L50">
        <f>totalNumberOfJobsCompletedPorter(Dates!L$10,Dates!L$11,'Day4'!$B50)</f>
        <v>0</v>
      </c>
      <c r="M50">
        <f>totalNumberOfJobsCompletedPorter(Dates!M$10,Dates!M$11,'Day4'!$B50)</f>
        <v>0</v>
      </c>
      <c r="N50">
        <f>totalNumberOfJobsCompletedPorter(Dates!N$10,Dates!N$11,'Day4'!$B50)</f>
        <v>0</v>
      </c>
      <c r="O50">
        <f>totalNumberOfJobsCompletedPorter(Dates!O$10,Dates!O$11,'Day4'!$B50)</f>
        <v>0</v>
      </c>
      <c r="P50">
        <f>totalNumberOfJobsCompletedPorter(Dates!P$10,Dates!P$11,'Day4'!$B50)</f>
        <v>0</v>
      </c>
      <c r="Q50">
        <f>totalNumberOfJobsCompletedPorter(Dates!Q$10,Dates!Q$11,'Day4'!$B50)</f>
        <v>0</v>
      </c>
      <c r="R50">
        <f>totalNumberOfJobsCompletedPorter(Dates!R$10,Dates!R$11,'Day4'!$B50)</f>
        <v>0</v>
      </c>
      <c r="S50">
        <f>totalNumberOfJobsCompletedPorter(Dates!S$10,Dates!S$11,'Day4'!$B50)</f>
        <v>0</v>
      </c>
      <c r="T50">
        <f>totalNumberOfJobsCompletedPorter(Dates!T$10,Dates!T$11,'Day4'!$B50)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totalNumberOfJobsCompletedPorter(Dates!C$10,Dates!C$11,'Day4'!$B51)</f>
        <v>0</v>
      </c>
      <c r="D51">
        <f>totalNumberOfJobsCompletedPorter(Dates!D$10,Dates!D$11,'Day4'!$B51)</f>
        <v>0</v>
      </c>
      <c r="E51">
        <f>totalNumberOfJobsCompletedPorter(Dates!E$10,Dates!E$11,'Day4'!$B51)</f>
        <v>0</v>
      </c>
      <c r="F51">
        <f>totalNumberOfJobsCompletedPorter(Dates!F$10,Dates!F$11,'Day4'!$B51)</f>
        <v>0</v>
      </c>
      <c r="G51">
        <f>totalNumberOfJobsCompletedPorter(Dates!G$10,Dates!G$11,'Day4'!$B51)</f>
        <v>0</v>
      </c>
      <c r="H51">
        <f>totalNumberOfJobsCompletedPorter(Dates!H$10,Dates!H$11,'Day4'!$B51)</f>
        <v>0</v>
      </c>
      <c r="I51">
        <f>totalNumberOfJobsCompletedPorter(Dates!I$10,Dates!I$11,'Day4'!$B51)</f>
        <v>0</v>
      </c>
      <c r="J51">
        <f>totalNumberOfJobsCompletedPorter(Dates!J$10,Dates!J$11,'Day4'!$B51)</f>
        <v>0</v>
      </c>
      <c r="K51">
        <f>totalNumberOfJobsCompletedPorter(Dates!K$10,Dates!K$11,'Day4'!$B51)</f>
        <v>0</v>
      </c>
      <c r="L51">
        <f>totalNumberOfJobsCompletedPorter(Dates!L$10,Dates!L$11,'Day4'!$B51)</f>
        <v>0</v>
      </c>
      <c r="M51">
        <f>totalNumberOfJobsCompletedPorter(Dates!M$10,Dates!M$11,'Day4'!$B51)</f>
        <v>0</v>
      </c>
      <c r="N51">
        <f>totalNumberOfJobsCompletedPorter(Dates!N$10,Dates!N$11,'Day4'!$B51)</f>
        <v>0</v>
      </c>
      <c r="O51">
        <f>totalNumberOfJobsCompletedPorter(Dates!O$10,Dates!O$11,'Day4'!$B51)</f>
        <v>0</v>
      </c>
      <c r="P51">
        <f>totalNumberOfJobsCompletedPorter(Dates!P$10,Dates!P$11,'Day4'!$B51)</f>
        <v>0</v>
      </c>
      <c r="Q51">
        <f>totalNumberOfJobsCompletedPorter(Dates!Q$10,Dates!Q$11,'Day4'!$B51)</f>
        <v>0</v>
      </c>
      <c r="R51">
        <f>totalNumberOfJobsCompletedPorter(Dates!R$10,Dates!R$11,'Day4'!$B51)</f>
        <v>0</v>
      </c>
      <c r="S51">
        <f>totalNumberOfJobsCompletedPorter(Dates!S$10,Dates!S$11,'Day4'!$B51)</f>
        <v>0</v>
      </c>
      <c r="T51">
        <f>totalNumberOfJobsCompletedPorter(Dates!T$10,Dates!T$11,'Day4'!$B51)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totalNumberOfJobsCompletedPorter(Dates!C$10,Dates!C$11,'Day4'!$B52)</f>
        <v>0</v>
      </c>
      <c r="D52">
        <f>totalNumberOfJobsCompletedPorter(Dates!D$10,Dates!D$11,'Day4'!$B52)</f>
        <v>0</v>
      </c>
      <c r="E52">
        <f>totalNumberOfJobsCompletedPorter(Dates!E$10,Dates!E$11,'Day4'!$B52)</f>
        <v>0</v>
      </c>
      <c r="F52">
        <f>totalNumberOfJobsCompletedPorter(Dates!F$10,Dates!F$11,'Day4'!$B52)</f>
        <v>0</v>
      </c>
      <c r="G52">
        <f>totalNumberOfJobsCompletedPorter(Dates!G$10,Dates!G$11,'Day4'!$B52)</f>
        <v>0</v>
      </c>
      <c r="H52">
        <f>totalNumberOfJobsCompletedPorter(Dates!H$10,Dates!H$11,'Day4'!$B52)</f>
        <v>0</v>
      </c>
      <c r="I52">
        <f>totalNumberOfJobsCompletedPorter(Dates!I$10,Dates!I$11,'Day4'!$B52)</f>
        <v>0</v>
      </c>
      <c r="J52">
        <f>totalNumberOfJobsCompletedPorter(Dates!J$10,Dates!J$11,'Day4'!$B52)</f>
        <v>0</v>
      </c>
      <c r="K52">
        <f>totalNumberOfJobsCompletedPorter(Dates!K$10,Dates!K$11,'Day4'!$B52)</f>
        <v>0</v>
      </c>
      <c r="L52">
        <f>totalNumberOfJobsCompletedPorter(Dates!L$10,Dates!L$11,'Day4'!$B52)</f>
        <v>0</v>
      </c>
      <c r="M52">
        <f>totalNumberOfJobsCompletedPorter(Dates!M$10,Dates!M$11,'Day4'!$B52)</f>
        <v>0</v>
      </c>
      <c r="N52">
        <f>totalNumberOfJobsCompletedPorter(Dates!N$10,Dates!N$11,'Day4'!$B52)</f>
        <v>0</v>
      </c>
      <c r="O52">
        <f>totalNumberOfJobsCompletedPorter(Dates!O$10,Dates!O$11,'Day4'!$B52)</f>
        <v>0</v>
      </c>
      <c r="P52">
        <f>totalNumberOfJobsCompletedPorter(Dates!P$10,Dates!P$11,'Day4'!$B52)</f>
        <v>0</v>
      </c>
      <c r="Q52">
        <f>totalNumberOfJobsCompletedPorter(Dates!Q$10,Dates!Q$11,'Day4'!$B52)</f>
        <v>0</v>
      </c>
      <c r="R52">
        <f>totalNumberOfJobsCompletedPorter(Dates!R$10,Dates!R$11,'Day4'!$B52)</f>
        <v>0</v>
      </c>
      <c r="S52">
        <f>totalNumberOfJobsCompletedPorter(Dates!S$10,Dates!S$11,'Day4'!$B52)</f>
        <v>0</v>
      </c>
      <c r="T52">
        <f>totalNumberOfJobsCompletedPorter(Dates!T$10,Dates!T$11,'Day4'!$B52)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totalNumberOfJobsCompletedPorter(Dates!C$10,Dates!C$11,'Day4'!$B53)</f>
        <v>0</v>
      </c>
      <c r="D53">
        <f>totalNumberOfJobsCompletedPorter(Dates!D$10,Dates!D$11,'Day4'!$B53)</f>
        <v>0</v>
      </c>
      <c r="E53">
        <f>totalNumberOfJobsCompletedPorter(Dates!E$10,Dates!E$11,'Day4'!$B53)</f>
        <v>0</v>
      </c>
      <c r="F53">
        <f>totalNumberOfJobsCompletedPorter(Dates!F$10,Dates!F$11,'Day4'!$B53)</f>
        <v>0</v>
      </c>
      <c r="G53">
        <f>totalNumberOfJobsCompletedPorter(Dates!G$10,Dates!G$11,'Day4'!$B53)</f>
        <v>0</v>
      </c>
      <c r="H53">
        <f>totalNumberOfJobsCompletedPorter(Dates!H$10,Dates!H$11,'Day4'!$B53)</f>
        <v>0</v>
      </c>
      <c r="I53">
        <f>totalNumberOfJobsCompletedPorter(Dates!I$10,Dates!I$11,'Day4'!$B53)</f>
        <v>0</v>
      </c>
      <c r="J53">
        <f>totalNumberOfJobsCompletedPorter(Dates!J$10,Dates!J$11,'Day4'!$B53)</f>
        <v>0</v>
      </c>
      <c r="K53">
        <f>totalNumberOfJobsCompletedPorter(Dates!K$10,Dates!K$11,'Day4'!$B53)</f>
        <v>0</v>
      </c>
      <c r="L53">
        <f>totalNumberOfJobsCompletedPorter(Dates!L$10,Dates!L$11,'Day4'!$B53)</f>
        <v>0</v>
      </c>
      <c r="M53">
        <f>totalNumberOfJobsCompletedPorter(Dates!M$10,Dates!M$11,'Day4'!$B53)</f>
        <v>0</v>
      </c>
      <c r="N53">
        <f>totalNumberOfJobsCompletedPorter(Dates!N$10,Dates!N$11,'Day4'!$B53)</f>
        <v>0</v>
      </c>
      <c r="O53">
        <f>totalNumberOfJobsCompletedPorter(Dates!O$10,Dates!O$11,'Day4'!$B53)</f>
        <v>0</v>
      </c>
      <c r="P53">
        <f>totalNumberOfJobsCompletedPorter(Dates!P$10,Dates!P$11,'Day4'!$B53)</f>
        <v>0</v>
      </c>
      <c r="Q53">
        <f>totalNumberOfJobsCompletedPorter(Dates!Q$10,Dates!Q$11,'Day4'!$B53)</f>
        <v>0</v>
      </c>
      <c r="R53">
        <f>totalNumberOfJobsCompletedPorter(Dates!R$10,Dates!R$11,'Day4'!$B53)</f>
        <v>0</v>
      </c>
      <c r="S53">
        <f>totalNumberOfJobsCompletedPorter(Dates!S$10,Dates!S$11,'Day4'!$B53)</f>
        <v>0</v>
      </c>
      <c r="T53">
        <f>totalNumberOfJobsCompletedPorter(Dates!T$10,Dates!T$11,'Day4'!$B53)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totalNumberOfJobsCompletedPorter(Dates!C$10,Dates!C$11,'Day4'!$B54)</f>
        <v>0</v>
      </c>
      <c r="D54">
        <f>totalNumberOfJobsCompletedPorter(Dates!D$10,Dates!D$11,'Day4'!$B54)</f>
        <v>0</v>
      </c>
      <c r="E54">
        <f>totalNumberOfJobsCompletedPorter(Dates!E$10,Dates!E$11,'Day4'!$B54)</f>
        <v>0</v>
      </c>
      <c r="F54">
        <f>totalNumberOfJobsCompletedPorter(Dates!F$10,Dates!F$11,'Day4'!$B54)</f>
        <v>0</v>
      </c>
      <c r="G54">
        <f>totalNumberOfJobsCompletedPorter(Dates!G$10,Dates!G$11,'Day4'!$B54)</f>
        <v>0</v>
      </c>
      <c r="H54">
        <f>totalNumberOfJobsCompletedPorter(Dates!H$10,Dates!H$11,'Day4'!$B54)</f>
        <v>0</v>
      </c>
      <c r="I54">
        <f>totalNumberOfJobsCompletedPorter(Dates!I$10,Dates!I$11,'Day4'!$B54)</f>
        <v>0</v>
      </c>
      <c r="J54">
        <f>totalNumberOfJobsCompletedPorter(Dates!J$10,Dates!J$11,'Day4'!$B54)</f>
        <v>0</v>
      </c>
      <c r="K54">
        <f>totalNumberOfJobsCompletedPorter(Dates!K$10,Dates!K$11,'Day4'!$B54)</f>
        <v>0</v>
      </c>
      <c r="L54">
        <f>totalNumberOfJobsCompletedPorter(Dates!L$10,Dates!L$11,'Day4'!$B54)</f>
        <v>0</v>
      </c>
      <c r="M54">
        <f>totalNumberOfJobsCompletedPorter(Dates!M$10,Dates!M$11,'Day4'!$B54)</f>
        <v>0</v>
      </c>
      <c r="N54">
        <f>totalNumberOfJobsCompletedPorter(Dates!N$10,Dates!N$11,'Day4'!$B54)</f>
        <v>0</v>
      </c>
      <c r="O54">
        <f>totalNumberOfJobsCompletedPorter(Dates!O$10,Dates!O$11,'Day4'!$B54)</f>
        <v>0</v>
      </c>
      <c r="P54">
        <f>totalNumberOfJobsCompletedPorter(Dates!P$10,Dates!P$11,'Day4'!$B54)</f>
        <v>0</v>
      </c>
      <c r="Q54">
        <f>totalNumberOfJobsCompletedPorter(Dates!Q$10,Dates!Q$11,'Day4'!$B54)</f>
        <v>0</v>
      </c>
      <c r="R54">
        <f>totalNumberOfJobsCompletedPorter(Dates!R$10,Dates!R$11,'Day4'!$B54)</f>
        <v>0</v>
      </c>
      <c r="S54">
        <f>totalNumberOfJobsCompletedPorter(Dates!S$10,Dates!S$11,'Day4'!$B54)</f>
        <v>0</v>
      </c>
      <c r="T54">
        <f>totalNumberOfJobsCompletedPorter(Dates!T$10,Dates!T$11,'Day4'!$B54)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averageResponseTime(Dates!C$10,Dates!C$11)</f>
        <v>0</v>
      </c>
      <c r="D56" s="5">
        <f>averageResponseTime(Dates!D$10,Dates!D$11)</f>
        <v>0</v>
      </c>
      <c r="E56" s="5">
        <f>averageResponseTime(Dates!E$10,Dates!E$11)</f>
        <v>0</v>
      </c>
      <c r="F56" s="5">
        <f>averageResponseTime(Dates!F$10,Dates!F$11)</f>
        <v>0</v>
      </c>
      <c r="G56" s="5">
        <f>averageResponseTime(Dates!G$10,Dates!G$11)</f>
        <v>0</v>
      </c>
      <c r="H56" s="5">
        <f>averageResponseTime(Dates!H$10,Dates!H$11)</f>
        <v>0</v>
      </c>
      <c r="I56" s="5">
        <f>averageResponseTime(Dates!I$10,Dates!I$11)</f>
        <v>0</v>
      </c>
      <c r="J56" s="5">
        <f>averageResponseTime(Dates!J$10,Dates!J$11)</f>
        <v>0</v>
      </c>
      <c r="K56" s="5">
        <f>averageResponseTime(Dates!K$10,Dates!K$11)</f>
        <v>0</v>
      </c>
      <c r="L56" s="5">
        <f>averageResponseTime(Dates!L$10,Dates!L$11)</f>
        <v>0</v>
      </c>
      <c r="M56" s="5">
        <f>averageResponseTime(Dates!M$10,Dates!M$11)</f>
        <v>0</v>
      </c>
      <c r="N56" s="5">
        <f>averageResponseTime(Dates!N$10,Dates!N$11)</f>
        <v>0</v>
      </c>
      <c r="O56" s="5">
        <f>averageResponseTime(Dates!O$10,Dates!O$11)</f>
        <v>0</v>
      </c>
      <c r="P56" s="5">
        <f>averageResponseTime(Dates!P$10,Dates!P$11)</f>
        <v>0</v>
      </c>
      <c r="Q56" s="5">
        <f>averageResponseTime(Dates!Q$10,Dates!Q$11)</f>
        <v>0</v>
      </c>
      <c r="R56" s="5">
        <f>averageResponseTime(Dates!R$10,Dates!R$11)</f>
        <v>0</v>
      </c>
      <c r="S56" s="5">
        <f>averageResponseTime(Dates!S$10,Dates!S$11)</f>
        <v>0</v>
      </c>
      <c r="T56" s="5">
        <f>averageResponseTime(Dates!T$10,Dates!T$11)</f>
        <v>0</v>
      </c>
      <c r="U56" s="5">
        <f>averageResponseTime(Dates!C$10,Dates!T$11)</f>
        <v>0</v>
      </c>
    </row>
    <row r="57" spans="2:21" x14ac:dyDescent="0.3">
      <c r="B57" s="7">
        <f t="shared" ref="B57:B81" si="2">B3</f>
        <v>1</v>
      </c>
      <c r="C57" s="5">
        <f>averageResponseTimePorter(Dates!C$10,Dates!C$11,'Day4'!$B57)</f>
        <v>0</v>
      </c>
      <c r="D57" s="5">
        <f>averageResponseTimePorter(Dates!D$10,Dates!D$11,'Day4'!$B57)</f>
        <v>0</v>
      </c>
      <c r="E57" s="5">
        <f>averageResponseTimePorter(Dates!E$10,Dates!E$11,'Day4'!$B57)</f>
        <v>0</v>
      </c>
      <c r="F57" s="5">
        <f>averageResponseTimePorter(Dates!F$10,Dates!F$11,'Day4'!$B57)</f>
        <v>0</v>
      </c>
      <c r="G57" s="5">
        <f>averageResponseTimePorter(Dates!G$10,Dates!G$11,'Day4'!$B57)</f>
        <v>0</v>
      </c>
      <c r="H57" s="5">
        <f>averageResponseTimePorter(Dates!H$10,Dates!H$11,'Day4'!$B57)</f>
        <v>0</v>
      </c>
      <c r="I57" s="5">
        <f>averageResponseTimePorter(Dates!I$10,Dates!I$11,'Day4'!$B57)</f>
        <v>0</v>
      </c>
      <c r="J57" s="5">
        <f>averageResponseTimePorter(Dates!J$10,Dates!J$11,'Day4'!$B57)</f>
        <v>0</v>
      </c>
      <c r="K57" s="5">
        <f>averageResponseTimePorter(Dates!K$10,Dates!K$11,'Day4'!$B57)</f>
        <v>0</v>
      </c>
      <c r="L57" s="5">
        <f>averageResponseTimePorter(Dates!L$10,Dates!L$11,'Day4'!$B57)</f>
        <v>0</v>
      </c>
      <c r="M57" s="5">
        <f>averageResponseTimePorter(Dates!M$10,Dates!M$11,'Day4'!$B57)</f>
        <v>0</v>
      </c>
      <c r="N57" s="5">
        <f>averageResponseTimePorter(Dates!N$10,Dates!N$11,'Day4'!$B57)</f>
        <v>0</v>
      </c>
      <c r="O57" s="5">
        <f>averageResponseTimePorter(Dates!O$10,Dates!O$11,'Day4'!$B57)</f>
        <v>0</v>
      </c>
      <c r="P57" s="5">
        <f>averageResponseTimePorter(Dates!P$10,Dates!P$11,'Day4'!$B57)</f>
        <v>0</v>
      </c>
      <c r="Q57" s="5">
        <f>averageResponseTimePorter(Dates!Q$10,Dates!Q$11,'Day4'!$B57)</f>
        <v>0</v>
      </c>
      <c r="R57" s="5">
        <f>averageResponseTimePorter(Dates!R$10,Dates!R$11,'Day4'!$B57)</f>
        <v>0</v>
      </c>
      <c r="S57" s="5">
        <f>averageResponseTimePorter(Dates!S$10,Dates!S$11,'Day4'!$B57)</f>
        <v>0</v>
      </c>
      <c r="T57" s="5">
        <f>averageResponseTimePorter(Dates!T$10,Dates!T$11,'Day4'!$B57)</f>
        <v>0</v>
      </c>
      <c r="U57" s="5">
        <f>averageResponseTimePorter(Dates!$C$10,Dates!$T$11,'Day4'!$B3)</f>
        <v>0</v>
      </c>
    </row>
    <row r="58" spans="2:21" x14ac:dyDescent="0.3">
      <c r="B58" s="7">
        <f t="shared" si="2"/>
        <v>0</v>
      </c>
      <c r="C58" s="5">
        <f>averageResponseTimePorter(Dates!C$10,Dates!C$11,'Day4'!$B58)</f>
        <v>0</v>
      </c>
      <c r="D58" s="5">
        <f>averageResponseTimePorter(Dates!D$10,Dates!D$11,'Day4'!$B58)</f>
        <v>0</v>
      </c>
      <c r="E58" s="5">
        <f>averageResponseTimePorter(Dates!E$10,Dates!E$11,'Day4'!$B58)</f>
        <v>0</v>
      </c>
      <c r="F58" s="5">
        <f>averageResponseTimePorter(Dates!F$10,Dates!F$11,'Day4'!$B58)</f>
        <v>0</v>
      </c>
      <c r="G58" s="5">
        <f>averageResponseTimePorter(Dates!G$10,Dates!G$11,'Day4'!$B58)</f>
        <v>0</v>
      </c>
      <c r="H58" s="5">
        <f>averageResponseTimePorter(Dates!H$10,Dates!H$11,'Day4'!$B58)</f>
        <v>0</v>
      </c>
      <c r="I58" s="5">
        <f>averageResponseTimePorter(Dates!I$10,Dates!I$11,'Day4'!$B58)</f>
        <v>0</v>
      </c>
      <c r="J58" s="5">
        <f>averageResponseTimePorter(Dates!J$10,Dates!J$11,'Day4'!$B58)</f>
        <v>0</v>
      </c>
      <c r="K58" s="5">
        <f>averageResponseTimePorter(Dates!K$10,Dates!K$11,'Day4'!$B58)</f>
        <v>0</v>
      </c>
      <c r="L58" s="5">
        <f>averageResponseTimePorter(Dates!L$10,Dates!L$11,'Day4'!$B58)</f>
        <v>0</v>
      </c>
      <c r="M58" s="5">
        <f>averageResponseTimePorter(Dates!M$10,Dates!M$11,'Day4'!$B58)</f>
        <v>0</v>
      </c>
      <c r="N58" s="5">
        <f>averageResponseTimePorter(Dates!N$10,Dates!N$11,'Day4'!$B58)</f>
        <v>0</v>
      </c>
      <c r="O58" s="5">
        <f>averageResponseTimePorter(Dates!O$10,Dates!O$11,'Day4'!$B58)</f>
        <v>0</v>
      </c>
      <c r="P58" s="5">
        <f>averageResponseTimePorter(Dates!P$10,Dates!P$11,'Day4'!$B58)</f>
        <v>0</v>
      </c>
      <c r="Q58" s="5">
        <f>averageResponseTimePorter(Dates!Q$10,Dates!Q$11,'Day4'!$B58)</f>
        <v>0</v>
      </c>
      <c r="R58" s="5">
        <f>averageResponseTimePorter(Dates!R$10,Dates!R$11,'Day4'!$B58)</f>
        <v>0</v>
      </c>
      <c r="S58" s="5">
        <f>averageResponseTimePorter(Dates!S$10,Dates!S$11,'Day4'!$B58)</f>
        <v>0</v>
      </c>
      <c r="T58" s="5">
        <f>averageResponseTimePorter(Dates!T$10,Dates!T$11,'Day4'!$B58)</f>
        <v>0</v>
      </c>
      <c r="U58" s="5">
        <f>averageResponseTimePorter(Dates!$C$10,Dates!$T$11,'Day4'!$B4)</f>
        <v>0</v>
      </c>
    </row>
    <row r="59" spans="2:21" x14ac:dyDescent="0.3">
      <c r="B59" s="7">
        <f t="shared" si="2"/>
        <v>3</v>
      </c>
      <c r="C59" s="5">
        <f>averageResponseTimePorter(Dates!C$10,Dates!C$11,'Day4'!$B59)</f>
        <v>0</v>
      </c>
      <c r="D59" s="5">
        <f>averageResponseTimePorter(Dates!D$10,Dates!D$11,'Day4'!$B59)</f>
        <v>0</v>
      </c>
      <c r="E59" s="5">
        <f>averageResponseTimePorter(Dates!E$10,Dates!E$11,'Day4'!$B59)</f>
        <v>0</v>
      </c>
      <c r="F59" s="5">
        <f>averageResponseTimePorter(Dates!F$10,Dates!F$11,'Day4'!$B59)</f>
        <v>0</v>
      </c>
      <c r="G59" s="5">
        <f>averageResponseTimePorter(Dates!G$10,Dates!G$11,'Day4'!$B59)</f>
        <v>0</v>
      </c>
      <c r="H59" s="5">
        <f>averageResponseTimePorter(Dates!H$10,Dates!H$11,'Day4'!$B59)</f>
        <v>0</v>
      </c>
      <c r="I59" s="5">
        <f>averageResponseTimePorter(Dates!I$10,Dates!I$11,'Day4'!$B59)</f>
        <v>0</v>
      </c>
      <c r="J59" s="5">
        <f>averageResponseTimePorter(Dates!J$10,Dates!J$11,'Day4'!$B59)</f>
        <v>0</v>
      </c>
      <c r="K59" s="5">
        <f>averageResponseTimePorter(Dates!K$10,Dates!K$11,'Day4'!$B59)</f>
        <v>0</v>
      </c>
      <c r="L59" s="5">
        <f>averageResponseTimePorter(Dates!L$10,Dates!L$11,'Day4'!$B59)</f>
        <v>0</v>
      </c>
      <c r="M59" s="5">
        <f>averageResponseTimePorter(Dates!M$10,Dates!M$11,'Day4'!$B59)</f>
        <v>0</v>
      </c>
      <c r="N59" s="5">
        <f>averageResponseTimePorter(Dates!N$10,Dates!N$11,'Day4'!$B59)</f>
        <v>0</v>
      </c>
      <c r="O59" s="5">
        <f>averageResponseTimePorter(Dates!O$10,Dates!O$11,'Day4'!$B59)</f>
        <v>0</v>
      </c>
      <c r="P59" s="5">
        <f>averageResponseTimePorter(Dates!P$10,Dates!P$11,'Day4'!$B59)</f>
        <v>0</v>
      </c>
      <c r="Q59" s="5">
        <f>averageResponseTimePorter(Dates!Q$10,Dates!Q$11,'Day4'!$B59)</f>
        <v>0</v>
      </c>
      <c r="R59" s="5">
        <f>averageResponseTimePorter(Dates!R$10,Dates!R$11,'Day4'!$B59)</f>
        <v>0</v>
      </c>
      <c r="S59" s="5">
        <f>averageResponseTimePorter(Dates!S$10,Dates!S$11,'Day4'!$B59)</f>
        <v>0</v>
      </c>
      <c r="T59" s="5">
        <f>averageResponseTimePorter(Dates!T$10,Dates!T$11,'Day4'!$B59)</f>
        <v>0</v>
      </c>
      <c r="U59" s="5">
        <f>averageResponseTimePorter(Dates!$C$10,Dates!$T$11,'Day4'!$B5)</f>
        <v>0</v>
      </c>
    </row>
    <row r="60" spans="2:21" x14ac:dyDescent="0.3">
      <c r="B60" s="7">
        <f t="shared" si="2"/>
        <v>2</v>
      </c>
      <c r="C60" s="5">
        <f>averageResponseTimePorter(Dates!C$10,Dates!C$11,'Day4'!$B60)</f>
        <v>0</v>
      </c>
      <c r="D60" s="5">
        <f>averageResponseTimePorter(Dates!D$10,Dates!D$11,'Day4'!$B60)</f>
        <v>0</v>
      </c>
      <c r="E60" s="5">
        <f>averageResponseTimePorter(Dates!E$10,Dates!E$11,'Day4'!$B60)</f>
        <v>0</v>
      </c>
      <c r="F60" s="5">
        <f>averageResponseTimePorter(Dates!F$10,Dates!F$11,'Day4'!$B60)</f>
        <v>0</v>
      </c>
      <c r="G60" s="5">
        <f>averageResponseTimePorter(Dates!G$10,Dates!G$11,'Day4'!$B60)</f>
        <v>0</v>
      </c>
      <c r="H60" s="5">
        <f>averageResponseTimePorter(Dates!H$10,Dates!H$11,'Day4'!$B60)</f>
        <v>0</v>
      </c>
      <c r="I60" s="5">
        <f>averageResponseTimePorter(Dates!I$10,Dates!I$11,'Day4'!$B60)</f>
        <v>0</v>
      </c>
      <c r="J60" s="5">
        <f>averageResponseTimePorter(Dates!J$10,Dates!J$11,'Day4'!$B60)</f>
        <v>0</v>
      </c>
      <c r="K60" s="5">
        <f>averageResponseTimePorter(Dates!K$10,Dates!K$11,'Day4'!$B60)</f>
        <v>0</v>
      </c>
      <c r="L60" s="5">
        <f>averageResponseTimePorter(Dates!L$10,Dates!L$11,'Day4'!$B60)</f>
        <v>0</v>
      </c>
      <c r="M60" s="5">
        <f>averageResponseTimePorter(Dates!M$10,Dates!M$11,'Day4'!$B60)</f>
        <v>0</v>
      </c>
      <c r="N60" s="5">
        <f>averageResponseTimePorter(Dates!N$10,Dates!N$11,'Day4'!$B60)</f>
        <v>0</v>
      </c>
      <c r="O60" s="5">
        <f>averageResponseTimePorter(Dates!O$10,Dates!O$11,'Day4'!$B60)</f>
        <v>0</v>
      </c>
      <c r="P60" s="5">
        <f>averageResponseTimePorter(Dates!P$10,Dates!P$11,'Day4'!$B60)</f>
        <v>0</v>
      </c>
      <c r="Q60" s="5">
        <f>averageResponseTimePorter(Dates!Q$10,Dates!Q$11,'Day4'!$B60)</f>
        <v>0</v>
      </c>
      <c r="R60" s="5">
        <f>averageResponseTimePorter(Dates!R$10,Dates!R$11,'Day4'!$B60)</f>
        <v>0</v>
      </c>
      <c r="S60" s="5">
        <f>averageResponseTimePorter(Dates!S$10,Dates!S$11,'Day4'!$B60)</f>
        <v>0</v>
      </c>
      <c r="T60" s="5">
        <f>averageResponseTimePorter(Dates!T$10,Dates!T$11,'Day4'!$B60)</f>
        <v>0</v>
      </c>
      <c r="U60" s="5">
        <f>averageResponseTimePorter(Dates!$C$10,Dates!$T$11,'Day4'!$B6)</f>
        <v>0</v>
      </c>
    </row>
    <row r="61" spans="2:21" x14ac:dyDescent="0.3">
      <c r="B61" s="7">
        <f t="shared" si="2"/>
        <v>5</v>
      </c>
      <c r="C61" s="5">
        <f>averageResponseTimePorter(Dates!C$10,Dates!C$11,'Day4'!$B61)</f>
        <v>0</v>
      </c>
      <c r="D61" s="5">
        <f>averageResponseTimePorter(Dates!D$10,Dates!D$11,'Day4'!$B61)</f>
        <v>0</v>
      </c>
      <c r="E61" s="5">
        <f>averageResponseTimePorter(Dates!E$10,Dates!E$11,'Day4'!$B61)</f>
        <v>0</v>
      </c>
      <c r="F61" s="5">
        <f>averageResponseTimePorter(Dates!F$10,Dates!F$11,'Day4'!$B61)</f>
        <v>0</v>
      </c>
      <c r="G61" s="5">
        <f>averageResponseTimePorter(Dates!G$10,Dates!G$11,'Day4'!$B61)</f>
        <v>0</v>
      </c>
      <c r="H61" s="5">
        <f>averageResponseTimePorter(Dates!H$10,Dates!H$11,'Day4'!$B61)</f>
        <v>0</v>
      </c>
      <c r="I61" s="5">
        <f>averageResponseTimePorter(Dates!I$10,Dates!I$11,'Day4'!$B61)</f>
        <v>0</v>
      </c>
      <c r="J61" s="5">
        <f>averageResponseTimePorter(Dates!J$10,Dates!J$11,'Day4'!$B61)</f>
        <v>0</v>
      </c>
      <c r="K61" s="5">
        <f>averageResponseTimePorter(Dates!K$10,Dates!K$11,'Day4'!$B61)</f>
        <v>0</v>
      </c>
      <c r="L61" s="5">
        <f>averageResponseTimePorter(Dates!L$10,Dates!L$11,'Day4'!$B61)</f>
        <v>0</v>
      </c>
      <c r="M61" s="5">
        <f>averageResponseTimePorter(Dates!M$10,Dates!M$11,'Day4'!$B61)</f>
        <v>0</v>
      </c>
      <c r="N61" s="5">
        <f>averageResponseTimePorter(Dates!N$10,Dates!N$11,'Day4'!$B61)</f>
        <v>0</v>
      </c>
      <c r="O61" s="5">
        <f>averageResponseTimePorter(Dates!O$10,Dates!O$11,'Day4'!$B61)</f>
        <v>0</v>
      </c>
      <c r="P61" s="5">
        <f>averageResponseTimePorter(Dates!P$10,Dates!P$11,'Day4'!$B61)</f>
        <v>0</v>
      </c>
      <c r="Q61" s="5">
        <f>averageResponseTimePorter(Dates!Q$10,Dates!Q$11,'Day4'!$B61)</f>
        <v>0</v>
      </c>
      <c r="R61" s="5">
        <f>averageResponseTimePorter(Dates!R$10,Dates!R$11,'Day4'!$B61)</f>
        <v>0</v>
      </c>
      <c r="S61" s="5">
        <f>averageResponseTimePorter(Dates!S$10,Dates!S$11,'Day4'!$B61)</f>
        <v>0</v>
      </c>
      <c r="T61" s="5">
        <f>averageResponseTimePorter(Dates!T$10,Dates!T$11,'Day4'!$B61)</f>
        <v>0</v>
      </c>
      <c r="U61" s="5">
        <f>averageResponseTimePorter(Dates!$C$10,Dates!$T$11,'Day4'!$B7)</f>
        <v>0</v>
      </c>
    </row>
    <row r="62" spans="2:21" x14ac:dyDescent="0.3">
      <c r="B62" s="7">
        <f t="shared" si="2"/>
        <v>4</v>
      </c>
      <c r="C62" s="5">
        <f>averageResponseTimePorter(Dates!C$10,Dates!C$11,'Day4'!$B62)</f>
        <v>0</v>
      </c>
      <c r="D62" s="5">
        <f>averageResponseTimePorter(Dates!D$10,Dates!D$11,'Day4'!$B62)</f>
        <v>0</v>
      </c>
      <c r="E62" s="5">
        <f>averageResponseTimePorter(Dates!E$10,Dates!E$11,'Day4'!$B62)</f>
        <v>0</v>
      </c>
      <c r="F62" s="5">
        <f>averageResponseTimePorter(Dates!F$10,Dates!F$11,'Day4'!$B62)</f>
        <v>0</v>
      </c>
      <c r="G62" s="5">
        <f>averageResponseTimePorter(Dates!G$10,Dates!G$11,'Day4'!$B62)</f>
        <v>0</v>
      </c>
      <c r="H62" s="5">
        <f>averageResponseTimePorter(Dates!H$10,Dates!H$11,'Day4'!$B62)</f>
        <v>0</v>
      </c>
      <c r="I62" s="5">
        <f>averageResponseTimePorter(Dates!I$10,Dates!I$11,'Day4'!$B62)</f>
        <v>0</v>
      </c>
      <c r="J62" s="5">
        <f>averageResponseTimePorter(Dates!J$10,Dates!J$11,'Day4'!$B62)</f>
        <v>0</v>
      </c>
      <c r="K62" s="5">
        <f>averageResponseTimePorter(Dates!K$10,Dates!K$11,'Day4'!$B62)</f>
        <v>0</v>
      </c>
      <c r="L62" s="5">
        <f>averageResponseTimePorter(Dates!L$10,Dates!L$11,'Day4'!$B62)</f>
        <v>0</v>
      </c>
      <c r="M62" s="5">
        <f>averageResponseTimePorter(Dates!M$10,Dates!M$11,'Day4'!$B62)</f>
        <v>0</v>
      </c>
      <c r="N62" s="5">
        <f>averageResponseTimePorter(Dates!N$10,Dates!N$11,'Day4'!$B62)</f>
        <v>0</v>
      </c>
      <c r="O62" s="5">
        <f>averageResponseTimePorter(Dates!O$10,Dates!O$11,'Day4'!$B62)</f>
        <v>0</v>
      </c>
      <c r="P62" s="5">
        <f>averageResponseTimePorter(Dates!P$10,Dates!P$11,'Day4'!$B62)</f>
        <v>0</v>
      </c>
      <c r="Q62" s="5">
        <f>averageResponseTimePorter(Dates!Q$10,Dates!Q$11,'Day4'!$B62)</f>
        <v>0</v>
      </c>
      <c r="R62" s="5">
        <f>averageResponseTimePorter(Dates!R$10,Dates!R$11,'Day4'!$B62)</f>
        <v>0</v>
      </c>
      <c r="S62" s="5">
        <f>averageResponseTimePorter(Dates!S$10,Dates!S$11,'Day4'!$B62)</f>
        <v>0</v>
      </c>
      <c r="T62" s="5">
        <f>averageResponseTimePorter(Dates!T$10,Dates!T$11,'Day4'!$B62)</f>
        <v>0</v>
      </c>
      <c r="U62" s="5">
        <f>averageResponseTimePorter(Dates!$C$10,Dates!$T$11,'Day4'!$B8)</f>
        <v>0</v>
      </c>
    </row>
    <row r="63" spans="2:21" x14ac:dyDescent="0.3">
      <c r="B63" s="7">
        <f t="shared" si="2"/>
        <v>6</v>
      </c>
      <c r="C63" s="5">
        <f>averageResponseTimePorter(Dates!C$10,Dates!C$11,'Day4'!$B63)</f>
        <v>0</v>
      </c>
      <c r="D63" s="5">
        <f>averageResponseTimePorter(Dates!D$10,Dates!D$11,'Day4'!$B63)</f>
        <v>0</v>
      </c>
      <c r="E63" s="5">
        <f>averageResponseTimePorter(Dates!E$10,Dates!E$11,'Day4'!$B63)</f>
        <v>0</v>
      </c>
      <c r="F63" s="5">
        <f>averageResponseTimePorter(Dates!F$10,Dates!F$11,'Day4'!$B63)</f>
        <v>0</v>
      </c>
      <c r="G63" s="5">
        <f>averageResponseTimePorter(Dates!G$10,Dates!G$11,'Day4'!$B63)</f>
        <v>0</v>
      </c>
      <c r="H63" s="5">
        <f>averageResponseTimePorter(Dates!H$10,Dates!H$11,'Day4'!$B63)</f>
        <v>0</v>
      </c>
      <c r="I63" s="5">
        <f>averageResponseTimePorter(Dates!I$10,Dates!I$11,'Day4'!$B63)</f>
        <v>0</v>
      </c>
      <c r="J63" s="5">
        <f>averageResponseTimePorter(Dates!J$10,Dates!J$11,'Day4'!$B63)</f>
        <v>0</v>
      </c>
      <c r="K63" s="5">
        <f>averageResponseTimePorter(Dates!K$10,Dates!K$11,'Day4'!$B63)</f>
        <v>0</v>
      </c>
      <c r="L63" s="5">
        <f>averageResponseTimePorter(Dates!L$10,Dates!L$11,'Day4'!$B63)</f>
        <v>0</v>
      </c>
      <c r="M63" s="5">
        <f>averageResponseTimePorter(Dates!M$10,Dates!M$11,'Day4'!$B63)</f>
        <v>0</v>
      </c>
      <c r="N63" s="5">
        <f>averageResponseTimePorter(Dates!N$10,Dates!N$11,'Day4'!$B63)</f>
        <v>0</v>
      </c>
      <c r="O63" s="5">
        <f>averageResponseTimePorter(Dates!O$10,Dates!O$11,'Day4'!$B63)</f>
        <v>0</v>
      </c>
      <c r="P63" s="5">
        <f>averageResponseTimePorter(Dates!P$10,Dates!P$11,'Day4'!$B63)</f>
        <v>0</v>
      </c>
      <c r="Q63" s="5">
        <f>averageResponseTimePorter(Dates!Q$10,Dates!Q$11,'Day4'!$B63)</f>
        <v>0</v>
      </c>
      <c r="R63" s="5">
        <f>averageResponseTimePorter(Dates!R$10,Dates!R$11,'Day4'!$B63)</f>
        <v>0</v>
      </c>
      <c r="S63" s="5">
        <f>averageResponseTimePorter(Dates!S$10,Dates!S$11,'Day4'!$B63)</f>
        <v>0</v>
      </c>
      <c r="T63" s="5">
        <f>averageResponseTimePorter(Dates!T$10,Dates!T$11,'Day4'!$B63)</f>
        <v>0</v>
      </c>
      <c r="U63" s="5">
        <f>averageResponseTimePorter(Dates!$C$10,Dates!$T$11,'Day4'!$B9)</f>
        <v>0</v>
      </c>
    </row>
    <row r="64" spans="2:21" x14ac:dyDescent="0.3">
      <c r="B64" s="7" t="str">
        <f t="shared" si="2"/>
        <v>NA10</v>
      </c>
      <c r="C64" s="5">
        <f>averageResponseTimePorter(Dates!C$10,Dates!C$11,'Day4'!$B64)</f>
        <v>0</v>
      </c>
      <c r="D64" s="5">
        <f>averageResponseTimePorter(Dates!D$10,Dates!D$11,'Day4'!$B64)</f>
        <v>0</v>
      </c>
      <c r="E64" s="5">
        <f>averageResponseTimePorter(Dates!E$10,Dates!E$11,'Day4'!$B64)</f>
        <v>0</v>
      </c>
      <c r="F64" s="5">
        <f>averageResponseTimePorter(Dates!F$10,Dates!F$11,'Day4'!$B64)</f>
        <v>0</v>
      </c>
      <c r="G64" s="5">
        <f>averageResponseTimePorter(Dates!G$10,Dates!G$11,'Day4'!$B64)</f>
        <v>0</v>
      </c>
      <c r="H64" s="5">
        <f>averageResponseTimePorter(Dates!H$10,Dates!H$11,'Day4'!$B64)</f>
        <v>0</v>
      </c>
      <c r="I64" s="5">
        <f>averageResponseTimePorter(Dates!I$10,Dates!I$11,'Day4'!$B64)</f>
        <v>0</v>
      </c>
      <c r="J64" s="5">
        <f>averageResponseTimePorter(Dates!J$10,Dates!J$11,'Day4'!$B64)</f>
        <v>0</v>
      </c>
      <c r="K64" s="5">
        <f>averageResponseTimePorter(Dates!K$10,Dates!K$11,'Day4'!$B64)</f>
        <v>0</v>
      </c>
      <c r="L64" s="5">
        <f>averageResponseTimePorter(Dates!L$10,Dates!L$11,'Day4'!$B64)</f>
        <v>0</v>
      </c>
      <c r="M64" s="5">
        <f>averageResponseTimePorter(Dates!M$10,Dates!M$11,'Day4'!$B64)</f>
        <v>0</v>
      </c>
      <c r="N64" s="5">
        <f>averageResponseTimePorter(Dates!N$10,Dates!N$11,'Day4'!$B64)</f>
        <v>0</v>
      </c>
      <c r="O64" s="5">
        <f>averageResponseTimePorter(Dates!O$10,Dates!O$11,'Day4'!$B64)</f>
        <v>0</v>
      </c>
      <c r="P64" s="5">
        <f>averageResponseTimePorter(Dates!P$10,Dates!P$11,'Day4'!$B64)</f>
        <v>0</v>
      </c>
      <c r="Q64" s="5">
        <f>averageResponseTimePorter(Dates!Q$10,Dates!Q$11,'Day4'!$B64)</f>
        <v>0</v>
      </c>
      <c r="R64" s="5">
        <f>averageResponseTimePorter(Dates!R$10,Dates!R$11,'Day4'!$B64)</f>
        <v>0</v>
      </c>
      <c r="S64" s="5">
        <f>averageResponseTimePorter(Dates!S$10,Dates!S$11,'Day4'!$B64)</f>
        <v>0</v>
      </c>
      <c r="T64" s="5">
        <f>averageResponseTimePorter(Dates!T$10,Dates!T$11,'Day4'!$B64)</f>
        <v>0</v>
      </c>
      <c r="U64" s="5">
        <f>averageResponseTimePorter(Dates!$C$10,Dates!$T$11,'Day4'!$B10)</f>
        <v>0</v>
      </c>
    </row>
    <row r="65" spans="2:21" x14ac:dyDescent="0.3">
      <c r="B65" s="7" t="str">
        <f t="shared" si="2"/>
        <v>NA11</v>
      </c>
      <c r="C65" s="5">
        <f>averageResponseTimePorter(Dates!C$10,Dates!C$11,'Day4'!$B65)</f>
        <v>0</v>
      </c>
      <c r="D65" s="5">
        <f>averageResponseTimePorter(Dates!D$10,Dates!D$11,'Day4'!$B65)</f>
        <v>0</v>
      </c>
      <c r="E65" s="5">
        <f>averageResponseTimePorter(Dates!E$10,Dates!E$11,'Day4'!$B65)</f>
        <v>0</v>
      </c>
      <c r="F65" s="5">
        <f>averageResponseTimePorter(Dates!F$10,Dates!F$11,'Day4'!$B65)</f>
        <v>0</v>
      </c>
      <c r="G65" s="5">
        <f>averageResponseTimePorter(Dates!G$10,Dates!G$11,'Day4'!$B65)</f>
        <v>0</v>
      </c>
      <c r="H65" s="5">
        <f>averageResponseTimePorter(Dates!H$10,Dates!H$11,'Day4'!$B65)</f>
        <v>0</v>
      </c>
      <c r="I65" s="5">
        <f>averageResponseTimePorter(Dates!I$10,Dates!I$11,'Day4'!$B65)</f>
        <v>0</v>
      </c>
      <c r="J65" s="5">
        <f>averageResponseTimePorter(Dates!J$10,Dates!J$11,'Day4'!$B65)</f>
        <v>0</v>
      </c>
      <c r="K65" s="5">
        <f>averageResponseTimePorter(Dates!K$10,Dates!K$11,'Day4'!$B65)</f>
        <v>0</v>
      </c>
      <c r="L65" s="5">
        <f>averageResponseTimePorter(Dates!L$10,Dates!L$11,'Day4'!$B65)</f>
        <v>0</v>
      </c>
      <c r="M65" s="5">
        <f>averageResponseTimePorter(Dates!M$10,Dates!M$11,'Day4'!$B65)</f>
        <v>0</v>
      </c>
      <c r="N65" s="5">
        <f>averageResponseTimePorter(Dates!N$10,Dates!N$11,'Day4'!$B65)</f>
        <v>0</v>
      </c>
      <c r="O65" s="5">
        <f>averageResponseTimePorter(Dates!O$10,Dates!O$11,'Day4'!$B65)</f>
        <v>0</v>
      </c>
      <c r="P65" s="5">
        <f>averageResponseTimePorter(Dates!P$10,Dates!P$11,'Day4'!$B65)</f>
        <v>0</v>
      </c>
      <c r="Q65" s="5">
        <f>averageResponseTimePorter(Dates!Q$10,Dates!Q$11,'Day4'!$B65)</f>
        <v>0</v>
      </c>
      <c r="R65" s="5">
        <f>averageResponseTimePorter(Dates!R$10,Dates!R$11,'Day4'!$B65)</f>
        <v>0</v>
      </c>
      <c r="S65" s="5">
        <f>averageResponseTimePorter(Dates!S$10,Dates!S$11,'Day4'!$B65)</f>
        <v>0</v>
      </c>
      <c r="T65" s="5">
        <f>averageResponseTimePorter(Dates!T$10,Dates!T$11,'Day4'!$B65)</f>
        <v>0</v>
      </c>
      <c r="U65" s="5">
        <f>averageResponseTimePorter(Dates!$C$10,Dates!$T$11,'Day4'!$B11)</f>
        <v>0</v>
      </c>
    </row>
    <row r="66" spans="2:21" x14ac:dyDescent="0.3">
      <c r="B66" s="7" t="str">
        <f t="shared" si="2"/>
        <v>NA12</v>
      </c>
      <c r="C66" s="5">
        <f>averageResponseTimePorter(Dates!C$10,Dates!C$11,'Day4'!$B66)</f>
        <v>0</v>
      </c>
      <c r="D66" s="5">
        <f>averageResponseTimePorter(Dates!D$10,Dates!D$11,'Day4'!$B66)</f>
        <v>0</v>
      </c>
      <c r="E66" s="5">
        <f>averageResponseTimePorter(Dates!E$10,Dates!E$11,'Day4'!$B66)</f>
        <v>0</v>
      </c>
      <c r="F66" s="5">
        <f>averageResponseTimePorter(Dates!F$10,Dates!F$11,'Day4'!$B66)</f>
        <v>0</v>
      </c>
      <c r="G66" s="5">
        <f>averageResponseTimePorter(Dates!G$10,Dates!G$11,'Day4'!$B66)</f>
        <v>0</v>
      </c>
      <c r="H66" s="5">
        <f>averageResponseTimePorter(Dates!H$10,Dates!H$11,'Day4'!$B66)</f>
        <v>0</v>
      </c>
      <c r="I66" s="5">
        <f>averageResponseTimePorter(Dates!I$10,Dates!I$11,'Day4'!$B66)</f>
        <v>0</v>
      </c>
      <c r="J66" s="5">
        <f>averageResponseTimePorter(Dates!J$10,Dates!J$11,'Day4'!$B66)</f>
        <v>0</v>
      </c>
      <c r="K66" s="5">
        <f>averageResponseTimePorter(Dates!K$10,Dates!K$11,'Day4'!$B66)</f>
        <v>0</v>
      </c>
      <c r="L66" s="5">
        <f>averageResponseTimePorter(Dates!L$10,Dates!L$11,'Day4'!$B66)</f>
        <v>0</v>
      </c>
      <c r="M66" s="5">
        <f>averageResponseTimePorter(Dates!M$10,Dates!M$11,'Day4'!$B66)</f>
        <v>0</v>
      </c>
      <c r="N66" s="5">
        <f>averageResponseTimePorter(Dates!N$10,Dates!N$11,'Day4'!$B66)</f>
        <v>0</v>
      </c>
      <c r="O66" s="5">
        <f>averageResponseTimePorter(Dates!O$10,Dates!O$11,'Day4'!$B66)</f>
        <v>0</v>
      </c>
      <c r="P66" s="5">
        <f>averageResponseTimePorter(Dates!P$10,Dates!P$11,'Day4'!$B66)</f>
        <v>0</v>
      </c>
      <c r="Q66" s="5">
        <f>averageResponseTimePorter(Dates!Q$10,Dates!Q$11,'Day4'!$B66)</f>
        <v>0</v>
      </c>
      <c r="R66" s="5">
        <f>averageResponseTimePorter(Dates!R$10,Dates!R$11,'Day4'!$B66)</f>
        <v>0</v>
      </c>
      <c r="S66" s="5">
        <f>averageResponseTimePorter(Dates!S$10,Dates!S$11,'Day4'!$B66)</f>
        <v>0</v>
      </c>
      <c r="T66" s="5">
        <f>averageResponseTimePorter(Dates!T$10,Dates!T$11,'Day4'!$B66)</f>
        <v>0</v>
      </c>
      <c r="U66" s="5">
        <f>averageResponseTimePorter(Dates!$C$10,Dates!$T$11,'Day4'!$B12)</f>
        <v>0</v>
      </c>
    </row>
    <row r="67" spans="2:21" x14ac:dyDescent="0.3">
      <c r="B67" s="7" t="str">
        <f t="shared" si="2"/>
        <v>NA13</v>
      </c>
      <c r="C67" s="5">
        <f>averageResponseTimePorter(Dates!C$10,Dates!C$11,'Day4'!$B67)</f>
        <v>0</v>
      </c>
      <c r="D67" s="5">
        <f>averageResponseTimePorter(Dates!D$10,Dates!D$11,'Day4'!$B67)</f>
        <v>0</v>
      </c>
      <c r="E67" s="5">
        <f>averageResponseTimePorter(Dates!E$10,Dates!E$11,'Day4'!$B67)</f>
        <v>0</v>
      </c>
      <c r="F67" s="5">
        <f>averageResponseTimePorter(Dates!F$10,Dates!F$11,'Day4'!$B67)</f>
        <v>0</v>
      </c>
      <c r="G67" s="5">
        <f>averageResponseTimePorter(Dates!G$10,Dates!G$11,'Day4'!$B67)</f>
        <v>0</v>
      </c>
      <c r="H67" s="5">
        <f>averageResponseTimePorter(Dates!H$10,Dates!H$11,'Day4'!$B67)</f>
        <v>0</v>
      </c>
      <c r="I67" s="5">
        <f>averageResponseTimePorter(Dates!I$10,Dates!I$11,'Day4'!$B67)</f>
        <v>0</v>
      </c>
      <c r="J67" s="5">
        <f>averageResponseTimePorter(Dates!J$10,Dates!J$11,'Day4'!$B67)</f>
        <v>0</v>
      </c>
      <c r="K67" s="5">
        <f>averageResponseTimePorter(Dates!K$10,Dates!K$11,'Day4'!$B67)</f>
        <v>0</v>
      </c>
      <c r="L67" s="5">
        <f>averageResponseTimePorter(Dates!L$10,Dates!L$11,'Day4'!$B67)</f>
        <v>0</v>
      </c>
      <c r="M67" s="5">
        <f>averageResponseTimePorter(Dates!M$10,Dates!M$11,'Day4'!$B67)</f>
        <v>0</v>
      </c>
      <c r="N67" s="5">
        <f>averageResponseTimePorter(Dates!N$10,Dates!N$11,'Day4'!$B67)</f>
        <v>0</v>
      </c>
      <c r="O67" s="5">
        <f>averageResponseTimePorter(Dates!O$10,Dates!O$11,'Day4'!$B67)</f>
        <v>0</v>
      </c>
      <c r="P67" s="5">
        <f>averageResponseTimePorter(Dates!P$10,Dates!P$11,'Day4'!$B67)</f>
        <v>0</v>
      </c>
      <c r="Q67" s="5">
        <f>averageResponseTimePorter(Dates!Q$10,Dates!Q$11,'Day4'!$B67)</f>
        <v>0</v>
      </c>
      <c r="R67" s="5">
        <f>averageResponseTimePorter(Dates!R$10,Dates!R$11,'Day4'!$B67)</f>
        <v>0</v>
      </c>
      <c r="S67" s="5">
        <f>averageResponseTimePorter(Dates!S$10,Dates!S$11,'Day4'!$B67)</f>
        <v>0</v>
      </c>
      <c r="T67" s="5">
        <f>averageResponseTimePorter(Dates!T$10,Dates!T$11,'Day4'!$B67)</f>
        <v>0</v>
      </c>
      <c r="U67" s="5">
        <f>averageResponseTimePorter(Dates!$C$10,Dates!$T$11,'Day4'!$B13)</f>
        <v>0</v>
      </c>
    </row>
    <row r="68" spans="2:21" x14ac:dyDescent="0.3">
      <c r="B68" s="7" t="str">
        <f t="shared" si="2"/>
        <v>NA14</v>
      </c>
      <c r="C68" s="5">
        <f>averageResponseTimePorter(Dates!C$10,Dates!C$11,'Day4'!$B68)</f>
        <v>0</v>
      </c>
      <c r="D68" s="5">
        <f>averageResponseTimePorter(Dates!D$10,Dates!D$11,'Day4'!$B68)</f>
        <v>0</v>
      </c>
      <c r="E68" s="5">
        <f>averageResponseTimePorter(Dates!E$10,Dates!E$11,'Day4'!$B68)</f>
        <v>0</v>
      </c>
      <c r="F68" s="5">
        <f>averageResponseTimePorter(Dates!F$10,Dates!F$11,'Day4'!$B68)</f>
        <v>0</v>
      </c>
      <c r="G68" s="5">
        <f>averageResponseTimePorter(Dates!G$10,Dates!G$11,'Day4'!$B68)</f>
        <v>0</v>
      </c>
      <c r="H68" s="5">
        <f>averageResponseTimePorter(Dates!H$10,Dates!H$11,'Day4'!$B68)</f>
        <v>0</v>
      </c>
      <c r="I68" s="5">
        <f>averageResponseTimePorter(Dates!I$10,Dates!I$11,'Day4'!$B68)</f>
        <v>0</v>
      </c>
      <c r="J68" s="5">
        <f>averageResponseTimePorter(Dates!J$10,Dates!J$11,'Day4'!$B68)</f>
        <v>0</v>
      </c>
      <c r="K68" s="5">
        <f>averageResponseTimePorter(Dates!K$10,Dates!K$11,'Day4'!$B68)</f>
        <v>0</v>
      </c>
      <c r="L68" s="5">
        <f>averageResponseTimePorter(Dates!L$10,Dates!L$11,'Day4'!$B68)</f>
        <v>0</v>
      </c>
      <c r="M68" s="5">
        <f>averageResponseTimePorter(Dates!M$10,Dates!M$11,'Day4'!$B68)</f>
        <v>0</v>
      </c>
      <c r="N68" s="5">
        <f>averageResponseTimePorter(Dates!N$10,Dates!N$11,'Day4'!$B68)</f>
        <v>0</v>
      </c>
      <c r="O68" s="5">
        <f>averageResponseTimePorter(Dates!O$10,Dates!O$11,'Day4'!$B68)</f>
        <v>0</v>
      </c>
      <c r="P68" s="5">
        <f>averageResponseTimePorter(Dates!P$10,Dates!P$11,'Day4'!$B68)</f>
        <v>0</v>
      </c>
      <c r="Q68" s="5">
        <f>averageResponseTimePorter(Dates!Q$10,Dates!Q$11,'Day4'!$B68)</f>
        <v>0</v>
      </c>
      <c r="R68" s="5">
        <f>averageResponseTimePorter(Dates!R$10,Dates!R$11,'Day4'!$B68)</f>
        <v>0</v>
      </c>
      <c r="S68" s="5">
        <f>averageResponseTimePorter(Dates!S$10,Dates!S$11,'Day4'!$B68)</f>
        <v>0</v>
      </c>
      <c r="T68" s="5">
        <f>averageResponseTimePorter(Dates!T$10,Dates!T$11,'Day4'!$B68)</f>
        <v>0</v>
      </c>
      <c r="U68" s="5">
        <f>averageResponseTimePorter(Dates!$C$10,Dates!$T$11,'Day4'!$B14)</f>
        <v>0</v>
      </c>
    </row>
    <row r="69" spans="2:21" x14ac:dyDescent="0.3">
      <c r="B69" s="7" t="str">
        <f t="shared" si="2"/>
        <v>NA15</v>
      </c>
      <c r="C69" s="5">
        <f>averageResponseTimePorter(Dates!C$10,Dates!C$11,'Day4'!$B69)</f>
        <v>0</v>
      </c>
      <c r="D69" s="5">
        <f>averageResponseTimePorter(Dates!D$10,Dates!D$11,'Day4'!$B69)</f>
        <v>0</v>
      </c>
      <c r="E69" s="5">
        <f>averageResponseTimePorter(Dates!E$10,Dates!E$11,'Day4'!$B69)</f>
        <v>0</v>
      </c>
      <c r="F69" s="5">
        <f>averageResponseTimePorter(Dates!F$10,Dates!F$11,'Day4'!$B69)</f>
        <v>0</v>
      </c>
      <c r="G69" s="5">
        <f>averageResponseTimePorter(Dates!G$10,Dates!G$11,'Day4'!$B69)</f>
        <v>0</v>
      </c>
      <c r="H69" s="5">
        <f>averageResponseTimePorter(Dates!H$10,Dates!H$11,'Day4'!$B69)</f>
        <v>0</v>
      </c>
      <c r="I69" s="5">
        <f>averageResponseTimePorter(Dates!I$10,Dates!I$11,'Day4'!$B69)</f>
        <v>0</v>
      </c>
      <c r="J69" s="5">
        <f>averageResponseTimePorter(Dates!J$10,Dates!J$11,'Day4'!$B69)</f>
        <v>0</v>
      </c>
      <c r="K69" s="5">
        <f>averageResponseTimePorter(Dates!K$10,Dates!K$11,'Day4'!$B69)</f>
        <v>0</v>
      </c>
      <c r="L69" s="5">
        <f>averageResponseTimePorter(Dates!L$10,Dates!L$11,'Day4'!$B69)</f>
        <v>0</v>
      </c>
      <c r="M69" s="5">
        <f>averageResponseTimePorter(Dates!M$10,Dates!M$11,'Day4'!$B69)</f>
        <v>0</v>
      </c>
      <c r="N69" s="5">
        <f>averageResponseTimePorter(Dates!N$10,Dates!N$11,'Day4'!$B69)</f>
        <v>0</v>
      </c>
      <c r="O69" s="5">
        <f>averageResponseTimePorter(Dates!O$10,Dates!O$11,'Day4'!$B69)</f>
        <v>0</v>
      </c>
      <c r="P69" s="5">
        <f>averageResponseTimePorter(Dates!P$10,Dates!P$11,'Day4'!$B69)</f>
        <v>0</v>
      </c>
      <c r="Q69" s="5">
        <f>averageResponseTimePorter(Dates!Q$10,Dates!Q$11,'Day4'!$B69)</f>
        <v>0</v>
      </c>
      <c r="R69" s="5">
        <f>averageResponseTimePorter(Dates!R$10,Dates!R$11,'Day4'!$B69)</f>
        <v>0</v>
      </c>
      <c r="S69" s="5">
        <f>averageResponseTimePorter(Dates!S$10,Dates!S$11,'Day4'!$B69)</f>
        <v>0</v>
      </c>
      <c r="T69" s="5">
        <f>averageResponseTimePorter(Dates!T$10,Dates!T$11,'Day4'!$B69)</f>
        <v>0</v>
      </c>
      <c r="U69" s="5">
        <f>averageResponseTimePorter(Dates!$C$10,Dates!$T$11,'Day4'!$B15)</f>
        <v>0</v>
      </c>
    </row>
    <row r="70" spans="2:21" x14ac:dyDescent="0.3">
      <c r="B70" s="7" t="str">
        <f t="shared" si="2"/>
        <v>NA16</v>
      </c>
      <c r="C70" s="5">
        <f>averageResponseTimePorter(Dates!C$10,Dates!C$11,'Day4'!$B70)</f>
        <v>0</v>
      </c>
      <c r="D70" s="5">
        <f>averageResponseTimePorter(Dates!D$10,Dates!D$11,'Day4'!$B70)</f>
        <v>0</v>
      </c>
      <c r="E70" s="5">
        <f>averageResponseTimePorter(Dates!E$10,Dates!E$11,'Day4'!$B70)</f>
        <v>0</v>
      </c>
      <c r="F70" s="5">
        <f>averageResponseTimePorter(Dates!F$10,Dates!F$11,'Day4'!$B70)</f>
        <v>0</v>
      </c>
      <c r="G70" s="5">
        <f>averageResponseTimePorter(Dates!G$10,Dates!G$11,'Day4'!$B70)</f>
        <v>0</v>
      </c>
      <c r="H70" s="5">
        <f>averageResponseTimePorter(Dates!H$10,Dates!H$11,'Day4'!$B70)</f>
        <v>0</v>
      </c>
      <c r="I70" s="5">
        <f>averageResponseTimePorter(Dates!I$10,Dates!I$11,'Day4'!$B70)</f>
        <v>0</v>
      </c>
      <c r="J70" s="5">
        <f>averageResponseTimePorter(Dates!J$10,Dates!J$11,'Day4'!$B70)</f>
        <v>0</v>
      </c>
      <c r="K70" s="5">
        <f>averageResponseTimePorter(Dates!K$10,Dates!K$11,'Day4'!$B70)</f>
        <v>0</v>
      </c>
      <c r="L70" s="5">
        <f>averageResponseTimePorter(Dates!L$10,Dates!L$11,'Day4'!$B70)</f>
        <v>0</v>
      </c>
      <c r="M70" s="5">
        <f>averageResponseTimePorter(Dates!M$10,Dates!M$11,'Day4'!$B70)</f>
        <v>0</v>
      </c>
      <c r="N70" s="5">
        <f>averageResponseTimePorter(Dates!N$10,Dates!N$11,'Day4'!$B70)</f>
        <v>0</v>
      </c>
      <c r="O70" s="5">
        <f>averageResponseTimePorter(Dates!O$10,Dates!O$11,'Day4'!$B70)</f>
        <v>0</v>
      </c>
      <c r="P70" s="5">
        <f>averageResponseTimePorter(Dates!P$10,Dates!P$11,'Day4'!$B70)</f>
        <v>0</v>
      </c>
      <c r="Q70" s="5">
        <f>averageResponseTimePorter(Dates!Q$10,Dates!Q$11,'Day4'!$B70)</f>
        <v>0</v>
      </c>
      <c r="R70" s="5">
        <f>averageResponseTimePorter(Dates!R$10,Dates!R$11,'Day4'!$B70)</f>
        <v>0</v>
      </c>
      <c r="S70" s="5">
        <f>averageResponseTimePorter(Dates!S$10,Dates!S$11,'Day4'!$B70)</f>
        <v>0</v>
      </c>
      <c r="T70" s="5">
        <f>averageResponseTimePorter(Dates!T$10,Dates!T$11,'Day4'!$B70)</f>
        <v>0</v>
      </c>
      <c r="U70" s="5">
        <f>averageResponseTimePorter(Dates!$C$10,Dates!$T$11,'Day4'!$B16)</f>
        <v>0</v>
      </c>
    </row>
    <row r="71" spans="2:21" x14ac:dyDescent="0.3">
      <c r="B71" s="7" t="str">
        <f t="shared" si="2"/>
        <v>NA17</v>
      </c>
      <c r="C71" s="5">
        <f>averageResponseTimePorter(Dates!C$10,Dates!C$11,'Day4'!$B71)</f>
        <v>0</v>
      </c>
      <c r="D71" s="5">
        <f>averageResponseTimePorter(Dates!D$10,Dates!D$11,'Day4'!$B71)</f>
        <v>0</v>
      </c>
      <c r="E71" s="5">
        <f>averageResponseTimePorter(Dates!E$10,Dates!E$11,'Day4'!$B71)</f>
        <v>0</v>
      </c>
      <c r="F71" s="5">
        <f>averageResponseTimePorter(Dates!F$10,Dates!F$11,'Day4'!$B71)</f>
        <v>0</v>
      </c>
      <c r="G71" s="5">
        <f>averageResponseTimePorter(Dates!G$10,Dates!G$11,'Day4'!$B71)</f>
        <v>0</v>
      </c>
      <c r="H71" s="5">
        <f>averageResponseTimePorter(Dates!H$10,Dates!H$11,'Day4'!$B71)</f>
        <v>0</v>
      </c>
      <c r="I71" s="5">
        <f>averageResponseTimePorter(Dates!I$10,Dates!I$11,'Day4'!$B71)</f>
        <v>0</v>
      </c>
      <c r="J71" s="5">
        <f>averageResponseTimePorter(Dates!J$10,Dates!J$11,'Day4'!$B71)</f>
        <v>0</v>
      </c>
      <c r="K71" s="5">
        <f>averageResponseTimePorter(Dates!K$10,Dates!K$11,'Day4'!$B71)</f>
        <v>0</v>
      </c>
      <c r="L71" s="5">
        <f>averageResponseTimePorter(Dates!L$10,Dates!L$11,'Day4'!$B71)</f>
        <v>0</v>
      </c>
      <c r="M71" s="5">
        <f>averageResponseTimePorter(Dates!M$10,Dates!M$11,'Day4'!$B71)</f>
        <v>0</v>
      </c>
      <c r="N71" s="5">
        <f>averageResponseTimePorter(Dates!N$10,Dates!N$11,'Day4'!$B71)</f>
        <v>0</v>
      </c>
      <c r="O71" s="5">
        <f>averageResponseTimePorter(Dates!O$10,Dates!O$11,'Day4'!$B71)</f>
        <v>0</v>
      </c>
      <c r="P71" s="5">
        <f>averageResponseTimePorter(Dates!P$10,Dates!P$11,'Day4'!$B71)</f>
        <v>0</v>
      </c>
      <c r="Q71" s="5">
        <f>averageResponseTimePorter(Dates!Q$10,Dates!Q$11,'Day4'!$B71)</f>
        <v>0</v>
      </c>
      <c r="R71" s="5">
        <f>averageResponseTimePorter(Dates!R$10,Dates!R$11,'Day4'!$B71)</f>
        <v>0</v>
      </c>
      <c r="S71" s="5">
        <f>averageResponseTimePorter(Dates!S$10,Dates!S$11,'Day4'!$B71)</f>
        <v>0</v>
      </c>
      <c r="T71" s="5">
        <f>averageResponseTimePorter(Dates!T$10,Dates!T$11,'Day4'!$B71)</f>
        <v>0</v>
      </c>
      <c r="U71" s="5">
        <f>averageResponseTimePorter(Dates!$C$10,Dates!$T$11,'Day4'!$B17)</f>
        <v>0</v>
      </c>
    </row>
    <row r="72" spans="2:21" x14ac:dyDescent="0.3">
      <c r="B72" s="7" t="str">
        <f t="shared" si="2"/>
        <v>NA18</v>
      </c>
      <c r="C72" s="5">
        <f>averageResponseTimePorter(Dates!C$10,Dates!C$11,'Day4'!$B72)</f>
        <v>0</v>
      </c>
      <c r="D72" s="5">
        <f>averageResponseTimePorter(Dates!D$10,Dates!D$11,'Day4'!$B72)</f>
        <v>0</v>
      </c>
      <c r="E72" s="5">
        <f>averageResponseTimePorter(Dates!E$10,Dates!E$11,'Day4'!$B72)</f>
        <v>0</v>
      </c>
      <c r="F72" s="5">
        <f>averageResponseTimePorter(Dates!F$10,Dates!F$11,'Day4'!$B72)</f>
        <v>0</v>
      </c>
      <c r="G72" s="5">
        <f>averageResponseTimePorter(Dates!G$10,Dates!G$11,'Day4'!$B72)</f>
        <v>0</v>
      </c>
      <c r="H72" s="5">
        <f>averageResponseTimePorter(Dates!H$10,Dates!H$11,'Day4'!$B72)</f>
        <v>0</v>
      </c>
      <c r="I72" s="5">
        <f>averageResponseTimePorter(Dates!I$10,Dates!I$11,'Day4'!$B72)</f>
        <v>0</v>
      </c>
      <c r="J72" s="5">
        <f>averageResponseTimePorter(Dates!J$10,Dates!J$11,'Day4'!$B72)</f>
        <v>0</v>
      </c>
      <c r="K72" s="5">
        <f>averageResponseTimePorter(Dates!K$10,Dates!K$11,'Day4'!$B72)</f>
        <v>0</v>
      </c>
      <c r="L72" s="5">
        <f>averageResponseTimePorter(Dates!L$10,Dates!L$11,'Day4'!$B72)</f>
        <v>0</v>
      </c>
      <c r="M72" s="5">
        <f>averageResponseTimePorter(Dates!M$10,Dates!M$11,'Day4'!$B72)</f>
        <v>0</v>
      </c>
      <c r="N72" s="5">
        <f>averageResponseTimePorter(Dates!N$10,Dates!N$11,'Day4'!$B72)</f>
        <v>0</v>
      </c>
      <c r="O72" s="5">
        <f>averageResponseTimePorter(Dates!O$10,Dates!O$11,'Day4'!$B72)</f>
        <v>0</v>
      </c>
      <c r="P72" s="5">
        <f>averageResponseTimePorter(Dates!P$10,Dates!P$11,'Day4'!$B72)</f>
        <v>0</v>
      </c>
      <c r="Q72" s="5">
        <f>averageResponseTimePorter(Dates!Q$10,Dates!Q$11,'Day4'!$B72)</f>
        <v>0</v>
      </c>
      <c r="R72" s="5">
        <f>averageResponseTimePorter(Dates!R$10,Dates!R$11,'Day4'!$B72)</f>
        <v>0</v>
      </c>
      <c r="S72" s="5">
        <f>averageResponseTimePorter(Dates!S$10,Dates!S$11,'Day4'!$B72)</f>
        <v>0</v>
      </c>
      <c r="T72" s="5">
        <f>averageResponseTimePorter(Dates!T$10,Dates!T$11,'Day4'!$B72)</f>
        <v>0</v>
      </c>
      <c r="U72" s="5">
        <f>averageResponseTimePorter(Dates!$C$10,Dates!$T$11,'Day4'!$B18)</f>
        <v>0</v>
      </c>
    </row>
    <row r="73" spans="2:21" x14ac:dyDescent="0.3">
      <c r="B73" s="7" t="str">
        <f t="shared" si="2"/>
        <v>NA19</v>
      </c>
      <c r="C73" s="5">
        <f>averageResponseTimePorter(Dates!C$10,Dates!C$11,'Day4'!$B73)</f>
        <v>0</v>
      </c>
      <c r="D73" s="5">
        <f>averageResponseTimePorter(Dates!D$10,Dates!D$11,'Day4'!$B73)</f>
        <v>0</v>
      </c>
      <c r="E73" s="5">
        <f>averageResponseTimePorter(Dates!E$10,Dates!E$11,'Day4'!$B73)</f>
        <v>0</v>
      </c>
      <c r="F73" s="5">
        <f>averageResponseTimePorter(Dates!F$10,Dates!F$11,'Day4'!$B73)</f>
        <v>0</v>
      </c>
      <c r="G73" s="5">
        <f>averageResponseTimePorter(Dates!G$10,Dates!G$11,'Day4'!$B73)</f>
        <v>0</v>
      </c>
      <c r="H73" s="5">
        <f>averageResponseTimePorter(Dates!H$10,Dates!H$11,'Day4'!$B73)</f>
        <v>0</v>
      </c>
      <c r="I73" s="5">
        <f>averageResponseTimePorter(Dates!I$10,Dates!I$11,'Day4'!$B73)</f>
        <v>0</v>
      </c>
      <c r="J73" s="5">
        <f>averageResponseTimePorter(Dates!J$10,Dates!J$11,'Day4'!$B73)</f>
        <v>0</v>
      </c>
      <c r="K73" s="5">
        <f>averageResponseTimePorter(Dates!K$10,Dates!K$11,'Day4'!$B73)</f>
        <v>0</v>
      </c>
      <c r="L73" s="5">
        <f>averageResponseTimePorter(Dates!L$10,Dates!L$11,'Day4'!$B73)</f>
        <v>0</v>
      </c>
      <c r="M73" s="5">
        <f>averageResponseTimePorter(Dates!M$10,Dates!M$11,'Day4'!$B73)</f>
        <v>0</v>
      </c>
      <c r="N73" s="5">
        <f>averageResponseTimePorter(Dates!N$10,Dates!N$11,'Day4'!$B73)</f>
        <v>0</v>
      </c>
      <c r="O73" s="5">
        <f>averageResponseTimePorter(Dates!O$10,Dates!O$11,'Day4'!$B73)</f>
        <v>0</v>
      </c>
      <c r="P73" s="5">
        <f>averageResponseTimePorter(Dates!P$10,Dates!P$11,'Day4'!$B73)</f>
        <v>0</v>
      </c>
      <c r="Q73" s="5">
        <f>averageResponseTimePorter(Dates!Q$10,Dates!Q$11,'Day4'!$B73)</f>
        <v>0</v>
      </c>
      <c r="R73" s="5">
        <f>averageResponseTimePorter(Dates!R$10,Dates!R$11,'Day4'!$B73)</f>
        <v>0</v>
      </c>
      <c r="S73" s="5">
        <f>averageResponseTimePorter(Dates!S$10,Dates!S$11,'Day4'!$B73)</f>
        <v>0</v>
      </c>
      <c r="T73" s="5">
        <f>averageResponseTimePorter(Dates!T$10,Dates!T$11,'Day4'!$B73)</f>
        <v>0</v>
      </c>
      <c r="U73" s="5">
        <f>averageResponseTimePorter(Dates!$C$10,Dates!$T$11,'Day4'!$B19)</f>
        <v>0</v>
      </c>
    </row>
    <row r="74" spans="2:21" x14ac:dyDescent="0.3">
      <c r="B74" s="7" t="str">
        <f t="shared" si="2"/>
        <v>NA20</v>
      </c>
      <c r="C74" s="5">
        <f>averageResponseTimePorter(Dates!C$10,Dates!C$11,'Day4'!$B74)</f>
        <v>0</v>
      </c>
      <c r="D74" s="5">
        <f>averageResponseTimePorter(Dates!D$10,Dates!D$11,'Day4'!$B74)</f>
        <v>0</v>
      </c>
      <c r="E74" s="5">
        <f>averageResponseTimePorter(Dates!E$10,Dates!E$11,'Day4'!$B74)</f>
        <v>0</v>
      </c>
      <c r="F74" s="5">
        <f>averageResponseTimePorter(Dates!F$10,Dates!F$11,'Day4'!$B74)</f>
        <v>0</v>
      </c>
      <c r="G74" s="5">
        <f>averageResponseTimePorter(Dates!G$10,Dates!G$11,'Day4'!$B74)</f>
        <v>0</v>
      </c>
      <c r="H74" s="5">
        <f>averageResponseTimePorter(Dates!H$10,Dates!H$11,'Day4'!$B74)</f>
        <v>0</v>
      </c>
      <c r="I74" s="5">
        <f>averageResponseTimePorter(Dates!I$10,Dates!I$11,'Day4'!$B74)</f>
        <v>0</v>
      </c>
      <c r="J74" s="5">
        <f>averageResponseTimePorter(Dates!J$10,Dates!J$11,'Day4'!$B74)</f>
        <v>0</v>
      </c>
      <c r="K74" s="5">
        <f>averageResponseTimePorter(Dates!K$10,Dates!K$11,'Day4'!$B74)</f>
        <v>0</v>
      </c>
      <c r="L74" s="5">
        <f>averageResponseTimePorter(Dates!L$10,Dates!L$11,'Day4'!$B74)</f>
        <v>0</v>
      </c>
      <c r="M74" s="5">
        <f>averageResponseTimePorter(Dates!M$10,Dates!M$11,'Day4'!$B74)</f>
        <v>0</v>
      </c>
      <c r="N74" s="5">
        <f>averageResponseTimePorter(Dates!N$10,Dates!N$11,'Day4'!$B74)</f>
        <v>0</v>
      </c>
      <c r="O74" s="5">
        <f>averageResponseTimePorter(Dates!O$10,Dates!O$11,'Day4'!$B74)</f>
        <v>0</v>
      </c>
      <c r="P74" s="5">
        <f>averageResponseTimePorter(Dates!P$10,Dates!P$11,'Day4'!$B74)</f>
        <v>0</v>
      </c>
      <c r="Q74" s="5">
        <f>averageResponseTimePorter(Dates!Q$10,Dates!Q$11,'Day4'!$B74)</f>
        <v>0</v>
      </c>
      <c r="R74" s="5">
        <f>averageResponseTimePorter(Dates!R$10,Dates!R$11,'Day4'!$B74)</f>
        <v>0</v>
      </c>
      <c r="S74" s="5">
        <f>averageResponseTimePorter(Dates!S$10,Dates!S$11,'Day4'!$B74)</f>
        <v>0</v>
      </c>
      <c r="T74" s="5">
        <f>averageResponseTimePorter(Dates!T$10,Dates!T$11,'Day4'!$B74)</f>
        <v>0</v>
      </c>
      <c r="U74" s="5">
        <f>averageResponseTimePorter(Dates!$C$10,Dates!$T$11,'Day4'!$B20)</f>
        <v>0</v>
      </c>
    </row>
    <row r="75" spans="2:21" x14ac:dyDescent="0.3">
      <c r="B75" s="7" t="str">
        <f t="shared" si="2"/>
        <v>NA21</v>
      </c>
      <c r="C75" s="5">
        <f>averageResponseTimePorter(Dates!C$10,Dates!C$11,'Day4'!$B75)</f>
        <v>0</v>
      </c>
      <c r="D75" s="5">
        <f>averageResponseTimePorter(Dates!D$10,Dates!D$11,'Day4'!$B75)</f>
        <v>0</v>
      </c>
      <c r="E75" s="5">
        <f>averageResponseTimePorter(Dates!E$10,Dates!E$11,'Day4'!$B75)</f>
        <v>0</v>
      </c>
      <c r="F75" s="5">
        <f>averageResponseTimePorter(Dates!F$10,Dates!F$11,'Day4'!$B75)</f>
        <v>0</v>
      </c>
      <c r="G75" s="5">
        <f>averageResponseTimePorter(Dates!G$10,Dates!G$11,'Day4'!$B75)</f>
        <v>0</v>
      </c>
      <c r="H75" s="5">
        <f>averageResponseTimePorter(Dates!H$10,Dates!H$11,'Day4'!$B75)</f>
        <v>0</v>
      </c>
      <c r="I75" s="5">
        <f>averageResponseTimePorter(Dates!I$10,Dates!I$11,'Day4'!$B75)</f>
        <v>0</v>
      </c>
      <c r="J75" s="5">
        <f>averageResponseTimePorter(Dates!J$10,Dates!J$11,'Day4'!$B75)</f>
        <v>0</v>
      </c>
      <c r="K75" s="5">
        <f>averageResponseTimePorter(Dates!K$10,Dates!K$11,'Day4'!$B75)</f>
        <v>0</v>
      </c>
      <c r="L75" s="5">
        <f>averageResponseTimePorter(Dates!L$10,Dates!L$11,'Day4'!$B75)</f>
        <v>0</v>
      </c>
      <c r="M75" s="5">
        <f>averageResponseTimePorter(Dates!M$10,Dates!M$11,'Day4'!$B75)</f>
        <v>0</v>
      </c>
      <c r="N75" s="5">
        <f>averageResponseTimePorter(Dates!N$10,Dates!N$11,'Day4'!$B75)</f>
        <v>0</v>
      </c>
      <c r="O75" s="5">
        <f>averageResponseTimePorter(Dates!O$10,Dates!O$11,'Day4'!$B75)</f>
        <v>0</v>
      </c>
      <c r="P75" s="5">
        <f>averageResponseTimePorter(Dates!P$10,Dates!P$11,'Day4'!$B75)</f>
        <v>0</v>
      </c>
      <c r="Q75" s="5">
        <f>averageResponseTimePorter(Dates!Q$10,Dates!Q$11,'Day4'!$B75)</f>
        <v>0</v>
      </c>
      <c r="R75" s="5">
        <f>averageResponseTimePorter(Dates!R$10,Dates!R$11,'Day4'!$B75)</f>
        <v>0</v>
      </c>
      <c r="S75" s="5">
        <f>averageResponseTimePorter(Dates!S$10,Dates!S$11,'Day4'!$B75)</f>
        <v>0</v>
      </c>
      <c r="T75" s="5">
        <f>averageResponseTimePorter(Dates!T$10,Dates!T$11,'Day4'!$B75)</f>
        <v>0</v>
      </c>
      <c r="U75" s="5">
        <f>averageResponseTimePorter(Dates!$C$10,Dates!$T$11,'Day4'!$B21)</f>
        <v>0</v>
      </c>
    </row>
    <row r="76" spans="2:21" x14ac:dyDescent="0.3">
      <c r="B76" s="7" t="str">
        <f t="shared" si="2"/>
        <v>NA22</v>
      </c>
      <c r="C76" s="5">
        <f>averageResponseTimePorter(Dates!C$10,Dates!C$11,'Day4'!$B76)</f>
        <v>0</v>
      </c>
      <c r="D76" s="5">
        <f>averageResponseTimePorter(Dates!D$10,Dates!D$11,'Day4'!$B76)</f>
        <v>0</v>
      </c>
      <c r="E76" s="5">
        <f>averageResponseTimePorter(Dates!E$10,Dates!E$11,'Day4'!$B76)</f>
        <v>0</v>
      </c>
      <c r="F76" s="5">
        <f>averageResponseTimePorter(Dates!F$10,Dates!F$11,'Day4'!$B76)</f>
        <v>0</v>
      </c>
      <c r="G76" s="5">
        <f>averageResponseTimePorter(Dates!G$10,Dates!G$11,'Day4'!$B76)</f>
        <v>0</v>
      </c>
      <c r="H76" s="5">
        <f>averageResponseTimePorter(Dates!H$10,Dates!H$11,'Day4'!$B76)</f>
        <v>0</v>
      </c>
      <c r="I76" s="5">
        <f>averageResponseTimePorter(Dates!I$10,Dates!I$11,'Day4'!$B76)</f>
        <v>0</v>
      </c>
      <c r="J76" s="5">
        <f>averageResponseTimePorter(Dates!J$10,Dates!J$11,'Day4'!$B76)</f>
        <v>0</v>
      </c>
      <c r="K76" s="5">
        <f>averageResponseTimePorter(Dates!K$10,Dates!K$11,'Day4'!$B76)</f>
        <v>0</v>
      </c>
      <c r="L76" s="5">
        <f>averageResponseTimePorter(Dates!L$10,Dates!L$11,'Day4'!$B76)</f>
        <v>0</v>
      </c>
      <c r="M76" s="5">
        <f>averageResponseTimePorter(Dates!M$10,Dates!M$11,'Day4'!$B76)</f>
        <v>0</v>
      </c>
      <c r="N76" s="5">
        <f>averageResponseTimePorter(Dates!N$10,Dates!N$11,'Day4'!$B76)</f>
        <v>0</v>
      </c>
      <c r="O76" s="5">
        <f>averageResponseTimePorter(Dates!O$10,Dates!O$11,'Day4'!$B76)</f>
        <v>0</v>
      </c>
      <c r="P76" s="5">
        <f>averageResponseTimePorter(Dates!P$10,Dates!P$11,'Day4'!$B76)</f>
        <v>0</v>
      </c>
      <c r="Q76" s="5">
        <f>averageResponseTimePorter(Dates!Q$10,Dates!Q$11,'Day4'!$B76)</f>
        <v>0</v>
      </c>
      <c r="R76" s="5">
        <f>averageResponseTimePorter(Dates!R$10,Dates!R$11,'Day4'!$B76)</f>
        <v>0</v>
      </c>
      <c r="S76" s="5">
        <f>averageResponseTimePorter(Dates!S$10,Dates!S$11,'Day4'!$B76)</f>
        <v>0</v>
      </c>
      <c r="T76" s="5">
        <f>averageResponseTimePorter(Dates!T$10,Dates!T$11,'Day4'!$B76)</f>
        <v>0</v>
      </c>
      <c r="U76" s="5">
        <f>averageResponseTimePorter(Dates!$C$10,Dates!$T$11,'Day4'!$B22)</f>
        <v>0</v>
      </c>
    </row>
    <row r="77" spans="2:21" x14ac:dyDescent="0.3">
      <c r="B77" s="7" t="str">
        <f t="shared" si="2"/>
        <v>NA23</v>
      </c>
      <c r="C77" s="5">
        <f>averageResponseTimePorter(Dates!C$10,Dates!C$11,'Day4'!$B77)</f>
        <v>0</v>
      </c>
      <c r="D77" s="5">
        <f>averageResponseTimePorter(Dates!D$10,Dates!D$11,'Day4'!$B77)</f>
        <v>0</v>
      </c>
      <c r="E77" s="5">
        <f>averageResponseTimePorter(Dates!E$10,Dates!E$11,'Day4'!$B77)</f>
        <v>0</v>
      </c>
      <c r="F77" s="5">
        <f>averageResponseTimePorter(Dates!F$10,Dates!F$11,'Day4'!$B77)</f>
        <v>0</v>
      </c>
      <c r="G77" s="5">
        <f>averageResponseTimePorter(Dates!G$10,Dates!G$11,'Day4'!$B77)</f>
        <v>0</v>
      </c>
      <c r="H77" s="5">
        <f>averageResponseTimePorter(Dates!H$10,Dates!H$11,'Day4'!$B77)</f>
        <v>0</v>
      </c>
      <c r="I77" s="5">
        <f>averageResponseTimePorter(Dates!I$10,Dates!I$11,'Day4'!$B77)</f>
        <v>0</v>
      </c>
      <c r="J77" s="5">
        <f>averageResponseTimePorter(Dates!J$10,Dates!J$11,'Day4'!$B77)</f>
        <v>0</v>
      </c>
      <c r="K77" s="5">
        <f>averageResponseTimePorter(Dates!K$10,Dates!K$11,'Day4'!$B77)</f>
        <v>0</v>
      </c>
      <c r="L77" s="5">
        <f>averageResponseTimePorter(Dates!L$10,Dates!L$11,'Day4'!$B77)</f>
        <v>0</v>
      </c>
      <c r="M77" s="5">
        <f>averageResponseTimePorter(Dates!M$10,Dates!M$11,'Day4'!$B77)</f>
        <v>0</v>
      </c>
      <c r="N77" s="5">
        <f>averageResponseTimePorter(Dates!N$10,Dates!N$11,'Day4'!$B77)</f>
        <v>0</v>
      </c>
      <c r="O77" s="5">
        <f>averageResponseTimePorter(Dates!O$10,Dates!O$11,'Day4'!$B77)</f>
        <v>0</v>
      </c>
      <c r="P77" s="5">
        <f>averageResponseTimePorter(Dates!P$10,Dates!P$11,'Day4'!$B77)</f>
        <v>0</v>
      </c>
      <c r="Q77" s="5">
        <f>averageResponseTimePorter(Dates!Q$10,Dates!Q$11,'Day4'!$B77)</f>
        <v>0</v>
      </c>
      <c r="R77" s="5">
        <f>averageResponseTimePorter(Dates!R$10,Dates!R$11,'Day4'!$B77)</f>
        <v>0</v>
      </c>
      <c r="S77" s="5">
        <f>averageResponseTimePorter(Dates!S$10,Dates!S$11,'Day4'!$B77)</f>
        <v>0</v>
      </c>
      <c r="T77" s="5">
        <f>averageResponseTimePorter(Dates!T$10,Dates!T$11,'Day4'!$B77)</f>
        <v>0</v>
      </c>
      <c r="U77" s="5">
        <f>averageResponseTimePorter(Dates!$C$10,Dates!$T$11,'Day4'!$B23)</f>
        <v>0</v>
      </c>
    </row>
    <row r="78" spans="2:21" x14ac:dyDescent="0.3">
      <c r="B78" s="7" t="str">
        <f t="shared" si="2"/>
        <v>NA24</v>
      </c>
      <c r="C78" s="5">
        <f>averageResponseTimePorter(Dates!C$10,Dates!C$11,'Day4'!$B78)</f>
        <v>0</v>
      </c>
      <c r="D78" s="5">
        <f>averageResponseTimePorter(Dates!D$10,Dates!D$11,'Day4'!$B78)</f>
        <v>0</v>
      </c>
      <c r="E78" s="5">
        <f>averageResponseTimePorter(Dates!E$10,Dates!E$11,'Day4'!$B78)</f>
        <v>0</v>
      </c>
      <c r="F78" s="5">
        <f>averageResponseTimePorter(Dates!F$10,Dates!F$11,'Day4'!$B78)</f>
        <v>0</v>
      </c>
      <c r="G78" s="5">
        <f>averageResponseTimePorter(Dates!G$10,Dates!G$11,'Day4'!$B78)</f>
        <v>0</v>
      </c>
      <c r="H78" s="5">
        <f>averageResponseTimePorter(Dates!H$10,Dates!H$11,'Day4'!$B78)</f>
        <v>0</v>
      </c>
      <c r="I78" s="5">
        <f>averageResponseTimePorter(Dates!I$10,Dates!I$11,'Day4'!$B78)</f>
        <v>0</v>
      </c>
      <c r="J78" s="5">
        <f>averageResponseTimePorter(Dates!J$10,Dates!J$11,'Day4'!$B78)</f>
        <v>0</v>
      </c>
      <c r="K78" s="5">
        <f>averageResponseTimePorter(Dates!K$10,Dates!K$11,'Day4'!$B78)</f>
        <v>0</v>
      </c>
      <c r="L78" s="5">
        <f>averageResponseTimePorter(Dates!L$10,Dates!L$11,'Day4'!$B78)</f>
        <v>0</v>
      </c>
      <c r="M78" s="5">
        <f>averageResponseTimePorter(Dates!M$10,Dates!M$11,'Day4'!$B78)</f>
        <v>0</v>
      </c>
      <c r="N78" s="5">
        <f>averageResponseTimePorter(Dates!N$10,Dates!N$11,'Day4'!$B78)</f>
        <v>0</v>
      </c>
      <c r="O78" s="5">
        <f>averageResponseTimePorter(Dates!O$10,Dates!O$11,'Day4'!$B78)</f>
        <v>0</v>
      </c>
      <c r="P78" s="5">
        <f>averageResponseTimePorter(Dates!P$10,Dates!P$11,'Day4'!$B78)</f>
        <v>0</v>
      </c>
      <c r="Q78" s="5">
        <f>averageResponseTimePorter(Dates!Q$10,Dates!Q$11,'Day4'!$B78)</f>
        <v>0</v>
      </c>
      <c r="R78" s="5">
        <f>averageResponseTimePorter(Dates!R$10,Dates!R$11,'Day4'!$B78)</f>
        <v>0</v>
      </c>
      <c r="S78" s="5">
        <f>averageResponseTimePorter(Dates!S$10,Dates!S$11,'Day4'!$B78)</f>
        <v>0</v>
      </c>
      <c r="T78" s="5">
        <f>averageResponseTimePorter(Dates!T$10,Dates!T$11,'Day4'!$B78)</f>
        <v>0</v>
      </c>
      <c r="U78" s="5">
        <f>averageResponseTimePorter(Dates!$C$10,Dates!$T$11,'Day4'!$B24)</f>
        <v>0</v>
      </c>
    </row>
    <row r="79" spans="2:21" x14ac:dyDescent="0.3">
      <c r="B79" s="7" t="str">
        <f t="shared" si="2"/>
        <v>NA25</v>
      </c>
      <c r="C79" s="5">
        <f>averageResponseTimePorter(Dates!C$10,Dates!C$11,'Day4'!$B79)</f>
        <v>0</v>
      </c>
      <c r="D79" s="5">
        <f>averageResponseTimePorter(Dates!D$10,Dates!D$11,'Day4'!$B79)</f>
        <v>0</v>
      </c>
      <c r="E79" s="5">
        <f>averageResponseTimePorter(Dates!E$10,Dates!E$11,'Day4'!$B79)</f>
        <v>0</v>
      </c>
      <c r="F79" s="5">
        <f>averageResponseTimePorter(Dates!F$10,Dates!F$11,'Day4'!$B79)</f>
        <v>0</v>
      </c>
      <c r="G79" s="5">
        <f>averageResponseTimePorter(Dates!G$10,Dates!G$11,'Day4'!$B79)</f>
        <v>0</v>
      </c>
      <c r="H79" s="5">
        <f>averageResponseTimePorter(Dates!H$10,Dates!H$11,'Day4'!$B79)</f>
        <v>0</v>
      </c>
      <c r="I79" s="5">
        <f>averageResponseTimePorter(Dates!I$10,Dates!I$11,'Day4'!$B79)</f>
        <v>0</v>
      </c>
      <c r="J79" s="5">
        <f>averageResponseTimePorter(Dates!J$10,Dates!J$11,'Day4'!$B79)</f>
        <v>0</v>
      </c>
      <c r="K79" s="5">
        <f>averageResponseTimePorter(Dates!K$10,Dates!K$11,'Day4'!$B79)</f>
        <v>0</v>
      </c>
      <c r="L79" s="5">
        <f>averageResponseTimePorter(Dates!L$10,Dates!L$11,'Day4'!$B79)</f>
        <v>0</v>
      </c>
      <c r="M79" s="5">
        <f>averageResponseTimePorter(Dates!M$10,Dates!M$11,'Day4'!$B79)</f>
        <v>0</v>
      </c>
      <c r="N79" s="5">
        <f>averageResponseTimePorter(Dates!N$10,Dates!N$11,'Day4'!$B79)</f>
        <v>0</v>
      </c>
      <c r="O79" s="5">
        <f>averageResponseTimePorter(Dates!O$10,Dates!O$11,'Day4'!$B79)</f>
        <v>0</v>
      </c>
      <c r="P79" s="5">
        <f>averageResponseTimePorter(Dates!P$10,Dates!P$11,'Day4'!$B79)</f>
        <v>0</v>
      </c>
      <c r="Q79" s="5">
        <f>averageResponseTimePorter(Dates!Q$10,Dates!Q$11,'Day4'!$B79)</f>
        <v>0</v>
      </c>
      <c r="R79" s="5">
        <f>averageResponseTimePorter(Dates!R$10,Dates!R$11,'Day4'!$B79)</f>
        <v>0</v>
      </c>
      <c r="S79" s="5">
        <f>averageResponseTimePorter(Dates!S$10,Dates!S$11,'Day4'!$B79)</f>
        <v>0</v>
      </c>
      <c r="T79" s="5">
        <f>averageResponseTimePorter(Dates!T$10,Dates!T$11,'Day4'!$B79)</f>
        <v>0</v>
      </c>
      <c r="U79" s="5">
        <f>averageResponseTimePorter(Dates!$C$10,Dates!$T$11,'Day4'!$B25)</f>
        <v>0</v>
      </c>
    </row>
    <row r="80" spans="2:21" x14ac:dyDescent="0.3">
      <c r="B80" s="7" t="str">
        <f t="shared" si="2"/>
        <v>NA26</v>
      </c>
      <c r="C80" s="5">
        <f>averageResponseTimePorter(Dates!C$10,Dates!C$11,'Day4'!$B80)</f>
        <v>0</v>
      </c>
      <c r="D80" s="5">
        <f>averageResponseTimePorter(Dates!D$10,Dates!D$11,'Day4'!$B80)</f>
        <v>0</v>
      </c>
      <c r="E80" s="5">
        <f>averageResponseTimePorter(Dates!E$10,Dates!E$11,'Day4'!$B80)</f>
        <v>0</v>
      </c>
      <c r="F80" s="5">
        <f>averageResponseTimePorter(Dates!F$10,Dates!F$11,'Day4'!$B80)</f>
        <v>0</v>
      </c>
      <c r="G80" s="5">
        <f>averageResponseTimePorter(Dates!G$10,Dates!G$11,'Day4'!$B80)</f>
        <v>0</v>
      </c>
      <c r="H80" s="5">
        <f>averageResponseTimePorter(Dates!H$10,Dates!H$11,'Day4'!$B80)</f>
        <v>0</v>
      </c>
      <c r="I80" s="5">
        <f>averageResponseTimePorter(Dates!I$10,Dates!I$11,'Day4'!$B80)</f>
        <v>0</v>
      </c>
      <c r="J80" s="5">
        <f>averageResponseTimePorter(Dates!J$10,Dates!J$11,'Day4'!$B80)</f>
        <v>0</v>
      </c>
      <c r="K80" s="5">
        <f>averageResponseTimePorter(Dates!K$10,Dates!K$11,'Day4'!$B80)</f>
        <v>0</v>
      </c>
      <c r="L80" s="5">
        <f>averageResponseTimePorter(Dates!L$10,Dates!L$11,'Day4'!$B80)</f>
        <v>0</v>
      </c>
      <c r="M80" s="5">
        <f>averageResponseTimePorter(Dates!M$10,Dates!M$11,'Day4'!$B80)</f>
        <v>0</v>
      </c>
      <c r="N80" s="5">
        <f>averageResponseTimePorter(Dates!N$10,Dates!N$11,'Day4'!$B80)</f>
        <v>0</v>
      </c>
      <c r="O80" s="5">
        <f>averageResponseTimePorter(Dates!O$10,Dates!O$11,'Day4'!$B80)</f>
        <v>0</v>
      </c>
      <c r="P80" s="5">
        <f>averageResponseTimePorter(Dates!P$10,Dates!P$11,'Day4'!$B80)</f>
        <v>0</v>
      </c>
      <c r="Q80" s="5">
        <f>averageResponseTimePorter(Dates!Q$10,Dates!Q$11,'Day4'!$B80)</f>
        <v>0</v>
      </c>
      <c r="R80" s="5">
        <f>averageResponseTimePorter(Dates!R$10,Dates!R$11,'Day4'!$B80)</f>
        <v>0</v>
      </c>
      <c r="S80" s="5">
        <f>averageResponseTimePorter(Dates!S$10,Dates!S$11,'Day4'!$B80)</f>
        <v>0</v>
      </c>
      <c r="T80" s="5">
        <f>averageResponseTimePorter(Dates!T$10,Dates!T$11,'Day4'!$B80)</f>
        <v>0</v>
      </c>
      <c r="U80" s="5">
        <f>averageResponseTimePorter(Dates!$C$10,Dates!$T$11,'Day4'!$B26)</f>
        <v>0</v>
      </c>
    </row>
    <row r="81" spans="2:21" x14ac:dyDescent="0.3">
      <c r="B81" s="7" t="str">
        <f t="shared" si="2"/>
        <v>NA27</v>
      </c>
      <c r="C81" s="5">
        <f>averageResponseTimePorter(Dates!C$10,Dates!C$11,'Day4'!$B81)</f>
        <v>0</v>
      </c>
      <c r="D81" s="5">
        <f>averageResponseTimePorter(Dates!D$10,Dates!D$11,'Day4'!$B81)</f>
        <v>0</v>
      </c>
      <c r="E81" s="5">
        <f>averageResponseTimePorter(Dates!E$10,Dates!E$11,'Day4'!$B81)</f>
        <v>0</v>
      </c>
      <c r="F81" s="5">
        <f>averageResponseTimePorter(Dates!F$10,Dates!F$11,'Day4'!$B81)</f>
        <v>0</v>
      </c>
      <c r="G81" s="5">
        <f>averageResponseTimePorter(Dates!G$10,Dates!G$11,'Day4'!$B81)</f>
        <v>0</v>
      </c>
      <c r="H81" s="5">
        <f>averageResponseTimePorter(Dates!H$10,Dates!H$11,'Day4'!$B81)</f>
        <v>0</v>
      </c>
      <c r="I81" s="5">
        <f>averageResponseTimePorter(Dates!I$10,Dates!I$11,'Day4'!$B81)</f>
        <v>0</v>
      </c>
      <c r="J81" s="5">
        <f>averageResponseTimePorter(Dates!J$10,Dates!J$11,'Day4'!$B81)</f>
        <v>0</v>
      </c>
      <c r="K81" s="5">
        <f>averageResponseTimePorter(Dates!K$10,Dates!K$11,'Day4'!$B81)</f>
        <v>0</v>
      </c>
      <c r="L81" s="5">
        <f>averageResponseTimePorter(Dates!L$10,Dates!L$11,'Day4'!$B81)</f>
        <v>0</v>
      </c>
      <c r="M81" s="5">
        <f>averageResponseTimePorter(Dates!M$10,Dates!M$11,'Day4'!$B81)</f>
        <v>0</v>
      </c>
      <c r="N81" s="5">
        <f>averageResponseTimePorter(Dates!N$10,Dates!N$11,'Day4'!$B81)</f>
        <v>0</v>
      </c>
      <c r="O81" s="5">
        <f>averageResponseTimePorter(Dates!O$10,Dates!O$11,'Day4'!$B81)</f>
        <v>0</v>
      </c>
      <c r="P81" s="5">
        <f>averageResponseTimePorter(Dates!P$10,Dates!P$11,'Day4'!$B81)</f>
        <v>0</v>
      </c>
      <c r="Q81" s="5">
        <f>averageResponseTimePorter(Dates!Q$10,Dates!Q$11,'Day4'!$B81)</f>
        <v>0</v>
      </c>
      <c r="R81" s="5">
        <f>averageResponseTimePorter(Dates!R$10,Dates!R$11,'Day4'!$B81)</f>
        <v>0</v>
      </c>
      <c r="S81" s="5">
        <f>averageResponseTimePorter(Dates!S$10,Dates!S$11,'Day4'!$B81)</f>
        <v>0</v>
      </c>
      <c r="T81" s="5">
        <f>averageResponseTimePorter(Dates!T$10,Dates!T$11,'Day4'!$B81)</f>
        <v>0</v>
      </c>
      <c r="U81" s="5">
        <f>averageResponseTimePorter(Dates!$C$10,Dates!$T$11,'Day4'!$B27)</f>
        <v>0</v>
      </c>
    </row>
    <row r="83" spans="2:21" x14ac:dyDescent="0.3">
      <c r="B83" s="7" t="s">
        <v>67</v>
      </c>
      <c r="C83">
        <f>pendingJobs(Dates!C$11)</f>
        <v>0</v>
      </c>
      <c r="D83">
        <f>pendingJobs(Dates!D$11)</f>
        <v>0</v>
      </c>
      <c r="E83">
        <f>pendingJobs(Dates!E$11)</f>
        <v>0</v>
      </c>
      <c r="F83">
        <f>pendingJobs(Dates!F$11)</f>
        <v>0</v>
      </c>
      <c r="G83">
        <f>pendingJobs(Dates!G$11)</f>
        <v>0</v>
      </c>
      <c r="H83">
        <f>pendingJobs(Dates!H$11)</f>
        <v>0</v>
      </c>
      <c r="I83">
        <f>pendingJobs(Dates!I$11)</f>
        <v>0</v>
      </c>
      <c r="J83">
        <f>pendingJobs(Dates!J$11)</f>
        <v>0</v>
      </c>
      <c r="K83">
        <f>pendingJobs(Dates!K$11)</f>
        <v>0</v>
      </c>
      <c r="L83">
        <f>pendingJobs(Dates!L$11)</f>
        <v>0</v>
      </c>
      <c r="M83">
        <f>pendingJobs(Dates!M$11)</f>
        <v>0</v>
      </c>
      <c r="N83">
        <f>pendingJobs(Dates!N$11)</f>
        <v>0</v>
      </c>
      <c r="O83">
        <f>pendingJobs(Dates!O$11)</f>
        <v>0</v>
      </c>
      <c r="P83">
        <f>pendingJobs(Dates!P$11)</f>
        <v>0</v>
      </c>
      <c r="Q83">
        <f>pendingJobs(Dates!Q$11)</f>
        <v>0</v>
      </c>
      <c r="R83">
        <f>pendingJobs(Dates!R$11)</f>
        <v>0</v>
      </c>
      <c r="S83">
        <f>pendingJobs(Dates!S$11)</f>
        <v>0</v>
      </c>
      <c r="T83">
        <f>pendingJobs(Dates!T$11)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83"/>
  <sheetViews>
    <sheetView topLeftCell="A31" zoomScale="70" zoomScaleNormal="70" workbookViewId="0">
      <selection activeCell="I23" sqref="I2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averageCompletionTime(Dates!C$12,Dates!C$13)</f>
        <v>0</v>
      </c>
      <c r="D2" s="5">
        <f>averageCompletionTime(Dates!D$12,Dates!D$13)</f>
        <v>0</v>
      </c>
      <c r="E2" s="5">
        <f>averageCompletionTime(Dates!E$12,Dates!E$13)</f>
        <v>0</v>
      </c>
      <c r="F2" s="5">
        <f>averageCompletionTime(Dates!F$12,Dates!F$13)</f>
        <v>0</v>
      </c>
      <c r="G2" s="5">
        <f>averageCompletionTime(Dates!G$12,Dates!G$13)</f>
        <v>0</v>
      </c>
      <c r="H2" s="5">
        <f>averageCompletionTime(Dates!H$12,Dates!H$13)</f>
        <v>0</v>
      </c>
      <c r="I2" s="5">
        <f>averageCompletionTime(Dates!I$12,Dates!I$13)</f>
        <v>0</v>
      </c>
      <c r="J2" s="5">
        <f>averageCompletionTime(Dates!J$12,Dates!J$13)</f>
        <v>0</v>
      </c>
      <c r="K2" s="5">
        <f>averageCompletionTime(Dates!K$12,Dates!K$13)</f>
        <v>0</v>
      </c>
      <c r="L2" s="5">
        <f>averageCompletionTime(Dates!L$12,Dates!L$13)</f>
        <v>0</v>
      </c>
      <c r="M2" s="5">
        <f>averageCompletionTime(Dates!M$12,Dates!M$13)</f>
        <v>0</v>
      </c>
      <c r="N2" s="5">
        <f>averageCompletionTime(Dates!N$12,Dates!N$13)</f>
        <v>0</v>
      </c>
      <c r="O2" s="5">
        <f>averageCompletionTime(Dates!O$12,Dates!O$13)</f>
        <v>0</v>
      </c>
      <c r="P2" s="5">
        <f>averageCompletionTime(Dates!P$12,Dates!P$13)</f>
        <v>0</v>
      </c>
      <c r="Q2" s="5">
        <f>averageCompletionTime(Dates!Q$12,Dates!Q$13)</f>
        <v>0</v>
      </c>
      <c r="R2" s="5">
        <f>averageCompletionTime(Dates!R$12,Dates!R$13)</f>
        <v>0</v>
      </c>
      <c r="S2" s="5">
        <f>averageCompletionTime(Dates!S$12,Dates!S$13)</f>
        <v>0</v>
      </c>
      <c r="T2" s="5">
        <f>averageCompletionTime(Dates!T$12,Dates!T$13)</f>
        <v>0</v>
      </c>
      <c r="U2" s="5">
        <f>averageCompletionTime(Dates!C$12,Dates!T$13)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43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44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42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4" spans="2:21" x14ac:dyDescent="0.3">
      <c r="B24" s="8" t="s">
        <v>62</v>
      </c>
      <c r="C24" s="5">
        <f>averageCompletionTimePorter(Dates!C$12,Dates!C$13,'Day5'!$B24)</f>
        <v>0</v>
      </c>
      <c r="D24" s="5">
        <f>averageCompletionTimePorter(Dates!D$12,Dates!D$13,'Day5'!$B24)</f>
        <v>0</v>
      </c>
      <c r="E24" s="5">
        <f>averageCompletionTimePorter(Dates!E$12,Dates!E$13,'Day5'!$B24)</f>
        <v>0</v>
      </c>
      <c r="F24" s="5">
        <f>averageCompletionTimePorter(Dates!F$12,Dates!F$13,'Day5'!$B24)</f>
        <v>0</v>
      </c>
      <c r="G24" s="5">
        <f>averageCompletionTimePorter(Dates!G$12,Dates!G$13,'Day5'!$B24)</f>
        <v>0</v>
      </c>
      <c r="H24" s="5">
        <f>averageCompletionTimePorter(Dates!H$12,Dates!H$13,'Day5'!$B24)</f>
        <v>0</v>
      </c>
      <c r="I24" s="5">
        <f>averageCompletionTimePorter(Dates!I$12,Dates!I$13,'Day5'!$B24)</f>
        <v>0</v>
      </c>
      <c r="J24" s="5">
        <f>averageCompletionTimePorter(Dates!J$12,Dates!J$13,'Day5'!$B24)</f>
        <v>0</v>
      </c>
      <c r="K24" s="5">
        <f>averageCompletionTimePorter(Dates!K$12,Dates!K$13,'Day5'!$B24)</f>
        <v>0</v>
      </c>
      <c r="L24" s="5">
        <f>averageCompletionTimePorter(Dates!L$12,Dates!L$13,'Day5'!$B24)</f>
        <v>0</v>
      </c>
      <c r="M24" s="5">
        <f>averageCompletionTimePorter(Dates!M$12,Dates!M$13,'Day5'!$B24)</f>
        <v>0</v>
      </c>
      <c r="N24" s="5">
        <f>averageCompletionTimePorter(Dates!N$12,Dates!N$13,'Day5'!$B24)</f>
        <v>0</v>
      </c>
      <c r="O24" s="5">
        <f>averageCompletionTimePorter(Dates!O$12,Dates!O$13,'Day5'!$B24)</f>
        <v>0</v>
      </c>
      <c r="P24" s="5">
        <f>averageCompletionTimePorter(Dates!P$12,Dates!P$13,'Day5'!$B24)</f>
        <v>0</v>
      </c>
      <c r="Q24" s="5">
        <f>averageCompletionTimePorter(Dates!Q$12,Dates!Q$13,'Day5'!$B24)</f>
        <v>0</v>
      </c>
      <c r="R24" s="5">
        <f>averageCompletionTimePorter(Dates!R$12,Dates!R$13,'Day5'!$B24)</f>
        <v>0</v>
      </c>
      <c r="S24" s="5">
        <f>averageCompletionTimePorter(Dates!S$12,Dates!S$13,'Day5'!$B24)</f>
        <v>0</v>
      </c>
      <c r="T24" s="5">
        <f>averageCompletionTimePorter(Dates!T$12,Dates!T$13,'Day5'!$B24)</f>
        <v>0</v>
      </c>
      <c r="U24" s="5">
        <f>averageCompletionTimePorter(Dates!$C$12,Dates!$T$13,'Day5'!$B24)</f>
        <v>0</v>
      </c>
    </row>
    <row r="25" spans="2:21" x14ac:dyDescent="0.3">
      <c r="B25" s="8" t="s">
        <v>63</v>
      </c>
      <c r="C25" s="5">
        <f>averageCompletionTimePorter(Dates!C$12,Dates!C$13,'Day5'!$B25)</f>
        <v>0</v>
      </c>
      <c r="D25" s="5">
        <f>averageCompletionTimePorter(Dates!D$12,Dates!D$13,'Day5'!$B25)</f>
        <v>0</v>
      </c>
      <c r="E25" s="5">
        <f>averageCompletionTimePorter(Dates!E$12,Dates!E$13,'Day5'!$B25)</f>
        <v>0</v>
      </c>
      <c r="F25" s="5">
        <f>averageCompletionTimePorter(Dates!F$12,Dates!F$13,'Day5'!$B25)</f>
        <v>0</v>
      </c>
      <c r="G25" s="5">
        <f>averageCompletionTimePorter(Dates!G$12,Dates!G$13,'Day5'!$B25)</f>
        <v>0</v>
      </c>
      <c r="H25" s="5">
        <f>averageCompletionTimePorter(Dates!H$12,Dates!H$13,'Day5'!$B25)</f>
        <v>0</v>
      </c>
      <c r="I25" s="5">
        <f>averageCompletionTimePorter(Dates!I$12,Dates!I$13,'Day5'!$B25)</f>
        <v>0</v>
      </c>
      <c r="J25" s="5">
        <f>averageCompletionTimePorter(Dates!J$12,Dates!J$13,'Day5'!$B25)</f>
        <v>0</v>
      </c>
      <c r="K25" s="5">
        <f>averageCompletionTimePorter(Dates!K$12,Dates!K$13,'Day5'!$B25)</f>
        <v>0</v>
      </c>
      <c r="L25" s="5">
        <f>averageCompletionTimePorter(Dates!L$12,Dates!L$13,'Day5'!$B25)</f>
        <v>0</v>
      </c>
      <c r="M25" s="5">
        <f>averageCompletionTimePorter(Dates!M$12,Dates!M$13,'Day5'!$B25)</f>
        <v>0</v>
      </c>
      <c r="N25" s="5">
        <f>averageCompletionTimePorter(Dates!N$12,Dates!N$13,'Day5'!$B25)</f>
        <v>0</v>
      </c>
      <c r="O25" s="5">
        <f>averageCompletionTimePorter(Dates!O$12,Dates!O$13,'Day5'!$B25)</f>
        <v>0</v>
      </c>
      <c r="P25" s="5">
        <f>averageCompletionTimePorter(Dates!P$12,Dates!P$13,'Day5'!$B25)</f>
        <v>0</v>
      </c>
      <c r="Q25" s="5">
        <f>averageCompletionTimePorter(Dates!Q$12,Dates!Q$13,'Day5'!$B25)</f>
        <v>0</v>
      </c>
      <c r="R25" s="5">
        <f>averageCompletionTimePorter(Dates!R$12,Dates!R$13,'Day5'!$B25)</f>
        <v>0</v>
      </c>
      <c r="S25" s="5">
        <f>averageCompletionTimePorter(Dates!S$12,Dates!S$13,'Day5'!$B25)</f>
        <v>0</v>
      </c>
      <c r="T25" s="5">
        <f>averageCompletionTimePorter(Dates!T$12,Dates!T$13,'Day5'!$B25)</f>
        <v>0</v>
      </c>
      <c r="U25" s="5">
        <f>averageCompletionTimePorter(Dates!$C$12,Dates!$T$13,'Day5'!$B25)</f>
        <v>0</v>
      </c>
    </row>
    <row r="26" spans="2:21" x14ac:dyDescent="0.3">
      <c r="B26" s="8" t="s">
        <v>64</v>
      </c>
      <c r="C26" s="5">
        <f>averageCompletionTimePorter(Dates!C$12,Dates!C$13,'Day5'!$B26)</f>
        <v>0</v>
      </c>
      <c r="D26" s="5">
        <f>averageCompletionTimePorter(Dates!D$12,Dates!D$13,'Day5'!$B26)</f>
        <v>0</v>
      </c>
      <c r="E26" s="5">
        <f>averageCompletionTimePorter(Dates!E$12,Dates!E$13,'Day5'!$B26)</f>
        <v>0</v>
      </c>
      <c r="F26" s="5">
        <f>averageCompletionTimePorter(Dates!F$12,Dates!F$13,'Day5'!$B26)</f>
        <v>0</v>
      </c>
      <c r="G26" s="5">
        <f>averageCompletionTimePorter(Dates!G$12,Dates!G$13,'Day5'!$B26)</f>
        <v>0</v>
      </c>
      <c r="H26" s="5">
        <f>averageCompletionTimePorter(Dates!H$12,Dates!H$13,'Day5'!$B26)</f>
        <v>0</v>
      </c>
      <c r="I26" s="5">
        <f>averageCompletionTimePorter(Dates!I$12,Dates!I$13,'Day5'!$B26)</f>
        <v>0</v>
      </c>
      <c r="J26" s="5">
        <f>averageCompletionTimePorter(Dates!J$12,Dates!J$13,'Day5'!$B26)</f>
        <v>0</v>
      </c>
      <c r="K26" s="5">
        <f>averageCompletionTimePorter(Dates!K$12,Dates!K$13,'Day5'!$B26)</f>
        <v>0</v>
      </c>
      <c r="L26" s="5">
        <f>averageCompletionTimePorter(Dates!L$12,Dates!L$13,'Day5'!$B26)</f>
        <v>0</v>
      </c>
      <c r="M26" s="5">
        <f>averageCompletionTimePorter(Dates!M$12,Dates!M$13,'Day5'!$B26)</f>
        <v>0</v>
      </c>
      <c r="N26" s="5">
        <f>averageCompletionTimePorter(Dates!N$12,Dates!N$13,'Day5'!$B26)</f>
        <v>0</v>
      </c>
      <c r="O26" s="5">
        <f>averageCompletionTimePorter(Dates!O$12,Dates!O$13,'Day5'!$B26)</f>
        <v>0</v>
      </c>
      <c r="P26" s="5">
        <f>averageCompletionTimePorter(Dates!P$12,Dates!P$13,'Day5'!$B26)</f>
        <v>0</v>
      </c>
      <c r="Q26" s="5">
        <f>averageCompletionTimePorter(Dates!Q$12,Dates!Q$13,'Day5'!$B26)</f>
        <v>0</v>
      </c>
      <c r="R26" s="5">
        <f>averageCompletionTimePorter(Dates!R$12,Dates!R$13,'Day5'!$B26)</f>
        <v>0</v>
      </c>
      <c r="S26" s="5">
        <f>averageCompletionTimePorter(Dates!S$12,Dates!S$13,'Day5'!$B26)</f>
        <v>0</v>
      </c>
      <c r="T26" s="5">
        <f>averageCompletionTimePorter(Dates!T$12,Dates!T$13,'Day5'!$B26)</f>
        <v>0</v>
      </c>
      <c r="U26" s="5">
        <f>averageCompletionTimePorter(Dates!$C$12,Dates!$T$13,'Day5'!$B26)</f>
        <v>0</v>
      </c>
    </row>
    <row r="27" spans="2:21" x14ac:dyDescent="0.3">
      <c r="B27" s="8" t="s">
        <v>65</v>
      </c>
      <c r="C27" s="5">
        <f>averageCompletionTimePorter(Dates!C$12,Dates!C$13,'Day5'!$B27)</f>
        <v>0</v>
      </c>
      <c r="D27" s="5">
        <f>averageCompletionTimePorter(Dates!D$12,Dates!D$13,'Day5'!$B27)</f>
        <v>0</v>
      </c>
      <c r="E27" s="5">
        <f>averageCompletionTimePorter(Dates!E$12,Dates!E$13,'Day5'!$B27)</f>
        <v>0</v>
      </c>
      <c r="F27" s="5">
        <f>averageCompletionTimePorter(Dates!F$12,Dates!F$13,'Day5'!$B27)</f>
        <v>0</v>
      </c>
      <c r="G27" s="5">
        <f>averageCompletionTimePorter(Dates!G$12,Dates!G$13,'Day5'!$B27)</f>
        <v>0</v>
      </c>
      <c r="H27" s="5">
        <f>averageCompletionTimePorter(Dates!H$12,Dates!H$13,'Day5'!$B27)</f>
        <v>0</v>
      </c>
      <c r="I27" s="5">
        <f>averageCompletionTimePorter(Dates!I$12,Dates!I$13,'Day5'!$B27)</f>
        <v>0</v>
      </c>
      <c r="J27" s="5">
        <f>averageCompletionTimePorter(Dates!J$12,Dates!J$13,'Day5'!$B27)</f>
        <v>0</v>
      </c>
      <c r="K27" s="5">
        <f>averageCompletionTimePorter(Dates!K$12,Dates!K$13,'Day5'!$B27)</f>
        <v>0</v>
      </c>
      <c r="L27" s="5">
        <f>averageCompletionTimePorter(Dates!L$12,Dates!L$13,'Day5'!$B27)</f>
        <v>0</v>
      </c>
      <c r="M27" s="5">
        <f>averageCompletionTimePorter(Dates!M$12,Dates!M$13,'Day5'!$B27)</f>
        <v>0</v>
      </c>
      <c r="N27" s="5">
        <f>averageCompletionTimePorter(Dates!N$12,Dates!N$13,'Day5'!$B27)</f>
        <v>0</v>
      </c>
      <c r="O27" s="5">
        <f>averageCompletionTimePorter(Dates!O$12,Dates!O$13,'Day5'!$B27)</f>
        <v>0</v>
      </c>
      <c r="P27" s="5">
        <f>averageCompletionTimePorter(Dates!P$12,Dates!P$13,'Day5'!$B27)</f>
        <v>0</v>
      </c>
      <c r="Q27" s="5">
        <f>averageCompletionTimePorter(Dates!Q$12,Dates!Q$13,'Day5'!$B27)</f>
        <v>0</v>
      </c>
      <c r="R27" s="5">
        <f>averageCompletionTimePorter(Dates!R$12,Dates!R$13,'Day5'!$B27)</f>
        <v>0</v>
      </c>
      <c r="S27" s="5">
        <f>averageCompletionTimePorter(Dates!S$12,Dates!S$13,'Day5'!$B27)</f>
        <v>0</v>
      </c>
      <c r="T27" s="5">
        <f>averageCompletionTimePorter(Dates!T$12,Dates!T$13,'Day5'!$B27)</f>
        <v>0</v>
      </c>
      <c r="U27" s="5">
        <f>averageCompletionTimePorter(Dates!$C$12,Dates!$T$13,'Day5'!$B27)</f>
        <v>0</v>
      </c>
    </row>
    <row r="29" spans="2:21" x14ac:dyDescent="0.3">
      <c r="B29" s="7" t="s">
        <v>66</v>
      </c>
      <c r="C29">
        <f>totalNumberOfJobsCompleted(Dates!C$12,Dates!C$13)</f>
        <v>0</v>
      </c>
      <c r="D29">
        <f>totalNumberOfJobsCompleted(Dates!D$12,Dates!D$13)</f>
        <v>0</v>
      </c>
      <c r="E29">
        <f>totalNumberOfJobsCompleted(Dates!E$12,Dates!E$13)</f>
        <v>0</v>
      </c>
      <c r="F29">
        <f>totalNumberOfJobsCompleted(Dates!F$12,Dates!F$13)</f>
        <v>0</v>
      </c>
      <c r="G29">
        <f>totalNumberOfJobsCompleted(Dates!G$12,Dates!G$13)</f>
        <v>0</v>
      </c>
      <c r="H29">
        <f>totalNumberOfJobsCompleted(Dates!H$12,Dates!H$13)</f>
        <v>0</v>
      </c>
      <c r="I29">
        <f>totalNumberOfJobsCompleted(Dates!I$12,Dates!I$13)</f>
        <v>0</v>
      </c>
      <c r="J29">
        <f>totalNumberOfJobsCompleted(Dates!J$12,Dates!J$13)</f>
        <v>0</v>
      </c>
      <c r="K29">
        <f>totalNumberOfJobsCompleted(Dates!K$12,Dates!K$13)</f>
        <v>0</v>
      </c>
      <c r="L29">
        <f>totalNumberOfJobsCompleted(Dates!L$12,Dates!L$13)</f>
        <v>0</v>
      </c>
      <c r="M29">
        <f>totalNumberOfJobsCompleted(Dates!M$12,Dates!M$13)</f>
        <v>0</v>
      </c>
      <c r="N29">
        <f>totalNumberOfJobsCompleted(Dates!N$12,Dates!N$13)</f>
        <v>0</v>
      </c>
      <c r="O29">
        <f>totalNumberOfJobsCompleted(Dates!O$12,Dates!O$13)</f>
        <v>0</v>
      </c>
      <c r="P29">
        <f>totalNumberOfJobsCompleted(Dates!P$12,Dates!P$13)</f>
        <v>0</v>
      </c>
      <c r="Q29">
        <f>totalNumberOfJobsCompleted(Dates!Q$12,Dates!Q$13)</f>
        <v>0</v>
      </c>
      <c r="R29">
        <f>totalNumberOfJobsCompleted(Dates!R$12,Dates!R$13)</f>
        <v>0</v>
      </c>
      <c r="S29">
        <f>totalNumberOfJobsCompleted(Dates!S$12,Dates!S$13)</f>
        <v>0</v>
      </c>
      <c r="T29">
        <f>totalNumberOfJobsCompleted(Dates!T$12,Dates!T$13)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totalNumberOfJobsCompletedPorter(Dates!C$12,Dates!C$13,'Day5'!$B30)</f>
        <v>0</v>
      </c>
      <c r="D30">
        <f>totalNumberOfJobsCompletedPorter(Dates!D$12,Dates!D$13,'Day5'!$B30)</f>
        <v>0</v>
      </c>
      <c r="E30">
        <f>totalNumberOfJobsCompletedPorter(Dates!E$12,Dates!E$13,'Day5'!$B30)</f>
        <v>0</v>
      </c>
      <c r="F30">
        <f>totalNumberOfJobsCompletedPorter(Dates!F$12,Dates!F$13,'Day5'!$B30)</f>
        <v>0</v>
      </c>
      <c r="G30">
        <f>totalNumberOfJobsCompletedPorter(Dates!G$12,Dates!G$13,'Day5'!$B30)</f>
        <v>0</v>
      </c>
      <c r="H30">
        <f>totalNumberOfJobsCompletedPorter(Dates!H$12,Dates!H$13,'Day5'!$B30)</f>
        <v>0</v>
      </c>
      <c r="I30">
        <f>totalNumberOfJobsCompletedPorter(Dates!I$12,Dates!I$13,'Day5'!$B30)</f>
        <v>0</v>
      </c>
      <c r="J30">
        <f>totalNumberOfJobsCompletedPorter(Dates!J$12,Dates!J$13,'Day5'!$B30)</f>
        <v>0</v>
      </c>
      <c r="K30">
        <f>totalNumberOfJobsCompletedPorter(Dates!K$12,Dates!K$13,'Day5'!$B30)</f>
        <v>0</v>
      </c>
      <c r="L30">
        <f>totalNumberOfJobsCompletedPorter(Dates!L$12,Dates!L$13,'Day5'!$B30)</f>
        <v>0</v>
      </c>
      <c r="M30">
        <f>totalNumberOfJobsCompletedPorter(Dates!M$12,Dates!M$13,'Day5'!$B30)</f>
        <v>0</v>
      </c>
      <c r="N30">
        <f>totalNumberOfJobsCompletedPorter(Dates!N$12,Dates!N$13,'Day5'!$B30)</f>
        <v>0</v>
      </c>
      <c r="O30">
        <f>totalNumberOfJobsCompletedPorter(Dates!O$12,Dates!O$13,'Day5'!$B30)</f>
        <v>0</v>
      </c>
      <c r="P30">
        <f>totalNumberOfJobsCompletedPorter(Dates!P$12,Dates!P$13,'Day5'!$B30)</f>
        <v>0</v>
      </c>
      <c r="Q30">
        <f>totalNumberOfJobsCompletedPorter(Dates!Q$12,Dates!Q$13,'Day5'!$B30)</f>
        <v>0</v>
      </c>
      <c r="R30">
        <f>totalNumberOfJobsCompletedPorter(Dates!R$12,Dates!R$13,'Day5'!$B30)</f>
        <v>0</v>
      </c>
      <c r="S30">
        <f>totalNumberOfJobsCompletedPorter(Dates!S$12,Dates!S$13,'Day5'!$B30)</f>
        <v>0</v>
      </c>
      <c r="T30">
        <f>totalNumberOfJobsCompletedPorter(Dates!T$12,Dates!T$13,'Day5'!$B30)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totalNumberOfJobsCompletedPorter(Dates!C$12,Dates!C$13,'Day5'!$B31)</f>
        <v>0</v>
      </c>
      <c r="D31">
        <f>totalNumberOfJobsCompletedPorter(Dates!D$12,Dates!D$13,'Day5'!$B31)</f>
        <v>0</v>
      </c>
      <c r="E31">
        <f>totalNumberOfJobsCompletedPorter(Dates!E$12,Dates!E$13,'Day5'!$B31)</f>
        <v>0</v>
      </c>
      <c r="F31">
        <f>totalNumberOfJobsCompletedPorter(Dates!F$12,Dates!F$13,'Day5'!$B31)</f>
        <v>0</v>
      </c>
      <c r="G31">
        <f>totalNumberOfJobsCompletedPorter(Dates!G$12,Dates!G$13,'Day5'!$B31)</f>
        <v>0</v>
      </c>
      <c r="H31">
        <f>totalNumberOfJobsCompletedPorter(Dates!H$12,Dates!H$13,'Day5'!$B31)</f>
        <v>0</v>
      </c>
      <c r="I31">
        <f>totalNumberOfJobsCompletedPorter(Dates!I$12,Dates!I$13,'Day5'!$B31)</f>
        <v>0</v>
      </c>
      <c r="J31">
        <f>totalNumberOfJobsCompletedPorter(Dates!J$12,Dates!J$13,'Day5'!$B31)</f>
        <v>0</v>
      </c>
      <c r="K31">
        <f>totalNumberOfJobsCompletedPorter(Dates!K$12,Dates!K$13,'Day5'!$B31)</f>
        <v>0</v>
      </c>
      <c r="L31">
        <f>totalNumberOfJobsCompletedPorter(Dates!L$12,Dates!L$13,'Day5'!$B31)</f>
        <v>0</v>
      </c>
      <c r="M31">
        <f>totalNumberOfJobsCompletedPorter(Dates!M$12,Dates!M$13,'Day5'!$B31)</f>
        <v>0</v>
      </c>
      <c r="N31">
        <f>totalNumberOfJobsCompletedPorter(Dates!N$12,Dates!N$13,'Day5'!$B31)</f>
        <v>0</v>
      </c>
      <c r="O31">
        <f>totalNumberOfJobsCompletedPorter(Dates!O$12,Dates!O$13,'Day5'!$B31)</f>
        <v>0</v>
      </c>
      <c r="P31">
        <f>totalNumberOfJobsCompletedPorter(Dates!P$12,Dates!P$13,'Day5'!$B31)</f>
        <v>0</v>
      </c>
      <c r="Q31">
        <f>totalNumberOfJobsCompletedPorter(Dates!Q$12,Dates!Q$13,'Day5'!$B31)</f>
        <v>0</v>
      </c>
      <c r="R31">
        <f>totalNumberOfJobsCompletedPorter(Dates!R$12,Dates!R$13,'Day5'!$B31)</f>
        <v>0</v>
      </c>
      <c r="S31">
        <f>totalNumberOfJobsCompletedPorter(Dates!S$12,Dates!S$13,'Day5'!$B31)</f>
        <v>0</v>
      </c>
      <c r="T31">
        <f>totalNumberOfJobsCompletedPorter(Dates!T$12,Dates!T$13,'Day5'!$B31)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totalNumberOfJobsCompletedPorter(Dates!C$12,Dates!C$13,'Day5'!$B32)</f>
        <v>0</v>
      </c>
      <c r="D32">
        <f>totalNumberOfJobsCompletedPorter(Dates!D$12,Dates!D$13,'Day5'!$B32)</f>
        <v>0</v>
      </c>
      <c r="E32">
        <f>totalNumberOfJobsCompletedPorter(Dates!E$12,Dates!E$13,'Day5'!$B32)</f>
        <v>0</v>
      </c>
      <c r="F32">
        <f>totalNumberOfJobsCompletedPorter(Dates!F$12,Dates!F$13,'Day5'!$B32)</f>
        <v>0</v>
      </c>
      <c r="G32">
        <f>totalNumberOfJobsCompletedPorter(Dates!G$12,Dates!G$13,'Day5'!$B32)</f>
        <v>0</v>
      </c>
      <c r="H32">
        <f>totalNumberOfJobsCompletedPorter(Dates!H$12,Dates!H$13,'Day5'!$B32)</f>
        <v>0</v>
      </c>
      <c r="I32">
        <f>totalNumberOfJobsCompletedPorter(Dates!I$12,Dates!I$13,'Day5'!$B32)</f>
        <v>0</v>
      </c>
      <c r="J32">
        <f>totalNumberOfJobsCompletedPorter(Dates!J$12,Dates!J$13,'Day5'!$B32)</f>
        <v>0</v>
      </c>
      <c r="K32">
        <f>totalNumberOfJobsCompletedPorter(Dates!K$12,Dates!K$13,'Day5'!$B32)</f>
        <v>0</v>
      </c>
      <c r="L32">
        <f>totalNumberOfJobsCompletedPorter(Dates!L$12,Dates!L$13,'Day5'!$B32)</f>
        <v>0</v>
      </c>
      <c r="M32">
        <f>totalNumberOfJobsCompletedPorter(Dates!M$12,Dates!M$13,'Day5'!$B32)</f>
        <v>0</v>
      </c>
      <c r="N32">
        <f>totalNumberOfJobsCompletedPorter(Dates!N$12,Dates!N$13,'Day5'!$B32)</f>
        <v>0</v>
      </c>
      <c r="O32">
        <f>totalNumberOfJobsCompletedPorter(Dates!O$12,Dates!O$13,'Day5'!$B32)</f>
        <v>0</v>
      </c>
      <c r="P32">
        <f>totalNumberOfJobsCompletedPorter(Dates!P$12,Dates!P$13,'Day5'!$B32)</f>
        <v>0</v>
      </c>
      <c r="Q32">
        <f>totalNumberOfJobsCompletedPorter(Dates!Q$12,Dates!Q$13,'Day5'!$B32)</f>
        <v>0</v>
      </c>
      <c r="R32">
        <f>totalNumberOfJobsCompletedPorter(Dates!R$12,Dates!R$13,'Day5'!$B32)</f>
        <v>0</v>
      </c>
      <c r="S32">
        <f>totalNumberOfJobsCompletedPorter(Dates!S$12,Dates!S$13,'Day5'!$B32)</f>
        <v>0</v>
      </c>
      <c r="T32">
        <f>totalNumberOfJobsCompletedPorter(Dates!T$12,Dates!T$13,'Day5'!$B32)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totalNumberOfJobsCompletedPorter(Dates!C$12,Dates!C$13,'Day5'!$B33)</f>
        <v>0</v>
      </c>
      <c r="D33">
        <f>totalNumberOfJobsCompletedPorter(Dates!D$12,Dates!D$13,'Day5'!$B33)</f>
        <v>0</v>
      </c>
      <c r="E33">
        <f>totalNumberOfJobsCompletedPorter(Dates!E$12,Dates!E$13,'Day5'!$B33)</f>
        <v>0</v>
      </c>
      <c r="F33">
        <f>totalNumberOfJobsCompletedPorter(Dates!F$12,Dates!F$13,'Day5'!$B33)</f>
        <v>0</v>
      </c>
      <c r="G33">
        <f>totalNumberOfJobsCompletedPorter(Dates!G$12,Dates!G$13,'Day5'!$B33)</f>
        <v>0</v>
      </c>
      <c r="H33">
        <f>totalNumberOfJobsCompletedPorter(Dates!H$12,Dates!H$13,'Day5'!$B33)</f>
        <v>0</v>
      </c>
      <c r="I33">
        <f>totalNumberOfJobsCompletedPorter(Dates!I$12,Dates!I$13,'Day5'!$B33)</f>
        <v>0</v>
      </c>
      <c r="J33">
        <f>totalNumberOfJobsCompletedPorter(Dates!J$12,Dates!J$13,'Day5'!$B33)</f>
        <v>0</v>
      </c>
      <c r="K33">
        <f>totalNumberOfJobsCompletedPorter(Dates!K$12,Dates!K$13,'Day5'!$B33)</f>
        <v>0</v>
      </c>
      <c r="L33">
        <f>totalNumberOfJobsCompletedPorter(Dates!L$12,Dates!L$13,'Day5'!$B33)</f>
        <v>0</v>
      </c>
      <c r="M33">
        <f>totalNumberOfJobsCompletedPorter(Dates!M$12,Dates!M$13,'Day5'!$B33)</f>
        <v>0</v>
      </c>
      <c r="N33">
        <f>totalNumberOfJobsCompletedPorter(Dates!N$12,Dates!N$13,'Day5'!$B33)</f>
        <v>0</v>
      </c>
      <c r="O33">
        <f>totalNumberOfJobsCompletedPorter(Dates!O$12,Dates!O$13,'Day5'!$B33)</f>
        <v>0</v>
      </c>
      <c r="P33">
        <f>totalNumberOfJobsCompletedPorter(Dates!P$12,Dates!P$13,'Day5'!$B33)</f>
        <v>0</v>
      </c>
      <c r="Q33">
        <f>totalNumberOfJobsCompletedPorter(Dates!Q$12,Dates!Q$13,'Day5'!$B33)</f>
        <v>0</v>
      </c>
      <c r="R33">
        <f>totalNumberOfJobsCompletedPorter(Dates!R$12,Dates!R$13,'Day5'!$B33)</f>
        <v>0</v>
      </c>
      <c r="S33">
        <f>totalNumberOfJobsCompletedPorter(Dates!S$12,Dates!S$13,'Day5'!$B33)</f>
        <v>0</v>
      </c>
      <c r="T33">
        <f>totalNumberOfJobsCompletedPorter(Dates!T$12,Dates!T$13,'Day5'!$B33)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totalNumberOfJobsCompletedPorter(Dates!C$12,Dates!C$13,'Day5'!$B34)</f>
        <v>0</v>
      </c>
      <c r="D34">
        <f>totalNumberOfJobsCompletedPorter(Dates!D$12,Dates!D$13,'Day5'!$B34)</f>
        <v>0</v>
      </c>
      <c r="E34">
        <f>totalNumberOfJobsCompletedPorter(Dates!E$12,Dates!E$13,'Day5'!$B34)</f>
        <v>0</v>
      </c>
      <c r="F34">
        <f>totalNumberOfJobsCompletedPorter(Dates!F$12,Dates!F$13,'Day5'!$B34)</f>
        <v>0</v>
      </c>
      <c r="G34">
        <f>totalNumberOfJobsCompletedPorter(Dates!G$12,Dates!G$13,'Day5'!$B34)</f>
        <v>0</v>
      </c>
      <c r="H34">
        <f>totalNumberOfJobsCompletedPorter(Dates!H$12,Dates!H$13,'Day5'!$B34)</f>
        <v>0</v>
      </c>
      <c r="I34">
        <f>totalNumberOfJobsCompletedPorter(Dates!I$12,Dates!I$13,'Day5'!$B34)</f>
        <v>0</v>
      </c>
      <c r="J34">
        <f>totalNumberOfJobsCompletedPorter(Dates!J$12,Dates!J$13,'Day5'!$B34)</f>
        <v>0</v>
      </c>
      <c r="K34">
        <f>totalNumberOfJobsCompletedPorter(Dates!K$12,Dates!K$13,'Day5'!$B34)</f>
        <v>0</v>
      </c>
      <c r="L34">
        <f>totalNumberOfJobsCompletedPorter(Dates!L$12,Dates!L$13,'Day5'!$B34)</f>
        <v>0</v>
      </c>
      <c r="M34">
        <f>totalNumberOfJobsCompletedPorter(Dates!M$12,Dates!M$13,'Day5'!$B34)</f>
        <v>0</v>
      </c>
      <c r="N34">
        <f>totalNumberOfJobsCompletedPorter(Dates!N$12,Dates!N$13,'Day5'!$B34)</f>
        <v>0</v>
      </c>
      <c r="O34">
        <f>totalNumberOfJobsCompletedPorter(Dates!O$12,Dates!O$13,'Day5'!$B34)</f>
        <v>0</v>
      </c>
      <c r="P34">
        <f>totalNumberOfJobsCompletedPorter(Dates!P$12,Dates!P$13,'Day5'!$B34)</f>
        <v>0</v>
      </c>
      <c r="Q34">
        <f>totalNumberOfJobsCompletedPorter(Dates!Q$12,Dates!Q$13,'Day5'!$B34)</f>
        <v>0</v>
      </c>
      <c r="R34">
        <f>totalNumberOfJobsCompletedPorter(Dates!R$12,Dates!R$13,'Day5'!$B34)</f>
        <v>0</v>
      </c>
      <c r="S34">
        <f>totalNumberOfJobsCompletedPorter(Dates!S$12,Dates!S$13,'Day5'!$B34)</f>
        <v>0</v>
      </c>
      <c r="T34">
        <f>totalNumberOfJobsCompletedPorter(Dates!T$12,Dates!T$13,'Day5'!$B34)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totalNumberOfJobsCompletedPorter(Dates!C$12,Dates!C$13,'Day5'!$B35)</f>
        <v>0</v>
      </c>
      <c r="D35">
        <f>totalNumberOfJobsCompletedPorter(Dates!D$12,Dates!D$13,'Day5'!$B35)</f>
        <v>0</v>
      </c>
      <c r="E35">
        <f>totalNumberOfJobsCompletedPorter(Dates!E$12,Dates!E$13,'Day5'!$B35)</f>
        <v>0</v>
      </c>
      <c r="F35">
        <f>totalNumberOfJobsCompletedPorter(Dates!F$12,Dates!F$13,'Day5'!$B35)</f>
        <v>0</v>
      </c>
      <c r="G35">
        <f>totalNumberOfJobsCompletedPorter(Dates!G$12,Dates!G$13,'Day5'!$B35)</f>
        <v>0</v>
      </c>
      <c r="H35">
        <f>totalNumberOfJobsCompletedPorter(Dates!H$12,Dates!H$13,'Day5'!$B35)</f>
        <v>0</v>
      </c>
      <c r="I35">
        <f>totalNumberOfJobsCompletedPorter(Dates!I$12,Dates!I$13,'Day5'!$B35)</f>
        <v>0</v>
      </c>
      <c r="J35">
        <f>totalNumberOfJobsCompletedPorter(Dates!J$12,Dates!J$13,'Day5'!$B35)</f>
        <v>0</v>
      </c>
      <c r="K35">
        <f>totalNumberOfJobsCompletedPorter(Dates!K$12,Dates!K$13,'Day5'!$B35)</f>
        <v>0</v>
      </c>
      <c r="L35">
        <f>totalNumberOfJobsCompletedPorter(Dates!L$12,Dates!L$13,'Day5'!$B35)</f>
        <v>0</v>
      </c>
      <c r="M35">
        <f>totalNumberOfJobsCompletedPorter(Dates!M$12,Dates!M$13,'Day5'!$B35)</f>
        <v>0</v>
      </c>
      <c r="N35">
        <f>totalNumberOfJobsCompletedPorter(Dates!N$12,Dates!N$13,'Day5'!$B35)</f>
        <v>0</v>
      </c>
      <c r="O35">
        <f>totalNumberOfJobsCompletedPorter(Dates!O$12,Dates!O$13,'Day5'!$B35)</f>
        <v>0</v>
      </c>
      <c r="P35">
        <f>totalNumberOfJobsCompletedPorter(Dates!P$12,Dates!P$13,'Day5'!$B35)</f>
        <v>0</v>
      </c>
      <c r="Q35">
        <f>totalNumberOfJobsCompletedPorter(Dates!Q$12,Dates!Q$13,'Day5'!$B35)</f>
        <v>0</v>
      </c>
      <c r="R35">
        <f>totalNumberOfJobsCompletedPorter(Dates!R$12,Dates!R$13,'Day5'!$B35)</f>
        <v>0</v>
      </c>
      <c r="S35">
        <f>totalNumberOfJobsCompletedPorter(Dates!S$12,Dates!S$13,'Day5'!$B35)</f>
        <v>0</v>
      </c>
      <c r="T35">
        <f>totalNumberOfJobsCompletedPorter(Dates!T$12,Dates!T$13,'Day5'!$B35)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totalNumberOfJobsCompletedPorter(Dates!C$12,Dates!C$13,'Day5'!$B36)</f>
        <v>0</v>
      </c>
      <c r="D36">
        <f>totalNumberOfJobsCompletedPorter(Dates!D$12,Dates!D$13,'Day5'!$B36)</f>
        <v>0</v>
      </c>
      <c r="E36">
        <f>totalNumberOfJobsCompletedPorter(Dates!E$12,Dates!E$13,'Day5'!$B36)</f>
        <v>0</v>
      </c>
      <c r="F36">
        <f>totalNumberOfJobsCompletedPorter(Dates!F$12,Dates!F$13,'Day5'!$B36)</f>
        <v>0</v>
      </c>
      <c r="G36">
        <f>totalNumberOfJobsCompletedPorter(Dates!G$12,Dates!G$13,'Day5'!$B36)</f>
        <v>0</v>
      </c>
      <c r="H36">
        <f>totalNumberOfJobsCompletedPorter(Dates!H$12,Dates!H$13,'Day5'!$B36)</f>
        <v>0</v>
      </c>
      <c r="I36">
        <f>totalNumberOfJobsCompletedPorter(Dates!I$12,Dates!I$13,'Day5'!$B36)</f>
        <v>0</v>
      </c>
      <c r="J36">
        <f>totalNumberOfJobsCompletedPorter(Dates!J$12,Dates!J$13,'Day5'!$B36)</f>
        <v>0</v>
      </c>
      <c r="K36">
        <f>totalNumberOfJobsCompletedPorter(Dates!K$12,Dates!K$13,'Day5'!$B36)</f>
        <v>0</v>
      </c>
      <c r="L36">
        <f>totalNumberOfJobsCompletedPorter(Dates!L$12,Dates!L$13,'Day5'!$B36)</f>
        <v>0</v>
      </c>
      <c r="M36">
        <f>totalNumberOfJobsCompletedPorter(Dates!M$12,Dates!M$13,'Day5'!$B36)</f>
        <v>0</v>
      </c>
      <c r="N36">
        <f>totalNumberOfJobsCompletedPorter(Dates!N$12,Dates!N$13,'Day5'!$B36)</f>
        <v>0</v>
      </c>
      <c r="O36">
        <f>totalNumberOfJobsCompletedPorter(Dates!O$12,Dates!O$13,'Day5'!$B36)</f>
        <v>0</v>
      </c>
      <c r="P36">
        <f>totalNumberOfJobsCompletedPorter(Dates!P$12,Dates!P$13,'Day5'!$B36)</f>
        <v>0</v>
      </c>
      <c r="Q36">
        <f>totalNumberOfJobsCompletedPorter(Dates!Q$12,Dates!Q$13,'Day5'!$B36)</f>
        <v>0</v>
      </c>
      <c r="R36">
        <f>totalNumberOfJobsCompletedPorter(Dates!R$12,Dates!R$13,'Day5'!$B36)</f>
        <v>0</v>
      </c>
      <c r="S36">
        <f>totalNumberOfJobsCompletedPorter(Dates!S$12,Dates!S$13,'Day5'!$B36)</f>
        <v>0</v>
      </c>
      <c r="T36">
        <f>totalNumberOfJobsCompletedPorter(Dates!T$12,Dates!T$13,'Day5'!$B36)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totalNumberOfJobsCompletedPorter(Dates!C$12,Dates!C$13,'Day5'!$B37)</f>
        <v>0</v>
      </c>
      <c r="D37">
        <f>totalNumberOfJobsCompletedPorter(Dates!D$12,Dates!D$13,'Day5'!$B37)</f>
        <v>0</v>
      </c>
      <c r="E37">
        <f>totalNumberOfJobsCompletedPorter(Dates!E$12,Dates!E$13,'Day5'!$B37)</f>
        <v>0</v>
      </c>
      <c r="F37">
        <f>totalNumberOfJobsCompletedPorter(Dates!F$12,Dates!F$13,'Day5'!$B37)</f>
        <v>0</v>
      </c>
      <c r="G37">
        <f>totalNumberOfJobsCompletedPorter(Dates!G$12,Dates!G$13,'Day5'!$B37)</f>
        <v>0</v>
      </c>
      <c r="H37">
        <f>totalNumberOfJobsCompletedPorter(Dates!H$12,Dates!H$13,'Day5'!$B37)</f>
        <v>0</v>
      </c>
      <c r="I37">
        <f>totalNumberOfJobsCompletedPorter(Dates!I$12,Dates!I$13,'Day5'!$B37)</f>
        <v>0</v>
      </c>
      <c r="J37">
        <f>totalNumberOfJobsCompletedPorter(Dates!J$12,Dates!J$13,'Day5'!$B37)</f>
        <v>0</v>
      </c>
      <c r="K37">
        <f>totalNumberOfJobsCompletedPorter(Dates!K$12,Dates!K$13,'Day5'!$B37)</f>
        <v>0</v>
      </c>
      <c r="L37">
        <f>totalNumberOfJobsCompletedPorter(Dates!L$12,Dates!L$13,'Day5'!$B37)</f>
        <v>0</v>
      </c>
      <c r="M37">
        <f>totalNumberOfJobsCompletedPorter(Dates!M$12,Dates!M$13,'Day5'!$B37)</f>
        <v>0</v>
      </c>
      <c r="N37">
        <f>totalNumberOfJobsCompletedPorter(Dates!N$12,Dates!N$13,'Day5'!$B37)</f>
        <v>0</v>
      </c>
      <c r="O37">
        <f>totalNumberOfJobsCompletedPorter(Dates!O$12,Dates!O$13,'Day5'!$B37)</f>
        <v>0</v>
      </c>
      <c r="P37">
        <f>totalNumberOfJobsCompletedPorter(Dates!P$12,Dates!P$13,'Day5'!$B37)</f>
        <v>0</v>
      </c>
      <c r="Q37">
        <f>totalNumberOfJobsCompletedPorter(Dates!Q$12,Dates!Q$13,'Day5'!$B37)</f>
        <v>0</v>
      </c>
      <c r="R37">
        <f>totalNumberOfJobsCompletedPorter(Dates!R$12,Dates!R$13,'Day5'!$B37)</f>
        <v>0</v>
      </c>
      <c r="S37">
        <f>totalNumberOfJobsCompletedPorter(Dates!S$12,Dates!S$13,'Day5'!$B37)</f>
        <v>0</v>
      </c>
      <c r="T37">
        <f>totalNumberOfJobsCompletedPorter(Dates!T$12,Dates!T$13,'Day5'!$B37)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totalNumberOfJobsCompletedPorter(Dates!C$12,Dates!C$13,'Day5'!$B38)</f>
        <v>0</v>
      </c>
      <c r="D38">
        <f>totalNumberOfJobsCompletedPorter(Dates!D$12,Dates!D$13,'Day5'!$B38)</f>
        <v>0</v>
      </c>
      <c r="E38">
        <f>totalNumberOfJobsCompletedPorter(Dates!E$12,Dates!E$13,'Day5'!$B38)</f>
        <v>0</v>
      </c>
      <c r="F38">
        <f>totalNumberOfJobsCompletedPorter(Dates!F$12,Dates!F$13,'Day5'!$B38)</f>
        <v>0</v>
      </c>
      <c r="G38">
        <f>totalNumberOfJobsCompletedPorter(Dates!G$12,Dates!G$13,'Day5'!$B38)</f>
        <v>0</v>
      </c>
      <c r="H38">
        <f>totalNumberOfJobsCompletedPorter(Dates!H$12,Dates!H$13,'Day5'!$B38)</f>
        <v>0</v>
      </c>
      <c r="I38">
        <f>totalNumberOfJobsCompletedPorter(Dates!I$12,Dates!I$13,'Day5'!$B38)</f>
        <v>0</v>
      </c>
      <c r="J38">
        <f>totalNumberOfJobsCompletedPorter(Dates!J$12,Dates!J$13,'Day5'!$B38)</f>
        <v>0</v>
      </c>
      <c r="K38">
        <f>totalNumberOfJobsCompletedPorter(Dates!K$12,Dates!K$13,'Day5'!$B38)</f>
        <v>0</v>
      </c>
      <c r="L38">
        <f>totalNumberOfJobsCompletedPorter(Dates!L$12,Dates!L$13,'Day5'!$B38)</f>
        <v>0</v>
      </c>
      <c r="M38">
        <f>totalNumberOfJobsCompletedPorter(Dates!M$12,Dates!M$13,'Day5'!$B38)</f>
        <v>0</v>
      </c>
      <c r="N38">
        <f>totalNumberOfJobsCompletedPorter(Dates!N$12,Dates!N$13,'Day5'!$B38)</f>
        <v>0</v>
      </c>
      <c r="O38">
        <f>totalNumberOfJobsCompletedPorter(Dates!O$12,Dates!O$13,'Day5'!$B38)</f>
        <v>0</v>
      </c>
      <c r="P38">
        <f>totalNumberOfJobsCompletedPorter(Dates!P$12,Dates!P$13,'Day5'!$B38)</f>
        <v>0</v>
      </c>
      <c r="Q38">
        <f>totalNumberOfJobsCompletedPorter(Dates!Q$12,Dates!Q$13,'Day5'!$B38)</f>
        <v>0</v>
      </c>
      <c r="R38">
        <f>totalNumberOfJobsCompletedPorter(Dates!R$12,Dates!R$13,'Day5'!$B38)</f>
        <v>0</v>
      </c>
      <c r="S38">
        <f>totalNumberOfJobsCompletedPorter(Dates!S$12,Dates!S$13,'Day5'!$B38)</f>
        <v>0</v>
      </c>
      <c r="T38">
        <f>totalNumberOfJobsCompletedPorter(Dates!T$12,Dates!T$13,'Day5'!$B38)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totalNumberOfJobsCompletedPorter(Dates!C$12,Dates!C$13,'Day5'!$B39)</f>
        <v>0</v>
      </c>
      <c r="D39">
        <f>totalNumberOfJobsCompletedPorter(Dates!D$12,Dates!D$13,'Day5'!$B39)</f>
        <v>0</v>
      </c>
      <c r="E39">
        <f>totalNumberOfJobsCompletedPorter(Dates!E$12,Dates!E$13,'Day5'!$B39)</f>
        <v>0</v>
      </c>
      <c r="F39">
        <f>totalNumberOfJobsCompletedPorter(Dates!F$12,Dates!F$13,'Day5'!$B39)</f>
        <v>0</v>
      </c>
      <c r="G39">
        <f>totalNumberOfJobsCompletedPorter(Dates!G$12,Dates!G$13,'Day5'!$B39)</f>
        <v>0</v>
      </c>
      <c r="H39">
        <f>totalNumberOfJobsCompletedPorter(Dates!H$12,Dates!H$13,'Day5'!$B39)</f>
        <v>0</v>
      </c>
      <c r="I39">
        <f>totalNumberOfJobsCompletedPorter(Dates!I$12,Dates!I$13,'Day5'!$B39)</f>
        <v>0</v>
      </c>
      <c r="J39">
        <f>totalNumberOfJobsCompletedPorter(Dates!J$12,Dates!J$13,'Day5'!$B39)</f>
        <v>0</v>
      </c>
      <c r="K39">
        <f>totalNumberOfJobsCompletedPorter(Dates!K$12,Dates!K$13,'Day5'!$B39)</f>
        <v>0</v>
      </c>
      <c r="L39">
        <f>totalNumberOfJobsCompletedPorter(Dates!L$12,Dates!L$13,'Day5'!$B39)</f>
        <v>0</v>
      </c>
      <c r="M39">
        <f>totalNumberOfJobsCompletedPorter(Dates!M$12,Dates!M$13,'Day5'!$B39)</f>
        <v>0</v>
      </c>
      <c r="N39">
        <f>totalNumberOfJobsCompletedPorter(Dates!N$12,Dates!N$13,'Day5'!$B39)</f>
        <v>0</v>
      </c>
      <c r="O39">
        <f>totalNumberOfJobsCompletedPorter(Dates!O$12,Dates!O$13,'Day5'!$B39)</f>
        <v>0</v>
      </c>
      <c r="P39">
        <f>totalNumberOfJobsCompletedPorter(Dates!P$12,Dates!P$13,'Day5'!$B39)</f>
        <v>0</v>
      </c>
      <c r="Q39">
        <f>totalNumberOfJobsCompletedPorter(Dates!Q$12,Dates!Q$13,'Day5'!$B39)</f>
        <v>0</v>
      </c>
      <c r="R39">
        <f>totalNumberOfJobsCompletedPorter(Dates!R$12,Dates!R$13,'Day5'!$B39)</f>
        <v>0</v>
      </c>
      <c r="S39">
        <f>totalNumberOfJobsCompletedPorter(Dates!S$12,Dates!S$13,'Day5'!$B39)</f>
        <v>0</v>
      </c>
      <c r="T39">
        <f>totalNumberOfJobsCompletedPorter(Dates!T$12,Dates!T$13,'Day5'!$B39)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totalNumberOfJobsCompletedPorter(Dates!C$12,Dates!C$13,'Day5'!$B40)</f>
        <v>0</v>
      </c>
      <c r="D40">
        <f>totalNumberOfJobsCompletedPorter(Dates!D$12,Dates!D$13,'Day5'!$B40)</f>
        <v>0</v>
      </c>
      <c r="E40">
        <f>totalNumberOfJobsCompletedPorter(Dates!E$12,Dates!E$13,'Day5'!$B40)</f>
        <v>0</v>
      </c>
      <c r="F40">
        <f>totalNumberOfJobsCompletedPorter(Dates!F$12,Dates!F$13,'Day5'!$B40)</f>
        <v>0</v>
      </c>
      <c r="G40">
        <f>totalNumberOfJobsCompletedPorter(Dates!G$12,Dates!G$13,'Day5'!$B40)</f>
        <v>0</v>
      </c>
      <c r="H40">
        <f>totalNumberOfJobsCompletedPorter(Dates!H$12,Dates!H$13,'Day5'!$B40)</f>
        <v>0</v>
      </c>
      <c r="I40">
        <f>totalNumberOfJobsCompletedPorter(Dates!I$12,Dates!I$13,'Day5'!$B40)</f>
        <v>0</v>
      </c>
      <c r="J40">
        <f>totalNumberOfJobsCompletedPorter(Dates!J$12,Dates!J$13,'Day5'!$B40)</f>
        <v>0</v>
      </c>
      <c r="K40">
        <f>totalNumberOfJobsCompletedPorter(Dates!K$12,Dates!K$13,'Day5'!$B40)</f>
        <v>0</v>
      </c>
      <c r="L40">
        <f>totalNumberOfJobsCompletedPorter(Dates!L$12,Dates!L$13,'Day5'!$B40)</f>
        <v>0</v>
      </c>
      <c r="M40">
        <f>totalNumberOfJobsCompletedPorter(Dates!M$12,Dates!M$13,'Day5'!$B40)</f>
        <v>0</v>
      </c>
      <c r="N40">
        <f>totalNumberOfJobsCompletedPorter(Dates!N$12,Dates!N$13,'Day5'!$B40)</f>
        <v>0</v>
      </c>
      <c r="O40">
        <f>totalNumberOfJobsCompletedPorter(Dates!O$12,Dates!O$13,'Day5'!$B40)</f>
        <v>0</v>
      </c>
      <c r="P40">
        <f>totalNumberOfJobsCompletedPorter(Dates!P$12,Dates!P$13,'Day5'!$B40)</f>
        <v>0</v>
      </c>
      <c r="Q40">
        <f>totalNumberOfJobsCompletedPorter(Dates!Q$12,Dates!Q$13,'Day5'!$B40)</f>
        <v>0</v>
      </c>
      <c r="R40">
        <f>totalNumberOfJobsCompletedPorter(Dates!R$12,Dates!R$13,'Day5'!$B40)</f>
        <v>0</v>
      </c>
      <c r="S40">
        <f>totalNumberOfJobsCompletedPorter(Dates!S$12,Dates!S$13,'Day5'!$B40)</f>
        <v>0</v>
      </c>
      <c r="T40">
        <f>totalNumberOfJobsCompletedPorter(Dates!T$12,Dates!T$13,'Day5'!$B40)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totalNumberOfJobsCompletedPorter(Dates!C$12,Dates!C$13,'Day5'!$B41)</f>
        <v>0</v>
      </c>
      <c r="D41">
        <f>totalNumberOfJobsCompletedPorter(Dates!D$12,Dates!D$13,'Day5'!$B41)</f>
        <v>0</v>
      </c>
      <c r="E41">
        <f>totalNumberOfJobsCompletedPorter(Dates!E$12,Dates!E$13,'Day5'!$B41)</f>
        <v>0</v>
      </c>
      <c r="F41">
        <f>totalNumberOfJobsCompletedPorter(Dates!F$12,Dates!F$13,'Day5'!$B41)</f>
        <v>0</v>
      </c>
      <c r="G41">
        <f>totalNumberOfJobsCompletedPorter(Dates!G$12,Dates!G$13,'Day5'!$B41)</f>
        <v>0</v>
      </c>
      <c r="H41">
        <f>totalNumberOfJobsCompletedPorter(Dates!H$12,Dates!H$13,'Day5'!$B41)</f>
        <v>0</v>
      </c>
      <c r="I41">
        <f>totalNumberOfJobsCompletedPorter(Dates!I$12,Dates!I$13,'Day5'!$B41)</f>
        <v>0</v>
      </c>
      <c r="J41">
        <f>totalNumberOfJobsCompletedPorter(Dates!J$12,Dates!J$13,'Day5'!$B41)</f>
        <v>0</v>
      </c>
      <c r="K41">
        <f>totalNumberOfJobsCompletedPorter(Dates!K$12,Dates!K$13,'Day5'!$B41)</f>
        <v>0</v>
      </c>
      <c r="L41">
        <f>totalNumberOfJobsCompletedPorter(Dates!L$12,Dates!L$13,'Day5'!$B41)</f>
        <v>0</v>
      </c>
      <c r="M41">
        <f>totalNumberOfJobsCompletedPorter(Dates!M$12,Dates!M$13,'Day5'!$B41)</f>
        <v>0</v>
      </c>
      <c r="N41">
        <f>totalNumberOfJobsCompletedPorter(Dates!N$12,Dates!N$13,'Day5'!$B41)</f>
        <v>0</v>
      </c>
      <c r="O41">
        <f>totalNumberOfJobsCompletedPorter(Dates!O$12,Dates!O$13,'Day5'!$B41)</f>
        <v>0</v>
      </c>
      <c r="P41">
        <f>totalNumberOfJobsCompletedPorter(Dates!P$12,Dates!P$13,'Day5'!$B41)</f>
        <v>0</v>
      </c>
      <c r="Q41">
        <f>totalNumberOfJobsCompletedPorter(Dates!Q$12,Dates!Q$13,'Day5'!$B41)</f>
        <v>0</v>
      </c>
      <c r="R41">
        <f>totalNumberOfJobsCompletedPorter(Dates!R$12,Dates!R$13,'Day5'!$B41)</f>
        <v>0</v>
      </c>
      <c r="S41">
        <f>totalNumberOfJobsCompletedPorter(Dates!S$12,Dates!S$13,'Day5'!$B41)</f>
        <v>0</v>
      </c>
      <c r="T41">
        <f>totalNumberOfJobsCompletedPorter(Dates!T$12,Dates!T$13,'Day5'!$B41)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totalNumberOfJobsCompletedPorter(Dates!C$12,Dates!C$13,'Day5'!$B42)</f>
        <v>0</v>
      </c>
      <c r="D42">
        <f>totalNumberOfJobsCompletedPorter(Dates!D$12,Dates!D$13,'Day5'!$B42)</f>
        <v>0</v>
      </c>
      <c r="E42">
        <f>totalNumberOfJobsCompletedPorter(Dates!E$12,Dates!E$13,'Day5'!$B42)</f>
        <v>0</v>
      </c>
      <c r="F42">
        <f>totalNumberOfJobsCompletedPorter(Dates!F$12,Dates!F$13,'Day5'!$B42)</f>
        <v>0</v>
      </c>
      <c r="G42">
        <f>totalNumberOfJobsCompletedPorter(Dates!G$12,Dates!G$13,'Day5'!$B42)</f>
        <v>0</v>
      </c>
      <c r="H42">
        <f>totalNumberOfJobsCompletedPorter(Dates!H$12,Dates!H$13,'Day5'!$B42)</f>
        <v>0</v>
      </c>
      <c r="I42">
        <f>totalNumberOfJobsCompletedPorter(Dates!I$12,Dates!I$13,'Day5'!$B42)</f>
        <v>0</v>
      </c>
      <c r="J42">
        <f>totalNumberOfJobsCompletedPorter(Dates!J$12,Dates!J$13,'Day5'!$B42)</f>
        <v>0</v>
      </c>
      <c r="K42">
        <f>totalNumberOfJobsCompletedPorter(Dates!K$12,Dates!K$13,'Day5'!$B42)</f>
        <v>0</v>
      </c>
      <c r="L42">
        <f>totalNumberOfJobsCompletedPorter(Dates!L$12,Dates!L$13,'Day5'!$B42)</f>
        <v>0</v>
      </c>
      <c r="M42">
        <f>totalNumberOfJobsCompletedPorter(Dates!M$12,Dates!M$13,'Day5'!$B42)</f>
        <v>0</v>
      </c>
      <c r="N42">
        <f>totalNumberOfJobsCompletedPorter(Dates!N$12,Dates!N$13,'Day5'!$B42)</f>
        <v>0</v>
      </c>
      <c r="O42">
        <f>totalNumberOfJobsCompletedPorter(Dates!O$12,Dates!O$13,'Day5'!$B42)</f>
        <v>0</v>
      </c>
      <c r="P42">
        <f>totalNumberOfJobsCompletedPorter(Dates!P$12,Dates!P$13,'Day5'!$B42)</f>
        <v>0</v>
      </c>
      <c r="Q42">
        <f>totalNumberOfJobsCompletedPorter(Dates!Q$12,Dates!Q$13,'Day5'!$B42)</f>
        <v>0</v>
      </c>
      <c r="R42">
        <f>totalNumberOfJobsCompletedPorter(Dates!R$12,Dates!R$13,'Day5'!$B42)</f>
        <v>0</v>
      </c>
      <c r="S42">
        <f>totalNumberOfJobsCompletedPorter(Dates!S$12,Dates!S$13,'Day5'!$B42)</f>
        <v>0</v>
      </c>
      <c r="T42">
        <f>totalNumberOfJobsCompletedPorter(Dates!T$12,Dates!T$13,'Day5'!$B42)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totalNumberOfJobsCompletedPorter(Dates!C$12,Dates!C$13,'Day5'!$B43)</f>
        <v>0</v>
      </c>
      <c r="D43">
        <f>totalNumberOfJobsCompletedPorter(Dates!D$12,Dates!D$13,'Day5'!$B43)</f>
        <v>0</v>
      </c>
      <c r="E43">
        <f>totalNumberOfJobsCompletedPorter(Dates!E$12,Dates!E$13,'Day5'!$B43)</f>
        <v>0</v>
      </c>
      <c r="F43">
        <f>totalNumberOfJobsCompletedPorter(Dates!F$12,Dates!F$13,'Day5'!$B43)</f>
        <v>0</v>
      </c>
      <c r="G43">
        <f>totalNumberOfJobsCompletedPorter(Dates!G$12,Dates!G$13,'Day5'!$B43)</f>
        <v>0</v>
      </c>
      <c r="H43">
        <f>totalNumberOfJobsCompletedPorter(Dates!H$12,Dates!H$13,'Day5'!$B43)</f>
        <v>0</v>
      </c>
      <c r="I43">
        <f>totalNumberOfJobsCompletedPorter(Dates!I$12,Dates!I$13,'Day5'!$B43)</f>
        <v>0</v>
      </c>
      <c r="J43">
        <f>totalNumberOfJobsCompletedPorter(Dates!J$12,Dates!J$13,'Day5'!$B43)</f>
        <v>0</v>
      </c>
      <c r="K43">
        <f>totalNumberOfJobsCompletedPorter(Dates!K$12,Dates!K$13,'Day5'!$B43)</f>
        <v>0</v>
      </c>
      <c r="L43">
        <f>totalNumberOfJobsCompletedPorter(Dates!L$12,Dates!L$13,'Day5'!$B43)</f>
        <v>0</v>
      </c>
      <c r="M43">
        <f>totalNumberOfJobsCompletedPorter(Dates!M$12,Dates!M$13,'Day5'!$B43)</f>
        <v>0</v>
      </c>
      <c r="N43">
        <f>totalNumberOfJobsCompletedPorter(Dates!N$12,Dates!N$13,'Day5'!$B43)</f>
        <v>0</v>
      </c>
      <c r="O43">
        <f>totalNumberOfJobsCompletedPorter(Dates!O$12,Dates!O$13,'Day5'!$B43)</f>
        <v>0</v>
      </c>
      <c r="P43">
        <f>totalNumberOfJobsCompletedPorter(Dates!P$12,Dates!P$13,'Day5'!$B43)</f>
        <v>0</v>
      </c>
      <c r="Q43">
        <f>totalNumberOfJobsCompletedPorter(Dates!Q$12,Dates!Q$13,'Day5'!$B43)</f>
        <v>0</v>
      </c>
      <c r="R43">
        <f>totalNumberOfJobsCompletedPorter(Dates!R$12,Dates!R$13,'Day5'!$B43)</f>
        <v>0</v>
      </c>
      <c r="S43">
        <f>totalNumberOfJobsCompletedPorter(Dates!S$12,Dates!S$13,'Day5'!$B43)</f>
        <v>0</v>
      </c>
      <c r="T43">
        <f>totalNumberOfJobsCompletedPorter(Dates!T$12,Dates!T$13,'Day5'!$B43)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totalNumberOfJobsCompletedPorter(Dates!C$12,Dates!C$13,'Day5'!$B44)</f>
        <v>0</v>
      </c>
      <c r="D44">
        <f>totalNumberOfJobsCompletedPorter(Dates!D$12,Dates!D$13,'Day5'!$B44)</f>
        <v>0</v>
      </c>
      <c r="E44">
        <f>totalNumberOfJobsCompletedPorter(Dates!E$12,Dates!E$13,'Day5'!$B44)</f>
        <v>0</v>
      </c>
      <c r="F44">
        <f>totalNumberOfJobsCompletedPorter(Dates!F$12,Dates!F$13,'Day5'!$B44)</f>
        <v>0</v>
      </c>
      <c r="G44">
        <f>totalNumberOfJobsCompletedPorter(Dates!G$12,Dates!G$13,'Day5'!$B44)</f>
        <v>0</v>
      </c>
      <c r="H44">
        <f>totalNumberOfJobsCompletedPorter(Dates!H$12,Dates!H$13,'Day5'!$B44)</f>
        <v>0</v>
      </c>
      <c r="I44">
        <f>totalNumberOfJobsCompletedPorter(Dates!I$12,Dates!I$13,'Day5'!$B44)</f>
        <v>0</v>
      </c>
      <c r="J44">
        <f>totalNumberOfJobsCompletedPorter(Dates!J$12,Dates!J$13,'Day5'!$B44)</f>
        <v>0</v>
      </c>
      <c r="K44">
        <f>totalNumberOfJobsCompletedPorter(Dates!K$12,Dates!K$13,'Day5'!$B44)</f>
        <v>0</v>
      </c>
      <c r="L44">
        <f>totalNumberOfJobsCompletedPorter(Dates!L$12,Dates!L$13,'Day5'!$B44)</f>
        <v>0</v>
      </c>
      <c r="M44">
        <f>totalNumberOfJobsCompletedPorter(Dates!M$12,Dates!M$13,'Day5'!$B44)</f>
        <v>0</v>
      </c>
      <c r="N44">
        <f>totalNumberOfJobsCompletedPorter(Dates!N$12,Dates!N$13,'Day5'!$B44)</f>
        <v>0</v>
      </c>
      <c r="O44">
        <f>totalNumberOfJobsCompletedPorter(Dates!O$12,Dates!O$13,'Day5'!$B44)</f>
        <v>0</v>
      </c>
      <c r="P44">
        <f>totalNumberOfJobsCompletedPorter(Dates!P$12,Dates!P$13,'Day5'!$B44)</f>
        <v>0</v>
      </c>
      <c r="Q44">
        <f>totalNumberOfJobsCompletedPorter(Dates!Q$12,Dates!Q$13,'Day5'!$B44)</f>
        <v>0</v>
      </c>
      <c r="R44">
        <f>totalNumberOfJobsCompletedPorter(Dates!R$12,Dates!R$13,'Day5'!$B44)</f>
        <v>0</v>
      </c>
      <c r="S44">
        <f>totalNumberOfJobsCompletedPorter(Dates!S$12,Dates!S$13,'Day5'!$B44)</f>
        <v>0</v>
      </c>
      <c r="T44">
        <f>totalNumberOfJobsCompletedPorter(Dates!T$12,Dates!T$13,'Day5'!$B44)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totalNumberOfJobsCompletedPorter(Dates!C$12,Dates!C$13,'Day5'!$B45)</f>
        <v>0</v>
      </c>
      <c r="D45">
        <f>totalNumberOfJobsCompletedPorter(Dates!D$12,Dates!D$13,'Day5'!$B45)</f>
        <v>0</v>
      </c>
      <c r="E45">
        <f>totalNumberOfJobsCompletedPorter(Dates!E$12,Dates!E$13,'Day5'!$B45)</f>
        <v>0</v>
      </c>
      <c r="F45">
        <f>totalNumberOfJobsCompletedPorter(Dates!F$12,Dates!F$13,'Day5'!$B45)</f>
        <v>0</v>
      </c>
      <c r="G45">
        <f>totalNumberOfJobsCompletedPorter(Dates!G$12,Dates!G$13,'Day5'!$B45)</f>
        <v>0</v>
      </c>
      <c r="H45">
        <f>totalNumberOfJobsCompletedPorter(Dates!H$12,Dates!H$13,'Day5'!$B45)</f>
        <v>0</v>
      </c>
      <c r="I45">
        <f>totalNumberOfJobsCompletedPorter(Dates!I$12,Dates!I$13,'Day5'!$B45)</f>
        <v>0</v>
      </c>
      <c r="J45">
        <f>totalNumberOfJobsCompletedPorter(Dates!J$12,Dates!J$13,'Day5'!$B45)</f>
        <v>0</v>
      </c>
      <c r="K45">
        <f>totalNumberOfJobsCompletedPorter(Dates!K$12,Dates!K$13,'Day5'!$B45)</f>
        <v>0</v>
      </c>
      <c r="L45">
        <f>totalNumberOfJobsCompletedPorter(Dates!L$12,Dates!L$13,'Day5'!$B45)</f>
        <v>0</v>
      </c>
      <c r="M45">
        <f>totalNumberOfJobsCompletedPorter(Dates!M$12,Dates!M$13,'Day5'!$B45)</f>
        <v>0</v>
      </c>
      <c r="N45">
        <f>totalNumberOfJobsCompletedPorter(Dates!N$12,Dates!N$13,'Day5'!$B45)</f>
        <v>0</v>
      </c>
      <c r="O45">
        <f>totalNumberOfJobsCompletedPorter(Dates!O$12,Dates!O$13,'Day5'!$B45)</f>
        <v>0</v>
      </c>
      <c r="P45">
        <f>totalNumberOfJobsCompletedPorter(Dates!P$12,Dates!P$13,'Day5'!$B45)</f>
        <v>0</v>
      </c>
      <c r="Q45">
        <f>totalNumberOfJobsCompletedPorter(Dates!Q$12,Dates!Q$13,'Day5'!$B45)</f>
        <v>0</v>
      </c>
      <c r="R45">
        <f>totalNumberOfJobsCompletedPorter(Dates!R$12,Dates!R$13,'Day5'!$B45)</f>
        <v>0</v>
      </c>
      <c r="S45">
        <f>totalNumberOfJobsCompletedPorter(Dates!S$12,Dates!S$13,'Day5'!$B45)</f>
        <v>0</v>
      </c>
      <c r="T45">
        <f>totalNumberOfJobsCompletedPorter(Dates!T$12,Dates!T$13,'Day5'!$B45)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totalNumberOfJobsCompletedPorter(Dates!C$12,Dates!C$13,'Day5'!$B46)</f>
        <v>0</v>
      </c>
      <c r="D46">
        <f>totalNumberOfJobsCompletedPorter(Dates!D$12,Dates!D$13,'Day5'!$B46)</f>
        <v>0</v>
      </c>
      <c r="E46">
        <f>totalNumberOfJobsCompletedPorter(Dates!E$12,Dates!E$13,'Day5'!$B46)</f>
        <v>0</v>
      </c>
      <c r="F46">
        <f>totalNumberOfJobsCompletedPorter(Dates!F$12,Dates!F$13,'Day5'!$B46)</f>
        <v>0</v>
      </c>
      <c r="G46">
        <f>totalNumberOfJobsCompletedPorter(Dates!G$12,Dates!G$13,'Day5'!$B46)</f>
        <v>0</v>
      </c>
      <c r="H46">
        <f>totalNumberOfJobsCompletedPorter(Dates!H$12,Dates!H$13,'Day5'!$B46)</f>
        <v>0</v>
      </c>
      <c r="I46">
        <f>totalNumberOfJobsCompletedPorter(Dates!I$12,Dates!I$13,'Day5'!$B46)</f>
        <v>0</v>
      </c>
      <c r="J46">
        <f>totalNumberOfJobsCompletedPorter(Dates!J$12,Dates!J$13,'Day5'!$B46)</f>
        <v>0</v>
      </c>
      <c r="K46">
        <f>totalNumberOfJobsCompletedPorter(Dates!K$12,Dates!K$13,'Day5'!$B46)</f>
        <v>0</v>
      </c>
      <c r="L46">
        <f>totalNumberOfJobsCompletedPorter(Dates!L$12,Dates!L$13,'Day5'!$B46)</f>
        <v>0</v>
      </c>
      <c r="M46">
        <f>totalNumberOfJobsCompletedPorter(Dates!M$12,Dates!M$13,'Day5'!$B46)</f>
        <v>0</v>
      </c>
      <c r="N46">
        <f>totalNumberOfJobsCompletedPorter(Dates!N$12,Dates!N$13,'Day5'!$B46)</f>
        <v>0</v>
      </c>
      <c r="O46">
        <f>totalNumberOfJobsCompletedPorter(Dates!O$12,Dates!O$13,'Day5'!$B46)</f>
        <v>0</v>
      </c>
      <c r="P46">
        <f>totalNumberOfJobsCompletedPorter(Dates!P$12,Dates!P$13,'Day5'!$B46)</f>
        <v>0</v>
      </c>
      <c r="Q46">
        <f>totalNumberOfJobsCompletedPorter(Dates!Q$12,Dates!Q$13,'Day5'!$B46)</f>
        <v>0</v>
      </c>
      <c r="R46">
        <f>totalNumberOfJobsCompletedPorter(Dates!R$12,Dates!R$13,'Day5'!$B46)</f>
        <v>0</v>
      </c>
      <c r="S46">
        <f>totalNumberOfJobsCompletedPorter(Dates!S$12,Dates!S$13,'Day5'!$B46)</f>
        <v>0</v>
      </c>
      <c r="T46">
        <f>totalNumberOfJobsCompletedPorter(Dates!T$12,Dates!T$13,'Day5'!$B46)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totalNumberOfJobsCompletedPorter(Dates!C$12,Dates!C$13,'Day5'!$B47)</f>
        <v>0</v>
      </c>
      <c r="D47">
        <f>totalNumberOfJobsCompletedPorter(Dates!D$12,Dates!D$13,'Day5'!$B47)</f>
        <v>0</v>
      </c>
      <c r="E47">
        <f>totalNumberOfJobsCompletedPorter(Dates!E$12,Dates!E$13,'Day5'!$B47)</f>
        <v>0</v>
      </c>
      <c r="F47">
        <f>totalNumberOfJobsCompletedPorter(Dates!F$12,Dates!F$13,'Day5'!$B47)</f>
        <v>0</v>
      </c>
      <c r="G47">
        <f>totalNumberOfJobsCompletedPorter(Dates!G$12,Dates!G$13,'Day5'!$B47)</f>
        <v>0</v>
      </c>
      <c r="H47">
        <f>totalNumberOfJobsCompletedPorter(Dates!H$12,Dates!H$13,'Day5'!$B47)</f>
        <v>0</v>
      </c>
      <c r="I47">
        <f>totalNumberOfJobsCompletedPorter(Dates!I$12,Dates!I$13,'Day5'!$B47)</f>
        <v>0</v>
      </c>
      <c r="J47">
        <f>totalNumberOfJobsCompletedPorter(Dates!J$12,Dates!J$13,'Day5'!$B47)</f>
        <v>0</v>
      </c>
      <c r="K47">
        <f>totalNumberOfJobsCompletedPorter(Dates!K$12,Dates!K$13,'Day5'!$B47)</f>
        <v>0</v>
      </c>
      <c r="L47">
        <f>totalNumberOfJobsCompletedPorter(Dates!L$12,Dates!L$13,'Day5'!$B47)</f>
        <v>0</v>
      </c>
      <c r="M47">
        <f>totalNumberOfJobsCompletedPorter(Dates!M$12,Dates!M$13,'Day5'!$B47)</f>
        <v>0</v>
      </c>
      <c r="N47">
        <f>totalNumberOfJobsCompletedPorter(Dates!N$12,Dates!N$13,'Day5'!$B47)</f>
        <v>0</v>
      </c>
      <c r="O47">
        <f>totalNumberOfJobsCompletedPorter(Dates!O$12,Dates!O$13,'Day5'!$B47)</f>
        <v>0</v>
      </c>
      <c r="P47">
        <f>totalNumberOfJobsCompletedPorter(Dates!P$12,Dates!P$13,'Day5'!$B47)</f>
        <v>0</v>
      </c>
      <c r="Q47">
        <f>totalNumberOfJobsCompletedPorter(Dates!Q$12,Dates!Q$13,'Day5'!$B47)</f>
        <v>0</v>
      </c>
      <c r="R47">
        <f>totalNumberOfJobsCompletedPorter(Dates!R$12,Dates!R$13,'Day5'!$B47)</f>
        <v>0</v>
      </c>
      <c r="S47">
        <f>totalNumberOfJobsCompletedPorter(Dates!S$12,Dates!S$13,'Day5'!$B47)</f>
        <v>0</v>
      </c>
      <c r="T47">
        <f>totalNumberOfJobsCompletedPorter(Dates!T$12,Dates!T$13,'Day5'!$B47)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totalNumberOfJobsCompletedPorter(Dates!C$12,Dates!C$13,'Day5'!$B48)</f>
        <v>0</v>
      </c>
      <c r="D48">
        <f>totalNumberOfJobsCompletedPorter(Dates!D$12,Dates!D$13,'Day5'!$B48)</f>
        <v>0</v>
      </c>
      <c r="E48">
        <f>totalNumberOfJobsCompletedPorter(Dates!E$12,Dates!E$13,'Day5'!$B48)</f>
        <v>0</v>
      </c>
      <c r="F48">
        <f>totalNumberOfJobsCompletedPorter(Dates!F$12,Dates!F$13,'Day5'!$B48)</f>
        <v>0</v>
      </c>
      <c r="G48">
        <f>totalNumberOfJobsCompletedPorter(Dates!G$12,Dates!G$13,'Day5'!$B48)</f>
        <v>0</v>
      </c>
      <c r="H48">
        <f>totalNumberOfJobsCompletedPorter(Dates!H$12,Dates!H$13,'Day5'!$B48)</f>
        <v>0</v>
      </c>
      <c r="I48">
        <f>totalNumberOfJobsCompletedPorter(Dates!I$12,Dates!I$13,'Day5'!$B48)</f>
        <v>0</v>
      </c>
      <c r="J48">
        <f>totalNumberOfJobsCompletedPorter(Dates!J$12,Dates!J$13,'Day5'!$B48)</f>
        <v>0</v>
      </c>
      <c r="K48">
        <f>totalNumberOfJobsCompletedPorter(Dates!K$12,Dates!K$13,'Day5'!$B48)</f>
        <v>0</v>
      </c>
      <c r="L48">
        <f>totalNumberOfJobsCompletedPorter(Dates!L$12,Dates!L$13,'Day5'!$B48)</f>
        <v>0</v>
      </c>
      <c r="M48">
        <f>totalNumberOfJobsCompletedPorter(Dates!M$12,Dates!M$13,'Day5'!$B48)</f>
        <v>0</v>
      </c>
      <c r="N48">
        <f>totalNumberOfJobsCompletedPorter(Dates!N$12,Dates!N$13,'Day5'!$B48)</f>
        <v>0</v>
      </c>
      <c r="O48">
        <f>totalNumberOfJobsCompletedPorter(Dates!O$12,Dates!O$13,'Day5'!$B48)</f>
        <v>0</v>
      </c>
      <c r="P48">
        <f>totalNumberOfJobsCompletedPorter(Dates!P$12,Dates!P$13,'Day5'!$B48)</f>
        <v>0</v>
      </c>
      <c r="Q48">
        <f>totalNumberOfJobsCompletedPorter(Dates!Q$12,Dates!Q$13,'Day5'!$B48)</f>
        <v>0</v>
      </c>
      <c r="R48">
        <f>totalNumberOfJobsCompletedPorter(Dates!R$12,Dates!R$13,'Day5'!$B48)</f>
        <v>0</v>
      </c>
      <c r="S48">
        <f>totalNumberOfJobsCompletedPorter(Dates!S$12,Dates!S$13,'Day5'!$B48)</f>
        <v>0</v>
      </c>
      <c r="T48">
        <f>totalNumberOfJobsCompletedPorter(Dates!T$12,Dates!T$13,'Day5'!$B48)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totalNumberOfJobsCompletedPorter(Dates!C$12,Dates!C$13,'Day5'!$B49)</f>
        <v>0</v>
      </c>
      <c r="D49">
        <f>totalNumberOfJobsCompletedPorter(Dates!D$12,Dates!D$13,'Day5'!$B49)</f>
        <v>0</v>
      </c>
      <c r="E49">
        <f>totalNumberOfJobsCompletedPorter(Dates!E$12,Dates!E$13,'Day5'!$B49)</f>
        <v>0</v>
      </c>
      <c r="F49">
        <f>totalNumberOfJobsCompletedPorter(Dates!F$12,Dates!F$13,'Day5'!$B49)</f>
        <v>0</v>
      </c>
      <c r="G49">
        <f>totalNumberOfJobsCompletedPorter(Dates!G$12,Dates!G$13,'Day5'!$B49)</f>
        <v>0</v>
      </c>
      <c r="H49">
        <f>totalNumberOfJobsCompletedPorter(Dates!H$12,Dates!H$13,'Day5'!$B49)</f>
        <v>0</v>
      </c>
      <c r="I49">
        <f>totalNumberOfJobsCompletedPorter(Dates!I$12,Dates!I$13,'Day5'!$B49)</f>
        <v>0</v>
      </c>
      <c r="J49">
        <f>totalNumberOfJobsCompletedPorter(Dates!J$12,Dates!J$13,'Day5'!$B49)</f>
        <v>0</v>
      </c>
      <c r="K49">
        <f>totalNumberOfJobsCompletedPorter(Dates!K$12,Dates!K$13,'Day5'!$B49)</f>
        <v>0</v>
      </c>
      <c r="L49">
        <f>totalNumberOfJobsCompletedPorter(Dates!L$12,Dates!L$13,'Day5'!$B49)</f>
        <v>0</v>
      </c>
      <c r="M49">
        <f>totalNumberOfJobsCompletedPorter(Dates!M$12,Dates!M$13,'Day5'!$B49)</f>
        <v>0</v>
      </c>
      <c r="N49">
        <f>totalNumberOfJobsCompletedPorter(Dates!N$12,Dates!N$13,'Day5'!$B49)</f>
        <v>0</v>
      </c>
      <c r="O49">
        <f>totalNumberOfJobsCompletedPorter(Dates!O$12,Dates!O$13,'Day5'!$B49)</f>
        <v>0</v>
      </c>
      <c r="P49">
        <f>totalNumberOfJobsCompletedPorter(Dates!P$12,Dates!P$13,'Day5'!$B49)</f>
        <v>0</v>
      </c>
      <c r="Q49">
        <f>totalNumberOfJobsCompletedPorter(Dates!Q$12,Dates!Q$13,'Day5'!$B49)</f>
        <v>0</v>
      </c>
      <c r="R49">
        <f>totalNumberOfJobsCompletedPorter(Dates!R$12,Dates!R$13,'Day5'!$B49)</f>
        <v>0</v>
      </c>
      <c r="S49">
        <f>totalNumberOfJobsCompletedPorter(Dates!S$12,Dates!S$13,'Day5'!$B49)</f>
        <v>0</v>
      </c>
      <c r="T49">
        <f>totalNumberOfJobsCompletedPorter(Dates!T$12,Dates!T$13,'Day5'!$B49)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totalNumberOfJobsCompletedPorter(Dates!C$12,Dates!C$13,'Day5'!$B50)</f>
        <v>0</v>
      </c>
      <c r="D50">
        <f>totalNumberOfJobsCompletedPorter(Dates!D$12,Dates!D$13,'Day5'!$B50)</f>
        <v>0</v>
      </c>
      <c r="E50">
        <f>totalNumberOfJobsCompletedPorter(Dates!E$12,Dates!E$13,'Day5'!$B50)</f>
        <v>0</v>
      </c>
      <c r="F50">
        <f>totalNumberOfJobsCompletedPorter(Dates!F$12,Dates!F$13,'Day5'!$B50)</f>
        <v>0</v>
      </c>
      <c r="G50">
        <f>totalNumberOfJobsCompletedPorter(Dates!G$12,Dates!G$13,'Day5'!$B50)</f>
        <v>0</v>
      </c>
      <c r="H50">
        <f>totalNumberOfJobsCompletedPorter(Dates!H$12,Dates!H$13,'Day5'!$B50)</f>
        <v>0</v>
      </c>
      <c r="I50">
        <f>totalNumberOfJobsCompletedPorter(Dates!I$12,Dates!I$13,'Day5'!$B50)</f>
        <v>0</v>
      </c>
      <c r="J50">
        <f>totalNumberOfJobsCompletedPorter(Dates!J$12,Dates!J$13,'Day5'!$B50)</f>
        <v>0</v>
      </c>
      <c r="K50">
        <f>totalNumberOfJobsCompletedPorter(Dates!K$12,Dates!K$13,'Day5'!$B50)</f>
        <v>0</v>
      </c>
      <c r="L50">
        <f>totalNumberOfJobsCompletedPorter(Dates!L$12,Dates!L$13,'Day5'!$B50)</f>
        <v>0</v>
      </c>
      <c r="M50">
        <f>totalNumberOfJobsCompletedPorter(Dates!M$12,Dates!M$13,'Day5'!$B50)</f>
        <v>0</v>
      </c>
      <c r="N50">
        <f>totalNumberOfJobsCompletedPorter(Dates!N$12,Dates!N$13,'Day5'!$B50)</f>
        <v>0</v>
      </c>
      <c r="O50">
        <f>totalNumberOfJobsCompletedPorter(Dates!O$12,Dates!O$13,'Day5'!$B50)</f>
        <v>0</v>
      </c>
      <c r="P50">
        <f>totalNumberOfJobsCompletedPorter(Dates!P$12,Dates!P$13,'Day5'!$B50)</f>
        <v>0</v>
      </c>
      <c r="Q50">
        <f>totalNumberOfJobsCompletedPorter(Dates!Q$12,Dates!Q$13,'Day5'!$B50)</f>
        <v>0</v>
      </c>
      <c r="R50">
        <f>totalNumberOfJobsCompletedPorter(Dates!R$12,Dates!R$13,'Day5'!$B50)</f>
        <v>0</v>
      </c>
      <c r="S50">
        <f>totalNumberOfJobsCompletedPorter(Dates!S$12,Dates!S$13,'Day5'!$B50)</f>
        <v>0</v>
      </c>
      <c r="T50">
        <f>totalNumberOfJobsCompletedPorter(Dates!T$12,Dates!T$13,'Day5'!$B50)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totalNumberOfJobsCompletedPorter(Dates!C$12,Dates!C$13,'Day5'!$B51)</f>
        <v>0</v>
      </c>
      <c r="D51">
        <f>totalNumberOfJobsCompletedPorter(Dates!D$12,Dates!D$13,'Day5'!$B51)</f>
        <v>0</v>
      </c>
      <c r="E51">
        <f>totalNumberOfJobsCompletedPorter(Dates!E$12,Dates!E$13,'Day5'!$B51)</f>
        <v>0</v>
      </c>
      <c r="F51">
        <f>totalNumberOfJobsCompletedPorter(Dates!F$12,Dates!F$13,'Day5'!$B51)</f>
        <v>0</v>
      </c>
      <c r="G51">
        <f>totalNumberOfJobsCompletedPorter(Dates!G$12,Dates!G$13,'Day5'!$B51)</f>
        <v>0</v>
      </c>
      <c r="H51">
        <f>totalNumberOfJobsCompletedPorter(Dates!H$12,Dates!H$13,'Day5'!$B51)</f>
        <v>0</v>
      </c>
      <c r="I51">
        <f>totalNumberOfJobsCompletedPorter(Dates!I$12,Dates!I$13,'Day5'!$B51)</f>
        <v>0</v>
      </c>
      <c r="J51">
        <f>totalNumberOfJobsCompletedPorter(Dates!J$12,Dates!J$13,'Day5'!$B51)</f>
        <v>0</v>
      </c>
      <c r="K51">
        <f>totalNumberOfJobsCompletedPorter(Dates!K$12,Dates!K$13,'Day5'!$B51)</f>
        <v>0</v>
      </c>
      <c r="L51">
        <f>totalNumberOfJobsCompletedPorter(Dates!L$12,Dates!L$13,'Day5'!$B51)</f>
        <v>0</v>
      </c>
      <c r="M51">
        <f>totalNumberOfJobsCompletedPorter(Dates!M$12,Dates!M$13,'Day5'!$B51)</f>
        <v>0</v>
      </c>
      <c r="N51">
        <f>totalNumberOfJobsCompletedPorter(Dates!N$12,Dates!N$13,'Day5'!$B51)</f>
        <v>0</v>
      </c>
      <c r="O51">
        <f>totalNumberOfJobsCompletedPorter(Dates!O$12,Dates!O$13,'Day5'!$B51)</f>
        <v>0</v>
      </c>
      <c r="P51">
        <f>totalNumberOfJobsCompletedPorter(Dates!P$12,Dates!P$13,'Day5'!$B51)</f>
        <v>0</v>
      </c>
      <c r="Q51">
        <f>totalNumberOfJobsCompletedPorter(Dates!Q$12,Dates!Q$13,'Day5'!$B51)</f>
        <v>0</v>
      </c>
      <c r="R51">
        <f>totalNumberOfJobsCompletedPorter(Dates!R$12,Dates!R$13,'Day5'!$B51)</f>
        <v>0</v>
      </c>
      <c r="S51">
        <f>totalNumberOfJobsCompletedPorter(Dates!S$12,Dates!S$13,'Day5'!$B51)</f>
        <v>0</v>
      </c>
      <c r="T51">
        <f>totalNumberOfJobsCompletedPorter(Dates!T$12,Dates!T$13,'Day5'!$B51)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totalNumberOfJobsCompletedPorter(Dates!C$12,Dates!C$13,'Day5'!$B52)</f>
        <v>0</v>
      </c>
      <c r="D52">
        <f>totalNumberOfJobsCompletedPorter(Dates!D$12,Dates!D$13,'Day5'!$B52)</f>
        <v>0</v>
      </c>
      <c r="E52">
        <f>totalNumberOfJobsCompletedPorter(Dates!E$12,Dates!E$13,'Day5'!$B52)</f>
        <v>0</v>
      </c>
      <c r="F52">
        <f>totalNumberOfJobsCompletedPorter(Dates!F$12,Dates!F$13,'Day5'!$B52)</f>
        <v>0</v>
      </c>
      <c r="G52">
        <f>totalNumberOfJobsCompletedPorter(Dates!G$12,Dates!G$13,'Day5'!$B52)</f>
        <v>0</v>
      </c>
      <c r="H52">
        <f>totalNumberOfJobsCompletedPorter(Dates!H$12,Dates!H$13,'Day5'!$B52)</f>
        <v>0</v>
      </c>
      <c r="I52">
        <f>totalNumberOfJobsCompletedPorter(Dates!I$12,Dates!I$13,'Day5'!$B52)</f>
        <v>0</v>
      </c>
      <c r="J52">
        <f>totalNumberOfJobsCompletedPorter(Dates!J$12,Dates!J$13,'Day5'!$B52)</f>
        <v>0</v>
      </c>
      <c r="K52">
        <f>totalNumberOfJobsCompletedPorter(Dates!K$12,Dates!K$13,'Day5'!$B52)</f>
        <v>0</v>
      </c>
      <c r="L52">
        <f>totalNumberOfJobsCompletedPorter(Dates!L$12,Dates!L$13,'Day5'!$B52)</f>
        <v>0</v>
      </c>
      <c r="M52">
        <f>totalNumberOfJobsCompletedPorter(Dates!M$12,Dates!M$13,'Day5'!$B52)</f>
        <v>0</v>
      </c>
      <c r="N52">
        <f>totalNumberOfJobsCompletedPorter(Dates!N$12,Dates!N$13,'Day5'!$B52)</f>
        <v>0</v>
      </c>
      <c r="O52">
        <f>totalNumberOfJobsCompletedPorter(Dates!O$12,Dates!O$13,'Day5'!$B52)</f>
        <v>0</v>
      </c>
      <c r="P52">
        <f>totalNumberOfJobsCompletedPorter(Dates!P$12,Dates!P$13,'Day5'!$B52)</f>
        <v>0</v>
      </c>
      <c r="Q52">
        <f>totalNumberOfJobsCompletedPorter(Dates!Q$12,Dates!Q$13,'Day5'!$B52)</f>
        <v>0</v>
      </c>
      <c r="R52">
        <f>totalNumberOfJobsCompletedPorter(Dates!R$12,Dates!R$13,'Day5'!$B52)</f>
        <v>0</v>
      </c>
      <c r="S52">
        <f>totalNumberOfJobsCompletedPorter(Dates!S$12,Dates!S$13,'Day5'!$B52)</f>
        <v>0</v>
      </c>
      <c r="T52">
        <f>totalNumberOfJobsCompletedPorter(Dates!T$12,Dates!T$13,'Day5'!$B52)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totalNumberOfJobsCompletedPorter(Dates!C$12,Dates!C$13,'Day5'!$B53)</f>
        <v>0</v>
      </c>
      <c r="D53">
        <f>totalNumberOfJobsCompletedPorter(Dates!D$12,Dates!D$13,'Day5'!$B53)</f>
        <v>0</v>
      </c>
      <c r="E53">
        <f>totalNumberOfJobsCompletedPorter(Dates!E$12,Dates!E$13,'Day5'!$B53)</f>
        <v>0</v>
      </c>
      <c r="F53">
        <f>totalNumberOfJobsCompletedPorter(Dates!F$12,Dates!F$13,'Day5'!$B53)</f>
        <v>0</v>
      </c>
      <c r="G53">
        <f>totalNumberOfJobsCompletedPorter(Dates!G$12,Dates!G$13,'Day5'!$B53)</f>
        <v>0</v>
      </c>
      <c r="H53">
        <f>totalNumberOfJobsCompletedPorter(Dates!H$12,Dates!H$13,'Day5'!$B53)</f>
        <v>0</v>
      </c>
      <c r="I53">
        <f>totalNumberOfJobsCompletedPorter(Dates!I$12,Dates!I$13,'Day5'!$B53)</f>
        <v>0</v>
      </c>
      <c r="J53">
        <f>totalNumberOfJobsCompletedPorter(Dates!J$12,Dates!J$13,'Day5'!$B53)</f>
        <v>0</v>
      </c>
      <c r="K53">
        <f>totalNumberOfJobsCompletedPorter(Dates!K$12,Dates!K$13,'Day5'!$B53)</f>
        <v>0</v>
      </c>
      <c r="L53">
        <f>totalNumberOfJobsCompletedPorter(Dates!L$12,Dates!L$13,'Day5'!$B53)</f>
        <v>0</v>
      </c>
      <c r="M53">
        <f>totalNumberOfJobsCompletedPorter(Dates!M$12,Dates!M$13,'Day5'!$B53)</f>
        <v>0</v>
      </c>
      <c r="N53">
        <f>totalNumberOfJobsCompletedPorter(Dates!N$12,Dates!N$13,'Day5'!$B53)</f>
        <v>0</v>
      </c>
      <c r="O53">
        <f>totalNumberOfJobsCompletedPorter(Dates!O$12,Dates!O$13,'Day5'!$B53)</f>
        <v>0</v>
      </c>
      <c r="P53">
        <f>totalNumberOfJobsCompletedPorter(Dates!P$12,Dates!P$13,'Day5'!$B53)</f>
        <v>0</v>
      </c>
      <c r="Q53">
        <f>totalNumberOfJobsCompletedPorter(Dates!Q$12,Dates!Q$13,'Day5'!$B53)</f>
        <v>0</v>
      </c>
      <c r="R53">
        <f>totalNumberOfJobsCompletedPorter(Dates!R$12,Dates!R$13,'Day5'!$B53)</f>
        <v>0</v>
      </c>
      <c r="S53">
        <f>totalNumberOfJobsCompletedPorter(Dates!S$12,Dates!S$13,'Day5'!$B53)</f>
        <v>0</v>
      </c>
      <c r="T53">
        <f>totalNumberOfJobsCompletedPorter(Dates!T$12,Dates!T$13,'Day5'!$B53)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totalNumberOfJobsCompletedPorter(Dates!C$12,Dates!C$13,'Day5'!$B54)</f>
        <v>0</v>
      </c>
      <c r="D54">
        <f>totalNumberOfJobsCompletedPorter(Dates!D$12,Dates!D$13,'Day5'!$B54)</f>
        <v>0</v>
      </c>
      <c r="E54">
        <f>totalNumberOfJobsCompletedPorter(Dates!E$12,Dates!E$13,'Day5'!$B54)</f>
        <v>0</v>
      </c>
      <c r="F54">
        <f>totalNumberOfJobsCompletedPorter(Dates!F$12,Dates!F$13,'Day5'!$B54)</f>
        <v>0</v>
      </c>
      <c r="G54">
        <f>totalNumberOfJobsCompletedPorter(Dates!G$12,Dates!G$13,'Day5'!$B54)</f>
        <v>0</v>
      </c>
      <c r="H54">
        <f>totalNumberOfJobsCompletedPorter(Dates!H$12,Dates!H$13,'Day5'!$B54)</f>
        <v>0</v>
      </c>
      <c r="I54">
        <f>totalNumberOfJobsCompletedPorter(Dates!I$12,Dates!I$13,'Day5'!$B54)</f>
        <v>0</v>
      </c>
      <c r="J54">
        <f>totalNumberOfJobsCompletedPorter(Dates!J$12,Dates!J$13,'Day5'!$B54)</f>
        <v>0</v>
      </c>
      <c r="K54">
        <f>totalNumberOfJobsCompletedPorter(Dates!K$12,Dates!K$13,'Day5'!$B54)</f>
        <v>0</v>
      </c>
      <c r="L54">
        <f>totalNumberOfJobsCompletedPorter(Dates!L$12,Dates!L$13,'Day5'!$B54)</f>
        <v>0</v>
      </c>
      <c r="M54">
        <f>totalNumberOfJobsCompletedPorter(Dates!M$12,Dates!M$13,'Day5'!$B54)</f>
        <v>0</v>
      </c>
      <c r="N54">
        <f>totalNumberOfJobsCompletedPorter(Dates!N$12,Dates!N$13,'Day5'!$B54)</f>
        <v>0</v>
      </c>
      <c r="O54">
        <f>totalNumberOfJobsCompletedPorter(Dates!O$12,Dates!O$13,'Day5'!$B54)</f>
        <v>0</v>
      </c>
      <c r="P54">
        <f>totalNumberOfJobsCompletedPorter(Dates!P$12,Dates!P$13,'Day5'!$B54)</f>
        <v>0</v>
      </c>
      <c r="Q54">
        <f>totalNumberOfJobsCompletedPorter(Dates!Q$12,Dates!Q$13,'Day5'!$B54)</f>
        <v>0</v>
      </c>
      <c r="R54">
        <f>totalNumberOfJobsCompletedPorter(Dates!R$12,Dates!R$13,'Day5'!$B54)</f>
        <v>0</v>
      </c>
      <c r="S54">
        <f>totalNumberOfJobsCompletedPorter(Dates!S$12,Dates!S$13,'Day5'!$B54)</f>
        <v>0</v>
      </c>
      <c r="T54">
        <f>totalNumberOfJobsCompletedPorter(Dates!T$12,Dates!T$13,'Day5'!$B54)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averageResponseTime(Dates!C$12,Dates!C$13)</f>
        <v>0</v>
      </c>
      <c r="D56" s="5">
        <f>averageResponseTime(Dates!D$12,Dates!D$13)</f>
        <v>0</v>
      </c>
      <c r="E56" s="5">
        <f>averageResponseTime(Dates!E$12,Dates!E$13)</f>
        <v>0</v>
      </c>
      <c r="F56" s="5">
        <f>averageResponseTime(Dates!F$12,Dates!F$13)</f>
        <v>0</v>
      </c>
      <c r="G56" s="5">
        <f>averageResponseTime(Dates!G$12,Dates!G$13)</f>
        <v>0</v>
      </c>
      <c r="H56" s="5">
        <f>averageResponseTime(Dates!H$12,Dates!H$13)</f>
        <v>0</v>
      </c>
      <c r="I56" s="5">
        <f>averageResponseTime(Dates!I$12,Dates!I$13)</f>
        <v>0</v>
      </c>
      <c r="J56" s="5">
        <f>averageResponseTime(Dates!J$12,Dates!J$13)</f>
        <v>0</v>
      </c>
      <c r="K56" s="5">
        <f>averageResponseTime(Dates!K$12,Dates!K$13)</f>
        <v>0</v>
      </c>
      <c r="L56" s="5">
        <f>averageResponseTime(Dates!L$12,Dates!L$13)</f>
        <v>0</v>
      </c>
      <c r="M56" s="5">
        <f>averageResponseTime(Dates!M$12,Dates!M$13)</f>
        <v>0</v>
      </c>
      <c r="N56" s="5">
        <f>averageResponseTime(Dates!N$12,Dates!N$13)</f>
        <v>0</v>
      </c>
      <c r="O56" s="5">
        <f>averageResponseTime(Dates!O$12,Dates!O$13)</f>
        <v>0</v>
      </c>
      <c r="P56" s="5">
        <f>averageResponseTime(Dates!P$12,Dates!P$13)</f>
        <v>0</v>
      </c>
      <c r="Q56" s="5">
        <f>averageResponseTime(Dates!Q$12,Dates!Q$13)</f>
        <v>0</v>
      </c>
      <c r="R56" s="5">
        <f>averageResponseTime(Dates!R$12,Dates!R$13)</f>
        <v>0</v>
      </c>
      <c r="S56" s="5">
        <f>averageResponseTime(Dates!S$12,Dates!S$13)</f>
        <v>0</v>
      </c>
      <c r="T56" s="5">
        <f>averageResponseTime(Dates!T$12,Dates!T$13)</f>
        <v>0</v>
      </c>
      <c r="U56" s="5">
        <f>averageResponseTime(Dates!C$12,Dates!T$13)</f>
        <v>0</v>
      </c>
    </row>
    <row r="57" spans="2:21" x14ac:dyDescent="0.3">
      <c r="B57" s="7">
        <f t="shared" ref="B57:B81" si="2">B3</f>
        <v>1</v>
      </c>
      <c r="C57" s="5">
        <f>averageResponseTimePorter(Dates!C$12,Dates!C$13,'Day5'!$B57)</f>
        <v>0</v>
      </c>
      <c r="D57" s="5">
        <f>averageResponseTimePorter(Dates!D$12,Dates!D$13,'Day5'!$B57)</f>
        <v>0</v>
      </c>
      <c r="E57" s="5">
        <f>averageResponseTimePorter(Dates!E$12,Dates!E$13,'Day5'!$B57)</f>
        <v>0</v>
      </c>
      <c r="F57" s="5">
        <f>averageResponseTimePorter(Dates!F$12,Dates!F$13,'Day5'!$B57)</f>
        <v>0</v>
      </c>
      <c r="G57" s="5">
        <f>averageResponseTimePorter(Dates!G$12,Dates!G$13,'Day5'!$B57)</f>
        <v>0</v>
      </c>
      <c r="H57" s="5">
        <f>averageResponseTimePorter(Dates!H$12,Dates!H$13,'Day5'!$B57)</f>
        <v>0</v>
      </c>
      <c r="I57" s="5">
        <f>averageResponseTimePorter(Dates!I$12,Dates!I$13,'Day5'!$B57)</f>
        <v>0</v>
      </c>
      <c r="J57" s="5">
        <f>averageResponseTimePorter(Dates!J$12,Dates!J$13,'Day5'!$B57)</f>
        <v>0</v>
      </c>
      <c r="K57" s="5">
        <f>averageResponseTimePorter(Dates!K$12,Dates!K$13,'Day5'!$B57)</f>
        <v>0</v>
      </c>
      <c r="L57" s="5">
        <f>averageResponseTimePorter(Dates!L$12,Dates!L$13,'Day5'!$B57)</f>
        <v>0</v>
      </c>
      <c r="M57" s="5">
        <f>averageResponseTimePorter(Dates!M$12,Dates!M$13,'Day5'!$B57)</f>
        <v>0</v>
      </c>
      <c r="N57" s="5">
        <f>averageResponseTimePorter(Dates!N$12,Dates!N$13,'Day5'!$B57)</f>
        <v>0</v>
      </c>
      <c r="O57" s="5">
        <f>averageResponseTimePorter(Dates!O$12,Dates!O$13,'Day5'!$B57)</f>
        <v>0</v>
      </c>
      <c r="P57" s="5">
        <f>averageResponseTimePorter(Dates!P$12,Dates!P$13,'Day5'!$B57)</f>
        <v>0</v>
      </c>
      <c r="Q57" s="5">
        <f>averageResponseTimePorter(Dates!Q$12,Dates!Q$13,'Day5'!$B57)</f>
        <v>0</v>
      </c>
      <c r="R57" s="5">
        <f>averageResponseTimePorter(Dates!R$12,Dates!R$13,'Day5'!$B57)</f>
        <v>0</v>
      </c>
      <c r="S57" s="5">
        <f>averageResponseTimePorter(Dates!S$12,Dates!S$13,'Day5'!$B57)</f>
        <v>0</v>
      </c>
      <c r="T57" s="5">
        <f>averageResponseTimePorter(Dates!T$12,Dates!T$13,'Day5'!$B57)</f>
        <v>0</v>
      </c>
      <c r="U57" s="5">
        <f>averageResponseTimePorter(Dates!$C$12,Dates!$T$13,'Day5'!$B3)</f>
        <v>0</v>
      </c>
    </row>
    <row r="58" spans="2:21" x14ac:dyDescent="0.3">
      <c r="B58" s="7">
        <f t="shared" si="2"/>
        <v>0</v>
      </c>
      <c r="C58" s="5">
        <f>averageResponseTimePorter(Dates!C$12,Dates!C$13,'Day5'!$B58)</f>
        <v>0</v>
      </c>
      <c r="D58" s="5">
        <f>averageResponseTimePorter(Dates!D$12,Dates!D$13,'Day5'!$B58)</f>
        <v>0</v>
      </c>
      <c r="E58" s="5">
        <f>averageResponseTimePorter(Dates!E$12,Dates!E$13,'Day5'!$B58)</f>
        <v>0</v>
      </c>
      <c r="F58" s="5">
        <f>averageResponseTimePorter(Dates!F$12,Dates!F$13,'Day5'!$B58)</f>
        <v>0</v>
      </c>
      <c r="G58" s="5">
        <f>averageResponseTimePorter(Dates!G$12,Dates!G$13,'Day5'!$B58)</f>
        <v>0</v>
      </c>
      <c r="H58" s="5">
        <f>averageResponseTimePorter(Dates!H$12,Dates!H$13,'Day5'!$B58)</f>
        <v>0</v>
      </c>
      <c r="I58" s="5">
        <f>averageResponseTimePorter(Dates!I$12,Dates!I$13,'Day5'!$B58)</f>
        <v>0</v>
      </c>
      <c r="J58" s="5">
        <f>averageResponseTimePorter(Dates!J$12,Dates!J$13,'Day5'!$B58)</f>
        <v>0</v>
      </c>
      <c r="K58" s="5">
        <f>averageResponseTimePorter(Dates!K$12,Dates!K$13,'Day5'!$B58)</f>
        <v>0</v>
      </c>
      <c r="L58" s="5">
        <f>averageResponseTimePorter(Dates!L$12,Dates!L$13,'Day5'!$B58)</f>
        <v>0</v>
      </c>
      <c r="M58" s="5">
        <f>averageResponseTimePorter(Dates!M$12,Dates!M$13,'Day5'!$B58)</f>
        <v>0</v>
      </c>
      <c r="N58" s="5">
        <f>averageResponseTimePorter(Dates!N$12,Dates!N$13,'Day5'!$B58)</f>
        <v>0</v>
      </c>
      <c r="O58" s="5">
        <f>averageResponseTimePorter(Dates!O$12,Dates!O$13,'Day5'!$B58)</f>
        <v>0</v>
      </c>
      <c r="P58" s="5">
        <f>averageResponseTimePorter(Dates!P$12,Dates!P$13,'Day5'!$B58)</f>
        <v>0</v>
      </c>
      <c r="Q58" s="5">
        <f>averageResponseTimePorter(Dates!Q$12,Dates!Q$13,'Day5'!$B58)</f>
        <v>0</v>
      </c>
      <c r="R58" s="5">
        <f>averageResponseTimePorter(Dates!R$12,Dates!R$13,'Day5'!$B58)</f>
        <v>0</v>
      </c>
      <c r="S58" s="5">
        <f>averageResponseTimePorter(Dates!S$12,Dates!S$13,'Day5'!$B58)</f>
        <v>0</v>
      </c>
      <c r="T58" s="5">
        <f>averageResponseTimePorter(Dates!T$12,Dates!T$13,'Day5'!$B58)</f>
        <v>0</v>
      </c>
      <c r="U58" s="5">
        <f>averageResponseTimePorter(Dates!$C$12,Dates!$T$13,'Day5'!$B4)</f>
        <v>0</v>
      </c>
    </row>
    <row r="59" spans="2:21" x14ac:dyDescent="0.3">
      <c r="B59" s="7">
        <f t="shared" si="2"/>
        <v>3</v>
      </c>
      <c r="C59" s="5">
        <f>averageResponseTimePorter(Dates!C$12,Dates!C$13,'Day5'!$B59)</f>
        <v>0</v>
      </c>
      <c r="D59" s="5">
        <f>averageResponseTimePorter(Dates!D$12,Dates!D$13,'Day5'!$B59)</f>
        <v>0</v>
      </c>
      <c r="E59" s="5">
        <f>averageResponseTimePorter(Dates!E$12,Dates!E$13,'Day5'!$B59)</f>
        <v>0</v>
      </c>
      <c r="F59" s="5">
        <f>averageResponseTimePorter(Dates!F$12,Dates!F$13,'Day5'!$B59)</f>
        <v>0</v>
      </c>
      <c r="G59" s="5">
        <f>averageResponseTimePorter(Dates!G$12,Dates!G$13,'Day5'!$B59)</f>
        <v>0</v>
      </c>
      <c r="H59" s="5">
        <f>averageResponseTimePorter(Dates!H$12,Dates!H$13,'Day5'!$B59)</f>
        <v>0</v>
      </c>
      <c r="I59" s="5">
        <f>averageResponseTimePorter(Dates!I$12,Dates!I$13,'Day5'!$B59)</f>
        <v>0</v>
      </c>
      <c r="J59" s="5">
        <f>averageResponseTimePorter(Dates!J$12,Dates!J$13,'Day5'!$B59)</f>
        <v>0</v>
      </c>
      <c r="K59" s="5">
        <f>averageResponseTimePorter(Dates!K$12,Dates!K$13,'Day5'!$B59)</f>
        <v>0</v>
      </c>
      <c r="L59" s="5">
        <f>averageResponseTimePorter(Dates!L$12,Dates!L$13,'Day5'!$B59)</f>
        <v>0</v>
      </c>
      <c r="M59" s="5">
        <f>averageResponseTimePorter(Dates!M$12,Dates!M$13,'Day5'!$B59)</f>
        <v>0</v>
      </c>
      <c r="N59" s="5">
        <f>averageResponseTimePorter(Dates!N$12,Dates!N$13,'Day5'!$B59)</f>
        <v>0</v>
      </c>
      <c r="O59" s="5">
        <f>averageResponseTimePorter(Dates!O$12,Dates!O$13,'Day5'!$B59)</f>
        <v>0</v>
      </c>
      <c r="P59" s="5">
        <f>averageResponseTimePorter(Dates!P$12,Dates!P$13,'Day5'!$B59)</f>
        <v>0</v>
      </c>
      <c r="Q59" s="5">
        <f>averageResponseTimePorter(Dates!Q$12,Dates!Q$13,'Day5'!$B59)</f>
        <v>0</v>
      </c>
      <c r="R59" s="5">
        <f>averageResponseTimePorter(Dates!R$12,Dates!R$13,'Day5'!$B59)</f>
        <v>0</v>
      </c>
      <c r="S59" s="5">
        <f>averageResponseTimePorter(Dates!S$12,Dates!S$13,'Day5'!$B59)</f>
        <v>0</v>
      </c>
      <c r="T59" s="5">
        <f>averageResponseTimePorter(Dates!T$12,Dates!T$13,'Day5'!$B59)</f>
        <v>0</v>
      </c>
      <c r="U59" s="5">
        <f>averageResponseTimePorter(Dates!$C$12,Dates!$T$13,'Day5'!$B5)</f>
        <v>0</v>
      </c>
    </row>
    <row r="60" spans="2:21" x14ac:dyDescent="0.3">
      <c r="B60" s="7">
        <f t="shared" si="2"/>
        <v>2</v>
      </c>
      <c r="C60" s="5">
        <f>averageResponseTimePorter(Dates!C$12,Dates!C$13,'Day5'!$B60)</f>
        <v>0</v>
      </c>
      <c r="D60" s="5">
        <f>averageResponseTimePorter(Dates!D$12,Dates!D$13,'Day5'!$B60)</f>
        <v>0</v>
      </c>
      <c r="E60" s="5">
        <f>averageResponseTimePorter(Dates!E$12,Dates!E$13,'Day5'!$B60)</f>
        <v>0</v>
      </c>
      <c r="F60" s="5">
        <f>averageResponseTimePorter(Dates!F$12,Dates!F$13,'Day5'!$B60)</f>
        <v>0</v>
      </c>
      <c r="G60" s="5">
        <f>averageResponseTimePorter(Dates!G$12,Dates!G$13,'Day5'!$B60)</f>
        <v>0</v>
      </c>
      <c r="H60" s="5">
        <f>averageResponseTimePorter(Dates!H$12,Dates!H$13,'Day5'!$B60)</f>
        <v>0</v>
      </c>
      <c r="I60" s="5">
        <f>averageResponseTimePorter(Dates!I$12,Dates!I$13,'Day5'!$B60)</f>
        <v>0</v>
      </c>
      <c r="J60" s="5">
        <f>averageResponseTimePorter(Dates!J$12,Dates!J$13,'Day5'!$B60)</f>
        <v>0</v>
      </c>
      <c r="K60" s="5">
        <f>averageResponseTimePorter(Dates!K$12,Dates!K$13,'Day5'!$B60)</f>
        <v>0</v>
      </c>
      <c r="L60" s="5">
        <f>averageResponseTimePorter(Dates!L$12,Dates!L$13,'Day5'!$B60)</f>
        <v>0</v>
      </c>
      <c r="M60" s="5">
        <f>averageResponseTimePorter(Dates!M$12,Dates!M$13,'Day5'!$B60)</f>
        <v>0</v>
      </c>
      <c r="N60" s="5">
        <f>averageResponseTimePorter(Dates!N$12,Dates!N$13,'Day5'!$B60)</f>
        <v>0</v>
      </c>
      <c r="O60" s="5">
        <f>averageResponseTimePorter(Dates!O$12,Dates!O$13,'Day5'!$B60)</f>
        <v>0</v>
      </c>
      <c r="P60" s="5">
        <f>averageResponseTimePorter(Dates!P$12,Dates!P$13,'Day5'!$B60)</f>
        <v>0</v>
      </c>
      <c r="Q60" s="5">
        <f>averageResponseTimePorter(Dates!Q$12,Dates!Q$13,'Day5'!$B60)</f>
        <v>0</v>
      </c>
      <c r="R60" s="5">
        <f>averageResponseTimePorter(Dates!R$12,Dates!R$13,'Day5'!$B60)</f>
        <v>0</v>
      </c>
      <c r="S60" s="5">
        <f>averageResponseTimePorter(Dates!S$12,Dates!S$13,'Day5'!$B60)</f>
        <v>0</v>
      </c>
      <c r="T60" s="5">
        <f>averageResponseTimePorter(Dates!T$12,Dates!T$13,'Day5'!$B60)</f>
        <v>0</v>
      </c>
      <c r="U60" s="5">
        <f>averageResponseTimePorter(Dates!$C$12,Dates!$T$13,'Day5'!$B6)</f>
        <v>0</v>
      </c>
    </row>
    <row r="61" spans="2:21" x14ac:dyDescent="0.3">
      <c r="B61" s="7">
        <f t="shared" si="2"/>
        <v>5</v>
      </c>
      <c r="C61" s="5">
        <f>averageResponseTimePorter(Dates!C$12,Dates!C$13,'Day5'!$B61)</f>
        <v>0</v>
      </c>
      <c r="D61" s="5">
        <f>averageResponseTimePorter(Dates!D$12,Dates!D$13,'Day5'!$B61)</f>
        <v>0</v>
      </c>
      <c r="E61" s="5">
        <f>averageResponseTimePorter(Dates!E$12,Dates!E$13,'Day5'!$B61)</f>
        <v>0</v>
      </c>
      <c r="F61" s="5">
        <f>averageResponseTimePorter(Dates!F$12,Dates!F$13,'Day5'!$B61)</f>
        <v>0</v>
      </c>
      <c r="G61" s="5">
        <f>averageResponseTimePorter(Dates!G$12,Dates!G$13,'Day5'!$B61)</f>
        <v>0</v>
      </c>
      <c r="H61" s="5">
        <f>averageResponseTimePorter(Dates!H$12,Dates!H$13,'Day5'!$B61)</f>
        <v>0</v>
      </c>
      <c r="I61" s="5">
        <f>averageResponseTimePorter(Dates!I$12,Dates!I$13,'Day5'!$B61)</f>
        <v>0</v>
      </c>
      <c r="J61" s="5">
        <f>averageResponseTimePorter(Dates!J$12,Dates!J$13,'Day5'!$B61)</f>
        <v>0</v>
      </c>
      <c r="K61" s="5">
        <f>averageResponseTimePorter(Dates!K$12,Dates!K$13,'Day5'!$B61)</f>
        <v>0</v>
      </c>
      <c r="L61" s="5">
        <f>averageResponseTimePorter(Dates!L$12,Dates!L$13,'Day5'!$B61)</f>
        <v>0</v>
      </c>
      <c r="M61" s="5">
        <f>averageResponseTimePorter(Dates!M$12,Dates!M$13,'Day5'!$B61)</f>
        <v>0</v>
      </c>
      <c r="N61" s="5">
        <f>averageResponseTimePorter(Dates!N$12,Dates!N$13,'Day5'!$B61)</f>
        <v>0</v>
      </c>
      <c r="O61" s="5">
        <f>averageResponseTimePorter(Dates!O$12,Dates!O$13,'Day5'!$B61)</f>
        <v>0</v>
      </c>
      <c r="P61" s="5">
        <f>averageResponseTimePorter(Dates!P$12,Dates!P$13,'Day5'!$B61)</f>
        <v>0</v>
      </c>
      <c r="Q61" s="5">
        <f>averageResponseTimePorter(Dates!Q$12,Dates!Q$13,'Day5'!$B61)</f>
        <v>0</v>
      </c>
      <c r="R61" s="5">
        <f>averageResponseTimePorter(Dates!R$12,Dates!R$13,'Day5'!$B61)</f>
        <v>0</v>
      </c>
      <c r="S61" s="5">
        <f>averageResponseTimePorter(Dates!S$12,Dates!S$13,'Day5'!$B61)</f>
        <v>0</v>
      </c>
      <c r="T61" s="5">
        <f>averageResponseTimePorter(Dates!T$12,Dates!T$13,'Day5'!$B61)</f>
        <v>0</v>
      </c>
      <c r="U61" s="5">
        <f>averageResponseTimePorter(Dates!$C$12,Dates!$T$13,'Day5'!$B7)</f>
        <v>0</v>
      </c>
    </row>
    <row r="62" spans="2:21" x14ac:dyDescent="0.3">
      <c r="B62" s="7">
        <f t="shared" si="2"/>
        <v>4</v>
      </c>
      <c r="C62" s="5">
        <f>averageResponseTimePorter(Dates!C$12,Dates!C$13,'Day5'!$B62)</f>
        <v>0</v>
      </c>
      <c r="D62" s="5">
        <f>averageResponseTimePorter(Dates!D$12,Dates!D$13,'Day5'!$B62)</f>
        <v>0</v>
      </c>
      <c r="E62" s="5">
        <f>averageResponseTimePorter(Dates!E$12,Dates!E$13,'Day5'!$B62)</f>
        <v>0</v>
      </c>
      <c r="F62" s="5">
        <f>averageResponseTimePorter(Dates!F$12,Dates!F$13,'Day5'!$B62)</f>
        <v>0</v>
      </c>
      <c r="G62" s="5">
        <f>averageResponseTimePorter(Dates!G$12,Dates!G$13,'Day5'!$B62)</f>
        <v>0</v>
      </c>
      <c r="H62" s="5">
        <f>averageResponseTimePorter(Dates!H$12,Dates!H$13,'Day5'!$B62)</f>
        <v>0</v>
      </c>
      <c r="I62" s="5">
        <f>averageResponseTimePorter(Dates!I$12,Dates!I$13,'Day5'!$B62)</f>
        <v>0</v>
      </c>
      <c r="J62" s="5">
        <f>averageResponseTimePorter(Dates!J$12,Dates!J$13,'Day5'!$B62)</f>
        <v>0</v>
      </c>
      <c r="K62" s="5">
        <f>averageResponseTimePorter(Dates!K$12,Dates!K$13,'Day5'!$B62)</f>
        <v>0</v>
      </c>
      <c r="L62" s="5">
        <f>averageResponseTimePorter(Dates!L$12,Dates!L$13,'Day5'!$B62)</f>
        <v>0</v>
      </c>
      <c r="M62" s="5">
        <f>averageResponseTimePorter(Dates!M$12,Dates!M$13,'Day5'!$B62)</f>
        <v>0</v>
      </c>
      <c r="N62" s="5">
        <f>averageResponseTimePorter(Dates!N$12,Dates!N$13,'Day5'!$B62)</f>
        <v>0</v>
      </c>
      <c r="O62" s="5">
        <f>averageResponseTimePorter(Dates!O$12,Dates!O$13,'Day5'!$B62)</f>
        <v>0</v>
      </c>
      <c r="P62" s="5">
        <f>averageResponseTimePorter(Dates!P$12,Dates!P$13,'Day5'!$B62)</f>
        <v>0</v>
      </c>
      <c r="Q62" s="5">
        <f>averageResponseTimePorter(Dates!Q$12,Dates!Q$13,'Day5'!$B62)</f>
        <v>0</v>
      </c>
      <c r="R62" s="5">
        <f>averageResponseTimePorter(Dates!R$12,Dates!R$13,'Day5'!$B62)</f>
        <v>0</v>
      </c>
      <c r="S62" s="5">
        <f>averageResponseTimePorter(Dates!S$12,Dates!S$13,'Day5'!$B62)</f>
        <v>0</v>
      </c>
      <c r="T62" s="5">
        <f>averageResponseTimePorter(Dates!T$12,Dates!T$13,'Day5'!$B62)</f>
        <v>0</v>
      </c>
      <c r="U62" s="5">
        <f>averageResponseTimePorter(Dates!$C$12,Dates!$T$13,'Day5'!$B8)</f>
        <v>0</v>
      </c>
    </row>
    <row r="63" spans="2:21" x14ac:dyDescent="0.3">
      <c r="B63" s="7">
        <f t="shared" si="2"/>
        <v>6</v>
      </c>
      <c r="C63" s="5">
        <f>averageResponseTimePorter(Dates!C$12,Dates!C$13,'Day5'!$B63)</f>
        <v>0</v>
      </c>
      <c r="D63" s="5">
        <f>averageResponseTimePorter(Dates!D$12,Dates!D$13,'Day5'!$B63)</f>
        <v>0</v>
      </c>
      <c r="E63" s="5">
        <f>averageResponseTimePorter(Dates!E$12,Dates!E$13,'Day5'!$B63)</f>
        <v>0</v>
      </c>
      <c r="F63" s="5">
        <f>averageResponseTimePorter(Dates!F$12,Dates!F$13,'Day5'!$B63)</f>
        <v>0</v>
      </c>
      <c r="G63" s="5">
        <f>averageResponseTimePorter(Dates!G$12,Dates!G$13,'Day5'!$B63)</f>
        <v>0</v>
      </c>
      <c r="H63" s="5">
        <f>averageResponseTimePorter(Dates!H$12,Dates!H$13,'Day5'!$B63)</f>
        <v>0</v>
      </c>
      <c r="I63" s="5">
        <f>averageResponseTimePorter(Dates!I$12,Dates!I$13,'Day5'!$B63)</f>
        <v>0</v>
      </c>
      <c r="J63" s="5">
        <f>averageResponseTimePorter(Dates!J$12,Dates!J$13,'Day5'!$B63)</f>
        <v>0</v>
      </c>
      <c r="K63" s="5">
        <f>averageResponseTimePorter(Dates!K$12,Dates!K$13,'Day5'!$B63)</f>
        <v>0</v>
      </c>
      <c r="L63" s="5">
        <f>averageResponseTimePorter(Dates!L$12,Dates!L$13,'Day5'!$B63)</f>
        <v>0</v>
      </c>
      <c r="M63" s="5">
        <f>averageResponseTimePorter(Dates!M$12,Dates!M$13,'Day5'!$B63)</f>
        <v>0</v>
      </c>
      <c r="N63" s="5">
        <f>averageResponseTimePorter(Dates!N$12,Dates!N$13,'Day5'!$B63)</f>
        <v>0</v>
      </c>
      <c r="O63" s="5">
        <f>averageResponseTimePorter(Dates!O$12,Dates!O$13,'Day5'!$B63)</f>
        <v>0</v>
      </c>
      <c r="P63" s="5">
        <f>averageResponseTimePorter(Dates!P$12,Dates!P$13,'Day5'!$B63)</f>
        <v>0</v>
      </c>
      <c r="Q63" s="5">
        <f>averageResponseTimePorter(Dates!Q$12,Dates!Q$13,'Day5'!$B63)</f>
        <v>0</v>
      </c>
      <c r="R63" s="5">
        <f>averageResponseTimePorter(Dates!R$12,Dates!R$13,'Day5'!$B63)</f>
        <v>0</v>
      </c>
      <c r="S63" s="5">
        <f>averageResponseTimePorter(Dates!S$12,Dates!S$13,'Day5'!$B63)</f>
        <v>0</v>
      </c>
      <c r="T63" s="5">
        <f>averageResponseTimePorter(Dates!T$12,Dates!T$13,'Day5'!$B63)</f>
        <v>0</v>
      </c>
      <c r="U63" s="5">
        <f>averageResponseTimePorter(Dates!$C$12,Dates!$T$13,'Day5'!$B9)</f>
        <v>0</v>
      </c>
    </row>
    <row r="64" spans="2:21" x14ac:dyDescent="0.3">
      <c r="B64" s="7" t="str">
        <f t="shared" si="2"/>
        <v>NA10</v>
      </c>
      <c r="C64" s="5">
        <f>averageResponseTimePorter(Dates!C$12,Dates!C$13,'Day5'!$B64)</f>
        <v>0</v>
      </c>
      <c r="D64" s="5">
        <f>averageResponseTimePorter(Dates!D$12,Dates!D$13,'Day5'!$B64)</f>
        <v>0</v>
      </c>
      <c r="E64" s="5">
        <f>averageResponseTimePorter(Dates!E$12,Dates!E$13,'Day5'!$B64)</f>
        <v>0</v>
      </c>
      <c r="F64" s="5">
        <f>averageResponseTimePorter(Dates!F$12,Dates!F$13,'Day5'!$B64)</f>
        <v>0</v>
      </c>
      <c r="G64" s="5">
        <f>averageResponseTimePorter(Dates!G$12,Dates!G$13,'Day5'!$B64)</f>
        <v>0</v>
      </c>
      <c r="H64" s="5">
        <f>averageResponseTimePorter(Dates!H$12,Dates!H$13,'Day5'!$B64)</f>
        <v>0</v>
      </c>
      <c r="I64" s="5">
        <f>averageResponseTimePorter(Dates!I$12,Dates!I$13,'Day5'!$B64)</f>
        <v>0</v>
      </c>
      <c r="J64" s="5">
        <f>averageResponseTimePorter(Dates!J$12,Dates!J$13,'Day5'!$B64)</f>
        <v>0</v>
      </c>
      <c r="K64" s="5">
        <f>averageResponseTimePorter(Dates!K$12,Dates!K$13,'Day5'!$B64)</f>
        <v>0</v>
      </c>
      <c r="L64" s="5">
        <f>averageResponseTimePorter(Dates!L$12,Dates!L$13,'Day5'!$B64)</f>
        <v>0</v>
      </c>
      <c r="M64" s="5">
        <f>averageResponseTimePorter(Dates!M$12,Dates!M$13,'Day5'!$B64)</f>
        <v>0</v>
      </c>
      <c r="N64" s="5">
        <f>averageResponseTimePorter(Dates!N$12,Dates!N$13,'Day5'!$B64)</f>
        <v>0</v>
      </c>
      <c r="O64" s="5">
        <f>averageResponseTimePorter(Dates!O$12,Dates!O$13,'Day5'!$B64)</f>
        <v>0</v>
      </c>
      <c r="P64" s="5">
        <f>averageResponseTimePorter(Dates!P$12,Dates!P$13,'Day5'!$B64)</f>
        <v>0</v>
      </c>
      <c r="Q64" s="5">
        <f>averageResponseTimePorter(Dates!Q$12,Dates!Q$13,'Day5'!$B64)</f>
        <v>0</v>
      </c>
      <c r="R64" s="5">
        <f>averageResponseTimePorter(Dates!R$12,Dates!R$13,'Day5'!$B64)</f>
        <v>0</v>
      </c>
      <c r="S64" s="5">
        <f>averageResponseTimePorter(Dates!S$12,Dates!S$13,'Day5'!$B64)</f>
        <v>0</v>
      </c>
      <c r="T64" s="5">
        <f>averageResponseTimePorter(Dates!T$12,Dates!T$13,'Day5'!$B64)</f>
        <v>0</v>
      </c>
      <c r="U64" s="5">
        <f>averageResponseTimePorter(Dates!$C$12,Dates!$T$13,'Day5'!$B10)</f>
        <v>0</v>
      </c>
    </row>
    <row r="65" spans="2:21" x14ac:dyDescent="0.3">
      <c r="B65" s="7" t="str">
        <f t="shared" si="2"/>
        <v>NA11</v>
      </c>
      <c r="C65" s="5">
        <f>averageResponseTimePorter(Dates!C$12,Dates!C$13,'Day5'!$B65)</f>
        <v>0</v>
      </c>
      <c r="D65" s="5">
        <f>averageResponseTimePorter(Dates!D$12,Dates!D$13,'Day5'!$B65)</f>
        <v>0</v>
      </c>
      <c r="E65" s="5">
        <f>averageResponseTimePorter(Dates!E$12,Dates!E$13,'Day5'!$B65)</f>
        <v>0</v>
      </c>
      <c r="F65" s="5">
        <f>averageResponseTimePorter(Dates!F$12,Dates!F$13,'Day5'!$B65)</f>
        <v>0</v>
      </c>
      <c r="G65" s="5">
        <f>averageResponseTimePorter(Dates!G$12,Dates!G$13,'Day5'!$B65)</f>
        <v>0</v>
      </c>
      <c r="H65" s="5">
        <f>averageResponseTimePorter(Dates!H$12,Dates!H$13,'Day5'!$B65)</f>
        <v>0</v>
      </c>
      <c r="I65" s="5">
        <f>averageResponseTimePorter(Dates!I$12,Dates!I$13,'Day5'!$B65)</f>
        <v>0</v>
      </c>
      <c r="J65" s="5">
        <f>averageResponseTimePorter(Dates!J$12,Dates!J$13,'Day5'!$B65)</f>
        <v>0</v>
      </c>
      <c r="K65" s="5">
        <f>averageResponseTimePorter(Dates!K$12,Dates!K$13,'Day5'!$B65)</f>
        <v>0</v>
      </c>
      <c r="L65" s="5">
        <f>averageResponseTimePorter(Dates!L$12,Dates!L$13,'Day5'!$B65)</f>
        <v>0</v>
      </c>
      <c r="M65" s="5">
        <f>averageResponseTimePorter(Dates!M$12,Dates!M$13,'Day5'!$B65)</f>
        <v>0</v>
      </c>
      <c r="N65" s="5">
        <f>averageResponseTimePorter(Dates!N$12,Dates!N$13,'Day5'!$B65)</f>
        <v>0</v>
      </c>
      <c r="O65" s="5">
        <f>averageResponseTimePorter(Dates!O$12,Dates!O$13,'Day5'!$B65)</f>
        <v>0</v>
      </c>
      <c r="P65" s="5">
        <f>averageResponseTimePorter(Dates!P$12,Dates!P$13,'Day5'!$B65)</f>
        <v>0</v>
      </c>
      <c r="Q65" s="5">
        <f>averageResponseTimePorter(Dates!Q$12,Dates!Q$13,'Day5'!$B65)</f>
        <v>0</v>
      </c>
      <c r="R65" s="5">
        <f>averageResponseTimePorter(Dates!R$12,Dates!R$13,'Day5'!$B65)</f>
        <v>0</v>
      </c>
      <c r="S65" s="5">
        <f>averageResponseTimePorter(Dates!S$12,Dates!S$13,'Day5'!$B65)</f>
        <v>0</v>
      </c>
      <c r="T65" s="5">
        <f>averageResponseTimePorter(Dates!T$12,Dates!T$13,'Day5'!$B65)</f>
        <v>0</v>
      </c>
      <c r="U65" s="5">
        <f>averageResponseTimePorter(Dates!$C$12,Dates!$T$13,'Day5'!$B11)</f>
        <v>0</v>
      </c>
    </row>
    <row r="66" spans="2:21" x14ac:dyDescent="0.3">
      <c r="B66" s="7" t="str">
        <f t="shared" si="2"/>
        <v>NA12</v>
      </c>
      <c r="C66" s="5">
        <f>averageResponseTimePorter(Dates!C$12,Dates!C$13,'Day5'!$B66)</f>
        <v>0</v>
      </c>
      <c r="D66" s="5">
        <f>averageResponseTimePorter(Dates!D$12,Dates!D$13,'Day5'!$B66)</f>
        <v>0</v>
      </c>
      <c r="E66" s="5">
        <f>averageResponseTimePorter(Dates!E$12,Dates!E$13,'Day5'!$B66)</f>
        <v>0</v>
      </c>
      <c r="F66" s="5">
        <f>averageResponseTimePorter(Dates!F$12,Dates!F$13,'Day5'!$B66)</f>
        <v>0</v>
      </c>
      <c r="G66" s="5">
        <f>averageResponseTimePorter(Dates!G$12,Dates!G$13,'Day5'!$B66)</f>
        <v>0</v>
      </c>
      <c r="H66" s="5">
        <f>averageResponseTimePorter(Dates!H$12,Dates!H$13,'Day5'!$B66)</f>
        <v>0</v>
      </c>
      <c r="I66" s="5">
        <f>averageResponseTimePorter(Dates!I$12,Dates!I$13,'Day5'!$B66)</f>
        <v>0</v>
      </c>
      <c r="J66" s="5">
        <f>averageResponseTimePorter(Dates!J$12,Dates!J$13,'Day5'!$B66)</f>
        <v>0</v>
      </c>
      <c r="K66" s="5">
        <f>averageResponseTimePorter(Dates!K$12,Dates!K$13,'Day5'!$B66)</f>
        <v>0</v>
      </c>
      <c r="L66" s="5">
        <f>averageResponseTimePorter(Dates!L$12,Dates!L$13,'Day5'!$B66)</f>
        <v>0</v>
      </c>
      <c r="M66" s="5">
        <f>averageResponseTimePorter(Dates!M$12,Dates!M$13,'Day5'!$B66)</f>
        <v>0</v>
      </c>
      <c r="N66" s="5">
        <f>averageResponseTimePorter(Dates!N$12,Dates!N$13,'Day5'!$B66)</f>
        <v>0</v>
      </c>
      <c r="O66" s="5">
        <f>averageResponseTimePorter(Dates!O$12,Dates!O$13,'Day5'!$B66)</f>
        <v>0</v>
      </c>
      <c r="P66" s="5">
        <f>averageResponseTimePorter(Dates!P$12,Dates!P$13,'Day5'!$B66)</f>
        <v>0</v>
      </c>
      <c r="Q66" s="5">
        <f>averageResponseTimePorter(Dates!Q$12,Dates!Q$13,'Day5'!$B66)</f>
        <v>0</v>
      </c>
      <c r="R66" s="5">
        <f>averageResponseTimePorter(Dates!R$12,Dates!R$13,'Day5'!$B66)</f>
        <v>0</v>
      </c>
      <c r="S66" s="5">
        <f>averageResponseTimePorter(Dates!S$12,Dates!S$13,'Day5'!$B66)</f>
        <v>0</v>
      </c>
      <c r="T66" s="5">
        <f>averageResponseTimePorter(Dates!T$12,Dates!T$13,'Day5'!$B66)</f>
        <v>0</v>
      </c>
      <c r="U66" s="5">
        <f>averageResponseTimePorter(Dates!$C$12,Dates!$T$13,'Day5'!$B12)</f>
        <v>0</v>
      </c>
    </row>
    <row r="67" spans="2:21" x14ac:dyDescent="0.3">
      <c r="B67" s="7" t="str">
        <f t="shared" si="2"/>
        <v>NA13</v>
      </c>
      <c r="C67" s="5">
        <f>averageResponseTimePorter(Dates!C$12,Dates!C$13,'Day5'!$B67)</f>
        <v>0</v>
      </c>
      <c r="D67" s="5">
        <f>averageResponseTimePorter(Dates!D$12,Dates!D$13,'Day5'!$B67)</f>
        <v>0</v>
      </c>
      <c r="E67" s="5">
        <f>averageResponseTimePorter(Dates!E$12,Dates!E$13,'Day5'!$B67)</f>
        <v>0</v>
      </c>
      <c r="F67" s="5">
        <f>averageResponseTimePorter(Dates!F$12,Dates!F$13,'Day5'!$B67)</f>
        <v>0</v>
      </c>
      <c r="G67" s="5">
        <f>averageResponseTimePorter(Dates!G$12,Dates!G$13,'Day5'!$B67)</f>
        <v>0</v>
      </c>
      <c r="H67" s="5">
        <f>averageResponseTimePorter(Dates!H$12,Dates!H$13,'Day5'!$B67)</f>
        <v>0</v>
      </c>
      <c r="I67" s="5">
        <f>averageResponseTimePorter(Dates!I$12,Dates!I$13,'Day5'!$B67)</f>
        <v>0</v>
      </c>
      <c r="J67" s="5">
        <f>averageResponseTimePorter(Dates!J$12,Dates!J$13,'Day5'!$B67)</f>
        <v>0</v>
      </c>
      <c r="K67" s="5">
        <f>averageResponseTimePorter(Dates!K$12,Dates!K$13,'Day5'!$B67)</f>
        <v>0</v>
      </c>
      <c r="L67" s="5">
        <f>averageResponseTimePorter(Dates!L$12,Dates!L$13,'Day5'!$B67)</f>
        <v>0</v>
      </c>
      <c r="M67" s="5">
        <f>averageResponseTimePorter(Dates!M$12,Dates!M$13,'Day5'!$B67)</f>
        <v>0</v>
      </c>
      <c r="N67" s="5">
        <f>averageResponseTimePorter(Dates!N$12,Dates!N$13,'Day5'!$B67)</f>
        <v>0</v>
      </c>
      <c r="O67" s="5">
        <f>averageResponseTimePorter(Dates!O$12,Dates!O$13,'Day5'!$B67)</f>
        <v>0</v>
      </c>
      <c r="P67" s="5">
        <f>averageResponseTimePorter(Dates!P$12,Dates!P$13,'Day5'!$B67)</f>
        <v>0</v>
      </c>
      <c r="Q67" s="5">
        <f>averageResponseTimePorter(Dates!Q$12,Dates!Q$13,'Day5'!$B67)</f>
        <v>0</v>
      </c>
      <c r="R67" s="5">
        <f>averageResponseTimePorter(Dates!R$12,Dates!R$13,'Day5'!$B67)</f>
        <v>0</v>
      </c>
      <c r="S67" s="5">
        <f>averageResponseTimePorter(Dates!S$12,Dates!S$13,'Day5'!$B67)</f>
        <v>0</v>
      </c>
      <c r="T67" s="5">
        <f>averageResponseTimePorter(Dates!T$12,Dates!T$13,'Day5'!$B67)</f>
        <v>0</v>
      </c>
      <c r="U67" s="5">
        <f>averageResponseTimePorter(Dates!$C$12,Dates!$T$13,'Day5'!$B13)</f>
        <v>0</v>
      </c>
    </row>
    <row r="68" spans="2:21" x14ac:dyDescent="0.3">
      <c r="B68" s="7" t="str">
        <f t="shared" si="2"/>
        <v>NA14</v>
      </c>
      <c r="C68" s="5">
        <f>averageResponseTimePorter(Dates!C$12,Dates!C$13,'Day5'!$B68)</f>
        <v>0</v>
      </c>
      <c r="D68" s="5">
        <f>averageResponseTimePorter(Dates!D$12,Dates!D$13,'Day5'!$B68)</f>
        <v>0</v>
      </c>
      <c r="E68" s="5">
        <f>averageResponseTimePorter(Dates!E$12,Dates!E$13,'Day5'!$B68)</f>
        <v>0</v>
      </c>
      <c r="F68" s="5">
        <f>averageResponseTimePorter(Dates!F$12,Dates!F$13,'Day5'!$B68)</f>
        <v>0</v>
      </c>
      <c r="G68" s="5">
        <f>averageResponseTimePorter(Dates!G$12,Dates!G$13,'Day5'!$B68)</f>
        <v>0</v>
      </c>
      <c r="H68" s="5">
        <f>averageResponseTimePorter(Dates!H$12,Dates!H$13,'Day5'!$B68)</f>
        <v>0</v>
      </c>
      <c r="I68" s="5">
        <f>averageResponseTimePorter(Dates!I$12,Dates!I$13,'Day5'!$B68)</f>
        <v>0</v>
      </c>
      <c r="J68" s="5">
        <f>averageResponseTimePorter(Dates!J$12,Dates!J$13,'Day5'!$B68)</f>
        <v>0</v>
      </c>
      <c r="K68" s="5">
        <f>averageResponseTimePorter(Dates!K$12,Dates!K$13,'Day5'!$B68)</f>
        <v>0</v>
      </c>
      <c r="L68" s="5">
        <f>averageResponseTimePorter(Dates!L$12,Dates!L$13,'Day5'!$B68)</f>
        <v>0</v>
      </c>
      <c r="M68" s="5">
        <f>averageResponseTimePorter(Dates!M$12,Dates!M$13,'Day5'!$B68)</f>
        <v>0</v>
      </c>
      <c r="N68" s="5">
        <f>averageResponseTimePorter(Dates!N$12,Dates!N$13,'Day5'!$B68)</f>
        <v>0</v>
      </c>
      <c r="O68" s="5">
        <f>averageResponseTimePorter(Dates!O$12,Dates!O$13,'Day5'!$B68)</f>
        <v>0</v>
      </c>
      <c r="P68" s="5">
        <f>averageResponseTimePorter(Dates!P$12,Dates!P$13,'Day5'!$B68)</f>
        <v>0</v>
      </c>
      <c r="Q68" s="5">
        <f>averageResponseTimePorter(Dates!Q$12,Dates!Q$13,'Day5'!$B68)</f>
        <v>0</v>
      </c>
      <c r="R68" s="5">
        <f>averageResponseTimePorter(Dates!R$12,Dates!R$13,'Day5'!$B68)</f>
        <v>0</v>
      </c>
      <c r="S68" s="5">
        <f>averageResponseTimePorter(Dates!S$12,Dates!S$13,'Day5'!$B68)</f>
        <v>0</v>
      </c>
      <c r="T68" s="5">
        <f>averageResponseTimePorter(Dates!T$12,Dates!T$13,'Day5'!$B68)</f>
        <v>0</v>
      </c>
      <c r="U68" s="5">
        <f>averageResponseTimePorter(Dates!$C$12,Dates!$T$13,'Day5'!$B14)</f>
        <v>0</v>
      </c>
    </row>
    <row r="69" spans="2:21" x14ac:dyDescent="0.3">
      <c r="B69" s="7" t="str">
        <f t="shared" si="2"/>
        <v>NA15</v>
      </c>
      <c r="C69" s="5">
        <f>averageResponseTimePorter(Dates!C$12,Dates!C$13,'Day5'!$B69)</f>
        <v>0</v>
      </c>
      <c r="D69" s="5">
        <f>averageResponseTimePorter(Dates!D$12,Dates!D$13,'Day5'!$B69)</f>
        <v>0</v>
      </c>
      <c r="E69" s="5">
        <f>averageResponseTimePorter(Dates!E$12,Dates!E$13,'Day5'!$B69)</f>
        <v>0</v>
      </c>
      <c r="F69" s="5">
        <f>averageResponseTimePorter(Dates!F$12,Dates!F$13,'Day5'!$B69)</f>
        <v>0</v>
      </c>
      <c r="G69" s="5">
        <f>averageResponseTimePorter(Dates!G$12,Dates!G$13,'Day5'!$B69)</f>
        <v>0</v>
      </c>
      <c r="H69" s="5">
        <f>averageResponseTimePorter(Dates!H$12,Dates!H$13,'Day5'!$B69)</f>
        <v>0</v>
      </c>
      <c r="I69" s="5">
        <f>averageResponseTimePorter(Dates!I$12,Dates!I$13,'Day5'!$B69)</f>
        <v>0</v>
      </c>
      <c r="J69" s="5">
        <f>averageResponseTimePorter(Dates!J$12,Dates!J$13,'Day5'!$B69)</f>
        <v>0</v>
      </c>
      <c r="K69" s="5">
        <f>averageResponseTimePorter(Dates!K$12,Dates!K$13,'Day5'!$B69)</f>
        <v>0</v>
      </c>
      <c r="L69" s="5">
        <f>averageResponseTimePorter(Dates!L$12,Dates!L$13,'Day5'!$B69)</f>
        <v>0</v>
      </c>
      <c r="M69" s="5">
        <f>averageResponseTimePorter(Dates!M$12,Dates!M$13,'Day5'!$B69)</f>
        <v>0</v>
      </c>
      <c r="N69" s="5">
        <f>averageResponseTimePorter(Dates!N$12,Dates!N$13,'Day5'!$B69)</f>
        <v>0</v>
      </c>
      <c r="O69" s="5">
        <f>averageResponseTimePorter(Dates!O$12,Dates!O$13,'Day5'!$B69)</f>
        <v>0</v>
      </c>
      <c r="P69" s="5">
        <f>averageResponseTimePorter(Dates!P$12,Dates!P$13,'Day5'!$B69)</f>
        <v>0</v>
      </c>
      <c r="Q69" s="5">
        <f>averageResponseTimePorter(Dates!Q$12,Dates!Q$13,'Day5'!$B69)</f>
        <v>0</v>
      </c>
      <c r="R69" s="5">
        <f>averageResponseTimePorter(Dates!R$12,Dates!R$13,'Day5'!$B69)</f>
        <v>0</v>
      </c>
      <c r="S69" s="5">
        <f>averageResponseTimePorter(Dates!S$12,Dates!S$13,'Day5'!$B69)</f>
        <v>0</v>
      </c>
      <c r="T69" s="5">
        <f>averageResponseTimePorter(Dates!T$12,Dates!T$13,'Day5'!$B69)</f>
        <v>0</v>
      </c>
      <c r="U69" s="5">
        <f>averageResponseTimePorter(Dates!$C$12,Dates!$T$13,'Day5'!$B15)</f>
        <v>0</v>
      </c>
    </row>
    <row r="70" spans="2:21" x14ac:dyDescent="0.3">
      <c r="B70" s="7" t="str">
        <f t="shared" si="2"/>
        <v>NA16</v>
      </c>
      <c r="C70" s="5">
        <f>averageResponseTimePorter(Dates!C$12,Dates!C$13,'Day5'!$B70)</f>
        <v>0</v>
      </c>
      <c r="D70" s="5">
        <f>averageResponseTimePorter(Dates!D$12,Dates!D$13,'Day5'!$B70)</f>
        <v>0</v>
      </c>
      <c r="E70" s="5">
        <f>averageResponseTimePorter(Dates!E$12,Dates!E$13,'Day5'!$B70)</f>
        <v>0</v>
      </c>
      <c r="F70" s="5">
        <f>averageResponseTimePorter(Dates!F$12,Dates!F$13,'Day5'!$B70)</f>
        <v>0</v>
      </c>
      <c r="G70" s="5">
        <f>averageResponseTimePorter(Dates!G$12,Dates!G$13,'Day5'!$B70)</f>
        <v>0</v>
      </c>
      <c r="H70" s="5">
        <f>averageResponseTimePorter(Dates!H$12,Dates!H$13,'Day5'!$B70)</f>
        <v>0</v>
      </c>
      <c r="I70" s="5">
        <f>averageResponseTimePorter(Dates!I$12,Dates!I$13,'Day5'!$B70)</f>
        <v>0</v>
      </c>
      <c r="J70" s="5">
        <f>averageResponseTimePorter(Dates!J$12,Dates!J$13,'Day5'!$B70)</f>
        <v>0</v>
      </c>
      <c r="K70" s="5">
        <f>averageResponseTimePorter(Dates!K$12,Dates!K$13,'Day5'!$B70)</f>
        <v>0</v>
      </c>
      <c r="L70" s="5">
        <f>averageResponseTimePorter(Dates!L$12,Dates!L$13,'Day5'!$B70)</f>
        <v>0</v>
      </c>
      <c r="M70" s="5">
        <f>averageResponseTimePorter(Dates!M$12,Dates!M$13,'Day5'!$B70)</f>
        <v>0</v>
      </c>
      <c r="N70" s="5">
        <f>averageResponseTimePorter(Dates!N$12,Dates!N$13,'Day5'!$B70)</f>
        <v>0</v>
      </c>
      <c r="O70" s="5">
        <f>averageResponseTimePorter(Dates!O$12,Dates!O$13,'Day5'!$B70)</f>
        <v>0</v>
      </c>
      <c r="P70" s="5">
        <f>averageResponseTimePorter(Dates!P$12,Dates!P$13,'Day5'!$B70)</f>
        <v>0</v>
      </c>
      <c r="Q70" s="5">
        <f>averageResponseTimePorter(Dates!Q$12,Dates!Q$13,'Day5'!$B70)</f>
        <v>0</v>
      </c>
      <c r="R70" s="5">
        <f>averageResponseTimePorter(Dates!R$12,Dates!R$13,'Day5'!$B70)</f>
        <v>0</v>
      </c>
      <c r="S70" s="5">
        <f>averageResponseTimePorter(Dates!S$12,Dates!S$13,'Day5'!$B70)</f>
        <v>0</v>
      </c>
      <c r="T70" s="5">
        <f>averageResponseTimePorter(Dates!T$12,Dates!T$13,'Day5'!$B70)</f>
        <v>0</v>
      </c>
      <c r="U70" s="5">
        <f>averageResponseTimePorter(Dates!$C$12,Dates!$T$13,'Day5'!$B16)</f>
        <v>0</v>
      </c>
    </row>
    <row r="71" spans="2:21" x14ac:dyDescent="0.3">
      <c r="B71" s="7" t="str">
        <f t="shared" si="2"/>
        <v>NA17</v>
      </c>
      <c r="C71" s="5">
        <f>averageResponseTimePorter(Dates!C$12,Dates!C$13,'Day5'!$B71)</f>
        <v>0</v>
      </c>
      <c r="D71" s="5">
        <f>averageResponseTimePorter(Dates!D$12,Dates!D$13,'Day5'!$B71)</f>
        <v>0</v>
      </c>
      <c r="E71" s="5">
        <f>averageResponseTimePorter(Dates!E$12,Dates!E$13,'Day5'!$B71)</f>
        <v>0</v>
      </c>
      <c r="F71" s="5">
        <f>averageResponseTimePorter(Dates!F$12,Dates!F$13,'Day5'!$B71)</f>
        <v>0</v>
      </c>
      <c r="G71" s="5">
        <f>averageResponseTimePorter(Dates!G$12,Dates!G$13,'Day5'!$B71)</f>
        <v>0</v>
      </c>
      <c r="H71" s="5">
        <f>averageResponseTimePorter(Dates!H$12,Dates!H$13,'Day5'!$B71)</f>
        <v>0</v>
      </c>
      <c r="I71" s="5">
        <f>averageResponseTimePorter(Dates!I$12,Dates!I$13,'Day5'!$B71)</f>
        <v>0</v>
      </c>
      <c r="J71" s="5">
        <f>averageResponseTimePorter(Dates!J$12,Dates!J$13,'Day5'!$B71)</f>
        <v>0</v>
      </c>
      <c r="K71" s="5">
        <f>averageResponseTimePorter(Dates!K$12,Dates!K$13,'Day5'!$B71)</f>
        <v>0</v>
      </c>
      <c r="L71" s="5">
        <f>averageResponseTimePorter(Dates!L$12,Dates!L$13,'Day5'!$B71)</f>
        <v>0</v>
      </c>
      <c r="M71" s="5">
        <f>averageResponseTimePorter(Dates!M$12,Dates!M$13,'Day5'!$B71)</f>
        <v>0</v>
      </c>
      <c r="N71" s="5">
        <f>averageResponseTimePorter(Dates!N$12,Dates!N$13,'Day5'!$B71)</f>
        <v>0</v>
      </c>
      <c r="O71" s="5">
        <f>averageResponseTimePorter(Dates!O$12,Dates!O$13,'Day5'!$B71)</f>
        <v>0</v>
      </c>
      <c r="P71" s="5">
        <f>averageResponseTimePorter(Dates!P$12,Dates!P$13,'Day5'!$B71)</f>
        <v>0</v>
      </c>
      <c r="Q71" s="5">
        <f>averageResponseTimePorter(Dates!Q$12,Dates!Q$13,'Day5'!$B71)</f>
        <v>0</v>
      </c>
      <c r="R71" s="5">
        <f>averageResponseTimePorter(Dates!R$12,Dates!R$13,'Day5'!$B71)</f>
        <v>0</v>
      </c>
      <c r="S71" s="5">
        <f>averageResponseTimePorter(Dates!S$12,Dates!S$13,'Day5'!$B71)</f>
        <v>0</v>
      </c>
      <c r="T71" s="5">
        <f>averageResponseTimePorter(Dates!T$12,Dates!T$13,'Day5'!$B71)</f>
        <v>0</v>
      </c>
      <c r="U71" s="5">
        <f>averageResponseTimePorter(Dates!$C$12,Dates!$T$13,'Day5'!$B17)</f>
        <v>0</v>
      </c>
    </row>
    <row r="72" spans="2:21" x14ac:dyDescent="0.3">
      <c r="B72" s="7" t="str">
        <f t="shared" si="2"/>
        <v>NA18</v>
      </c>
      <c r="C72" s="5">
        <f>averageResponseTimePorter(Dates!C$12,Dates!C$13,'Day5'!$B72)</f>
        <v>0</v>
      </c>
      <c r="D72" s="5">
        <f>averageResponseTimePorter(Dates!D$12,Dates!D$13,'Day5'!$B72)</f>
        <v>0</v>
      </c>
      <c r="E72" s="5">
        <f>averageResponseTimePorter(Dates!E$12,Dates!E$13,'Day5'!$B72)</f>
        <v>0</v>
      </c>
      <c r="F72" s="5">
        <f>averageResponseTimePorter(Dates!F$12,Dates!F$13,'Day5'!$B72)</f>
        <v>0</v>
      </c>
      <c r="G72" s="5">
        <f>averageResponseTimePorter(Dates!G$12,Dates!G$13,'Day5'!$B72)</f>
        <v>0</v>
      </c>
      <c r="H72" s="5">
        <f>averageResponseTimePorter(Dates!H$12,Dates!H$13,'Day5'!$B72)</f>
        <v>0</v>
      </c>
      <c r="I72" s="5">
        <f>averageResponseTimePorter(Dates!I$12,Dates!I$13,'Day5'!$B72)</f>
        <v>0</v>
      </c>
      <c r="J72" s="5">
        <f>averageResponseTimePorter(Dates!J$12,Dates!J$13,'Day5'!$B72)</f>
        <v>0</v>
      </c>
      <c r="K72" s="5">
        <f>averageResponseTimePorter(Dates!K$12,Dates!K$13,'Day5'!$B72)</f>
        <v>0</v>
      </c>
      <c r="L72" s="5">
        <f>averageResponseTimePorter(Dates!L$12,Dates!L$13,'Day5'!$B72)</f>
        <v>0</v>
      </c>
      <c r="M72" s="5">
        <f>averageResponseTimePorter(Dates!M$12,Dates!M$13,'Day5'!$B72)</f>
        <v>0</v>
      </c>
      <c r="N72" s="5">
        <f>averageResponseTimePorter(Dates!N$12,Dates!N$13,'Day5'!$B72)</f>
        <v>0</v>
      </c>
      <c r="O72" s="5">
        <f>averageResponseTimePorter(Dates!O$12,Dates!O$13,'Day5'!$B72)</f>
        <v>0</v>
      </c>
      <c r="P72" s="5">
        <f>averageResponseTimePorter(Dates!P$12,Dates!P$13,'Day5'!$B72)</f>
        <v>0</v>
      </c>
      <c r="Q72" s="5">
        <f>averageResponseTimePorter(Dates!Q$12,Dates!Q$13,'Day5'!$B72)</f>
        <v>0</v>
      </c>
      <c r="R72" s="5">
        <f>averageResponseTimePorter(Dates!R$12,Dates!R$13,'Day5'!$B72)</f>
        <v>0</v>
      </c>
      <c r="S72" s="5">
        <f>averageResponseTimePorter(Dates!S$12,Dates!S$13,'Day5'!$B72)</f>
        <v>0</v>
      </c>
      <c r="T72" s="5">
        <f>averageResponseTimePorter(Dates!T$12,Dates!T$13,'Day5'!$B72)</f>
        <v>0</v>
      </c>
      <c r="U72" s="5">
        <f>averageResponseTimePorter(Dates!$C$12,Dates!$T$13,'Day5'!$B18)</f>
        <v>0</v>
      </c>
    </row>
    <row r="73" spans="2:21" x14ac:dyDescent="0.3">
      <c r="B73" s="7" t="str">
        <f t="shared" si="2"/>
        <v>NA19</v>
      </c>
      <c r="C73" s="5">
        <f>averageResponseTimePorter(Dates!C$12,Dates!C$13,'Day5'!$B73)</f>
        <v>0</v>
      </c>
      <c r="D73" s="5">
        <f>averageResponseTimePorter(Dates!D$12,Dates!D$13,'Day5'!$B73)</f>
        <v>0</v>
      </c>
      <c r="E73" s="5">
        <f>averageResponseTimePorter(Dates!E$12,Dates!E$13,'Day5'!$B73)</f>
        <v>0</v>
      </c>
      <c r="F73" s="5">
        <f>averageResponseTimePorter(Dates!F$12,Dates!F$13,'Day5'!$B73)</f>
        <v>0</v>
      </c>
      <c r="G73" s="5">
        <f>averageResponseTimePorter(Dates!G$12,Dates!G$13,'Day5'!$B73)</f>
        <v>0</v>
      </c>
      <c r="H73" s="5">
        <f>averageResponseTimePorter(Dates!H$12,Dates!H$13,'Day5'!$B73)</f>
        <v>0</v>
      </c>
      <c r="I73" s="5">
        <f>averageResponseTimePorter(Dates!I$12,Dates!I$13,'Day5'!$B73)</f>
        <v>0</v>
      </c>
      <c r="J73" s="5">
        <f>averageResponseTimePorter(Dates!J$12,Dates!J$13,'Day5'!$B73)</f>
        <v>0</v>
      </c>
      <c r="K73" s="5">
        <f>averageResponseTimePorter(Dates!K$12,Dates!K$13,'Day5'!$B73)</f>
        <v>0</v>
      </c>
      <c r="L73" s="5">
        <f>averageResponseTimePorter(Dates!L$12,Dates!L$13,'Day5'!$B73)</f>
        <v>0</v>
      </c>
      <c r="M73" s="5">
        <f>averageResponseTimePorter(Dates!M$12,Dates!M$13,'Day5'!$B73)</f>
        <v>0</v>
      </c>
      <c r="N73" s="5">
        <f>averageResponseTimePorter(Dates!N$12,Dates!N$13,'Day5'!$B73)</f>
        <v>0</v>
      </c>
      <c r="O73" s="5">
        <f>averageResponseTimePorter(Dates!O$12,Dates!O$13,'Day5'!$B73)</f>
        <v>0</v>
      </c>
      <c r="P73" s="5">
        <f>averageResponseTimePorter(Dates!P$12,Dates!P$13,'Day5'!$B73)</f>
        <v>0</v>
      </c>
      <c r="Q73" s="5">
        <f>averageResponseTimePorter(Dates!Q$12,Dates!Q$13,'Day5'!$B73)</f>
        <v>0</v>
      </c>
      <c r="R73" s="5">
        <f>averageResponseTimePorter(Dates!R$12,Dates!R$13,'Day5'!$B73)</f>
        <v>0</v>
      </c>
      <c r="S73" s="5">
        <f>averageResponseTimePorter(Dates!S$12,Dates!S$13,'Day5'!$B73)</f>
        <v>0</v>
      </c>
      <c r="T73" s="5">
        <f>averageResponseTimePorter(Dates!T$12,Dates!T$13,'Day5'!$B73)</f>
        <v>0</v>
      </c>
      <c r="U73" s="5">
        <f>averageResponseTimePorter(Dates!$C$12,Dates!$T$13,'Day5'!$B19)</f>
        <v>0</v>
      </c>
    </row>
    <row r="74" spans="2:21" x14ac:dyDescent="0.3">
      <c r="B74" s="7" t="str">
        <f t="shared" si="2"/>
        <v>NA20</v>
      </c>
      <c r="C74" s="5">
        <f>averageResponseTimePorter(Dates!C$12,Dates!C$13,'Day5'!$B74)</f>
        <v>0</v>
      </c>
      <c r="D74" s="5">
        <f>averageResponseTimePorter(Dates!D$12,Dates!D$13,'Day5'!$B74)</f>
        <v>0</v>
      </c>
      <c r="E74" s="5">
        <f>averageResponseTimePorter(Dates!E$12,Dates!E$13,'Day5'!$B74)</f>
        <v>0</v>
      </c>
      <c r="F74" s="5">
        <f>averageResponseTimePorter(Dates!F$12,Dates!F$13,'Day5'!$B74)</f>
        <v>0</v>
      </c>
      <c r="G74" s="5">
        <f>averageResponseTimePorter(Dates!G$12,Dates!G$13,'Day5'!$B74)</f>
        <v>0</v>
      </c>
      <c r="H74" s="5">
        <f>averageResponseTimePorter(Dates!H$12,Dates!H$13,'Day5'!$B74)</f>
        <v>0</v>
      </c>
      <c r="I74" s="5">
        <f>averageResponseTimePorter(Dates!I$12,Dates!I$13,'Day5'!$B74)</f>
        <v>0</v>
      </c>
      <c r="J74" s="5">
        <f>averageResponseTimePorter(Dates!J$12,Dates!J$13,'Day5'!$B74)</f>
        <v>0</v>
      </c>
      <c r="K74" s="5">
        <f>averageResponseTimePorter(Dates!K$12,Dates!K$13,'Day5'!$B74)</f>
        <v>0</v>
      </c>
      <c r="L74" s="5">
        <f>averageResponseTimePorter(Dates!L$12,Dates!L$13,'Day5'!$B74)</f>
        <v>0</v>
      </c>
      <c r="M74" s="5">
        <f>averageResponseTimePorter(Dates!M$12,Dates!M$13,'Day5'!$B74)</f>
        <v>0</v>
      </c>
      <c r="N74" s="5">
        <f>averageResponseTimePorter(Dates!N$12,Dates!N$13,'Day5'!$B74)</f>
        <v>0</v>
      </c>
      <c r="O74" s="5">
        <f>averageResponseTimePorter(Dates!O$12,Dates!O$13,'Day5'!$B74)</f>
        <v>0</v>
      </c>
      <c r="P74" s="5">
        <f>averageResponseTimePorter(Dates!P$12,Dates!P$13,'Day5'!$B74)</f>
        <v>0</v>
      </c>
      <c r="Q74" s="5">
        <f>averageResponseTimePorter(Dates!Q$12,Dates!Q$13,'Day5'!$B74)</f>
        <v>0</v>
      </c>
      <c r="R74" s="5">
        <f>averageResponseTimePorter(Dates!R$12,Dates!R$13,'Day5'!$B74)</f>
        <v>0</v>
      </c>
      <c r="S74" s="5">
        <f>averageResponseTimePorter(Dates!S$12,Dates!S$13,'Day5'!$B74)</f>
        <v>0</v>
      </c>
      <c r="T74" s="5">
        <f>averageResponseTimePorter(Dates!T$12,Dates!T$13,'Day5'!$B74)</f>
        <v>0</v>
      </c>
      <c r="U74" s="5">
        <f>averageResponseTimePorter(Dates!$C$12,Dates!$T$13,'Day5'!$B20)</f>
        <v>0</v>
      </c>
    </row>
    <row r="75" spans="2:21" x14ac:dyDescent="0.3">
      <c r="B75" s="7" t="str">
        <f t="shared" si="2"/>
        <v>NA21</v>
      </c>
      <c r="C75" s="5">
        <f>averageResponseTimePorter(Dates!C$12,Dates!C$13,'Day5'!$B75)</f>
        <v>0</v>
      </c>
      <c r="D75" s="5">
        <f>averageResponseTimePorter(Dates!D$12,Dates!D$13,'Day5'!$B75)</f>
        <v>0</v>
      </c>
      <c r="E75" s="5">
        <f>averageResponseTimePorter(Dates!E$12,Dates!E$13,'Day5'!$B75)</f>
        <v>0</v>
      </c>
      <c r="F75" s="5">
        <f>averageResponseTimePorter(Dates!F$12,Dates!F$13,'Day5'!$B75)</f>
        <v>0</v>
      </c>
      <c r="G75" s="5">
        <f>averageResponseTimePorter(Dates!G$12,Dates!G$13,'Day5'!$B75)</f>
        <v>0</v>
      </c>
      <c r="H75" s="5">
        <f>averageResponseTimePorter(Dates!H$12,Dates!H$13,'Day5'!$B75)</f>
        <v>0</v>
      </c>
      <c r="I75" s="5">
        <f>averageResponseTimePorter(Dates!I$12,Dates!I$13,'Day5'!$B75)</f>
        <v>0</v>
      </c>
      <c r="J75" s="5">
        <f>averageResponseTimePorter(Dates!J$12,Dates!J$13,'Day5'!$B75)</f>
        <v>0</v>
      </c>
      <c r="K75" s="5">
        <f>averageResponseTimePorter(Dates!K$12,Dates!K$13,'Day5'!$B75)</f>
        <v>0</v>
      </c>
      <c r="L75" s="5">
        <f>averageResponseTimePorter(Dates!L$12,Dates!L$13,'Day5'!$B75)</f>
        <v>0</v>
      </c>
      <c r="M75" s="5">
        <f>averageResponseTimePorter(Dates!M$12,Dates!M$13,'Day5'!$B75)</f>
        <v>0</v>
      </c>
      <c r="N75" s="5">
        <f>averageResponseTimePorter(Dates!N$12,Dates!N$13,'Day5'!$B75)</f>
        <v>0</v>
      </c>
      <c r="O75" s="5">
        <f>averageResponseTimePorter(Dates!O$12,Dates!O$13,'Day5'!$B75)</f>
        <v>0</v>
      </c>
      <c r="P75" s="5">
        <f>averageResponseTimePorter(Dates!P$12,Dates!P$13,'Day5'!$B75)</f>
        <v>0</v>
      </c>
      <c r="Q75" s="5">
        <f>averageResponseTimePorter(Dates!Q$12,Dates!Q$13,'Day5'!$B75)</f>
        <v>0</v>
      </c>
      <c r="R75" s="5">
        <f>averageResponseTimePorter(Dates!R$12,Dates!R$13,'Day5'!$B75)</f>
        <v>0</v>
      </c>
      <c r="S75" s="5">
        <f>averageResponseTimePorter(Dates!S$12,Dates!S$13,'Day5'!$B75)</f>
        <v>0</v>
      </c>
      <c r="T75" s="5">
        <f>averageResponseTimePorter(Dates!T$12,Dates!T$13,'Day5'!$B75)</f>
        <v>0</v>
      </c>
      <c r="U75" s="5">
        <f>averageResponseTimePorter(Dates!$C$12,Dates!$T$13,'Day5'!$B21)</f>
        <v>0</v>
      </c>
    </row>
    <row r="76" spans="2:21" x14ac:dyDescent="0.3">
      <c r="B76" s="7" t="str">
        <f t="shared" si="2"/>
        <v>NA22</v>
      </c>
      <c r="C76" s="5">
        <f>averageResponseTimePorter(Dates!C$12,Dates!C$13,'Day5'!$B76)</f>
        <v>0</v>
      </c>
      <c r="D76" s="5">
        <f>averageResponseTimePorter(Dates!D$12,Dates!D$13,'Day5'!$B76)</f>
        <v>0</v>
      </c>
      <c r="E76" s="5">
        <f>averageResponseTimePorter(Dates!E$12,Dates!E$13,'Day5'!$B76)</f>
        <v>0</v>
      </c>
      <c r="F76" s="5">
        <f>averageResponseTimePorter(Dates!F$12,Dates!F$13,'Day5'!$B76)</f>
        <v>0</v>
      </c>
      <c r="G76" s="5">
        <f>averageResponseTimePorter(Dates!G$12,Dates!G$13,'Day5'!$B76)</f>
        <v>0</v>
      </c>
      <c r="H76" s="5">
        <f>averageResponseTimePorter(Dates!H$12,Dates!H$13,'Day5'!$B76)</f>
        <v>0</v>
      </c>
      <c r="I76" s="5">
        <f>averageResponseTimePorter(Dates!I$12,Dates!I$13,'Day5'!$B76)</f>
        <v>0</v>
      </c>
      <c r="J76" s="5">
        <f>averageResponseTimePorter(Dates!J$12,Dates!J$13,'Day5'!$B76)</f>
        <v>0</v>
      </c>
      <c r="K76" s="5">
        <f>averageResponseTimePorter(Dates!K$12,Dates!K$13,'Day5'!$B76)</f>
        <v>0</v>
      </c>
      <c r="L76" s="5">
        <f>averageResponseTimePorter(Dates!L$12,Dates!L$13,'Day5'!$B76)</f>
        <v>0</v>
      </c>
      <c r="M76" s="5">
        <f>averageResponseTimePorter(Dates!M$12,Dates!M$13,'Day5'!$B76)</f>
        <v>0</v>
      </c>
      <c r="N76" s="5">
        <f>averageResponseTimePorter(Dates!N$12,Dates!N$13,'Day5'!$B76)</f>
        <v>0</v>
      </c>
      <c r="O76" s="5">
        <f>averageResponseTimePorter(Dates!O$12,Dates!O$13,'Day5'!$B76)</f>
        <v>0</v>
      </c>
      <c r="P76" s="5">
        <f>averageResponseTimePorter(Dates!P$12,Dates!P$13,'Day5'!$B76)</f>
        <v>0</v>
      </c>
      <c r="Q76" s="5">
        <f>averageResponseTimePorter(Dates!Q$12,Dates!Q$13,'Day5'!$B76)</f>
        <v>0</v>
      </c>
      <c r="R76" s="5">
        <f>averageResponseTimePorter(Dates!R$12,Dates!R$13,'Day5'!$B76)</f>
        <v>0</v>
      </c>
      <c r="S76" s="5">
        <f>averageResponseTimePorter(Dates!S$12,Dates!S$13,'Day5'!$B76)</f>
        <v>0</v>
      </c>
      <c r="T76" s="5">
        <f>averageResponseTimePorter(Dates!T$12,Dates!T$13,'Day5'!$B76)</f>
        <v>0</v>
      </c>
      <c r="U76" s="5">
        <f>averageResponseTimePorter(Dates!$C$12,Dates!$T$13,'Day5'!$B22)</f>
        <v>0</v>
      </c>
    </row>
    <row r="77" spans="2:21" x14ac:dyDescent="0.3">
      <c r="B77" s="7" t="str">
        <f t="shared" si="2"/>
        <v>NA23</v>
      </c>
      <c r="C77" s="5">
        <f>averageResponseTimePorter(Dates!C$12,Dates!C$13,'Day5'!$B77)</f>
        <v>0</v>
      </c>
      <c r="D77" s="5">
        <f>averageResponseTimePorter(Dates!D$12,Dates!D$13,'Day5'!$B77)</f>
        <v>0</v>
      </c>
      <c r="E77" s="5">
        <f>averageResponseTimePorter(Dates!E$12,Dates!E$13,'Day5'!$B77)</f>
        <v>0</v>
      </c>
      <c r="F77" s="5">
        <f>averageResponseTimePorter(Dates!F$12,Dates!F$13,'Day5'!$B77)</f>
        <v>0</v>
      </c>
      <c r="G77" s="5">
        <f>averageResponseTimePorter(Dates!G$12,Dates!G$13,'Day5'!$B77)</f>
        <v>0</v>
      </c>
      <c r="H77" s="5">
        <f>averageResponseTimePorter(Dates!H$12,Dates!H$13,'Day5'!$B77)</f>
        <v>0</v>
      </c>
      <c r="I77" s="5">
        <f>averageResponseTimePorter(Dates!I$12,Dates!I$13,'Day5'!$B77)</f>
        <v>0</v>
      </c>
      <c r="J77" s="5">
        <f>averageResponseTimePorter(Dates!J$12,Dates!J$13,'Day5'!$B77)</f>
        <v>0</v>
      </c>
      <c r="K77" s="5">
        <f>averageResponseTimePorter(Dates!K$12,Dates!K$13,'Day5'!$B77)</f>
        <v>0</v>
      </c>
      <c r="L77" s="5">
        <f>averageResponseTimePorter(Dates!L$12,Dates!L$13,'Day5'!$B77)</f>
        <v>0</v>
      </c>
      <c r="M77" s="5">
        <f>averageResponseTimePorter(Dates!M$12,Dates!M$13,'Day5'!$B77)</f>
        <v>0</v>
      </c>
      <c r="N77" s="5">
        <f>averageResponseTimePorter(Dates!N$12,Dates!N$13,'Day5'!$B77)</f>
        <v>0</v>
      </c>
      <c r="O77" s="5">
        <f>averageResponseTimePorter(Dates!O$12,Dates!O$13,'Day5'!$B77)</f>
        <v>0</v>
      </c>
      <c r="P77" s="5">
        <f>averageResponseTimePorter(Dates!P$12,Dates!P$13,'Day5'!$B77)</f>
        <v>0</v>
      </c>
      <c r="Q77" s="5">
        <f>averageResponseTimePorter(Dates!Q$12,Dates!Q$13,'Day5'!$B77)</f>
        <v>0</v>
      </c>
      <c r="R77" s="5">
        <f>averageResponseTimePorter(Dates!R$12,Dates!R$13,'Day5'!$B77)</f>
        <v>0</v>
      </c>
      <c r="S77" s="5">
        <f>averageResponseTimePorter(Dates!S$12,Dates!S$13,'Day5'!$B77)</f>
        <v>0</v>
      </c>
      <c r="T77" s="5">
        <f>averageResponseTimePorter(Dates!T$12,Dates!T$13,'Day5'!$B77)</f>
        <v>0</v>
      </c>
      <c r="U77" s="5">
        <f>averageResponseTimePorter(Dates!$C$12,Dates!$T$13,'Day5'!$B23)</f>
        <v>0</v>
      </c>
    </row>
    <row r="78" spans="2:21" x14ac:dyDescent="0.3">
      <c r="B78" s="7" t="str">
        <f t="shared" si="2"/>
        <v>NA24</v>
      </c>
      <c r="C78" s="5">
        <f>averageResponseTimePorter(Dates!C$12,Dates!C$13,'Day5'!$B78)</f>
        <v>0</v>
      </c>
      <c r="D78" s="5">
        <f>averageResponseTimePorter(Dates!D$12,Dates!D$13,'Day5'!$B78)</f>
        <v>0</v>
      </c>
      <c r="E78" s="5">
        <f>averageResponseTimePorter(Dates!E$12,Dates!E$13,'Day5'!$B78)</f>
        <v>0</v>
      </c>
      <c r="F78" s="5">
        <f>averageResponseTimePorter(Dates!F$12,Dates!F$13,'Day5'!$B78)</f>
        <v>0</v>
      </c>
      <c r="G78" s="5">
        <f>averageResponseTimePorter(Dates!G$12,Dates!G$13,'Day5'!$B78)</f>
        <v>0</v>
      </c>
      <c r="H78" s="5">
        <f>averageResponseTimePorter(Dates!H$12,Dates!H$13,'Day5'!$B78)</f>
        <v>0</v>
      </c>
      <c r="I78" s="5">
        <f>averageResponseTimePorter(Dates!I$12,Dates!I$13,'Day5'!$B78)</f>
        <v>0</v>
      </c>
      <c r="J78" s="5">
        <f>averageResponseTimePorter(Dates!J$12,Dates!J$13,'Day5'!$B78)</f>
        <v>0</v>
      </c>
      <c r="K78" s="5">
        <f>averageResponseTimePorter(Dates!K$12,Dates!K$13,'Day5'!$B78)</f>
        <v>0</v>
      </c>
      <c r="L78" s="5">
        <f>averageResponseTimePorter(Dates!L$12,Dates!L$13,'Day5'!$B78)</f>
        <v>0</v>
      </c>
      <c r="M78" s="5">
        <f>averageResponseTimePorter(Dates!M$12,Dates!M$13,'Day5'!$B78)</f>
        <v>0</v>
      </c>
      <c r="N78" s="5">
        <f>averageResponseTimePorter(Dates!N$12,Dates!N$13,'Day5'!$B78)</f>
        <v>0</v>
      </c>
      <c r="O78" s="5">
        <f>averageResponseTimePorter(Dates!O$12,Dates!O$13,'Day5'!$B78)</f>
        <v>0</v>
      </c>
      <c r="P78" s="5">
        <f>averageResponseTimePorter(Dates!P$12,Dates!P$13,'Day5'!$B78)</f>
        <v>0</v>
      </c>
      <c r="Q78" s="5">
        <f>averageResponseTimePorter(Dates!Q$12,Dates!Q$13,'Day5'!$B78)</f>
        <v>0</v>
      </c>
      <c r="R78" s="5">
        <f>averageResponseTimePorter(Dates!R$12,Dates!R$13,'Day5'!$B78)</f>
        <v>0</v>
      </c>
      <c r="S78" s="5">
        <f>averageResponseTimePorter(Dates!S$12,Dates!S$13,'Day5'!$B78)</f>
        <v>0</v>
      </c>
      <c r="T78" s="5">
        <f>averageResponseTimePorter(Dates!T$12,Dates!T$13,'Day5'!$B78)</f>
        <v>0</v>
      </c>
      <c r="U78" s="5">
        <f>averageResponseTimePorter(Dates!$C$12,Dates!$T$13,'Day5'!$B24)</f>
        <v>0</v>
      </c>
    </row>
    <row r="79" spans="2:21" x14ac:dyDescent="0.3">
      <c r="B79" s="7" t="str">
        <f t="shared" si="2"/>
        <v>NA25</v>
      </c>
      <c r="C79" s="5">
        <f>averageResponseTimePorter(Dates!C$12,Dates!C$13,'Day5'!$B79)</f>
        <v>0</v>
      </c>
      <c r="D79" s="5">
        <f>averageResponseTimePorter(Dates!D$12,Dates!D$13,'Day5'!$B79)</f>
        <v>0</v>
      </c>
      <c r="E79" s="5">
        <f>averageResponseTimePorter(Dates!E$12,Dates!E$13,'Day5'!$B79)</f>
        <v>0</v>
      </c>
      <c r="F79" s="5">
        <f>averageResponseTimePorter(Dates!F$12,Dates!F$13,'Day5'!$B79)</f>
        <v>0</v>
      </c>
      <c r="G79" s="5">
        <f>averageResponseTimePorter(Dates!G$12,Dates!G$13,'Day5'!$B79)</f>
        <v>0</v>
      </c>
      <c r="H79" s="5">
        <f>averageResponseTimePorter(Dates!H$12,Dates!H$13,'Day5'!$B79)</f>
        <v>0</v>
      </c>
      <c r="I79" s="5">
        <f>averageResponseTimePorter(Dates!I$12,Dates!I$13,'Day5'!$B79)</f>
        <v>0</v>
      </c>
      <c r="J79" s="5">
        <f>averageResponseTimePorter(Dates!J$12,Dates!J$13,'Day5'!$B79)</f>
        <v>0</v>
      </c>
      <c r="K79" s="5">
        <f>averageResponseTimePorter(Dates!K$12,Dates!K$13,'Day5'!$B79)</f>
        <v>0</v>
      </c>
      <c r="L79" s="5">
        <f>averageResponseTimePorter(Dates!L$12,Dates!L$13,'Day5'!$B79)</f>
        <v>0</v>
      </c>
      <c r="M79" s="5">
        <f>averageResponseTimePorter(Dates!M$12,Dates!M$13,'Day5'!$B79)</f>
        <v>0</v>
      </c>
      <c r="N79" s="5">
        <f>averageResponseTimePorter(Dates!N$12,Dates!N$13,'Day5'!$B79)</f>
        <v>0</v>
      </c>
      <c r="O79" s="5">
        <f>averageResponseTimePorter(Dates!O$12,Dates!O$13,'Day5'!$B79)</f>
        <v>0</v>
      </c>
      <c r="P79" s="5">
        <f>averageResponseTimePorter(Dates!P$12,Dates!P$13,'Day5'!$B79)</f>
        <v>0</v>
      </c>
      <c r="Q79" s="5">
        <f>averageResponseTimePorter(Dates!Q$12,Dates!Q$13,'Day5'!$B79)</f>
        <v>0</v>
      </c>
      <c r="R79" s="5">
        <f>averageResponseTimePorter(Dates!R$12,Dates!R$13,'Day5'!$B79)</f>
        <v>0</v>
      </c>
      <c r="S79" s="5">
        <f>averageResponseTimePorter(Dates!S$12,Dates!S$13,'Day5'!$B79)</f>
        <v>0</v>
      </c>
      <c r="T79" s="5">
        <f>averageResponseTimePorter(Dates!T$12,Dates!T$13,'Day5'!$B79)</f>
        <v>0</v>
      </c>
      <c r="U79" s="5">
        <f>averageResponseTimePorter(Dates!$C$12,Dates!$T$13,'Day5'!$B25)</f>
        <v>0</v>
      </c>
    </row>
    <row r="80" spans="2:21" x14ac:dyDescent="0.3">
      <c r="B80" s="7" t="str">
        <f t="shared" si="2"/>
        <v>NA26</v>
      </c>
      <c r="C80" s="5">
        <f>averageResponseTimePorter(Dates!C$12,Dates!C$13,'Day5'!$B80)</f>
        <v>0</v>
      </c>
      <c r="D80" s="5">
        <f>averageResponseTimePorter(Dates!D$12,Dates!D$13,'Day5'!$B80)</f>
        <v>0</v>
      </c>
      <c r="E80" s="5">
        <f>averageResponseTimePorter(Dates!E$12,Dates!E$13,'Day5'!$B80)</f>
        <v>0</v>
      </c>
      <c r="F80" s="5">
        <f>averageResponseTimePorter(Dates!F$12,Dates!F$13,'Day5'!$B80)</f>
        <v>0</v>
      </c>
      <c r="G80" s="5">
        <f>averageResponseTimePorter(Dates!G$12,Dates!G$13,'Day5'!$B80)</f>
        <v>0</v>
      </c>
      <c r="H80" s="5">
        <f>averageResponseTimePorter(Dates!H$12,Dates!H$13,'Day5'!$B80)</f>
        <v>0</v>
      </c>
      <c r="I80" s="5">
        <f>averageResponseTimePorter(Dates!I$12,Dates!I$13,'Day5'!$B80)</f>
        <v>0</v>
      </c>
      <c r="J80" s="5">
        <f>averageResponseTimePorter(Dates!J$12,Dates!J$13,'Day5'!$B80)</f>
        <v>0</v>
      </c>
      <c r="K80" s="5">
        <f>averageResponseTimePorter(Dates!K$12,Dates!K$13,'Day5'!$B80)</f>
        <v>0</v>
      </c>
      <c r="L80" s="5">
        <f>averageResponseTimePorter(Dates!L$12,Dates!L$13,'Day5'!$B80)</f>
        <v>0</v>
      </c>
      <c r="M80" s="5">
        <f>averageResponseTimePorter(Dates!M$12,Dates!M$13,'Day5'!$B80)</f>
        <v>0</v>
      </c>
      <c r="N80" s="5">
        <f>averageResponseTimePorter(Dates!N$12,Dates!N$13,'Day5'!$B80)</f>
        <v>0</v>
      </c>
      <c r="O80" s="5">
        <f>averageResponseTimePorter(Dates!O$12,Dates!O$13,'Day5'!$B80)</f>
        <v>0</v>
      </c>
      <c r="P80" s="5">
        <f>averageResponseTimePorter(Dates!P$12,Dates!P$13,'Day5'!$B80)</f>
        <v>0</v>
      </c>
      <c r="Q80" s="5">
        <f>averageResponseTimePorter(Dates!Q$12,Dates!Q$13,'Day5'!$B80)</f>
        <v>0</v>
      </c>
      <c r="R80" s="5">
        <f>averageResponseTimePorter(Dates!R$12,Dates!R$13,'Day5'!$B80)</f>
        <v>0</v>
      </c>
      <c r="S80" s="5">
        <f>averageResponseTimePorter(Dates!S$12,Dates!S$13,'Day5'!$B80)</f>
        <v>0</v>
      </c>
      <c r="T80" s="5">
        <f>averageResponseTimePorter(Dates!T$12,Dates!T$13,'Day5'!$B80)</f>
        <v>0</v>
      </c>
      <c r="U80" s="5">
        <f>averageResponseTimePorter(Dates!$C$12,Dates!$T$13,'Day5'!$B26)</f>
        <v>0</v>
      </c>
    </row>
    <row r="81" spans="2:21" x14ac:dyDescent="0.3">
      <c r="B81" s="7" t="str">
        <f t="shared" si="2"/>
        <v>NA27</v>
      </c>
      <c r="C81" s="5">
        <f>averageResponseTimePorter(Dates!C$12,Dates!C$13,'Day5'!$B81)</f>
        <v>0</v>
      </c>
      <c r="D81" s="5">
        <f>averageResponseTimePorter(Dates!D$12,Dates!D$13,'Day5'!$B81)</f>
        <v>0</v>
      </c>
      <c r="E81" s="5">
        <f>averageResponseTimePorter(Dates!E$12,Dates!E$13,'Day5'!$B81)</f>
        <v>0</v>
      </c>
      <c r="F81" s="5">
        <f>averageResponseTimePorter(Dates!F$12,Dates!F$13,'Day5'!$B81)</f>
        <v>0</v>
      </c>
      <c r="G81" s="5">
        <f>averageResponseTimePorter(Dates!G$12,Dates!G$13,'Day5'!$B81)</f>
        <v>0</v>
      </c>
      <c r="H81" s="5">
        <f>averageResponseTimePorter(Dates!H$12,Dates!H$13,'Day5'!$B81)</f>
        <v>0</v>
      </c>
      <c r="I81" s="5">
        <f>averageResponseTimePorter(Dates!I$12,Dates!I$13,'Day5'!$B81)</f>
        <v>0</v>
      </c>
      <c r="J81" s="5">
        <f>averageResponseTimePorter(Dates!J$12,Dates!J$13,'Day5'!$B81)</f>
        <v>0</v>
      </c>
      <c r="K81" s="5">
        <f>averageResponseTimePorter(Dates!K$12,Dates!K$13,'Day5'!$B81)</f>
        <v>0</v>
      </c>
      <c r="L81" s="5">
        <f>averageResponseTimePorter(Dates!L$12,Dates!L$13,'Day5'!$B81)</f>
        <v>0</v>
      </c>
      <c r="M81" s="5">
        <f>averageResponseTimePorter(Dates!M$12,Dates!M$13,'Day5'!$B81)</f>
        <v>0</v>
      </c>
      <c r="N81" s="5">
        <f>averageResponseTimePorter(Dates!N$12,Dates!N$13,'Day5'!$B81)</f>
        <v>0</v>
      </c>
      <c r="O81" s="5">
        <f>averageResponseTimePorter(Dates!O$12,Dates!O$13,'Day5'!$B81)</f>
        <v>0</v>
      </c>
      <c r="P81" s="5">
        <f>averageResponseTimePorter(Dates!P$12,Dates!P$13,'Day5'!$B81)</f>
        <v>0</v>
      </c>
      <c r="Q81" s="5">
        <f>averageResponseTimePorter(Dates!Q$12,Dates!Q$13,'Day5'!$B81)</f>
        <v>0</v>
      </c>
      <c r="R81" s="5">
        <f>averageResponseTimePorter(Dates!R$12,Dates!R$13,'Day5'!$B81)</f>
        <v>0</v>
      </c>
      <c r="S81" s="5">
        <f>averageResponseTimePorter(Dates!S$12,Dates!S$13,'Day5'!$B81)</f>
        <v>0</v>
      </c>
      <c r="T81" s="5">
        <f>averageResponseTimePorter(Dates!T$12,Dates!T$13,'Day5'!$B81)</f>
        <v>0</v>
      </c>
      <c r="U81" s="5">
        <f>averageResponseTimePorter(Dates!$C$12,Dates!$T$13,'Day5'!$B27)</f>
        <v>0</v>
      </c>
    </row>
    <row r="83" spans="2:21" x14ac:dyDescent="0.3">
      <c r="B83" s="7" t="s">
        <v>67</v>
      </c>
      <c r="C83">
        <f>pendingJobs(Dates!C$13)</f>
        <v>0</v>
      </c>
      <c r="D83">
        <f>pendingJobs(Dates!D$13)</f>
        <v>0</v>
      </c>
      <c r="E83">
        <f>pendingJobs(Dates!E$13)</f>
        <v>0</v>
      </c>
      <c r="F83">
        <f>pendingJobs(Dates!F$13)</f>
        <v>0</v>
      </c>
      <c r="G83">
        <f>pendingJobs(Dates!G$13)</f>
        <v>0</v>
      </c>
      <c r="H83">
        <f>pendingJobs(Dates!H$13)</f>
        <v>0</v>
      </c>
      <c r="I83">
        <f>pendingJobs(Dates!I$13)</f>
        <v>0</v>
      </c>
      <c r="J83">
        <f>pendingJobs(Dates!J$13)</f>
        <v>0</v>
      </c>
      <c r="K83">
        <f>pendingJobs(Dates!K$13)</f>
        <v>0</v>
      </c>
      <c r="L83">
        <f>pendingJobs(Dates!L$13)</f>
        <v>0</v>
      </c>
      <c r="M83">
        <f>pendingJobs(Dates!M$13)</f>
        <v>0</v>
      </c>
      <c r="N83">
        <f>pendingJobs(Dates!N$13)</f>
        <v>0</v>
      </c>
      <c r="O83">
        <f>pendingJobs(Dates!O$13)</f>
        <v>0</v>
      </c>
      <c r="P83">
        <f>pendingJobs(Dates!P$13)</f>
        <v>0</v>
      </c>
      <c r="Q83">
        <f>pendingJobs(Dates!Q$13)</f>
        <v>0</v>
      </c>
      <c r="R83">
        <f>pendingJobs(Dates!R$13)</f>
        <v>0</v>
      </c>
      <c r="S83">
        <f>pendingJobs(Dates!S$13)</f>
        <v>0</v>
      </c>
      <c r="T83">
        <f>pendingJobs(Dates!T$13)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zoomScale="50" zoomScaleNormal="50" workbookViewId="0">
      <selection activeCell="I3" sqref="I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69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tabSelected="1"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Dates</vt:lpstr>
      <vt:lpstr>Day1</vt:lpstr>
      <vt:lpstr>Day2</vt:lpstr>
      <vt:lpstr>Day3</vt:lpstr>
      <vt:lpstr>Day4</vt:lpstr>
      <vt:lpstr>Day5</vt:lpstr>
      <vt:lpstr>Dashboard D1</vt:lpstr>
      <vt:lpstr>Dashboard D2</vt:lpstr>
      <vt:lpstr>Dashboard D3</vt:lpstr>
      <vt:lpstr>Dashboard D4</vt:lpstr>
      <vt:lpstr>Dashboard D5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2014-04-01T05:13:23Z</dcterms:modified>
</cp:coreProperties>
</file>