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20" windowHeight="6456" activeTab="2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3" l="1"/>
  <c r="S83" i="3"/>
  <c r="K83" i="3"/>
  <c r="R83" i="3"/>
  <c r="N83" i="3"/>
  <c r="J83" i="3"/>
  <c r="Q83" i="3"/>
  <c r="M83" i="3"/>
  <c r="I83" i="3"/>
  <c r="T83" i="3"/>
  <c r="P83" i="3"/>
  <c r="L83" i="3"/>
  <c r="H83" i="3"/>
  <c r="O83" i="3"/>
  <c r="F83" i="3"/>
  <c r="E83" i="3"/>
  <c r="D83" i="3"/>
  <c r="G83" i="3"/>
  <c r="C83" i="3"/>
  <c r="B31" i="3" l="1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30" i="3"/>
  <c r="C31" i="3"/>
  <c r="G31" i="3"/>
  <c r="K31" i="3"/>
  <c r="O31" i="3"/>
  <c r="S31" i="3"/>
  <c r="E32" i="3"/>
  <c r="I32" i="3"/>
  <c r="M32" i="3"/>
  <c r="Q32" i="3"/>
  <c r="C33" i="3"/>
  <c r="G33" i="3"/>
  <c r="K33" i="3"/>
  <c r="O33" i="3"/>
  <c r="S33" i="3"/>
  <c r="E34" i="3"/>
  <c r="I34" i="3"/>
  <c r="M34" i="3"/>
  <c r="Q34" i="3"/>
  <c r="C35" i="3"/>
  <c r="G35" i="3"/>
  <c r="K35" i="3"/>
  <c r="O35" i="3"/>
  <c r="S35" i="3"/>
  <c r="E36" i="3"/>
  <c r="I36" i="3"/>
  <c r="M36" i="3"/>
  <c r="Q36" i="3"/>
  <c r="C37" i="3"/>
  <c r="G37" i="3"/>
  <c r="K37" i="3"/>
  <c r="O37" i="3"/>
  <c r="S37" i="3"/>
  <c r="E38" i="3"/>
  <c r="I38" i="3"/>
  <c r="M38" i="3"/>
  <c r="Q38" i="3"/>
  <c r="C39" i="3"/>
  <c r="G39" i="3"/>
  <c r="K39" i="3"/>
  <c r="O39" i="3"/>
  <c r="S39" i="3"/>
  <c r="E40" i="3"/>
  <c r="I40" i="3"/>
  <c r="M40" i="3"/>
  <c r="Q40" i="3"/>
  <c r="C41" i="3"/>
  <c r="G41" i="3"/>
  <c r="K41" i="3"/>
  <c r="O41" i="3"/>
  <c r="S41" i="3"/>
  <c r="E42" i="3"/>
  <c r="I42" i="3"/>
  <c r="M42" i="3"/>
  <c r="Q42" i="3"/>
  <c r="C43" i="3"/>
  <c r="G43" i="3"/>
  <c r="K43" i="3"/>
  <c r="O43" i="3"/>
  <c r="S43" i="3"/>
  <c r="E44" i="3"/>
  <c r="I44" i="3"/>
  <c r="M44" i="3"/>
  <c r="Q44" i="3"/>
  <c r="C45" i="3"/>
  <c r="G45" i="3"/>
  <c r="K45" i="3"/>
  <c r="O45" i="3"/>
  <c r="S45" i="3"/>
  <c r="E46" i="3"/>
  <c r="I46" i="3"/>
  <c r="M46" i="3"/>
  <c r="Q46" i="3"/>
  <c r="C47" i="3"/>
  <c r="G47" i="3"/>
  <c r="K47" i="3"/>
  <c r="O47" i="3"/>
  <c r="S47" i="3"/>
  <c r="E48" i="3"/>
  <c r="I48" i="3"/>
  <c r="M48" i="3"/>
  <c r="Q48" i="3"/>
  <c r="C49" i="3"/>
  <c r="G49" i="3"/>
  <c r="K49" i="3"/>
  <c r="O49" i="3"/>
  <c r="S49" i="3"/>
  <c r="E50" i="3"/>
  <c r="I50" i="3"/>
  <c r="M50" i="3"/>
  <c r="Q50" i="3"/>
  <c r="C51" i="3"/>
  <c r="G51" i="3"/>
  <c r="K51" i="3"/>
  <c r="O51" i="3"/>
  <c r="S51" i="3"/>
  <c r="E52" i="3"/>
  <c r="I52" i="3"/>
  <c r="M52" i="3"/>
  <c r="Q52" i="3"/>
  <c r="C53" i="3"/>
  <c r="G53" i="3"/>
  <c r="K53" i="3"/>
  <c r="O53" i="3"/>
  <c r="S53" i="3"/>
  <c r="E54" i="3"/>
  <c r="I54" i="3"/>
  <c r="M54" i="3"/>
  <c r="Q54" i="3"/>
  <c r="D30" i="3"/>
  <c r="H30" i="3"/>
  <c r="L30" i="3"/>
  <c r="P30" i="3"/>
  <c r="T30" i="3"/>
  <c r="J31" i="3"/>
  <c r="D31" i="3"/>
  <c r="H31" i="3"/>
  <c r="L31" i="3"/>
  <c r="P31" i="3"/>
  <c r="T31" i="3"/>
  <c r="F32" i="3"/>
  <c r="J32" i="3"/>
  <c r="N32" i="3"/>
  <c r="R32" i="3"/>
  <c r="D33" i="3"/>
  <c r="H33" i="3"/>
  <c r="L33" i="3"/>
  <c r="P33" i="3"/>
  <c r="T33" i="3"/>
  <c r="F34" i="3"/>
  <c r="J34" i="3"/>
  <c r="N34" i="3"/>
  <c r="R34" i="3"/>
  <c r="D35" i="3"/>
  <c r="H35" i="3"/>
  <c r="L35" i="3"/>
  <c r="P35" i="3"/>
  <c r="T35" i="3"/>
  <c r="F36" i="3"/>
  <c r="J36" i="3"/>
  <c r="N36" i="3"/>
  <c r="R36" i="3"/>
  <c r="D37" i="3"/>
  <c r="H37" i="3"/>
  <c r="L37" i="3"/>
  <c r="P37" i="3"/>
  <c r="T37" i="3"/>
  <c r="F38" i="3"/>
  <c r="J38" i="3"/>
  <c r="N38" i="3"/>
  <c r="R38" i="3"/>
  <c r="D39" i="3"/>
  <c r="H39" i="3"/>
  <c r="L39" i="3"/>
  <c r="P39" i="3"/>
  <c r="T39" i="3"/>
  <c r="F40" i="3"/>
  <c r="J40" i="3"/>
  <c r="N40" i="3"/>
  <c r="R40" i="3"/>
  <c r="D41" i="3"/>
  <c r="H41" i="3"/>
  <c r="L41" i="3"/>
  <c r="P41" i="3"/>
  <c r="T41" i="3"/>
  <c r="F42" i="3"/>
  <c r="J42" i="3"/>
  <c r="N42" i="3"/>
  <c r="R42" i="3"/>
  <c r="D43" i="3"/>
  <c r="H43" i="3"/>
  <c r="L43" i="3"/>
  <c r="P43" i="3"/>
  <c r="T43" i="3"/>
  <c r="F44" i="3"/>
  <c r="J44" i="3"/>
  <c r="N44" i="3"/>
  <c r="R44" i="3"/>
  <c r="D45" i="3"/>
  <c r="H45" i="3"/>
  <c r="L45" i="3"/>
  <c r="P45" i="3"/>
  <c r="T45" i="3"/>
  <c r="F46" i="3"/>
  <c r="J46" i="3"/>
  <c r="N46" i="3"/>
  <c r="R46" i="3"/>
  <c r="D47" i="3"/>
  <c r="H47" i="3"/>
  <c r="L47" i="3"/>
  <c r="P47" i="3"/>
  <c r="T47" i="3"/>
  <c r="F48" i="3"/>
  <c r="J48" i="3"/>
  <c r="N48" i="3"/>
  <c r="R48" i="3"/>
  <c r="D49" i="3"/>
  <c r="H49" i="3"/>
  <c r="L49" i="3"/>
  <c r="P49" i="3"/>
  <c r="T49" i="3"/>
  <c r="F50" i="3"/>
  <c r="J50" i="3"/>
  <c r="N50" i="3"/>
  <c r="R50" i="3"/>
  <c r="D51" i="3"/>
  <c r="H51" i="3"/>
  <c r="L51" i="3"/>
  <c r="P51" i="3"/>
  <c r="T51" i="3"/>
  <c r="F52" i="3"/>
  <c r="J52" i="3"/>
  <c r="N52" i="3"/>
  <c r="R52" i="3"/>
  <c r="D53" i="3"/>
  <c r="H53" i="3"/>
  <c r="L53" i="3"/>
  <c r="P53" i="3"/>
  <c r="T53" i="3"/>
  <c r="F54" i="3"/>
  <c r="J54" i="3"/>
  <c r="N54" i="3"/>
  <c r="R54" i="3"/>
  <c r="E30" i="3"/>
  <c r="I30" i="3"/>
  <c r="M30" i="3"/>
  <c r="Q30" i="3"/>
  <c r="C30" i="3"/>
  <c r="N31" i="3"/>
  <c r="E31" i="3"/>
  <c r="I31" i="3"/>
  <c r="M31" i="3"/>
  <c r="Q31" i="3"/>
  <c r="C32" i="3"/>
  <c r="G32" i="3"/>
  <c r="K32" i="3"/>
  <c r="O32" i="3"/>
  <c r="S32" i="3"/>
  <c r="E33" i="3"/>
  <c r="I33" i="3"/>
  <c r="M33" i="3"/>
  <c r="Q33" i="3"/>
  <c r="C34" i="3"/>
  <c r="G34" i="3"/>
  <c r="K34" i="3"/>
  <c r="O34" i="3"/>
  <c r="S34" i="3"/>
  <c r="E35" i="3"/>
  <c r="I35" i="3"/>
  <c r="M35" i="3"/>
  <c r="Q35" i="3"/>
  <c r="C36" i="3"/>
  <c r="G36" i="3"/>
  <c r="K36" i="3"/>
  <c r="O36" i="3"/>
  <c r="S36" i="3"/>
  <c r="E37" i="3"/>
  <c r="I37" i="3"/>
  <c r="M37" i="3"/>
  <c r="Q37" i="3"/>
  <c r="C38" i="3"/>
  <c r="G38" i="3"/>
  <c r="K38" i="3"/>
  <c r="O38" i="3"/>
  <c r="S38" i="3"/>
  <c r="E39" i="3"/>
  <c r="I39" i="3"/>
  <c r="M39" i="3"/>
  <c r="Q39" i="3"/>
  <c r="C40" i="3"/>
  <c r="G40" i="3"/>
  <c r="K40" i="3"/>
  <c r="O40" i="3"/>
  <c r="S40" i="3"/>
  <c r="E41" i="3"/>
  <c r="I41" i="3"/>
  <c r="M41" i="3"/>
  <c r="Q41" i="3"/>
  <c r="C42" i="3"/>
  <c r="G42" i="3"/>
  <c r="K42" i="3"/>
  <c r="O42" i="3"/>
  <c r="S42" i="3"/>
  <c r="E43" i="3"/>
  <c r="I43" i="3"/>
  <c r="M43" i="3"/>
  <c r="Q43" i="3"/>
  <c r="C44" i="3"/>
  <c r="G44" i="3"/>
  <c r="K44" i="3"/>
  <c r="O44" i="3"/>
  <c r="S44" i="3"/>
  <c r="E45" i="3"/>
  <c r="I45" i="3"/>
  <c r="M45" i="3"/>
  <c r="Q45" i="3"/>
  <c r="C46" i="3"/>
  <c r="G46" i="3"/>
  <c r="K46" i="3"/>
  <c r="O46" i="3"/>
  <c r="S46" i="3"/>
  <c r="E47" i="3"/>
  <c r="I47" i="3"/>
  <c r="M47" i="3"/>
  <c r="Q47" i="3"/>
  <c r="C48" i="3"/>
  <c r="G48" i="3"/>
  <c r="K48" i="3"/>
  <c r="O48" i="3"/>
  <c r="S48" i="3"/>
  <c r="E49" i="3"/>
  <c r="I49" i="3"/>
  <c r="M49" i="3"/>
  <c r="Q49" i="3"/>
  <c r="C50" i="3"/>
  <c r="G50" i="3"/>
  <c r="K50" i="3"/>
  <c r="O50" i="3"/>
  <c r="S50" i="3"/>
  <c r="E51" i="3"/>
  <c r="I51" i="3"/>
  <c r="M51" i="3"/>
  <c r="Q51" i="3"/>
  <c r="C52" i="3"/>
  <c r="G52" i="3"/>
  <c r="K52" i="3"/>
  <c r="O52" i="3"/>
  <c r="S52" i="3"/>
  <c r="E53" i="3"/>
  <c r="I53" i="3"/>
  <c r="M53" i="3"/>
  <c r="Q53" i="3"/>
  <c r="C54" i="3"/>
  <c r="G54" i="3"/>
  <c r="K54" i="3"/>
  <c r="O54" i="3"/>
  <c r="S54" i="3"/>
  <c r="F30" i="3"/>
  <c r="J30" i="3"/>
  <c r="N30" i="3"/>
  <c r="R30" i="3"/>
  <c r="F31" i="3"/>
  <c r="R31" i="3"/>
  <c r="D32" i="3"/>
  <c r="T32" i="3"/>
  <c r="R33" i="3"/>
  <c r="P34" i="3"/>
  <c r="N35" i="3"/>
  <c r="L36" i="3"/>
  <c r="J37" i="3"/>
  <c r="H38" i="3"/>
  <c r="F39" i="3"/>
  <c r="D40" i="3"/>
  <c r="T40" i="3"/>
  <c r="R41" i="3"/>
  <c r="P42" i="3"/>
  <c r="N43" i="3"/>
  <c r="L44" i="3"/>
  <c r="J45" i="3"/>
  <c r="H46" i="3"/>
  <c r="F47" i="3"/>
  <c r="D48" i="3"/>
  <c r="T48" i="3"/>
  <c r="R49" i="3"/>
  <c r="P50" i="3"/>
  <c r="N51" i="3"/>
  <c r="L52" i="3"/>
  <c r="J53" i="3"/>
  <c r="H54" i="3"/>
  <c r="G30" i="3"/>
  <c r="P32" i="3"/>
  <c r="H36" i="3"/>
  <c r="D38" i="3"/>
  <c r="P40" i="3"/>
  <c r="J43" i="3"/>
  <c r="D46" i="3"/>
  <c r="P48" i="3"/>
  <c r="J51" i="3"/>
  <c r="D54" i="3"/>
  <c r="H32" i="3"/>
  <c r="F33" i="3"/>
  <c r="D34" i="3"/>
  <c r="T34" i="3"/>
  <c r="R35" i="3"/>
  <c r="P36" i="3"/>
  <c r="N37" i="3"/>
  <c r="L38" i="3"/>
  <c r="J39" i="3"/>
  <c r="H40" i="3"/>
  <c r="F41" i="3"/>
  <c r="D42" i="3"/>
  <c r="T42" i="3"/>
  <c r="R43" i="3"/>
  <c r="P44" i="3"/>
  <c r="N45" i="3"/>
  <c r="L46" i="3"/>
  <c r="J47" i="3"/>
  <c r="H48" i="3"/>
  <c r="F49" i="3"/>
  <c r="D50" i="3"/>
  <c r="T50" i="3"/>
  <c r="R51" i="3"/>
  <c r="P52" i="3"/>
  <c r="N53" i="3"/>
  <c r="L54" i="3"/>
  <c r="K30" i="3"/>
  <c r="L34" i="3"/>
  <c r="T38" i="3"/>
  <c r="N41" i="3"/>
  <c r="H44" i="3"/>
  <c r="T46" i="3"/>
  <c r="N49" i="3"/>
  <c r="L50" i="3"/>
  <c r="F53" i="3"/>
  <c r="S30" i="3"/>
  <c r="L32" i="3"/>
  <c r="J33" i="3"/>
  <c r="H34" i="3"/>
  <c r="F35" i="3"/>
  <c r="D36" i="3"/>
  <c r="T36" i="3"/>
  <c r="R37" i="3"/>
  <c r="P38" i="3"/>
  <c r="N39" i="3"/>
  <c r="L40" i="3"/>
  <c r="J41" i="3"/>
  <c r="H42" i="3"/>
  <c r="F43" i="3"/>
  <c r="D44" i="3"/>
  <c r="T44" i="3"/>
  <c r="R45" i="3"/>
  <c r="P46" i="3"/>
  <c r="N47" i="3"/>
  <c r="L48" i="3"/>
  <c r="J49" i="3"/>
  <c r="H50" i="3"/>
  <c r="F51" i="3"/>
  <c r="D52" i="3"/>
  <c r="T52" i="3"/>
  <c r="R53" i="3"/>
  <c r="P54" i="3"/>
  <c r="O30" i="3"/>
  <c r="N33" i="3"/>
  <c r="J35" i="3"/>
  <c r="F37" i="3"/>
  <c r="R39" i="3"/>
  <c r="L42" i="3"/>
  <c r="F45" i="3"/>
  <c r="R47" i="3"/>
  <c r="H52" i="3"/>
  <c r="T54" i="3"/>
  <c r="D29" i="3"/>
  <c r="H29" i="3"/>
  <c r="L29" i="3"/>
  <c r="P29" i="3"/>
  <c r="T29" i="3"/>
  <c r="K29" i="3"/>
  <c r="S29" i="3"/>
  <c r="E29" i="3"/>
  <c r="I29" i="3"/>
  <c r="M29" i="3"/>
  <c r="Q29" i="3"/>
  <c r="C29" i="3"/>
  <c r="G29" i="3"/>
  <c r="O29" i="3"/>
  <c r="F29" i="3"/>
  <c r="J29" i="3"/>
  <c r="N29" i="3"/>
  <c r="R29" i="3"/>
  <c r="U54" i="3" l="1"/>
  <c r="U52" i="3"/>
  <c r="U50" i="3"/>
  <c r="U48" i="3"/>
  <c r="U46" i="3"/>
  <c r="U44" i="3"/>
  <c r="U42" i="3"/>
  <c r="U40" i="3"/>
  <c r="U38" i="3"/>
  <c r="U36" i="3"/>
  <c r="U34" i="3"/>
  <c r="U32" i="3"/>
  <c r="U30" i="3"/>
  <c r="U53" i="3"/>
  <c r="U51" i="3"/>
  <c r="U49" i="3"/>
  <c r="U47" i="3"/>
  <c r="U45" i="3"/>
  <c r="U43" i="3"/>
  <c r="U41" i="3"/>
  <c r="U39" i="3"/>
  <c r="U37" i="3"/>
  <c r="U35" i="3"/>
  <c r="U33" i="3"/>
  <c r="U31" i="3"/>
  <c r="U29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E80" i="3"/>
  <c r="U80" i="3"/>
  <c r="R81" i="3"/>
  <c r="O26" i="3"/>
  <c r="L27" i="3"/>
  <c r="T80" i="3"/>
  <c r="K27" i="3"/>
  <c r="R80" i="3"/>
  <c r="O81" i="3"/>
  <c r="L26" i="3"/>
  <c r="I27" i="3"/>
  <c r="D80" i="3"/>
  <c r="N26" i="3"/>
  <c r="G80" i="3"/>
  <c r="D81" i="3"/>
  <c r="T81" i="3"/>
  <c r="Q26" i="3"/>
  <c r="N27" i="3"/>
  <c r="Q81" i="3"/>
  <c r="C78" i="3"/>
  <c r="S78" i="3"/>
  <c r="P79" i="3"/>
  <c r="L24" i="3"/>
  <c r="K25" i="3"/>
  <c r="I24" i="3"/>
  <c r="I78" i="3"/>
  <c r="F79" i="3"/>
  <c r="U24" i="3"/>
  <c r="R24" i="3"/>
  <c r="Q25" i="3"/>
  <c r="J25" i="3"/>
  <c r="E79" i="3"/>
  <c r="L25" i="3"/>
  <c r="R78" i="3"/>
  <c r="O79" i="3"/>
  <c r="O24" i="3"/>
  <c r="H78" i="3"/>
  <c r="U79" i="3"/>
  <c r="I80" i="3"/>
  <c r="F81" i="3"/>
  <c r="C26" i="3"/>
  <c r="S26" i="3"/>
  <c r="P27" i="3"/>
  <c r="M81" i="3"/>
  <c r="F80" i="3"/>
  <c r="C81" i="3"/>
  <c r="S81" i="3"/>
  <c r="P26" i="3"/>
  <c r="M27" i="3"/>
  <c r="P80" i="3"/>
  <c r="G27" i="3"/>
  <c r="K80" i="3"/>
  <c r="H81" i="3"/>
  <c r="E26" i="3"/>
  <c r="U26" i="3"/>
  <c r="R27" i="3"/>
  <c r="J26" i="3"/>
  <c r="G78" i="3"/>
  <c r="D79" i="3"/>
  <c r="T79" i="3"/>
  <c r="P24" i="3"/>
  <c r="O25" i="3"/>
  <c r="D25" i="3"/>
  <c r="M78" i="3"/>
  <c r="J79" i="3"/>
  <c r="F24" i="3"/>
  <c r="E25" i="3"/>
  <c r="C24" i="3"/>
  <c r="R25" i="3"/>
  <c r="Q79" i="3"/>
  <c r="F78" i="3"/>
  <c r="C79" i="3"/>
  <c r="S79" i="3"/>
  <c r="F25" i="3"/>
  <c r="P78" i="3"/>
  <c r="M24" i="3"/>
  <c r="M80" i="3"/>
  <c r="J81" i="3"/>
  <c r="G26" i="3"/>
  <c r="D27" i="3"/>
  <c r="T27" i="3"/>
  <c r="F26" i="3"/>
  <c r="J80" i="3"/>
  <c r="G81" i="3"/>
  <c r="D26" i="3"/>
  <c r="T26" i="3"/>
  <c r="Q27" i="3"/>
  <c r="I81" i="3"/>
  <c r="S27" i="3"/>
  <c r="O80" i="3"/>
  <c r="L81" i="3"/>
  <c r="I26" i="3"/>
  <c r="F27" i="3"/>
  <c r="H80" i="3"/>
  <c r="C27" i="3"/>
  <c r="K78" i="3"/>
  <c r="H79" i="3"/>
  <c r="D24" i="3"/>
  <c r="T24" i="3"/>
  <c r="S25" i="3"/>
  <c r="P25" i="3"/>
  <c r="Q78" i="3"/>
  <c r="N79" i="3"/>
  <c r="J24" i="3"/>
  <c r="I25" i="3"/>
  <c r="G24" i="3"/>
  <c r="D78" i="3"/>
  <c r="E24" i="3"/>
  <c r="J78" i="3"/>
  <c r="G79" i="3"/>
  <c r="U25" i="3"/>
  <c r="N25" i="3"/>
  <c r="T78" i="3"/>
  <c r="H25" i="3"/>
  <c r="Q80" i="3"/>
  <c r="N81" i="3"/>
  <c r="K26" i="3"/>
  <c r="H27" i="3"/>
  <c r="L80" i="3"/>
  <c r="R26" i="3"/>
  <c r="N80" i="3"/>
  <c r="K81" i="3"/>
  <c r="H26" i="3"/>
  <c r="E27" i="3"/>
  <c r="U27" i="3"/>
  <c r="U81" i="3"/>
  <c r="C80" i="3"/>
  <c r="S80" i="3"/>
  <c r="E81" i="3"/>
  <c r="H24" i="3"/>
  <c r="U78" i="3"/>
  <c r="S24" i="3"/>
  <c r="K79" i="3"/>
  <c r="T25" i="3"/>
  <c r="P81" i="3"/>
  <c r="O27" i="3"/>
  <c r="G25" i="3"/>
  <c r="R79" i="3"/>
  <c r="L78" i="3"/>
  <c r="K24" i="3"/>
  <c r="M26" i="3"/>
  <c r="O78" i="3"/>
  <c r="M79" i="3"/>
  <c r="N24" i="3"/>
  <c r="Q24" i="3"/>
  <c r="C25" i="3"/>
  <c r="J27" i="3"/>
  <c r="L79" i="3"/>
  <c r="E78" i="3"/>
  <c r="M25" i="3"/>
  <c r="N78" i="3"/>
  <c r="I79" i="3"/>
  <c r="C3" i="8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T56" i="3"/>
  <c r="G56" i="3"/>
  <c r="J2" i="3"/>
  <c r="H56" i="3"/>
  <c r="N56" i="3"/>
  <c r="F2" i="3"/>
  <c r="E56" i="3"/>
  <c r="P56" i="3"/>
  <c r="G2" i="3"/>
  <c r="M2" i="3"/>
  <c r="H2" i="3"/>
  <c r="C56" i="3"/>
  <c r="I2" i="3"/>
  <c r="O2" i="3"/>
  <c r="L56" i="3"/>
  <c r="D2" i="3"/>
  <c r="U2" i="3"/>
  <c r="R56" i="3"/>
  <c r="J56" i="3"/>
  <c r="K56" i="3"/>
  <c r="T2" i="3"/>
  <c r="S56" i="3"/>
  <c r="M56" i="3"/>
  <c r="R2" i="3"/>
  <c r="S2" i="3"/>
  <c r="C2" i="3"/>
  <c r="U56" i="3"/>
  <c r="I56" i="3"/>
  <c r="Q2" i="3"/>
  <c r="Q56" i="3"/>
  <c r="F56" i="3"/>
  <c r="N2" i="3"/>
  <c r="D56" i="3"/>
  <c r="K2" i="3"/>
  <c r="P2" i="3"/>
  <c r="E2" i="3"/>
  <c r="O56" i="3"/>
  <c r="L2" i="3"/>
  <c r="B58" i="3" l="1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U39" i="11"/>
  <c r="E43" i="10"/>
  <c r="N10" i="11"/>
  <c r="M14" i="11"/>
  <c r="P26" i="11"/>
  <c r="L12" i="10"/>
  <c r="Q23" i="9"/>
  <c r="H14" i="10"/>
  <c r="Q46" i="11"/>
  <c r="I16" i="11"/>
  <c r="R19" i="8"/>
  <c r="G30" i="9"/>
  <c r="M18" i="10"/>
  <c r="P20" i="10"/>
  <c r="T22" i="10"/>
  <c r="N21" i="11"/>
  <c r="G32" i="10"/>
  <c r="P23" i="10"/>
  <c r="Q23" i="10"/>
  <c r="S42" i="11"/>
  <c r="H44" i="8"/>
  <c r="E36" i="10"/>
  <c r="G21" i="11"/>
  <c r="E30" i="9"/>
  <c r="R40" i="11"/>
  <c r="G7" i="10"/>
  <c r="H29" i="10"/>
  <c r="R33" i="8"/>
  <c r="I42" i="10"/>
  <c r="U8" i="11"/>
  <c r="K19" i="10"/>
  <c r="R10" i="10"/>
  <c r="H29" i="11"/>
  <c r="T28" i="8"/>
  <c r="U10" i="11"/>
  <c r="I9" i="11"/>
  <c r="R35" i="10"/>
  <c r="N19" i="10"/>
  <c r="S27" i="9"/>
  <c r="R43" i="11"/>
  <c r="R44" i="11"/>
  <c r="O37" i="11"/>
  <c r="J33" i="11"/>
  <c r="G21" i="9"/>
  <c r="H11" i="10"/>
  <c r="S5" i="10"/>
  <c r="N37" i="10"/>
  <c r="O7" i="9"/>
  <c r="G11" i="8"/>
  <c r="O3" i="10"/>
  <c r="I22" i="11"/>
  <c r="Q37" i="11"/>
  <c r="H12" i="8"/>
  <c r="I3" i="11"/>
  <c r="C8" i="10"/>
  <c r="Q29" i="10"/>
  <c r="H38" i="10"/>
  <c r="D39" i="11"/>
  <c r="F40" i="10"/>
  <c r="U34" i="11"/>
  <c r="H8" i="9"/>
  <c r="F41" i="9"/>
  <c r="K18" i="11"/>
  <c r="G42" i="9"/>
  <c r="I35" i="8"/>
  <c r="M35" i="10"/>
  <c r="E16" i="10"/>
  <c r="F11" i="8"/>
  <c r="O36" i="8"/>
  <c r="G5" i="9"/>
  <c r="C32" i="11"/>
  <c r="R36" i="10"/>
  <c r="C40" i="10"/>
  <c r="Q16" i="9"/>
  <c r="U8" i="10"/>
  <c r="T3" i="10"/>
  <c r="K17" i="11"/>
  <c r="F13" i="9"/>
  <c r="N41" i="10"/>
  <c r="H30" i="11"/>
  <c r="K13" i="8"/>
  <c r="F40" i="9"/>
  <c r="M14" i="10"/>
  <c r="Q19" i="10"/>
  <c r="F16" i="11"/>
  <c r="K44" i="9"/>
  <c r="P34" i="10"/>
  <c r="R6" i="11"/>
  <c r="R21" i="9"/>
  <c r="I23" i="10"/>
  <c r="H45" i="9"/>
  <c r="U3" i="11"/>
  <c r="I12" i="10"/>
  <c r="D5" i="11"/>
  <c r="L26" i="8"/>
  <c r="S44" i="11"/>
  <c r="T29" i="9"/>
  <c r="P19" i="10"/>
  <c r="F42" i="9"/>
  <c r="N5" i="10"/>
  <c r="L5" i="11"/>
  <c r="R3" i="11"/>
  <c r="E44" i="10"/>
  <c r="R13" i="8"/>
  <c r="F20" i="9"/>
  <c r="H38" i="9"/>
  <c r="C14" i="11"/>
  <c r="U33" i="11"/>
  <c r="Q8" i="11"/>
  <c r="T3" i="11"/>
  <c r="I6" i="11"/>
  <c r="O3" i="8"/>
  <c r="T17" i="8"/>
  <c r="E16" i="9"/>
  <c r="D11" i="10"/>
  <c r="L14" i="9"/>
  <c r="D23" i="10"/>
  <c r="Q12" i="10"/>
  <c r="R27" i="9"/>
  <c r="D35" i="11"/>
  <c r="F17" i="10"/>
  <c r="Q34" i="11"/>
  <c r="S14" i="11"/>
  <c r="I6" i="9"/>
  <c r="H19" i="11"/>
  <c r="K3" i="10"/>
  <c r="I31" i="8"/>
  <c r="P44" i="10"/>
  <c r="J23" i="8"/>
  <c r="C41" i="10"/>
  <c r="N3" i="10"/>
  <c r="G6" i="9"/>
  <c r="K16" i="8"/>
  <c r="F5" i="10"/>
  <c r="N26" i="8"/>
  <c r="G33" i="10"/>
  <c r="P46" i="10"/>
  <c r="J11" i="10"/>
  <c r="F30" i="10"/>
  <c r="Q38" i="9"/>
  <c r="Q31" i="10"/>
  <c r="G8" i="8"/>
  <c r="N16" i="8"/>
  <c r="R41" i="10"/>
  <c r="E39" i="11"/>
  <c r="L7" i="11"/>
  <c r="T22" i="11"/>
  <c r="D45" i="11"/>
  <c r="C10" i="9"/>
  <c r="T4" i="9"/>
  <c r="R21" i="11"/>
  <c r="F10" i="10"/>
  <c r="N19" i="11"/>
  <c r="R42" i="10"/>
  <c r="N35" i="10"/>
  <c r="J29" i="11"/>
  <c r="I33" i="9"/>
  <c r="H43" i="11"/>
  <c r="T15" i="11"/>
  <c r="P36" i="9"/>
  <c r="L36" i="10"/>
  <c r="T35" i="11"/>
  <c r="E34" i="10"/>
  <c r="I27" i="9"/>
  <c r="I18" i="11"/>
  <c r="E28" i="10"/>
  <c r="J27" i="10"/>
  <c r="O39" i="10"/>
  <c r="E21" i="10"/>
  <c r="D11" i="11"/>
  <c r="J22" i="10"/>
  <c r="N7" i="9"/>
  <c r="R45" i="10"/>
  <c r="Q40" i="10"/>
  <c r="E31" i="11"/>
  <c r="G27" i="9"/>
  <c r="O26" i="11"/>
  <c r="T34" i="10"/>
  <c r="L46" i="11"/>
  <c r="P43" i="11"/>
  <c r="S17" i="11"/>
  <c r="Q45" i="10"/>
  <c r="H30" i="8"/>
  <c r="T45" i="9"/>
  <c r="S5" i="8"/>
  <c r="T17" i="10"/>
  <c r="G14" i="9"/>
  <c r="E22" i="10"/>
  <c r="M15" i="9"/>
  <c r="Q3" i="11"/>
  <c r="J18" i="11"/>
  <c r="K45" i="9"/>
  <c r="C17" i="11"/>
  <c r="J23" i="9"/>
  <c r="E7" i="11"/>
  <c r="R27" i="11"/>
  <c r="K22" i="10"/>
  <c r="D27" i="10"/>
  <c r="N11" i="10"/>
  <c r="P45" i="9"/>
  <c r="H7" i="10"/>
  <c r="C27" i="10"/>
  <c r="G13" i="8"/>
  <c r="C3" i="11"/>
  <c r="G37" i="10"/>
  <c r="C7" i="10"/>
  <c r="U4" i="10"/>
  <c r="J28" i="11"/>
  <c r="H14" i="8"/>
  <c r="S27" i="8"/>
  <c r="P46" i="9"/>
  <c r="L38" i="10"/>
  <c r="C18" i="8"/>
  <c r="M38" i="10"/>
  <c r="G8" i="11"/>
  <c r="R37" i="11"/>
  <c r="H41" i="9"/>
  <c r="J39" i="11"/>
  <c r="P15" i="10"/>
  <c r="S30" i="11"/>
  <c r="P22" i="9"/>
  <c r="C30" i="11"/>
  <c r="M45" i="10"/>
  <c r="R46" i="10"/>
  <c r="T40" i="8"/>
  <c r="J44" i="8"/>
  <c r="L8" i="11"/>
  <c r="C35" i="10"/>
  <c r="Q44" i="11"/>
  <c r="D40" i="9"/>
  <c r="S43" i="9"/>
  <c r="C7" i="11"/>
  <c r="M34" i="8"/>
  <c r="I13" i="11"/>
  <c r="S34" i="11"/>
  <c r="K36" i="11"/>
  <c r="F38" i="11"/>
  <c r="C37" i="10"/>
  <c r="H6" i="9"/>
  <c r="S37" i="9"/>
  <c r="D45" i="10"/>
  <c r="J13" i="11"/>
  <c r="S6" i="11"/>
  <c r="D20" i="8"/>
  <c r="G20" i="11"/>
  <c r="N31" i="10"/>
  <c r="T8" i="8"/>
  <c r="O13" i="11"/>
  <c r="E30" i="10"/>
  <c r="O23" i="10"/>
  <c r="U28" i="9"/>
  <c r="Q20" i="10"/>
  <c r="U4" i="11"/>
  <c r="H39" i="9"/>
  <c r="G35" i="10"/>
  <c r="D16" i="9"/>
  <c r="L41" i="11"/>
  <c r="F39" i="11"/>
  <c r="S16" i="8"/>
  <c r="F27" i="11"/>
  <c r="P33" i="9"/>
  <c r="U45" i="10"/>
  <c r="K9" i="11"/>
  <c r="I9" i="10"/>
  <c r="S9" i="8"/>
  <c r="U30" i="10"/>
  <c r="E38" i="9"/>
  <c r="G4" i="8"/>
  <c r="O38" i="11"/>
  <c r="S27" i="11"/>
  <c r="C43" i="11"/>
  <c r="D16" i="8"/>
  <c r="J34" i="11"/>
  <c r="H16" i="11"/>
  <c r="M7" i="11"/>
  <c r="R13" i="11"/>
  <c r="F32" i="11"/>
  <c r="L42" i="8"/>
  <c r="G7" i="8"/>
  <c r="I38" i="11"/>
  <c r="L33" i="11"/>
  <c r="E44" i="8"/>
  <c r="I19" i="11"/>
  <c r="R18" i="10"/>
  <c r="E42" i="11"/>
  <c r="L6" i="8"/>
  <c r="P7" i="9"/>
  <c r="L8" i="10"/>
  <c r="Q18" i="11"/>
  <c r="S6" i="10"/>
  <c r="L20" i="11"/>
  <c r="D18" i="10"/>
  <c r="F6" i="11"/>
  <c r="P15" i="9"/>
  <c r="P35" i="10"/>
  <c r="N37" i="11"/>
  <c r="C26" i="10"/>
  <c r="F32" i="10"/>
  <c r="S11" i="11"/>
  <c r="S16" i="11"/>
  <c r="N38" i="8"/>
  <c r="G29" i="11"/>
  <c r="S36" i="8"/>
  <c r="O3" i="11"/>
  <c r="G17" i="8"/>
  <c r="I10" i="11"/>
  <c r="R36" i="11"/>
  <c r="Q7" i="11"/>
  <c r="R27" i="10"/>
  <c r="Q9" i="11"/>
  <c r="G44" i="8"/>
  <c r="P42" i="10"/>
  <c r="M31" i="8"/>
  <c r="P10" i="11"/>
  <c r="I22" i="9"/>
  <c r="I5" i="11"/>
  <c r="J30" i="10"/>
  <c r="F21" i="10"/>
  <c r="C34" i="9"/>
  <c r="F11" i="11"/>
  <c r="T31" i="10"/>
  <c r="C14" i="9"/>
  <c r="P37" i="10"/>
  <c r="M39" i="10"/>
  <c r="D3" i="11"/>
  <c r="M17" i="11"/>
  <c r="R31" i="9"/>
  <c r="L38" i="11"/>
  <c r="L36" i="11"/>
  <c r="R42" i="9"/>
  <c r="R23" i="8"/>
  <c r="J10" i="9"/>
  <c r="N38" i="10"/>
  <c r="D19" i="10"/>
  <c r="K42" i="11"/>
  <c r="H45" i="10"/>
  <c r="S12" i="10"/>
  <c r="I10" i="9"/>
  <c r="D14" i="9"/>
  <c r="J16" i="10"/>
  <c r="K40" i="10"/>
  <c r="O40" i="10"/>
  <c r="J15" i="10"/>
  <c r="O12" i="11"/>
  <c r="M20" i="9"/>
  <c r="D15" i="11"/>
  <c r="P11" i="11"/>
  <c r="L7" i="9"/>
  <c r="F38" i="9"/>
  <c r="K27" i="11"/>
  <c r="E5" i="9"/>
  <c r="I8" i="10"/>
  <c r="G38" i="11"/>
  <c r="I18" i="9"/>
  <c r="T4" i="10"/>
  <c r="N32" i="8"/>
  <c r="M44" i="8"/>
  <c r="P4" i="10"/>
  <c r="R16" i="10"/>
  <c r="O29" i="11"/>
  <c r="M22" i="10"/>
  <c r="D28" i="9"/>
  <c r="T22" i="9"/>
  <c r="D46" i="10"/>
  <c r="T40" i="11"/>
  <c r="O39" i="9"/>
  <c r="R20" i="8"/>
  <c r="Q41" i="10"/>
  <c r="N46" i="11"/>
  <c r="U16" i="9"/>
  <c r="U5" i="10"/>
  <c r="O6" i="10"/>
  <c r="H18" i="10"/>
  <c r="O21" i="9"/>
  <c r="G41" i="8"/>
  <c r="E13" i="11"/>
  <c r="D21" i="9"/>
  <c r="L23" i="10"/>
  <c r="G10" i="8"/>
  <c r="N9" i="10"/>
  <c r="C19" i="9"/>
  <c r="U18" i="10"/>
  <c r="N26" i="10"/>
  <c r="T42" i="11"/>
  <c r="U15" i="11"/>
  <c r="Q38" i="11"/>
  <c r="F33" i="9"/>
  <c r="Q20" i="11"/>
  <c r="C30" i="9"/>
  <c r="F23" i="11"/>
  <c r="G39" i="10"/>
  <c r="Q29" i="11"/>
  <c r="F41" i="10"/>
  <c r="G34" i="11"/>
  <c r="H5" i="8"/>
  <c r="Q15" i="10"/>
  <c r="T9" i="11"/>
  <c r="L4" i="11"/>
  <c r="Q31" i="9"/>
  <c r="Q37" i="10"/>
  <c r="C26" i="9"/>
  <c r="K44" i="10"/>
  <c r="L33" i="8"/>
  <c r="O19" i="11"/>
  <c r="S22" i="11"/>
  <c r="Q6" i="10"/>
  <c r="F18" i="10"/>
  <c r="F40" i="11"/>
  <c r="L20" i="9"/>
  <c r="N23" i="10"/>
  <c r="M35" i="9"/>
  <c r="S17" i="10"/>
  <c r="S16" i="10"/>
  <c r="K28" i="10"/>
  <c r="T42" i="10"/>
  <c r="S33" i="11"/>
  <c r="J22" i="11"/>
  <c r="U7" i="11"/>
  <c r="R28" i="11"/>
  <c r="P8" i="11"/>
  <c r="J33" i="8"/>
  <c r="T6" i="11"/>
  <c r="M9" i="9"/>
  <c r="Q13" i="11"/>
  <c r="L9" i="11"/>
  <c r="K20" i="8"/>
  <c r="H37" i="11"/>
  <c r="R13" i="10"/>
  <c r="F37" i="11"/>
  <c r="H32" i="10"/>
  <c r="I11" i="9"/>
  <c r="U21" i="9"/>
  <c r="R3" i="10"/>
  <c r="M34" i="11"/>
  <c r="P40" i="10"/>
  <c r="O29" i="9"/>
  <c r="J3" i="8"/>
  <c r="H20" i="10"/>
  <c r="I21" i="10"/>
  <c r="R33" i="9"/>
  <c r="P13" i="11"/>
  <c r="M27" i="9"/>
  <c r="S10" i="11"/>
  <c r="M23" i="8"/>
  <c r="U15" i="9"/>
  <c r="C29" i="11"/>
  <c r="F34" i="8"/>
  <c r="K34" i="10"/>
  <c r="U15" i="10"/>
  <c r="Q22" i="9"/>
  <c r="O14" i="10"/>
  <c r="K10" i="11"/>
  <c r="N16" i="9"/>
  <c r="Q16" i="10"/>
  <c r="L32" i="9"/>
  <c r="U23" i="10"/>
  <c r="M34" i="9"/>
  <c r="Q15" i="11"/>
  <c r="R38" i="10"/>
  <c r="R9" i="9"/>
  <c r="G39" i="9"/>
  <c r="M33" i="10"/>
  <c r="R5" i="11"/>
  <c r="G17" i="9"/>
  <c r="U6" i="8"/>
  <c r="K43" i="10"/>
  <c r="D23" i="11"/>
  <c r="P18" i="10"/>
  <c r="E17" i="10"/>
  <c r="D20" i="11"/>
  <c r="L12" i="11"/>
  <c r="P21" i="11"/>
  <c r="L15" i="10"/>
  <c r="F8" i="10"/>
  <c r="G22" i="11"/>
  <c r="Q23" i="8"/>
  <c r="H6" i="11"/>
  <c r="J23" i="11"/>
  <c r="R22" i="11"/>
  <c r="T23" i="11"/>
  <c r="O4" i="10"/>
  <c r="F7" i="10"/>
  <c r="R11" i="11"/>
  <c r="P27" i="11"/>
  <c r="F26" i="8"/>
  <c r="Q4" i="8"/>
  <c r="J14" i="10"/>
  <c r="S28" i="10"/>
  <c r="U30" i="9"/>
  <c r="L29" i="9"/>
  <c r="L11" i="11"/>
  <c r="M35" i="11"/>
  <c r="I41" i="9"/>
  <c r="U13" i="10"/>
  <c r="R29" i="9"/>
  <c r="P3" i="11"/>
  <c r="E11" i="10"/>
  <c r="J17" i="9"/>
  <c r="I32" i="11"/>
  <c r="M32" i="9"/>
  <c r="G6" i="11"/>
  <c r="O20" i="11"/>
  <c r="N12" i="9"/>
  <c r="T13" i="11"/>
  <c r="E3" i="11"/>
  <c r="J29" i="8"/>
  <c r="U18" i="11"/>
  <c r="D4" i="10"/>
  <c r="O5" i="10"/>
  <c r="E37" i="10"/>
  <c r="I19" i="8"/>
  <c r="D7" i="11"/>
  <c r="D28" i="11"/>
  <c r="P23" i="11"/>
  <c r="P5" i="9"/>
  <c r="D37" i="10"/>
  <c r="G14" i="10"/>
  <c r="J35" i="11"/>
  <c r="I28" i="10"/>
  <c r="C16" i="9"/>
  <c r="O30" i="11"/>
  <c r="H46" i="9"/>
  <c r="U38" i="11"/>
  <c r="I38" i="9"/>
  <c r="E17" i="11"/>
  <c r="C45" i="11"/>
  <c r="K9" i="8"/>
  <c r="J28" i="9"/>
  <c r="K27" i="9"/>
  <c r="R17" i="11"/>
  <c r="Q34" i="10"/>
  <c r="D29" i="10"/>
  <c r="C34" i="11"/>
  <c r="F3" i="11"/>
  <c r="D10" i="8"/>
  <c r="U14" i="9"/>
  <c r="N21" i="10"/>
  <c r="R20" i="11"/>
  <c r="K39" i="8"/>
  <c r="G5" i="10"/>
  <c r="I38" i="8"/>
  <c r="P37" i="11"/>
  <c r="N15" i="11"/>
  <c r="J4" i="9"/>
  <c r="K33" i="8"/>
  <c r="T33" i="10"/>
  <c r="R16" i="9"/>
  <c r="M17" i="10"/>
  <c r="K46" i="11"/>
  <c r="E26" i="10"/>
  <c r="I9" i="9"/>
  <c r="N34" i="9"/>
  <c r="U5" i="8"/>
  <c r="Q43" i="9"/>
  <c r="L29" i="11"/>
  <c r="K41" i="11"/>
  <c r="T14" i="8"/>
  <c r="T45" i="11"/>
  <c r="U26" i="10"/>
  <c r="U3" i="9"/>
  <c r="T32" i="11"/>
  <c r="Q17" i="10"/>
  <c r="S30" i="10"/>
  <c r="L27" i="8"/>
  <c r="U31" i="9"/>
  <c r="O35" i="9"/>
  <c r="U16" i="10"/>
  <c r="G16" i="9"/>
  <c r="P31" i="11"/>
  <c r="D12" i="10"/>
  <c r="H34" i="11"/>
  <c r="H23" i="9"/>
  <c r="G31" i="10"/>
  <c r="O7" i="10"/>
  <c r="H22" i="11"/>
  <c r="T41" i="11"/>
  <c r="L31" i="10"/>
  <c r="L22" i="8"/>
  <c r="H40" i="8"/>
  <c r="Q14" i="11"/>
  <c r="S3" i="9"/>
  <c r="T29" i="10"/>
  <c r="L43" i="10"/>
  <c r="O28" i="9"/>
  <c r="F20" i="8"/>
  <c r="G27" i="11"/>
  <c r="L11" i="10"/>
  <c r="U22" i="11"/>
  <c r="S34" i="8"/>
  <c r="O11" i="11"/>
  <c r="O42" i="9"/>
  <c r="U34" i="10"/>
  <c r="K14" i="10"/>
  <c r="T42" i="9"/>
  <c r="H39" i="11"/>
  <c r="C29" i="8"/>
  <c r="Q39" i="11"/>
  <c r="C32" i="10"/>
  <c r="K28" i="11"/>
  <c r="R9" i="11"/>
  <c r="O45" i="11"/>
  <c r="O12" i="10"/>
  <c r="G3" i="9"/>
  <c r="E35" i="11"/>
  <c r="L8" i="9"/>
  <c r="U21" i="10"/>
  <c r="G21" i="10"/>
  <c r="C23" i="9"/>
  <c r="M7" i="9"/>
  <c r="G12" i="11"/>
  <c r="K41" i="10"/>
  <c r="U41" i="10"/>
  <c r="D17" i="10"/>
  <c r="D37" i="11"/>
  <c r="F31" i="11"/>
  <c r="S38" i="10"/>
  <c r="N17" i="10"/>
  <c r="M13" i="11"/>
  <c r="O9" i="10"/>
  <c r="K41" i="8"/>
  <c r="N18" i="10"/>
  <c r="I26" i="10"/>
  <c r="C13" i="8"/>
  <c r="I29" i="10"/>
  <c r="O11" i="10"/>
  <c r="R8" i="10"/>
  <c r="C41" i="11"/>
  <c r="R9" i="10"/>
  <c r="U12" i="11"/>
  <c r="I22" i="10"/>
  <c r="S31" i="9"/>
  <c r="F6" i="10"/>
  <c r="T12" i="9"/>
  <c r="H10" i="11"/>
  <c r="O17" i="11"/>
  <c r="M15" i="10"/>
  <c r="L29" i="10"/>
  <c r="O34" i="10"/>
  <c r="I26" i="9"/>
  <c r="F5" i="11"/>
  <c r="R40" i="10"/>
  <c r="N28" i="8"/>
  <c r="E19" i="11"/>
  <c r="D13" i="8"/>
  <c r="R43" i="9"/>
  <c r="Q16" i="11"/>
  <c r="E9" i="8"/>
  <c r="P4" i="11"/>
  <c r="P13" i="10"/>
  <c r="S4" i="10"/>
  <c r="D40" i="11"/>
  <c r="N13" i="8"/>
  <c r="T23" i="10"/>
  <c r="J9" i="11"/>
  <c r="F41" i="11"/>
  <c r="L5" i="10"/>
  <c r="N6" i="10"/>
  <c r="N9" i="11"/>
  <c r="U32" i="10"/>
  <c r="O10" i="10"/>
  <c r="O19" i="10"/>
  <c r="U23" i="8"/>
  <c r="N39" i="10"/>
  <c r="T16" i="9"/>
  <c r="Q32" i="11"/>
  <c r="R15" i="9"/>
  <c r="J27" i="11"/>
  <c r="M46" i="10"/>
  <c r="G15" i="11"/>
  <c r="P42" i="9"/>
  <c r="J26" i="9"/>
  <c r="U44" i="9"/>
  <c r="J12" i="11"/>
  <c r="P17" i="8"/>
  <c r="D33" i="11"/>
  <c r="Q5" i="8"/>
  <c r="P45" i="10"/>
  <c r="F42" i="10"/>
  <c r="I41" i="10"/>
  <c r="O4" i="8"/>
  <c r="T19" i="10"/>
  <c r="O27" i="11"/>
  <c r="K32" i="9"/>
  <c r="L8" i="8"/>
  <c r="C9" i="9"/>
  <c r="T14" i="10"/>
  <c r="L33" i="10"/>
  <c r="R7" i="10"/>
  <c r="N29" i="11"/>
  <c r="J35" i="9"/>
  <c r="M7" i="8"/>
  <c r="M5" i="10"/>
  <c r="M30" i="11"/>
  <c r="Q5" i="9"/>
  <c r="S20" i="11"/>
  <c r="E33" i="8"/>
  <c r="R19" i="10"/>
  <c r="I29" i="9"/>
  <c r="S13" i="10"/>
  <c r="C17" i="9"/>
  <c r="R32" i="8"/>
  <c r="P5" i="11"/>
  <c r="H44" i="10"/>
  <c r="L37" i="11"/>
  <c r="S3" i="11"/>
  <c r="E35" i="10"/>
  <c r="E45" i="8"/>
  <c r="K40" i="9"/>
  <c r="S28" i="11"/>
  <c r="F13" i="8"/>
  <c r="C15" i="11"/>
  <c r="H18" i="8"/>
  <c r="I19" i="10"/>
  <c r="L41" i="9"/>
  <c r="R40" i="8"/>
  <c r="S16" i="9"/>
  <c r="O4" i="11"/>
  <c r="F15" i="10"/>
  <c r="C15" i="10"/>
  <c r="T12" i="11"/>
  <c r="P45" i="11"/>
  <c r="S15" i="11"/>
  <c r="G23" i="9"/>
  <c r="P36" i="11"/>
  <c r="S36" i="10"/>
  <c r="P36" i="10"/>
  <c r="O28" i="10"/>
  <c r="U26" i="8"/>
  <c r="S13" i="9"/>
  <c r="F37" i="9"/>
  <c r="N13" i="11"/>
  <c r="R32" i="9"/>
  <c r="E10" i="9"/>
  <c r="G35" i="11"/>
  <c r="G38" i="9"/>
  <c r="G43" i="8"/>
  <c r="G5" i="11"/>
  <c r="U44" i="11"/>
  <c r="R4" i="11"/>
  <c r="F33" i="10"/>
  <c r="S44" i="10"/>
  <c r="S4" i="9"/>
  <c r="S45" i="11"/>
  <c r="F5" i="9"/>
  <c r="G46" i="9"/>
  <c r="M6" i="10"/>
  <c r="Q8" i="10"/>
  <c r="K15" i="9"/>
  <c r="F42" i="11"/>
  <c r="D29" i="11"/>
  <c r="E14" i="10"/>
  <c r="P10" i="9"/>
  <c r="U13" i="8"/>
  <c r="S43" i="10"/>
  <c r="C21" i="9"/>
  <c r="K20" i="11"/>
  <c r="J17" i="8"/>
  <c r="J17" i="11"/>
  <c r="D41" i="8"/>
  <c r="O37" i="9"/>
  <c r="J40" i="11"/>
  <c r="G30" i="11"/>
  <c r="H11" i="11"/>
  <c r="J17" i="10"/>
  <c r="R3" i="9"/>
  <c r="Q21" i="10"/>
  <c r="F38" i="8"/>
  <c r="G11" i="9"/>
  <c r="N23" i="9"/>
  <c r="G46" i="11"/>
  <c r="F36" i="9"/>
  <c r="K44" i="8"/>
  <c r="O33" i="11"/>
  <c r="R23" i="9"/>
  <c r="I16" i="9"/>
  <c r="N33" i="9"/>
  <c r="E45" i="10"/>
  <c r="M41" i="9"/>
  <c r="H9" i="11"/>
  <c r="K31" i="11"/>
  <c r="P39" i="10"/>
  <c r="M33" i="11"/>
  <c r="O28" i="11"/>
  <c r="T16" i="11"/>
  <c r="C12" i="10"/>
  <c r="Q21" i="11"/>
  <c r="I43" i="8"/>
  <c r="P7" i="11"/>
  <c r="E8" i="10"/>
  <c r="O35" i="10"/>
  <c r="E27" i="10"/>
  <c r="H4" i="9"/>
  <c r="P30" i="10"/>
  <c r="E37" i="11"/>
  <c r="C8" i="11"/>
  <c r="R18" i="11"/>
  <c r="C30" i="10"/>
  <c r="T36" i="10"/>
  <c r="P9" i="11"/>
  <c r="M16" i="9"/>
  <c r="F28" i="10"/>
  <c r="F31" i="10"/>
  <c r="M42" i="10"/>
  <c r="I3" i="10"/>
  <c r="K12" i="11"/>
  <c r="T4" i="11"/>
  <c r="U13" i="11"/>
  <c r="T28" i="9"/>
  <c r="G3" i="10"/>
  <c r="S7" i="8"/>
  <c r="C15" i="9"/>
  <c r="C18" i="11"/>
  <c r="L13" i="11"/>
  <c r="E16" i="11"/>
  <c r="M37" i="11"/>
  <c r="G23" i="10"/>
  <c r="I33" i="11"/>
  <c r="E9" i="9"/>
  <c r="M36" i="10"/>
  <c r="G10" i="10"/>
  <c r="Q37" i="8"/>
  <c r="L14" i="10"/>
  <c r="H13" i="11"/>
  <c r="J16" i="9"/>
  <c r="I18" i="10"/>
  <c r="R39" i="10"/>
  <c r="J16" i="11"/>
  <c r="S23" i="9"/>
  <c r="U6" i="9"/>
  <c r="E20" i="11"/>
  <c r="U8" i="8"/>
  <c r="J26" i="10"/>
  <c r="L39" i="10"/>
  <c r="G17" i="11"/>
  <c r="R33" i="11"/>
  <c r="D42" i="8"/>
  <c r="G43" i="11"/>
  <c r="H16" i="10"/>
  <c r="M31" i="11"/>
  <c r="C27" i="11"/>
  <c r="G15" i="9"/>
  <c r="H33" i="9"/>
  <c r="T38" i="11"/>
  <c r="N46" i="9"/>
  <c r="Q14" i="10"/>
  <c r="F26" i="11"/>
  <c r="J23" i="10"/>
  <c r="E6" i="8"/>
  <c r="G46" i="10"/>
  <c r="E40" i="11"/>
  <c r="U31" i="11"/>
  <c r="L28" i="11"/>
  <c r="I7" i="8"/>
  <c r="M9" i="10"/>
  <c r="Q28" i="9"/>
  <c r="Q9" i="10"/>
  <c r="U11" i="8"/>
  <c r="S40" i="11"/>
  <c r="E14" i="8"/>
  <c r="G15" i="8"/>
  <c r="M19" i="8"/>
  <c r="T46" i="10"/>
  <c r="J27" i="8"/>
  <c r="P33" i="8"/>
  <c r="D5" i="10"/>
  <c r="M30" i="10"/>
  <c r="C9" i="10"/>
  <c r="K7" i="9"/>
  <c r="E34" i="11"/>
  <c r="H21" i="8"/>
  <c r="G8" i="10"/>
  <c r="R26" i="10"/>
  <c r="M33" i="8"/>
  <c r="D43" i="10"/>
  <c r="R15" i="10"/>
  <c r="E43" i="11"/>
  <c r="T31" i="11"/>
  <c r="G19" i="9"/>
  <c r="J7" i="11"/>
  <c r="K26" i="9"/>
  <c r="M31" i="10"/>
  <c r="U36" i="8"/>
  <c r="O26" i="10"/>
  <c r="U22" i="10"/>
  <c r="N30" i="10"/>
  <c r="K12" i="9"/>
  <c r="R12" i="11"/>
  <c r="E15" i="8"/>
  <c r="C35" i="11"/>
  <c r="T44" i="10"/>
  <c r="C12" i="11"/>
  <c r="J20" i="11"/>
  <c r="M18" i="11"/>
  <c r="E12" i="9"/>
  <c r="P32" i="8"/>
  <c r="N29" i="10"/>
  <c r="T28" i="11"/>
  <c r="R35" i="9"/>
  <c r="D34" i="11"/>
  <c r="I45" i="8"/>
  <c r="G33" i="8"/>
  <c r="F44" i="11"/>
  <c r="E38" i="11"/>
  <c r="T41" i="8"/>
  <c r="U23" i="11"/>
  <c r="O23" i="11"/>
  <c r="M40" i="10"/>
  <c r="G12" i="10"/>
  <c r="Q36" i="11"/>
  <c r="E32" i="10"/>
  <c r="T15" i="10"/>
  <c r="H18" i="11"/>
  <c r="R38" i="9"/>
  <c r="F8" i="11"/>
  <c r="K33" i="9"/>
  <c r="S17" i="8"/>
  <c r="F39" i="9"/>
  <c r="O31" i="8"/>
  <c r="H17" i="9"/>
  <c r="D38" i="10"/>
  <c r="G7" i="9"/>
  <c r="J8" i="11"/>
  <c r="R16" i="11"/>
  <c r="N28" i="9"/>
  <c r="N19" i="9"/>
  <c r="S30" i="9"/>
  <c r="E22" i="8"/>
  <c r="F29" i="11"/>
  <c r="Q35" i="11"/>
  <c r="H36" i="8"/>
  <c r="K21" i="11"/>
  <c r="D22" i="11"/>
  <c r="H43" i="10"/>
  <c r="R23" i="10"/>
  <c r="G26" i="11"/>
  <c r="U39" i="10"/>
  <c r="Q26" i="10"/>
  <c r="R40" i="9"/>
  <c r="K41" i="9"/>
  <c r="G41" i="9"/>
  <c r="N33" i="10"/>
  <c r="L41" i="10"/>
  <c r="F6" i="8"/>
  <c r="G37" i="11"/>
  <c r="O21" i="10"/>
  <c r="J8" i="10"/>
  <c r="E7" i="8"/>
  <c r="O22" i="10"/>
  <c r="D41" i="11"/>
  <c r="I27" i="11"/>
  <c r="T21" i="10"/>
  <c r="M45" i="11"/>
  <c r="L6" i="9"/>
  <c r="U10" i="9"/>
  <c r="I6" i="8"/>
  <c r="E29" i="9"/>
  <c r="U35" i="10"/>
  <c r="K16" i="10"/>
  <c r="M20" i="10"/>
  <c r="E26" i="9"/>
  <c r="L20" i="10"/>
  <c r="K13" i="10"/>
  <c r="O46" i="8"/>
  <c r="I16" i="8"/>
  <c r="T11" i="10"/>
  <c r="C8" i="8"/>
  <c r="H26" i="8"/>
  <c r="G42" i="11"/>
  <c r="M18" i="9"/>
  <c r="I20" i="11"/>
  <c r="C4" i="11"/>
  <c r="L10" i="10"/>
  <c r="D18" i="8"/>
  <c r="T32" i="10"/>
  <c r="I12" i="11"/>
  <c r="P14" i="9"/>
  <c r="E15" i="9"/>
  <c r="D20" i="10"/>
  <c r="L17" i="8"/>
  <c r="L5" i="8"/>
  <c r="S18" i="9"/>
  <c r="P41" i="10"/>
  <c r="T34" i="11"/>
  <c r="C9" i="11"/>
  <c r="L4" i="10"/>
  <c r="K35" i="9"/>
  <c r="Q30" i="11"/>
  <c r="P33" i="11"/>
  <c r="K4" i="8"/>
  <c r="T8" i="10"/>
  <c r="T11" i="11"/>
  <c r="E6" i="9"/>
  <c r="R17" i="10"/>
  <c r="F35" i="10"/>
  <c r="F9" i="8"/>
  <c r="T6" i="9"/>
  <c r="O11" i="9"/>
  <c r="R28" i="9"/>
  <c r="G41" i="11"/>
  <c r="D14" i="11"/>
  <c r="K9" i="9"/>
  <c r="C41" i="9"/>
  <c r="F4" i="8"/>
  <c r="P15" i="11"/>
  <c r="U36" i="11"/>
  <c r="S21" i="11"/>
  <c r="Q19" i="11"/>
  <c r="Q9" i="9"/>
  <c r="L17" i="9"/>
  <c r="M37" i="9"/>
  <c r="F13" i="10"/>
  <c r="D32" i="9"/>
  <c r="Q29" i="9"/>
  <c r="K8" i="11"/>
  <c r="K5" i="8"/>
  <c r="E14" i="9"/>
  <c r="H40" i="11"/>
  <c r="P21" i="8"/>
  <c r="K22" i="8"/>
  <c r="U4" i="8"/>
  <c r="F44" i="10"/>
  <c r="I39" i="9"/>
  <c r="P29" i="11"/>
  <c r="S41" i="11"/>
  <c r="O31" i="10"/>
  <c r="N5" i="11"/>
  <c r="S13" i="8"/>
  <c r="H26" i="11"/>
  <c r="K37" i="8"/>
  <c r="Q36" i="10"/>
  <c r="I11" i="8"/>
  <c r="F7" i="11"/>
  <c r="P21" i="9"/>
  <c r="J12" i="10"/>
  <c r="F12" i="10"/>
  <c r="M38" i="11"/>
  <c r="T30" i="11"/>
  <c r="O7" i="11"/>
  <c r="O12" i="8"/>
  <c r="S8" i="10"/>
  <c r="J10" i="11"/>
  <c r="C36" i="11"/>
  <c r="Q38" i="10"/>
  <c r="E27" i="8"/>
  <c r="T9" i="9"/>
  <c r="F46" i="8"/>
  <c r="J32" i="10"/>
  <c r="M14" i="8"/>
  <c r="M16" i="11"/>
  <c r="T5" i="11"/>
  <c r="E41" i="10"/>
  <c r="G19" i="11"/>
  <c r="D30" i="10"/>
  <c r="T8" i="9"/>
  <c r="H13" i="8"/>
  <c r="Q3" i="8"/>
  <c r="L23" i="11"/>
  <c r="J34" i="9"/>
  <c r="C39" i="9"/>
  <c r="H12" i="11"/>
  <c r="Q8" i="9"/>
  <c r="J11" i="9"/>
  <c r="E38" i="8"/>
  <c r="U19" i="11"/>
  <c r="R38" i="8"/>
  <c r="J42" i="10"/>
  <c r="F36" i="11"/>
  <c r="C31" i="8"/>
  <c r="K12" i="10"/>
  <c r="Q32" i="10"/>
  <c r="F17" i="11"/>
  <c r="M10" i="9"/>
  <c r="F35" i="9"/>
  <c r="K17" i="8"/>
  <c r="R15" i="8"/>
  <c r="M19" i="9"/>
  <c r="J29" i="9"/>
  <c r="J21" i="10"/>
  <c r="O31" i="11"/>
  <c r="L9" i="8"/>
  <c r="Q43" i="11"/>
  <c r="N13" i="10"/>
  <c r="G7" i="11"/>
  <c r="F22" i="8"/>
  <c r="P17" i="9"/>
  <c r="F46" i="10"/>
  <c r="K43" i="9"/>
  <c r="C44" i="8"/>
  <c r="C18" i="10"/>
  <c r="R19" i="11"/>
  <c r="I8" i="8"/>
  <c r="N4" i="10"/>
  <c r="F3" i="8"/>
  <c r="S20" i="9"/>
  <c r="J34" i="8"/>
  <c r="Q10" i="10"/>
  <c r="J30" i="8"/>
  <c r="K20" i="9"/>
  <c r="N8" i="10"/>
  <c r="Q15" i="9"/>
  <c r="L10" i="11"/>
  <c r="E29" i="11"/>
  <c r="L3" i="10"/>
  <c r="J3" i="11"/>
  <c r="M30" i="9"/>
  <c r="U16" i="11"/>
  <c r="M41" i="10"/>
  <c r="P27" i="10"/>
  <c r="T7" i="10"/>
  <c r="O14" i="8"/>
  <c r="D12" i="11"/>
  <c r="G44" i="10"/>
  <c r="H15" i="9"/>
  <c r="U29" i="11"/>
  <c r="M23" i="9"/>
  <c r="F17" i="9"/>
  <c r="R17" i="8"/>
  <c r="C28" i="11"/>
  <c r="J11" i="11"/>
  <c r="E33" i="11"/>
  <c r="U21" i="11"/>
  <c r="J44" i="10"/>
  <c r="Q6" i="11"/>
  <c r="S23" i="11"/>
  <c r="M23" i="10"/>
  <c r="C5" i="10"/>
  <c r="E29" i="10"/>
  <c r="N22" i="10"/>
  <c r="U35" i="8"/>
  <c r="M42" i="8"/>
  <c r="K35" i="11"/>
  <c r="D31" i="10"/>
  <c r="G43" i="9"/>
  <c r="M43" i="10"/>
  <c r="T17" i="11"/>
  <c r="D8" i="9"/>
  <c r="L39" i="9"/>
  <c r="Q28" i="8"/>
  <c r="C34" i="10"/>
  <c r="E36" i="8"/>
  <c r="P22" i="11"/>
  <c r="N14" i="10"/>
  <c r="G16" i="10"/>
  <c r="F6" i="9"/>
  <c r="I19" i="9"/>
  <c r="I41" i="8"/>
  <c r="N35" i="9"/>
  <c r="M46" i="9"/>
  <c r="O10" i="8"/>
  <c r="G4" i="9"/>
  <c r="K34" i="9"/>
  <c r="L35" i="9"/>
  <c r="R41" i="9"/>
  <c r="C36" i="9"/>
  <c r="T38" i="10"/>
  <c r="L45" i="10"/>
  <c r="T5" i="8"/>
  <c r="L23" i="9"/>
  <c r="T44" i="8"/>
  <c r="R29" i="11"/>
  <c r="U38" i="8"/>
  <c r="O15" i="9"/>
  <c r="H35" i="9"/>
  <c r="C39" i="11"/>
  <c r="J5" i="9"/>
  <c r="R23" i="11"/>
  <c r="Q29" i="8"/>
  <c r="U29" i="10"/>
  <c r="I45" i="9"/>
  <c r="K19" i="11"/>
  <c r="F21" i="11"/>
  <c r="S4" i="11"/>
  <c r="G32" i="11"/>
  <c r="J27" i="9"/>
  <c r="J45" i="9"/>
  <c r="N46" i="10"/>
  <c r="S30" i="8"/>
  <c r="G11" i="11"/>
  <c r="M11" i="11"/>
  <c r="N18" i="9"/>
  <c r="R34" i="11"/>
  <c r="H12" i="10"/>
  <c r="R29" i="10"/>
  <c r="T30" i="8"/>
  <c r="I13" i="9"/>
  <c r="R5" i="10"/>
  <c r="K20" i="10"/>
  <c r="P6" i="8"/>
  <c r="K32" i="8"/>
  <c r="N3" i="9"/>
  <c r="T20" i="8"/>
  <c r="M19" i="11"/>
  <c r="Q28" i="11"/>
  <c r="R30" i="10"/>
  <c r="Q30" i="10"/>
  <c r="D36" i="8"/>
  <c r="S42" i="8"/>
  <c r="S12" i="11"/>
  <c r="N34" i="11"/>
  <c r="T26" i="11"/>
  <c r="D44" i="9"/>
  <c r="I28" i="9"/>
  <c r="R46" i="8"/>
  <c r="L40" i="10"/>
  <c r="H14" i="9"/>
  <c r="O18" i="10"/>
  <c r="K5" i="11"/>
  <c r="S40" i="9"/>
  <c r="Q46" i="8"/>
  <c r="R21" i="8"/>
  <c r="U33" i="10"/>
  <c r="Q10" i="9"/>
  <c r="U31" i="10"/>
  <c r="U7" i="10"/>
  <c r="C7" i="8"/>
  <c r="I12" i="9"/>
  <c r="O39" i="11"/>
  <c r="D38" i="9"/>
  <c r="O44" i="10"/>
  <c r="Q41" i="8"/>
  <c r="L27" i="10"/>
  <c r="D4" i="9"/>
  <c r="U11" i="11"/>
  <c r="O9" i="11"/>
  <c r="M32" i="11"/>
  <c r="I34" i="10"/>
  <c r="R37" i="9"/>
  <c r="C21" i="11"/>
  <c r="E32" i="11"/>
  <c r="G19" i="10"/>
  <c r="S35" i="11"/>
  <c r="G34" i="9"/>
  <c r="P29" i="9"/>
  <c r="D22" i="8"/>
  <c r="K13" i="11"/>
  <c r="M14" i="9"/>
  <c r="G16" i="8"/>
  <c r="C37" i="9"/>
  <c r="K11" i="11"/>
  <c r="C28" i="10"/>
  <c r="H32" i="8"/>
  <c r="Q11" i="8"/>
  <c r="H3" i="9"/>
  <c r="I39" i="11"/>
  <c r="S38" i="11"/>
  <c r="H8" i="11"/>
  <c r="R38" i="11"/>
  <c r="P30" i="11"/>
  <c r="K37" i="11"/>
  <c r="E44" i="11"/>
  <c r="M21" i="8"/>
  <c r="I32" i="8"/>
  <c r="S31" i="8"/>
  <c r="I35" i="9"/>
  <c r="I17" i="10"/>
  <c r="E31" i="8"/>
  <c r="D10" i="9"/>
  <c r="F46" i="9"/>
  <c r="U17" i="10"/>
  <c r="T35" i="8"/>
  <c r="P34" i="8"/>
  <c r="U44" i="8"/>
  <c r="J41" i="9"/>
  <c r="G40" i="11"/>
  <c r="U22" i="9"/>
  <c r="L46" i="8"/>
  <c r="I8" i="11"/>
  <c r="D20" i="9"/>
  <c r="M41" i="8"/>
  <c r="H23" i="10"/>
  <c r="G31" i="8"/>
  <c r="T39" i="11"/>
  <c r="U20" i="11"/>
  <c r="U39" i="8"/>
  <c r="G18" i="11"/>
  <c r="O21" i="8"/>
  <c r="K3" i="8"/>
  <c r="C46" i="11"/>
  <c r="O20" i="10"/>
  <c r="D33" i="8"/>
  <c r="G39" i="11"/>
  <c r="Q19" i="8"/>
  <c r="S37" i="11"/>
  <c r="S4" i="8"/>
  <c r="P20" i="11"/>
  <c r="L45" i="11"/>
  <c r="E31" i="10"/>
  <c r="M26" i="10"/>
  <c r="Q36" i="9"/>
  <c r="J16" i="8"/>
  <c r="S18" i="11"/>
  <c r="P38" i="11"/>
  <c r="N12" i="8"/>
  <c r="M26" i="8"/>
  <c r="O45" i="8"/>
  <c r="H26" i="9"/>
  <c r="G13" i="11"/>
  <c r="D5" i="9"/>
  <c r="S32" i="9"/>
  <c r="N44" i="9"/>
  <c r="L21" i="10"/>
  <c r="J15" i="11"/>
  <c r="U23" i="9"/>
  <c r="I39" i="10"/>
  <c r="U27" i="8"/>
  <c r="G5" i="8"/>
  <c r="O29" i="10"/>
  <c r="T4" i="8"/>
  <c r="L31" i="8"/>
  <c r="M13" i="9"/>
  <c r="I4" i="8"/>
  <c r="J15" i="8"/>
  <c r="P8" i="9"/>
  <c r="D13" i="11"/>
  <c r="P32" i="10"/>
  <c r="U18" i="9"/>
  <c r="H5" i="11"/>
  <c r="M22" i="9"/>
  <c r="Q40" i="8"/>
  <c r="I30" i="8"/>
  <c r="P46" i="8"/>
  <c r="D23" i="8"/>
  <c r="L6" i="10"/>
  <c r="L10" i="8"/>
  <c r="I44" i="9"/>
  <c r="M27" i="10"/>
  <c r="T43" i="11"/>
  <c r="H20" i="8"/>
  <c r="K26" i="10"/>
  <c r="I15" i="11"/>
  <c r="L13" i="10"/>
  <c r="S44" i="9"/>
  <c r="D28" i="10"/>
  <c r="O38" i="10"/>
  <c r="T33" i="11"/>
  <c r="D9" i="9"/>
  <c r="G38" i="8"/>
  <c r="F23" i="10"/>
  <c r="C33" i="10"/>
  <c r="D17" i="11"/>
  <c r="I37" i="9"/>
  <c r="N45" i="10"/>
  <c r="H38" i="11"/>
  <c r="C41" i="8"/>
  <c r="C32" i="8"/>
  <c r="F16" i="9"/>
  <c r="K38" i="9"/>
  <c r="J7" i="8"/>
  <c r="D18" i="11"/>
  <c r="T27" i="8"/>
  <c r="H20" i="9"/>
  <c r="K23" i="9"/>
  <c r="L30" i="9"/>
  <c r="I29" i="11"/>
  <c r="E4" i="10"/>
  <c r="T29" i="8"/>
  <c r="U14" i="8"/>
  <c r="P16" i="9"/>
  <c r="J42" i="8"/>
  <c r="N30" i="8"/>
  <c r="S29" i="9"/>
  <c r="L18" i="11"/>
  <c r="F41" i="8"/>
  <c r="C15" i="8"/>
  <c r="K35" i="8"/>
  <c r="M31" i="9"/>
  <c r="D35" i="10"/>
  <c r="R9" i="8"/>
  <c r="I3" i="9"/>
  <c r="I32" i="10"/>
  <c r="O13" i="8"/>
  <c r="F30" i="8"/>
  <c r="I14" i="11"/>
  <c r="H27" i="10"/>
  <c r="D15" i="9"/>
  <c r="N6" i="11"/>
  <c r="Q9" i="8"/>
  <c r="O31" i="9"/>
  <c r="D12" i="8"/>
  <c r="H9" i="9"/>
  <c r="Q34" i="8"/>
  <c r="H33" i="11"/>
  <c r="C23" i="8"/>
  <c r="D29" i="9"/>
  <c r="C44" i="11"/>
  <c r="E10" i="8"/>
  <c r="G28" i="8"/>
  <c r="R14" i="10"/>
  <c r="C10" i="11"/>
  <c r="M46" i="11"/>
  <c r="P16" i="11"/>
  <c r="P23" i="8"/>
  <c r="F3" i="10"/>
  <c r="I37" i="10"/>
  <c r="J31" i="8"/>
  <c r="C16" i="10"/>
  <c r="K46" i="8"/>
  <c r="C42" i="11"/>
  <c r="Q32" i="9"/>
  <c r="G4" i="10"/>
  <c r="E40" i="9"/>
  <c r="G6" i="10"/>
  <c r="C37" i="8"/>
  <c r="J22" i="9"/>
  <c r="R14" i="9"/>
  <c r="U37" i="10"/>
  <c r="T21" i="9"/>
  <c r="U35" i="11"/>
  <c r="G38" i="10"/>
  <c r="L17" i="11"/>
  <c r="H28" i="9"/>
  <c r="I16" i="10"/>
  <c r="P35" i="8"/>
  <c r="P29" i="8"/>
  <c r="N41" i="8"/>
  <c r="J37" i="8"/>
  <c r="O42" i="8"/>
  <c r="E42" i="8"/>
  <c r="C13" i="11"/>
  <c r="C5" i="11"/>
  <c r="R14" i="11"/>
  <c r="G40" i="9"/>
  <c r="J37" i="11"/>
  <c r="P19" i="9"/>
  <c r="T10" i="11"/>
  <c r="G18" i="8"/>
  <c r="N13" i="9"/>
  <c r="O5" i="9"/>
  <c r="N11" i="8"/>
  <c r="O43" i="8"/>
  <c r="O18" i="8"/>
  <c r="C28" i="8"/>
  <c r="G20" i="8"/>
  <c r="O29" i="8"/>
  <c r="L19" i="8"/>
  <c r="G28" i="9"/>
  <c r="U6" i="11"/>
  <c r="T40" i="9"/>
  <c r="C20" i="9"/>
  <c r="Q41" i="9"/>
  <c r="D9" i="8"/>
  <c r="M12" i="9"/>
  <c r="H17" i="11"/>
  <c r="H42" i="8"/>
  <c r="F10" i="9"/>
  <c r="E3" i="8"/>
  <c r="H3" i="8"/>
  <c r="P14" i="8"/>
  <c r="K15" i="10"/>
  <c r="D30" i="8"/>
  <c r="G28" i="10"/>
  <c r="E33" i="9"/>
  <c r="I36" i="9"/>
  <c r="M21" i="10"/>
  <c r="N41" i="11"/>
  <c r="N40" i="11"/>
  <c r="J6" i="10"/>
  <c r="K7" i="8"/>
  <c r="U29" i="8"/>
  <c r="J36" i="11"/>
  <c r="R8" i="11"/>
  <c r="E29" i="8"/>
  <c r="N45" i="11"/>
  <c r="J19" i="11"/>
  <c r="O5" i="8"/>
  <c r="H37" i="10"/>
  <c r="D35" i="8"/>
  <c r="H45" i="8"/>
  <c r="S19" i="10"/>
  <c r="E34" i="8"/>
  <c r="N27" i="9"/>
  <c r="D8" i="8"/>
  <c r="F27" i="9"/>
  <c r="J43" i="10"/>
  <c r="E28" i="11"/>
  <c r="L22" i="10"/>
  <c r="C22" i="11"/>
  <c r="E31" i="9"/>
  <c r="O12" i="9"/>
  <c r="T38" i="8"/>
  <c r="S3" i="10"/>
  <c r="J13" i="10"/>
  <c r="C32" i="9"/>
  <c r="Q11" i="10"/>
  <c r="G45" i="10"/>
  <c r="H31" i="10"/>
  <c r="J43" i="11"/>
  <c r="L30" i="10"/>
  <c r="N14" i="11"/>
  <c r="S39" i="10"/>
  <c r="D27" i="8"/>
  <c r="D46" i="11"/>
  <c r="O34" i="8"/>
  <c r="S39" i="9"/>
  <c r="T36" i="11"/>
  <c r="J46" i="9"/>
  <c r="P6" i="11"/>
  <c r="M29" i="10"/>
  <c r="O39" i="8"/>
  <c r="P26" i="10"/>
  <c r="K16" i="9"/>
  <c r="C38" i="11"/>
  <c r="N45" i="8"/>
  <c r="K31" i="8"/>
  <c r="T35" i="9"/>
  <c r="F8" i="9"/>
  <c r="T15" i="8"/>
  <c r="N14" i="9"/>
  <c r="E16" i="8"/>
  <c r="E21" i="11"/>
  <c r="O7" i="8"/>
  <c r="S37" i="10"/>
  <c r="S5" i="9"/>
  <c r="O41" i="10"/>
  <c r="S6" i="9"/>
  <c r="R28" i="10"/>
  <c r="S5" i="11"/>
  <c r="L40" i="11"/>
  <c r="L9" i="10"/>
  <c r="U45" i="11"/>
  <c r="N7" i="10"/>
  <c r="U42" i="11"/>
  <c r="H30" i="9"/>
  <c r="J3" i="9"/>
  <c r="D16" i="10"/>
  <c r="N40" i="9"/>
  <c r="H21" i="10"/>
  <c r="O46" i="11"/>
  <c r="J9" i="8"/>
  <c r="Q4" i="11"/>
  <c r="R37" i="10"/>
  <c r="P18" i="8"/>
  <c r="F9" i="11"/>
  <c r="L4" i="9"/>
  <c r="K22" i="11"/>
  <c r="Q13" i="9"/>
  <c r="G13" i="9"/>
  <c r="T10" i="9"/>
  <c r="E23" i="11"/>
  <c r="C42" i="8"/>
  <c r="O17" i="8"/>
  <c r="E20" i="9"/>
  <c r="G21" i="8"/>
  <c r="L26" i="11"/>
  <c r="P33" i="10"/>
  <c r="C42" i="10"/>
  <c r="O16" i="11"/>
  <c r="D7" i="8"/>
  <c r="M3" i="10"/>
  <c r="F15" i="8"/>
  <c r="N30" i="11"/>
  <c r="H44" i="9"/>
  <c r="J19" i="9"/>
  <c r="D33" i="9"/>
  <c r="P10" i="10"/>
  <c r="S32" i="8"/>
  <c r="G18" i="9"/>
  <c r="E18" i="9"/>
  <c r="H46" i="10"/>
  <c r="Q18" i="8"/>
  <c r="E46" i="10"/>
  <c r="L44" i="9"/>
  <c r="Q23" i="11"/>
  <c r="F19" i="11"/>
  <c r="C6" i="9"/>
  <c r="S46" i="8"/>
  <c r="I46" i="9"/>
  <c r="O23" i="9"/>
  <c r="F46" i="11"/>
  <c r="L31" i="11"/>
  <c r="S35" i="8"/>
  <c r="P28" i="11"/>
  <c r="E35" i="8"/>
  <c r="J30" i="9"/>
  <c r="N42" i="11"/>
  <c r="D27" i="9"/>
  <c r="S20" i="8"/>
  <c r="N20" i="9"/>
  <c r="K21" i="8"/>
  <c r="P9" i="10"/>
  <c r="H28" i="8"/>
  <c r="T41" i="10"/>
  <c r="G36" i="8"/>
  <c r="T38" i="9"/>
  <c r="D42" i="11"/>
  <c r="K44" i="11"/>
  <c r="D10" i="11"/>
  <c r="H40" i="10"/>
  <c r="L26" i="9"/>
  <c r="S17" i="9"/>
  <c r="L3" i="11"/>
  <c r="Q42" i="11"/>
  <c r="J4" i="11"/>
  <c r="T31" i="8"/>
  <c r="E20" i="8"/>
  <c r="F22" i="9"/>
  <c r="S34" i="9"/>
  <c r="L10" i="9"/>
  <c r="P40" i="9"/>
  <c r="T45" i="8"/>
  <c r="R46" i="9"/>
  <c r="C39" i="10"/>
  <c r="P29" i="10"/>
  <c r="M38" i="9"/>
  <c r="P27" i="8"/>
  <c r="H23" i="8"/>
  <c r="K29" i="9"/>
  <c r="F37" i="8"/>
  <c r="E46" i="11"/>
  <c r="C45" i="10"/>
  <c r="T45" i="10"/>
  <c r="O33" i="8"/>
  <c r="R31" i="10"/>
  <c r="H34" i="9"/>
  <c r="T7" i="8"/>
  <c r="P43" i="9"/>
  <c r="I6" i="10"/>
  <c r="I36" i="10"/>
  <c r="O42" i="11"/>
  <c r="K23" i="10"/>
  <c r="N39" i="9"/>
  <c r="M11" i="8"/>
  <c r="Q17" i="11"/>
  <c r="K18" i="10"/>
  <c r="E30" i="11"/>
  <c r="C23" i="11"/>
  <c r="G22" i="9"/>
  <c r="E26" i="11"/>
  <c r="O35" i="11"/>
  <c r="U45" i="9"/>
  <c r="D18" i="9"/>
  <c r="G23" i="8"/>
  <c r="I11" i="11"/>
  <c r="U35" i="9"/>
  <c r="M22" i="11"/>
  <c r="M21" i="11"/>
  <c r="J44" i="9"/>
  <c r="T30" i="10"/>
  <c r="U17" i="9"/>
  <c r="R16" i="8"/>
  <c r="H11" i="9"/>
  <c r="Q39" i="8"/>
  <c r="D3" i="8"/>
  <c r="J35" i="10"/>
  <c r="M18" i="8"/>
  <c r="S11" i="9"/>
  <c r="T20" i="11"/>
  <c r="K40" i="11"/>
  <c r="K38" i="8"/>
  <c r="J26" i="8"/>
  <c r="I10" i="10"/>
  <c r="T9" i="10"/>
  <c r="H15" i="10"/>
  <c r="J6" i="11"/>
  <c r="K33" i="11"/>
  <c r="R26" i="9"/>
  <c r="C43" i="10"/>
  <c r="P13" i="9"/>
  <c r="F15" i="11"/>
  <c r="C34" i="8"/>
  <c r="K21" i="10"/>
  <c r="T27" i="11"/>
  <c r="D46" i="8"/>
  <c r="Q35" i="10"/>
  <c r="U46" i="10"/>
  <c r="S26" i="10"/>
  <c r="R32" i="11"/>
  <c r="D30" i="11"/>
  <c r="K19" i="8"/>
  <c r="E13" i="10"/>
  <c r="O45" i="9"/>
  <c r="Q20" i="9"/>
  <c r="M10" i="10"/>
  <c r="D21" i="11"/>
  <c r="S40" i="8"/>
  <c r="S26" i="11"/>
  <c r="E4" i="11"/>
  <c r="G23" i="11"/>
  <c r="N8" i="8"/>
  <c r="H8" i="8"/>
  <c r="N27" i="10"/>
  <c r="R26" i="11"/>
  <c r="L34" i="10"/>
  <c r="H4" i="11"/>
  <c r="C16" i="8"/>
  <c r="T26" i="10"/>
  <c r="K32" i="11"/>
  <c r="I29" i="8"/>
  <c r="O20" i="8"/>
  <c r="J20" i="9"/>
  <c r="N27" i="8"/>
  <c r="P10" i="8"/>
  <c r="E28" i="8"/>
  <c r="R6" i="8"/>
  <c r="J7" i="9"/>
  <c r="N23" i="11"/>
  <c r="Q4" i="10"/>
  <c r="D46" i="9"/>
  <c r="T34" i="9"/>
  <c r="N34" i="8"/>
  <c r="Q43" i="10"/>
  <c r="D14" i="8"/>
  <c r="C14" i="8"/>
  <c r="U9" i="8"/>
  <c r="F13" i="11"/>
  <c r="N16" i="10"/>
  <c r="H33" i="10"/>
  <c r="C16" i="11"/>
  <c r="O16" i="8"/>
  <c r="P12" i="11"/>
  <c r="T37" i="11"/>
  <c r="I34" i="8"/>
  <c r="H7" i="9"/>
  <c r="O21" i="11"/>
  <c r="R10" i="9"/>
  <c r="N4" i="8"/>
  <c r="J39" i="8"/>
  <c r="L13" i="9"/>
  <c r="C3" i="10"/>
  <c r="K4" i="10"/>
  <c r="D41" i="10"/>
  <c r="P6" i="9"/>
  <c r="D8" i="11"/>
  <c r="P45" i="8"/>
  <c r="C31" i="11"/>
  <c r="U12" i="9"/>
  <c r="F12" i="11"/>
  <c r="M35" i="8"/>
  <c r="D32" i="11"/>
  <c r="N35" i="8"/>
  <c r="I44" i="10"/>
  <c r="L17" i="10"/>
  <c r="H39" i="10"/>
  <c r="P22" i="10"/>
  <c r="C27" i="8"/>
  <c r="I36" i="8"/>
  <c r="Q3" i="10"/>
  <c r="U9" i="11"/>
  <c r="O16" i="10"/>
  <c r="L42" i="11"/>
  <c r="P31" i="8"/>
  <c r="R7" i="8"/>
  <c r="P41" i="8"/>
  <c r="S22" i="10"/>
  <c r="N27" i="11"/>
  <c r="C5" i="8"/>
  <c r="C7" i="9"/>
  <c r="L34" i="11"/>
  <c r="L21" i="9"/>
  <c r="I44" i="11"/>
  <c r="Q17" i="8"/>
  <c r="Q16" i="8"/>
  <c r="U7" i="8"/>
  <c r="J38" i="11"/>
  <c r="T41" i="9"/>
  <c r="L26" i="10"/>
  <c r="R5" i="8"/>
  <c r="E38" i="10"/>
  <c r="O33" i="9"/>
  <c r="I46" i="8"/>
  <c r="U18" i="8"/>
  <c r="M6" i="9"/>
  <c r="T13" i="8"/>
  <c r="M43" i="9"/>
  <c r="L44" i="11"/>
  <c r="K38" i="10"/>
  <c r="N38" i="9"/>
  <c r="S3" i="8"/>
  <c r="T42" i="8"/>
  <c r="P34" i="11"/>
  <c r="I14" i="9"/>
  <c r="C19" i="10"/>
  <c r="P8" i="8"/>
  <c r="F45" i="8"/>
  <c r="K29" i="10"/>
  <c r="S18" i="8"/>
  <c r="C14" i="10"/>
  <c r="S15" i="9"/>
  <c r="Q11" i="9"/>
  <c r="H6" i="8"/>
  <c r="R8" i="9"/>
  <c r="C33" i="8"/>
  <c r="N5" i="8"/>
  <c r="K27" i="8"/>
  <c r="I11" i="10"/>
  <c r="T37" i="9"/>
  <c r="J46" i="11"/>
  <c r="R34" i="8"/>
  <c r="D12" i="9"/>
  <c r="C6" i="11"/>
  <c r="L7" i="8"/>
  <c r="T6" i="10"/>
  <c r="D9" i="11"/>
  <c r="F21" i="9"/>
  <c r="M30" i="8"/>
  <c r="Q46" i="9"/>
  <c r="T43" i="9"/>
  <c r="I35" i="11"/>
  <c r="M13" i="8"/>
  <c r="Q42" i="10"/>
  <c r="F33" i="8"/>
  <c r="S41" i="10"/>
  <c r="S32" i="11"/>
  <c r="U26" i="9"/>
  <c r="P3" i="8"/>
  <c r="N34" i="10"/>
  <c r="Q7" i="10"/>
  <c r="F22" i="11"/>
  <c r="T18" i="10"/>
  <c r="S9" i="11"/>
  <c r="J45" i="11"/>
  <c r="F34" i="11"/>
  <c r="O36" i="11"/>
  <c r="O35" i="8"/>
  <c r="D35" i="9"/>
  <c r="T19" i="9"/>
  <c r="H31" i="9"/>
  <c r="L27" i="9"/>
  <c r="K5" i="9"/>
  <c r="O46" i="10"/>
  <c r="L12" i="9"/>
  <c r="I18" i="8"/>
  <c r="G28" i="11"/>
  <c r="I40" i="10"/>
  <c r="G27" i="8"/>
  <c r="N5" i="9"/>
  <c r="G22" i="10"/>
  <c r="J30" i="11"/>
  <c r="U33" i="9"/>
  <c r="P32" i="9"/>
  <c r="T7" i="11"/>
  <c r="T15" i="9"/>
  <c r="J37" i="9"/>
  <c r="M12" i="11"/>
  <c r="J5" i="11"/>
  <c r="H8" i="10"/>
  <c r="N10" i="9"/>
  <c r="T39" i="8"/>
  <c r="N22" i="8"/>
  <c r="M11" i="9"/>
  <c r="G40" i="8"/>
  <c r="D36" i="9"/>
  <c r="F14" i="10"/>
  <c r="H27" i="11"/>
  <c r="E39" i="9"/>
  <c r="H4" i="10"/>
  <c r="H37" i="9"/>
  <c r="C23" i="10"/>
  <c r="E9" i="11"/>
  <c r="I17" i="11"/>
  <c r="I20" i="10"/>
  <c r="C33" i="11"/>
  <c r="D45" i="8"/>
  <c r="O33" i="10"/>
  <c r="T36" i="9"/>
  <c r="C44" i="9"/>
  <c r="H9" i="8"/>
  <c r="G31" i="11"/>
  <c r="J6" i="9"/>
  <c r="O34" i="9"/>
  <c r="S19" i="9"/>
  <c r="P43" i="10"/>
  <c r="M29" i="11"/>
  <c r="N36" i="8"/>
  <c r="T5" i="9"/>
  <c r="G9" i="8"/>
  <c r="C35" i="9"/>
  <c r="G40" i="10"/>
  <c r="P12" i="10"/>
  <c r="G34" i="10"/>
  <c r="C21" i="10"/>
  <c r="G44" i="9"/>
  <c r="T37" i="8"/>
  <c r="C28" i="9"/>
  <c r="H36" i="10"/>
  <c r="I40" i="9"/>
  <c r="U44" i="10"/>
  <c r="Q45" i="9"/>
  <c r="R18" i="9"/>
  <c r="D17" i="9"/>
  <c r="T18" i="8"/>
  <c r="U40" i="9"/>
  <c r="Q8" i="8"/>
  <c r="O36" i="9"/>
  <c r="O27" i="8"/>
  <c r="C19" i="11"/>
  <c r="R34" i="9"/>
  <c r="G42" i="10"/>
  <c r="E40" i="10"/>
  <c r="D27" i="11"/>
  <c r="M8" i="8"/>
  <c r="J41" i="11"/>
  <c r="U19" i="10"/>
  <c r="F23" i="8"/>
  <c r="E34" i="9"/>
  <c r="K26" i="8"/>
  <c r="D43" i="9"/>
  <c r="Q42" i="8"/>
  <c r="J36" i="9"/>
  <c r="R32" i="10"/>
  <c r="F5" i="8"/>
  <c r="M19" i="10"/>
  <c r="U22" i="8"/>
  <c r="R18" i="8"/>
  <c r="S18" i="10"/>
  <c r="E35" i="9"/>
  <c r="L44" i="8"/>
  <c r="N39" i="8"/>
  <c r="F8" i="8"/>
  <c r="H34" i="8"/>
  <c r="T35" i="10"/>
  <c r="E5" i="8"/>
  <c r="R4" i="10"/>
  <c r="L5" i="9"/>
  <c r="S41" i="9"/>
  <c r="T32" i="9"/>
  <c r="Q45" i="8"/>
  <c r="I37" i="11"/>
  <c r="F35" i="8"/>
  <c r="I12" i="8"/>
  <c r="T32" i="8"/>
  <c r="I46" i="10"/>
  <c r="M16" i="10"/>
  <c r="H28" i="11"/>
  <c r="R20" i="10"/>
  <c r="S46" i="11"/>
  <c r="O10" i="9"/>
  <c r="R39" i="8"/>
  <c r="C13" i="10"/>
  <c r="N15" i="9"/>
  <c r="K12" i="8"/>
  <c r="K37" i="9"/>
  <c r="D44" i="8"/>
  <c r="N43" i="8"/>
  <c r="Q10" i="11"/>
  <c r="P30" i="8"/>
  <c r="U41" i="9"/>
  <c r="F3" i="9"/>
  <c r="H29" i="8"/>
  <c r="O30" i="10"/>
  <c r="F42" i="8"/>
  <c r="O26" i="9"/>
  <c r="L14" i="8"/>
  <c r="K30" i="10"/>
  <c r="M10" i="11"/>
  <c r="F43" i="11"/>
  <c r="F43" i="8"/>
  <c r="O19" i="8"/>
  <c r="D41" i="9"/>
  <c r="F11" i="10"/>
  <c r="K32" i="10"/>
  <c r="D38" i="11"/>
  <c r="O8" i="10"/>
  <c r="N16" i="11"/>
  <c r="T44" i="11"/>
  <c r="I37" i="8"/>
  <c r="D30" i="9"/>
  <c r="P9" i="9"/>
  <c r="K6" i="8"/>
  <c r="N32" i="11"/>
  <c r="O9" i="8"/>
  <c r="H41" i="11"/>
  <c r="M40" i="11"/>
  <c r="P31" i="10"/>
  <c r="K42" i="10"/>
  <c r="T16" i="10"/>
  <c r="C38" i="10"/>
  <c r="U32" i="9"/>
  <c r="M5" i="8"/>
  <c r="P17" i="11"/>
  <c r="P28" i="8"/>
  <c r="H11" i="8"/>
  <c r="M44" i="9"/>
  <c r="G30" i="10"/>
  <c r="R27" i="8"/>
  <c r="F28" i="9"/>
  <c r="E27" i="9"/>
  <c r="C11" i="10"/>
  <c r="J31" i="10"/>
  <c r="C43" i="8"/>
  <c r="O17" i="10"/>
  <c r="K46" i="9"/>
  <c r="I21" i="11"/>
  <c r="I43" i="10"/>
  <c r="T33" i="8"/>
  <c r="O32" i="10"/>
  <c r="G35" i="8"/>
  <c r="Q18" i="9"/>
  <c r="G20" i="10"/>
  <c r="U29" i="9"/>
  <c r="H32" i="9"/>
  <c r="T12" i="10"/>
  <c r="F36" i="10"/>
  <c r="U12" i="8"/>
  <c r="H35" i="8"/>
  <c r="U43" i="10"/>
  <c r="P44" i="8"/>
  <c r="K17" i="9"/>
  <c r="H43" i="9"/>
  <c r="J19" i="8"/>
  <c r="Q30" i="9"/>
  <c r="M29" i="8"/>
  <c r="O8" i="9"/>
  <c r="H19" i="9"/>
  <c r="K3" i="11"/>
  <c r="T11" i="9"/>
  <c r="C20" i="11"/>
  <c r="N20" i="11"/>
  <c r="G10" i="9"/>
  <c r="S22" i="8"/>
  <c r="J6" i="8"/>
  <c r="R22" i="10"/>
  <c r="C17" i="8"/>
  <c r="Q5" i="11"/>
  <c r="N46" i="8"/>
  <c r="R15" i="11"/>
  <c r="J28" i="10"/>
  <c r="C46" i="10"/>
  <c r="M11" i="10"/>
  <c r="O5" i="11"/>
  <c r="D14" i="10"/>
  <c r="C42" i="9"/>
  <c r="E43" i="8"/>
  <c r="G29" i="9"/>
  <c r="Q12" i="9"/>
  <c r="E7" i="10"/>
  <c r="L37" i="9"/>
  <c r="F36" i="8"/>
  <c r="O26" i="8"/>
  <c r="J43" i="9"/>
  <c r="T3" i="8"/>
  <c r="F22" i="10"/>
  <c r="N3" i="8"/>
  <c r="P18" i="11"/>
  <c r="H5" i="9"/>
  <c r="P4" i="8"/>
  <c r="G6" i="8"/>
  <c r="R21" i="10"/>
  <c r="U32" i="8"/>
  <c r="J43" i="8"/>
  <c r="Q33" i="10"/>
  <c r="J21" i="9"/>
  <c r="I36" i="11"/>
  <c r="P19" i="8"/>
  <c r="T7" i="9"/>
  <c r="J35" i="8"/>
  <c r="D45" i="9"/>
  <c r="E30" i="8"/>
  <c r="S42" i="10"/>
  <c r="R37" i="8"/>
  <c r="U40" i="10"/>
  <c r="P44" i="11"/>
  <c r="G45" i="11"/>
  <c r="K11" i="10"/>
  <c r="U41" i="11"/>
  <c r="O32" i="11"/>
  <c r="I42" i="11"/>
  <c r="Q40" i="11"/>
  <c r="Q30" i="8"/>
  <c r="Q27" i="11"/>
  <c r="J34" i="10"/>
  <c r="I22" i="8"/>
  <c r="G36" i="11"/>
  <c r="J45" i="10"/>
  <c r="O6" i="9"/>
  <c r="T28" i="10"/>
  <c r="S41" i="8"/>
  <c r="O8" i="11"/>
  <c r="M10" i="8"/>
  <c r="J39" i="9"/>
  <c r="H10" i="8"/>
  <c r="L16" i="8"/>
  <c r="F43" i="9"/>
  <c r="F37" i="10"/>
  <c r="E13" i="9"/>
  <c r="U27" i="10"/>
  <c r="P46" i="11"/>
  <c r="C31" i="10"/>
  <c r="J32" i="11"/>
  <c r="S31" i="11"/>
  <c r="M37" i="10"/>
  <c r="S22" i="9"/>
  <c r="G43" i="10"/>
  <c r="I5" i="10"/>
  <c r="M43" i="8"/>
  <c r="M37" i="8"/>
  <c r="L22" i="11"/>
  <c r="S13" i="11"/>
  <c r="D23" i="9"/>
  <c r="F7" i="9"/>
  <c r="I26" i="11"/>
  <c r="O38" i="8"/>
  <c r="L37" i="10"/>
  <c r="S46" i="10"/>
  <c r="T10" i="10"/>
  <c r="M42" i="9"/>
  <c r="T22" i="8"/>
  <c r="I45" i="10"/>
  <c r="E20" i="10"/>
  <c r="E8" i="8"/>
  <c r="U46" i="11"/>
  <c r="F14" i="9"/>
  <c r="T46" i="11"/>
  <c r="C26" i="8"/>
  <c r="J13" i="9"/>
  <c r="S33" i="10"/>
  <c r="R39" i="11"/>
  <c r="N9" i="8"/>
  <c r="K8" i="8"/>
  <c r="K30" i="8"/>
  <c r="G19" i="8"/>
  <c r="O13" i="10"/>
  <c r="S9" i="10"/>
  <c r="T26" i="8"/>
  <c r="K33" i="10"/>
  <c r="Q46" i="10"/>
  <c r="S31" i="10"/>
  <c r="G9" i="11"/>
  <c r="K23" i="8"/>
  <c r="T34" i="8"/>
  <c r="O22" i="11"/>
  <c r="C36" i="10"/>
  <c r="Q33" i="9"/>
  <c r="I42" i="9"/>
  <c r="M44" i="10"/>
  <c r="R4" i="9"/>
  <c r="I39" i="8"/>
  <c r="O42" i="10"/>
  <c r="L39" i="8"/>
  <c r="R12" i="10"/>
  <c r="G26" i="8"/>
  <c r="I44" i="8"/>
  <c r="M8" i="11"/>
  <c r="F32" i="8"/>
  <c r="K16" i="11"/>
  <c r="S33" i="9"/>
  <c r="L16" i="9"/>
  <c r="F26" i="9"/>
  <c r="H46" i="11"/>
  <c r="L15" i="11"/>
  <c r="T33" i="9"/>
  <c r="R43" i="10"/>
  <c r="N43" i="10"/>
  <c r="L39" i="11"/>
  <c r="N29" i="9"/>
  <c r="U16" i="8"/>
  <c r="Q26" i="11"/>
  <c r="D31" i="9"/>
  <c r="N3" i="11"/>
  <c r="C26" i="11"/>
  <c r="M12" i="10"/>
  <c r="D44" i="11"/>
  <c r="D6" i="8"/>
  <c r="O15" i="11"/>
  <c r="U36" i="9"/>
  <c r="D3" i="10"/>
  <c r="S8" i="8"/>
  <c r="D34" i="8"/>
  <c r="L41" i="8"/>
  <c r="D42" i="9"/>
  <c r="S40" i="10"/>
  <c r="R22" i="8"/>
  <c r="D7" i="10"/>
  <c r="I31" i="10"/>
  <c r="H41" i="10"/>
  <c r="N40" i="10"/>
  <c r="I5" i="9"/>
  <c r="K6" i="9"/>
  <c r="L33" i="9"/>
  <c r="H15" i="11"/>
  <c r="I13" i="8"/>
  <c r="R44" i="10"/>
  <c r="N36" i="9"/>
  <c r="G30" i="8"/>
  <c r="D26" i="11"/>
  <c r="R30" i="8"/>
  <c r="C36" i="8"/>
  <c r="D31" i="8"/>
  <c r="L43" i="9"/>
  <c r="P5" i="8"/>
  <c r="O37" i="10"/>
  <c r="I34" i="11"/>
  <c r="E21" i="9"/>
  <c r="H35" i="11"/>
  <c r="E39" i="8"/>
  <c r="N31" i="9"/>
  <c r="K14" i="8"/>
  <c r="I43" i="11"/>
  <c r="D13" i="10"/>
  <c r="L35" i="10"/>
  <c r="U30" i="11"/>
  <c r="I7" i="9"/>
  <c r="F12" i="9"/>
  <c r="S43" i="8"/>
  <c r="R45" i="9"/>
  <c r="O3" i="9"/>
  <c r="O40" i="11"/>
  <c r="L11" i="9"/>
  <c r="F18" i="8"/>
  <c r="G9" i="10"/>
  <c r="L18" i="8"/>
  <c r="E37" i="8"/>
  <c r="P17" i="10"/>
  <c r="R34" i="10"/>
  <c r="F45" i="11"/>
  <c r="I14" i="8"/>
  <c r="E12" i="11"/>
  <c r="J10" i="8"/>
  <c r="D29" i="8"/>
  <c r="T13" i="9"/>
  <c r="C35" i="8"/>
  <c r="Q13" i="8"/>
  <c r="I14" i="10"/>
  <c r="N6" i="9"/>
  <c r="G33" i="9"/>
  <c r="Q10" i="8"/>
  <c r="U17" i="8"/>
  <c r="R45" i="8"/>
  <c r="C45" i="8"/>
  <c r="D17" i="8"/>
  <c r="O14" i="9"/>
  <c r="J13" i="8"/>
  <c r="C9" i="8"/>
  <c r="R14" i="8"/>
  <c r="S45" i="8"/>
  <c r="R12" i="9"/>
  <c r="C29" i="10"/>
  <c r="N31" i="8"/>
  <c r="H19" i="8"/>
  <c r="R39" i="9"/>
  <c r="K14" i="11"/>
  <c r="U28" i="11"/>
  <c r="C46" i="8"/>
  <c r="E18" i="8"/>
  <c r="R11" i="10"/>
  <c r="T20" i="9"/>
  <c r="M3" i="8"/>
  <c r="N42" i="9"/>
  <c r="R46" i="11"/>
  <c r="U9" i="10"/>
  <c r="P38" i="9"/>
  <c r="R41" i="8"/>
  <c r="K36" i="9"/>
  <c r="N8" i="9"/>
  <c r="N20" i="10"/>
  <c r="I28" i="8"/>
  <c r="N17" i="11"/>
  <c r="K31" i="9"/>
  <c r="T5" i="10"/>
  <c r="C29" i="9"/>
  <c r="N17" i="9"/>
  <c r="K13" i="9"/>
  <c r="J36" i="10"/>
  <c r="M38" i="8"/>
  <c r="L30" i="8"/>
  <c r="J12" i="9"/>
  <c r="H12" i="9"/>
  <c r="I40" i="8"/>
  <c r="H23" i="11"/>
  <c r="K23" i="11"/>
  <c r="D19" i="9"/>
  <c r="E11" i="9"/>
  <c r="J46" i="8"/>
  <c r="T26" i="9"/>
  <c r="N8" i="11"/>
  <c r="U14" i="11"/>
  <c r="N21" i="9"/>
  <c r="J42" i="11"/>
  <c r="P30" i="9"/>
  <c r="J38" i="10"/>
  <c r="D39" i="9"/>
  <c r="T19" i="8"/>
  <c r="G42" i="8"/>
  <c r="H31" i="8"/>
  <c r="C3" i="9"/>
  <c r="F29" i="9"/>
  <c r="S7" i="9"/>
  <c r="D4" i="8"/>
  <c r="C10" i="8"/>
  <c r="R12" i="8"/>
  <c r="J32" i="8"/>
  <c r="N18" i="8"/>
  <c r="F34" i="10"/>
  <c r="N30" i="9"/>
  <c r="E40" i="8"/>
  <c r="H36" i="11"/>
  <c r="N18" i="11"/>
  <c r="L13" i="8"/>
  <c r="N41" i="9"/>
  <c r="E45" i="11"/>
  <c r="R17" i="9"/>
  <c r="I3" i="8"/>
  <c r="K17" i="10"/>
  <c r="F33" i="11"/>
  <c r="O43" i="11"/>
  <c r="G45" i="8"/>
  <c r="M9" i="8"/>
  <c r="H20" i="11"/>
  <c r="D43" i="11"/>
  <c r="M36" i="8"/>
  <c r="M4" i="11"/>
  <c r="H40" i="9"/>
  <c r="F44" i="8"/>
  <c r="I33" i="10"/>
  <c r="K37" i="10"/>
  <c r="E6" i="11"/>
  <c r="O32" i="9"/>
  <c r="K11" i="9"/>
  <c r="N40" i="8"/>
  <c r="D42" i="10"/>
  <c r="I20" i="9"/>
  <c r="Q39" i="10"/>
  <c r="P41" i="9"/>
  <c r="L21" i="8"/>
  <c r="N37" i="8"/>
  <c r="Q4" i="9"/>
  <c r="K40" i="8"/>
  <c r="Q38" i="8"/>
  <c r="S38" i="8"/>
  <c r="D22" i="9"/>
  <c r="M40" i="9"/>
  <c r="I23" i="9"/>
  <c r="F16" i="8"/>
  <c r="L21" i="11"/>
  <c r="O45" i="10"/>
  <c r="K28" i="8"/>
  <c r="M27" i="11"/>
  <c r="Q42" i="9"/>
  <c r="Q17" i="9"/>
  <c r="E5" i="11"/>
  <c r="M44" i="11"/>
  <c r="L42" i="10"/>
  <c r="H42" i="10"/>
  <c r="U37" i="11"/>
  <c r="E41" i="11"/>
  <c r="K30" i="9"/>
  <c r="H10" i="10"/>
  <c r="M13" i="10"/>
  <c r="D15" i="8"/>
  <c r="Q31" i="11"/>
  <c r="N42" i="8"/>
  <c r="P16" i="10"/>
  <c r="K34" i="8"/>
  <c r="U26" i="11"/>
  <c r="H42" i="9"/>
  <c r="I38" i="10"/>
  <c r="G20" i="9"/>
  <c r="S37" i="8"/>
  <c r="E42" i="10"/>
  <c r="N29" i="8"/>
  <c r="P13" i="8"/>
  <c r="T44" i="9"/>
  <c r="U17" i="11"/>
  <c r="K8" i="9"/>
  <c r="K35" i="10"/>
  <c r="D21" i="10"/>
  <c r="E23" i="10"/>
  <c r="H10" i="9"/>
  <c r="L14" i="11"/>
  <c r="P22" i="8"/>
  <c r="T14" i="9"/>
  <c r="H33" i="8"/>
  <c r="O30" i="9"/>
  <c r="S42" i="9"/>
  <c r="T29" i="11"/>
  <c r="F4" i="9"/>
  <c r="L44" i="10"/>
  <c r="J26" i="11"/>
  <c r="E46" i="9"/>
  <c r="O15" i="8"/>
  <c r="T14" i="11"/>
  <c r="R42" i="11"/>
  <c r="J20" i="10"/>
  <c r="T27" i="10"/>
  <c r="N28" i="10"/>
  <c r="L30" i="11"/>
  <c r="S7" i="10"/>
  <c r="N38" i="11"/>
  <c r="E19" i="9"/>
  <c r="N44" i="10"/>
  <c r="R45" i="11"/>
  <c r="L7" i="10"/>
  <c r="C37" i="11"/>
  <c r="P42" i="11"/>
  <c r="L40" i="8"/>
  <c r="L34" i="9"/>
  <c r="F19" i="10"/>
  <c r="O28" i="8"/>
  <c r="U12" i="10"/>
  <c r="H38" i="8"/>
  <c r="I10" i="8"/>
  <c r="J9" i="10"/>
  <c r="K4" i="9"/>
  <c r="U43" i="11"/>
  <c r="G27" i="10"/>
  <c r="U28" i="8"/>
  <c r="J19" i="10"/>
  <c r="G15" i="10"/>
  <c r="C8" i="9"/>
  <c r="U14" i="10"/>
  <c r="T18" i="11"/>
  <c r="D34" i="10"/>
  <c r="Q27" i="9"/>
  <c r="R35" i="11"/>
  <c r="O44" i="9"/>
  <c r="S21" i="8"/>
  <c r="F43" i="10"/>
  <c r="I34" i="9"/>
  <c r="U15" i="8"/>
  <c r="I40" i="11"/>
  <c r="D40" i="8"/>
  <c r="P39" i="11"/>
  <c r="G26" i="9"/>
  <c r="N31" i="11"/>
  <c r="E12" i="10"/>
  <c r="F30" i="11"/>
  <c r="O32" i="8"/>
  <c r="D34" i="9"/>
  <c r="E41" i="9"/>
  <c r="M41" i="11"/>
  <c r="G26" i="10"/>
  <c r="N15" i="10"/>
  <c r="Q22" i="10"/>
  <c r="S23" i="10"/>
  <c r="S8" i="9"/>
  <c r="D16" i="11"/>
  <c r="D44" i="10"/>
  <c r="G12" i="8"/>
  <c r="N10" i="10"/>
  <c r="F31" i="9"/>
  <c r="R10" i="8"/>
  <c r="T11" i="8"/>
  <c r="H27" i="8"/>
  <c r="L46" i="9"/>
  <c r="N7" i="11"/>
  <c r="K26" i="11"/>
  <c r="I31" i="9"/>
  <c r="Q12" i="11"/>
  <c r="R6" i="10"/>
  <c r="M4" i="8"/>
  <c r="L20" i="8"/>
  <c r="L45" i="8"/>
  <c r="M46" i="8"/>
  <c r="T43" i="10"/>
  <c r="J14" i="9"/>
  <c r="N20" i="8"/>
  <c r="E39" i="10"/>
  <c r="K29" i="11"/>
  <c r="N44" i="11"/>
  <c r="J9" i="9"/>
  <c r="N28" i="11"/>
  <c r="M12" i="8"/>
  <c r="D38" i="8"/>
  <c r="D43" i="8"/>
  <c r="P35" i="11"/>
  <c r="M4" i="9"/>
  <c r="D11" i="9"/>
  <c r="H4" i="8"/>
  <c r="T13" i="10"/>
  <c r="S36" i="11"/>
  <c r="G29" i="8"/>
  <c r="M7" i="10"/>
  <c r="T16" i="8"/>
  <c r="G39" i="8"/>
  <c r="D26" i="8"/>
  <c r="C38" i="8"/>
  <c r="L29" i="8"/>
  <c r="Q6" i="8"/>
  <c r="K43" i="8"/>
  <c r="E6" i="10"/>
  <c r="R43" i="8"/>
  <c r="J45" i="8"/>
  <c r="R44" i="8"/>
  <c r="C38" i="9"/>
  <c r="C22" i="10"/>
  <c r="P34" i="9"/>
  <c r="O18" i="11"/>
  <c r="U10" i="8"/>
  <c r="U40" i="11"/>
  <c r="G3" i="11"/>
  <c r="I15" i="10"/>
  <c r="R11" i="9"/>
  <c r="F18" i="9"/>
  <c r="K4" i="11"/>
  <c r="M20" i="11"/>
  <c r="U3" i="8"/>
  <c r="L32" i="11"/>
  <c r="F9" i="9"/>
  <c r="T46" i="8"/>
  <c r="J8" i="8"/>
  <c r="U11" i="9"/>
  <c r="M29" i="9"/>
  <c r="J8" i="9"/>
  <c r="E22" i="9"/>
  <c r="C45" i="9"/>
  <c r="F15" i="9"/>
  <c r="G36" i="10"/>
  <c r="L3" i="8"/>
  <c r="L32" i="8"/>
  <c r="E4" i="8"/>
  <c r="I42" i="8"/>
  <c r="D7" i="9"/>
  <c r="C10" i="10"/>
  <c r="G32" i="9"/>
  <c r="O10" i="11"/>
  <c r="K39" i="10"/>
  <c r="I31" i="11"/>
  <c r="T17" i="9"/>
  <c r="F17" i="8"/>
  <c r="K7" i="10"/>
  <c r="E4" i="9"/>
  <c r="Q27" i="10"/>
  <c r="C40" i="8"/>
  <c r="I8" i="9"/>
  <c r="J18" i="9"/>
  <c r="F18" i="11"/>
  <c r="N26" i="9"/>
  <c r="O30" i="8"/>
  <c r="N23" i="8"/>
  <c r="K45" i="8"/>
  <c r="E23" i="8"/>
  <c r="T20" i="10"/>
  <c r="R8" i="8"/>
  <c r="M6" i="11"/>
  <c r="D39" i="8"/>
  <c r="P7" i="8"/>
  <c r="J4" i="8"/>
  <c r="K42" i="9"/>
  <c r="H32" i="11"/>
  <c r="U11" i="10"/>
  <c r="N19" i="8"/>
  <c r="C20" i="10"/>
  <c r="H30" i="10"/>
  <c r="E15" i="11"/>
  <c r="O43" i="9"/>
  <c r="P23" i="9"/>
  <c r="J28" i="8"/>
  <c r="J29" i="10"/>
  <c r="P37" i="9"/>
  <c r="H26" i="10"/>
  <c r="F45" i="9"/>
  <c r="M5" i="9"/>
  <c r="I23" i="11"/>
  <c r="Q43" i="8"/>
  <c r="K42" i="8"/>
  <c r="R7" i="9"/>
  <c r="K31" i="10"/>
  <c r="N32" i="9"/>
  <c r="P12" i="8"/>
  <c r="E45" i="9"/>
  <c r="N22" i="9"/>
  <c r="H15" i="8"/>
  <c r="U7" i="9"/>
  <c r="M32" i="8"/>
  <c r="H35" i="10"/>
  <c r="K39" i="9"/>
  <c r="I7" i="10"/>
  <c r="I35" i="10"/>
  <c r="K34" i="11"/>
  <c r="E12" i="8"/>
  <c r="C46" i="9"/>
  <c r="F20" i="10"/>
  <c r="L43" i="11"/>
  <c r="R19" i="9"/>
  <c r="T3" i="9"/>
  <c r="O14" i="11"/>
  <c r="R29" i="8"/>
  <c r="H13" i="9"/>
  <c r="M26" i="9"/>
  <c r="F31" i="8"/>
  <c r="O44" i="8"/>
  <c r="M27" i="8"/>
  <c r="T21" i="8"/>
  <c r="Q22" i="11"/>
  <c r="L27" i="11"/>
  <c r="N9" i="9"/>
  <c r="M20" i="8"/>
  <c r="C33" i="9"/>
  <c r="N36" i="11"/>
  <c r="E22" i="11"/>
  <c r="S46" i="9"/>
  <c r="N7" i="8"/>
  <c r="C18" i="9"/>
  <c r="Q31" i="8"/>
  <c r="L45" i="9"/>
  <c r="Q33" i="11"/>
  <c r="I5" i="8"/>
  <c r="Q20" i="8"/>
  <c r="D5" i="8"/>
  <c r="G14" i="8"/>
  <c r="Q37" i="9"/>
  <c r="P41" i="11"/>
  <c r="M8" i="9"/>
  <c r="I21" i="8"/>
  <c r="G37" i="8"/>
  <c r="E3" i="9"/>
  <c r="E28" i="9"/>
  <c r="R30" i="9"/>
  <c r="L31" i="9"/>
  <c r="N4" i="9"/>
  <c r="I21" i="9"/>
  <c r="G3" i="8"/>
  <c r="J33" i="9"/>
  <c r="U34" i="8"/>
  <c r="N6" i="8"/>
  <c r="F29" i="10"/>
  <c r="S34" i="10"/>
  <c r="S11" i="8"/>
  <c r="S6" i="8"/>
  <c r="D3" i="9"/>
  <c r="O8" i="8"/>
  <c r="D36" i="11"/>
  <c r="H21" i="11"/>
  <c r="K38" i="11"/>
  <c r="P11" i="9"/>
  <c r="S27" i="10"/>
  <c r="I9" i="8"/>
  <c r="S10" i="8"/>
  <c r="J38" i="8"/>
  <c r="M36" i="11"/>
  <c r="S8" i="11"/>
  <c r="P39" i="8"/>
  <c r="N12" i="11"/>
  <c r="P14" i="11"/>
  <c r="H3" i="11"/>
  <c r="D26" i="9"/>
  <c r="M28" i="9"/>
  <c r="M3" i="11"/>
  <c r="E19" i="8"/>
  <c r="M33" i="9"/>
  <c r="L18" i="10"/>
  <c r="S20" i="10"/>
  <c r="S15" i="10"/>
  <c r="G11" i="10"/>
  <c r="Q39" i="9"/>
  <c r="M43" i="11"/>
  <c r="R6" i="9"/>
  <c r="C11" i="9"/>
  <c r="G4" i="11"/>
  <c r="U42" i="10"/>
  <c r="N44" i="8"/>
  <c r="L36" i="9"/>
  <c r="M17" i="8"/>
  <c r="T46" i="9"/>
  <c r="F30" i="9"/>
  <c r="U37" i="9"/>
  <c r="P18" i="9"/>
  <c r="U33" i="8"/>
  <c r="S12" i="8"/>
  <c r="S29" i="11"/>
  <c r="F10" i="11"/>
  <c r="M23" i="11"/>
  <c r="P37" i="8"/>
  <c r="S11" i="10"/>
  <c r="O37" i="8"/>
  <c r="D19" i="8"/>
  <c r="Q41" i="11"/>
  <c r="D32" i="10"/>
  <c r="M36" i="9"/>
  <c r="G37" i="9"/>
  <c r="M32" i="10"/>
  <c r="U43" i="9"/>
  <c r="M45" i="8"/>
  <c r="Q27" i="8"/>
  <c r="Q19" i="9"/>
  <c r="F40" i="8"/>
  <c r="P7" i="10"/>
  <c r="T19" i="11"/>
  <c r="H9" i="10"/>
  <c r="O27" i="9"/>
  <c r="C20" i="8"/>
  <c r="P43" i="8"/>
  <c r="C22" i="9"/>
  <c r="L3" i="9"/>
  <c r="F26" i="10"/>
  <c r="R36" i="8"/>
  <c r="F23" i="9"/>
  <c r="P19" i="11"/>
  <c r="J12" i="8"/>
  <c r="U3" i="10"/>
  <c r="U10" i="10"/>
  <c r="F27" i="10"/>
  <c r="S28" i="8"/>
  <c r="F39" i="8"/>
  <c r="S45" i="9"/>
  <c r="K45" i="11"/>
  <c r="C21" i="8"/>
  <c r="G41" i="10"/>
  <c r="E18" i="10"/>
  <c r="U21" i="8"/>
  <c r="K46" i="10"/>
  <c r="O41" i="9"/>
  <c r="I43" i="9"/>
  <c r="Q21" i="9"/>
  <c r="H14" i="11"/>
  <c r="D19" i="11"/>
  <c r="E23" i="9"/>
  <c r="H5" i="10"/>
  <c r="U39" i="9"/>
  <c r="J33" i="10"/>
  <c r="Q44" i="10"/>
  <c r="U42" i="9"/>
  <c r="I20" i="8"/>
  <c r="S7" i="11"/>
  <c r="C4" i="10"/>
  <c r="J10" i="10"/>
  <c r="E44" i="9"/>
  <c r="O22" i="8"/>
  <c r="K10" i="10"/>
  <c r="J36" i="8"/>
  <c r="L28" i="8"/>
  <c r="C19" i="8"/>
  <c r="D37" i="9"/>
  <c r="K11" i="8"/>
  <c r="G34" i="8"/>
  <c r="S45" i="10"/>
  <c r="O20" i="9"/>
  <c r="M4" i="10"/>
  <c r="T18" i="9"/>
  <c r="I15" i="9"/>
  <c r="K36" i="10"/>
  <c r="D39" i="10"/>
  <c r="U36" i="10"/>
  <c r="I32" i="9"/>
  <c r="E7" i="9"/>
  <c r="E13" i="8"/>
  <c r="M26" i="11"/>
  <c r="E37" i="9"/>
  <c r="C6" i="10"/>
  <c r="I33" i="8"/>
  <c r="F10" i="8"/>
  <c r="L35" i="8"/>
  <c r="H21" i="9"/>
  <c r="J38" i="9"/>
  <c r="D15" i="10"/>
  <c r="Q5" i="10"/>
  <c r="N11" i="9"/>
  <c r="K9" i="10"/>
  <c r="T21" i="11"/>
  <c r="I13" i="10"/>
  <c r="T12" i="8"/>
  <c r="N32" i="10"/>
  <c r="O46" i="9"/>
  <c r="N36" i="10"/>
  <c r="F39" i="10"/>
  <c r="Q14" i="8"/>
  <c r="G17" i="10"/>
  <c r="O44" i="11"/>
  <c r="E14" i="11"/>
  <c r="J21" i="11"/>
  <c r="H29" i="9"/>
  <c r="G44" i="11"/>
  <c r="C39" i="8"/>
  <c r="R7" i="11"/>
  <c r="H36" i="9"/>
  <c r="P8" i="10"/>
  <c r="L28" i="10"/>
  <c r="O6" i="11"/>
  <c r="M21" i="9"/>
  <c r="H46" i="8"/>
  <c r="C17" i="10"/>
  <c r="D8" i="10"/>
  <c r="P9" i="8"/>
  <c r="T39" i="9"/>
  <c r="H16" i="9"/>
  <c r="C30" i="8"/>
  <c r="N10" i="8"/>
  <c r="G22" i="8"/>
  <c r="J46" i="10"/>
  <c r="S39" i="11"/>
  <c r="O41" i="8"/>
  <c r="P36" i="8"/>
  <c r="J18" i="8"/>
  <c r="T43" i="8"/>
  <c r="T40" i="10"/>
  <c r="L23" i="8"/>
  <c r="U38" i="9"/>
  <c r="P4" i="9"/>
  <c r="L38" i="8"/>
  <c r="R30" i="11"/>
  <c r="D36" i="10"/>
  <c r="I30" i="11"/>
  <c r="T37" i="10"/>
  <c r="Q35" i="9"/>
  <c r="P5" i="10"/>
  <c r="U19" i="8"/>
  <c r="Q28" i="10"/>
  <c r="K6" i="11"/>
  <c r="D11" i="8"/>
  <c r="P32" i="11"/>
  <c r="P26" i="8"/>
  <c r="F16" i="10"/>
  <c r="T23" i="9"/>
  <c r="K15" i="11"/>
  <c r="J31" i="11"/>
  <c r="S33" i="8"/>
  <c r="D6" i="11"/>
  <c r="U41" i="8"/>
  <c r="Q32" i="8"/>
  <c r="M39" i="11"/>
  <c r="L42" i="9"/>
  <c r="J4" i="10"/>
  <c r="S32" i="10"/>
  <c r="U34" i="9"/>
  <c r="U13" i="9"/>
  <c r="Q7" i="9"/>
  <c r="Q13" i="10"/>
  <c r="I27" i="8"/>
  <c r="F35" i="11"/>
  <c r="E32" i="8"/>
  <c r="H3" i="10"/>
  <c r="S43" i="11"/>
  <c r="S21" i="9"/>
  <c r="N33" i="11"/>
  <c r="I30" i="10"/>
  <c r="G32" i="8"/>
  <c r="U46" i="8"/>
  <c r="K8" i="10"/>
  <c r="Q44" i="8"/>
  <c r="E27" i="11"/>
  <c r="C11" i="11"/>
  <c r="M28" i="8"/>
  <c r="U40" i="8"/>
  <c r="J44" i="11"/>
  <c r="F19" i="8"/>
  <c r="C22" i="8"/>
  <c r="H31" i="11"/>
  <c r="D10" i="10"/>
  <c r="M8" i="10"/>
  <c r="Q26" i="9"/>
  <c r="M28" i="10"/>
  <c r="I26" i="8"/>
  <c r="J5" i="10"/>
  <c r="G14" i="11"/>
  <c r="E43" i="9"/>
  <c r="I7" i="11"/>
  <c r="K18" i="9"/>
  <c r="R22" i="9"/>
  <c r="F20" i="11"/>
  <c r="I46" i="11"/>
  <c r="H17" i="10"/>
  <c r="S12" i="9"/>
  <c r="S35" i="10"/>
  <c r="J15" i="9"/>
  <c r="I4" i="10"/>
  <c r="F4" i="10"/>
  <c r="P38" i="8"/>
  <c r="J40" i="8"/>
  <c r="G36" i="9"/>
  <c r="H17" i="8"/>
  <c r="N15" i="8"/>
  <c r="R44" i="9"/>
  <c r="O43" i="10"/>
  <c r="H19" i="10"/>
  <c r="O23" i="8"/>
  <c r="F45" i="10"/>
  <c r="S38" i="9"/>
  <c r="R41" i="11"/>
  <c r="O34" i="11"/>
  <c r="G35" i="9"/>
  <c r="K6" i="10"/>
  <c r="O36" i="10"/>
  <c r="Q11" i="11"/>
  <c r="G9" i="9"/>
  <c r="E11" i="11"/>
  <c r="J5" i="8"/>
  <c r="D21" i="8"/>
  <c r="N43" i="9"/>
  <c r="L6" i="11"/>
  <c r="N17" i="8"/>
  <c r="M6" i="8"/>
  <c r="Q33" i="8"/>
  <c r="K10" i="9"/>
  <c r="S19" i="11"/>
  <c r="P28" i="9"/>
  <c r="H43" i="8"/>
  <c r="C43" i="9"/>
  <c r="P40" i="11"/>
  <c r="T8" i="11"/>
  <c r="N45" i="9"/>
  <c r="N14" i="8"/>
  <c r="K10" i="8"/>
  <c r="U19" i="9"/>
  <c r="M42" i="11"/>
  <c r="G10" i="11"/>
  <c r="S36" i="9"/>
  <c r="U28" i="10"/>
  <c r="R28" i="8"/>
  <c r="M3" i="9"/>
  <c r="N33" i="8"/>
  <c r="M45" i="9"/>
  <c r="M28" i="11"/>
  <c r="K43" i="11"/>
  <c r="I45" i="11"/>
  <c r="L43" i="8"/>
  <c r="Q3" i="9"/>
  <c r="C12" i="9"/>
  <c r="H22" i="8"/>
  <c r="K14" i="9"/>
  <c r="G33" i="11"/>
  <c r="E19" i="10"/>
  <c r="K3" i="9"/>
  <c r="E42" i="9"/>
  <c r="O27" i="10"/>
  <c r="I4" i="11"/>
  <c r="H27" i="9"/>
  <c r="F29" i="8"/>
  <c r="P21" i="10"/>
  <c r="U20" i="10"/>
  <c r="J39" i="10"/>
  <c r="P28" i="10"/>
  <c r="S10" i="9"/>
  <c r="U37" i="8"/>
  <c r="E46" i="8"/>
  <c r="K5" i="10"/>
  <c r="N11" i="11"/>
  <c r="U42" i="8"/>
  <c r="E8" i="9"/>
  <c r="N37" i="9"/>
  <c r="F7" i="8"/>
  <c r="O13" i="9"/>
  <c r="U32" i="11"/>
  <c r="F32" i="9"/>
  <c r="H22" i="10"/>
  <c r="Q6" i="9"/>
  <c r="O41" i="11"/>
  <c r="R11" i="8"/>
  <c r="P3" i="9"/>
  <c r="J21" i="8"/>
  <c r="S19" i="8"/>
  <c r="L11" i="8"/>
  <c r="K21" i="9"/>
  <c r="H18" i="9"/>
  <c r="J11" i="8"/>
  <c r="H6" i="10"/>
  <c r="E15" i="10"/>
  <c r="F14" i="8"/>
  <c r="T36" i="8"/>
  <c r="P35" i="9"/>
  <c r="Q26" i="8"/>
  <c r="U4" i="9"/>
  <c r="S10" i="10"/>
  <c r="Q18" i="10"/>
  <c r="F44" i="9"/>
  <c r="H44" i="11"/>
  <c r="H13" i="10"/>
  <c r="R13" i="9"/>
  <c r="D9" i="10"/>
  <c r="R20" i="9"/>
  <c r="T31" i="9"/>
  <c r="J14" i="11"/>
  <c r="K15" i="8"/>
  <c r="F34" i="9"/>
  <c r="S39" i="8"/>
  <c r="R26" i="8"/>
  <c r="L22" i="9"/>
  <c r="J42" i="9"/>
  <c r="P12" i="9"/>
  <c r="O19" i="9"/>
  <c r="N22" i="11"/>
  <c r="E17" i="8"/>
  <c r="N39" i="11"/>
  <c r="N4" i="11"/>
  <c r="S23" i="8"/>
  <c r="S9" i="9"/>
  <c r="L32" i="10"/>
  <c r="U6" i="10"/>
  <c r="H28" i="10"/>
  <c r="J20" i="8"/>
  <c r="I4" i="9"/>
  <c r="F38" i="10"/>
  <c r="U31" i="8"/>
  <c r="R31" i="11"/>
  <c r="O40" i="8"/>
  <c r="J18" i="10"/>
  <c r="K19" i="9"/>
  <c r="L16" i="11"/>
  <c r="U5" i="9"/>
  <c r="H45" i="11"/>
  <c r="Q36" i="8"/>
  <c r="T39" i="10"/>
  <c r="H22" i="9"/>
  <c r="Q21" i="8"/>
  <c r="M39" i="9"/>
  <c r="H7" i="11"/>
  <c r="I17" i="9"/>
  <c r="S21" i="10"/>
  <c r="Q15" i="8"/>
  <c r="S44" i="8"/>
  <c r="M5" i="11"/>
  <c r="S26" i="9"/>
  <c r="J41" i="10"/>
  <c r="J37" i="10"/>
  <c r="G12" i="9"/>
  <c r="E32" i="9"/>
  <c r="T9" i="8"/>
  <c r="G8" i="9"/>
  <c r="G46" i="8"/>
  <c r="U45" i="8"/>
  <c r="D26" i="10"/>
  <c r="P16" i="8"/>
  <c r="N21" i="8"/>
  <c r="I30" i="9"/>
  <c r="J22" i="8"/>
  <c r="U20" i="9"/>
  <c r="T30" i="9"/>
  <c r="T23" i="8"/>
  <c r="H37" i="8"/>
  <c r="F11" i="9"/>
  <c r="D28" i="8"/>
  <c r="P38" i="10"/>
  <c r="D37" i="8"/>
  <c r="J7" i="10"/>
  <c r="U9" i="9"/>
  <c r="L9" i="9"/>
  <c r="C27" i="9"/>
  <c r="O17" i="9"/>
  <c r="P14" i="10"/>
  <c r="S29" i="10"/>
  <c r="L15" i="9"/>
  <c r="O18" i="9"/>
  <c r="L38" i="9"/>
  <c r="O16" i="9"/>
  <c r="S29" i="8"/>
  <c r="D33" i="10"/>
  <c r="E5" i="10"/>
  <c r="C31" i="9"/>
  <c r="J41" i="8"/>
  <c r="E11" i="8"/>
  <c r="K7" i="11"/>
  <c r="G29" i="10"/>
  <c r="I17" i="8"/>
  <c r="M40" i="8"/>
  <c r="H16" i="8"/>
  <c r="U46" i="9"/>
  <c r="L19" i="11"/>
  <c r="U20" i="8"/>
  <c r="E8" i="11"/>
  <c r="E3" i="10"/>
  <c r="M17" i="9"/>
  <c r="E26" i="8"/>
  <c r="E33" i="10"/>
  <c r="Q45" i="11"/>
  <c r="D4" i="11"/>
  <c r="P11" i="10"/>
  <c r="P26" i="9"/>
  <c r="F4" i="11"/>
  <c r="C4" i="8"/>
  <c r="T10" i="8"/>
  <c r="L35" i="11"/>
  <c r="R35" i="8"/>
  <c r="O40" i="9"/>
  <c r="I28" i="11"/>
  <c r="E36" i="11"/>
  <c r="C40" i="9"/>
  <c r="Q12" i="8"/>
  <c r="C4" i="9"/>
  <c r="F28" i="11"/>
  <c r="D13" i="9"/>
  <c r="S14" i="8"/>
  <c r="M15" i="8"/>
  <c r="L12" i="8"/>
  <c r="D6" i="9"/>
  <c r="R33" i="10"/>
  <c r="F9" i="10"/>
  <c r="L16" i="10"/>
  <c r="K22" i="9"/>
  <c r="I27" i="10"/>
  <c r="C13" i="9"/>
  <c r="P6" i="10"/>
  <c r="I23" i="8"/>
  <c r="L4" i="8"/>
  <c r="K30" i="11"/>
  <c r="L36" i="8"/>
  <c r="H41" i="8"/>
  <c r="H34" i="10"/>
  <c r="K18" i="8"/>
  <c r="R42" i="8"/>
  <c r="E10" i="11"/>
  <c r="L40" i="9"/>
  <c r="D31" i="11"/>
  <c r="P3" i="10"/>
  <c r="F28" i="8"/>
  <c r="P39" i="9"/>
  <c r="N42" i="10"/>
  <c r="O22" i="9"/>
  <c r="J40" i="9"/>
  <c r="O38" i="9"/>
  <c r="P11" i="8"/>
  <c r="Q7" i="8"/>
  <c r="S14" i="9"/>
  <c r="M39" i="8"/>
  <c r="K45" i="10"/>
  <c r="E36" i="9"/>
  <c r="P20" i="9"/>
  <c r="J32" i="9"/>
  <c r="F12" i="8"/>
  <c r="D32" i="8"/>
  <c r="P15" i="8"/>
  <c r="H7" i="8"/>
  <c r="L34" i="8"/>
  <c r="C11" i="8"/>
  <c r="P40" i="8"/>
  <c r="N43" i="11"/>
  <c r="U5" i="11"/>
  <c r="S35" i="9"/>
  <c r="D40" i="10"/>
  <c r="E9" i="10"/>
  <c r="J40" i="10"/>
  <c r="S15" i="8"/>
  <c r="K36" i="8"/>
  <c r="U38" i="10"/>
  <c r="E10" i="10"/>
  <c r="L19" i="10"/>
  <c r="C40" i="11"/>
  <c r="P27" i="9"/>
  <c r="Q44" i="9"/>
  <c r="N35" i="11"/>
  <c r="P42" i="8"/>
  <c r="L46" i="10"/>
  <c r="C5" i="9"/>
  <c r="N12" i="10"/>
  <c r="Q35" i="8"/>
  <c r="I41" i="11"/>
  <c r="O9" i="9"/>
  <c r="L19" i="9"/>
  <c r="Q34" i="9"/>
  <c r="G13" i="10"/>
  <c r="R36" i="9"/>
  <c r="D22" i="10"/>
  <c r="E41" i="8"/>
  <c r="U30" i="8"/>
  <c r="P31" i="9"/>
  <c r="G45" i="9"/>
  <c r="C12" i="8"/>
  <c r="K27" i="10"/>
  <c r="H39" i="8"/>
  <c r="S14" i="10"/>
  <c r="M15" i="11"/>
  <c r="O11" i="8"/>
  <c r="P44" i="9"/>
  <c r="C44" i="10"/>
  <c r="Q40" i="9"/>
  <c r="Q14" i="9"/>
  <c r="G18" i="10"/>
  <c r="K28" i="9"/>
  <c r="E18" i="11"/>
  <c r="J31" i="9"/>
  <c r="U8" i="9"/>
  <c r="R3" i="8"/>
  <c r="M9" i="11"/>
  <c r="O6" i="8"/>
  <c r="E21" i="8"/>
  <c r="J14" i="8"/>
  <c r="I15" i="8"/>
  <c r="T27" i="9"/>
  <c r="H42" i="11"/>
  <c r="O15" i="10"/>
  <c r="U27" i="9"/>
  <c r="D6" i="10"/>
  <c r="R10" i="11"/>
  <c r="T6" i="8"/>
  <c r="M16" i="8"/>
  <c r="G31" i="9"/>
  <c r="K39" i="11"/>
  <c r="J3" i="10"/>
  <c r="N26" i="11"/>
  <c r="E17" i="9"/>
  <c r="F19" i="9"/>
  <c r="M22" i="8"/>
  <c r="F14" i="11"/>
  <c r="L18" i="9"/>
  <c r="F27" i="8"/>
  <c r="S28" i="9"/>
  <c r="M34" i="10"/>
  <c r="U43" i="8"/>
  <c r="L15" i="8"/>
  <c r="S26" i="8"/>
  <c r="G16" i="11"/>
  <c r="C6" i="8"/>
  <c r="L37" i="8"/>
  <c r="L28" i="9"/>
  <c r="R4" i="8"/>
  <c r="P20" i="8"/>
  <c r="U27" i="11"/>
  <c r="R31" i="8"/>
  <c r="O4" i="9"/>
  <c r="R5" i="9"/>
  <c r="K29" i="8"/>
  <c r="F21" i="8"/>
  <c r="Q22" i="8"/>
  <c r="I19" i="3"/>
  <c r="E10" i="3"/>
  <c r="D16" i="3"/>
  <c r="U20" i="3"/>
  <c r="L71" i="3"/>
  <c r="S21" i="3"/>
  <c r="N76" i="3"/>
  <c r="E66" i="3"/>
  <c r="C16" i="3"/>
  <c r="F61" i="3"/>
  <c r="T62" i="3"/>
  <c r="H64" i="3"/>
  <c r="D22" i="3"/>
  <c r="P13" i="3"/>
  <c r="N17" i="3"/>
  <c r="T21" i="3"/>
  <c r="M23" i="3"/>
  <c r="S14" i="3"/>
  <c r="T75" i="3"/>
  <c r="N77" i="3"/>
  <c r="L14" i="3"/>
  <c r="K60" i="3"/>
  <c r="G12" i="3"/>
  <c r="J13" i="3"/>
  <c r="I66" i="3"/>
  <c r="R67" i="3"/>
  <c r="G73" i="3"/>
  <c r="F70" i="3"/>
  <c r="I6" i="3"/>
  <c r="K15" i="3"/>
  <c r="C3" i="3"/>
  <c r="R77" i="3"/>
  <c r="K6" i="3"/>
  <c r="F63" i="3"/>
  <c r="D75" i="3"/>
  <c r="U3" i="3"/>
  <c r="J68" i="3"/>
  <c r="G67" i="3"/>
  <c r="O22" i="3"/>
  <c r="M8" i="3"/>
  <c r="S7" i="3"/>
  <c r="Q16" i="3"/>
  <c r="O63" i="3"/>
  <c r="G66" i="3"/>
  <c r="H7" i="3"/>
  <c r="O61" i="3"/>
  <c r="C9" i="3"/>
  <c r="N70" i="3"/>
  <c r="E67" i="3"/>
  <c r="T14" i="3"/>
  <c r="F17" i="3"/>
  <c r="D74" i="3"/>
  <c r="R3" i="3"/>
  <c r="T22" i="3"/>
  <c r="I10" i="3"/>
  <c r="H20" i="3"/>
  <c r="G20" i="3"/>
  <c r="H8" i="3"/>
  <c r="M3" i="3"/>
  <c r="O19" i="3"/>
  <c r="I60" i="3"/>
  <c r="Q60" i="3"/>
  <c r="G23" i="3"/>
  <c r="O23" i="3"/>
  <c r="S20" i="3"/>
  <c r="K76" i="3"/>
  <c r="U63" i="3"/>
  <c r="R65" i="3"/>
  <c r="M21" i="3"/>
  <c r="N61" i="3"/>
  <c r="R9" i="3"/>
  <c r="P7" i="3"/>
  <c r="H15" i="3"/>
  <c r="M68" i="3"/>
  <c r="M7" i="3"/>
  <c r="F74" i="3"/>
  <c r="G15" i="3"/>
  <c r="Q6" i="3"/>
  <c r="F68" i="3"/>
  <c r="H23" i="3"/>
  <c r="G3" i="3"/>
  <c r="F58" i="3"/>
  <c r="G59" i="3"/>
  <c r="Q23" i="3"/>
  <c r="U12" i="3"/>
  <c r="C15" i="3"/>
  <c r="M61" i="3"/>
  <c r="P4" i="3"/>
  <c r="R5" i="3"/>
  <c r="E73" i="3"/>
  <c r="O11" i="3"/>
  <c r="F21" i="3"/>
  <c r="R72" i="3"/>
  <c r="C12" i="3"/>
  <c r="N66" i="3"/>
  <c r="I8" i="3"/>
  <c r="D62" i="3"/>
  <c r="I64" i="3"/>
  <c r="J16" i="3"/>
  <c r="U77" i="3"/>
  <c r="E69" i="3"/>
  <c r="R75" i="3"/>
  <c r="F4" i="3"/>
  <c r="P70" i="3"/>
  <c r="D14" i="3"/>
  <c r="L8" i="3"/>
  <c r="F67" i="3"/>
  <c r="T13" i="3"/>
  <c r="Q8" i="3"/>
  <c r="R68" i="3"/>
  <c r="U65" i="3"/>
  <c r="E16" i="3"/>
  <c r="P18" i="3"/>
  <c r="U69" i="3"/>
  <c r="N12" i="3"/>
  <c r="R76" i="3"/>
  <c r="H16" i="3"/>
  <c r="C58" i="3"/>
  <c r="I73" i="3"/>
  <c r="G63" i="3"/>
  <c r="F6" i="3"/>
  <c r="Q64" i="3"/>
  <c r="F71" i="3"/>
  <c r="L76" i="3"/>
  <c r="D63" i="3"/>
  <c r="M74" i="3"/>
  <c r="J4" i="3"/>
  <c r="L3" i="3"/>
  <c r="M73" i="3"/>
  <c r="H77" i="3"/>
  <c r="D72" i="3"/>
  <c r="H72" i="3"/>
  <c r="S5" i="3"/>
  <c r="E7" i="3"/>
  <c r="D76" i="3"/>
  <c r="K64" i="3"/>
  <c r="M16" i="3"/>
  <c r="H75" i="3"/>
  <c r="K75" i="3"/>
  <c r="Q72" i="3"/>
  <c r="C8" i="3"/>
  <c r="M6" i="3"/>
  <c r="G21" i="3"/>
  <c r="J70" i="3"/>
  <c r="M11" i="3"/>
  <c r="G9" i="3"/>
  <c r="D21" i="3"/>
  <c r="G62" i="3"/>
  <c r="T69" i="3"/>
  <c r="J65" i="3"/>
  <c r="C4" i="3"/>
  <c r="L19" i="3"/>
  <c r="S22" i="3"/>
  <c r="E17" i="3"/>
  <c r="M70" i="3"/>
  <c r="F16" i="3"/>
  <c r="F15" i="3"/>
  <c r="U62" i="3"/>
  <c r="R58" i="3"/>
  <c r="P3" i="3"/>
  <c r="L77" i="3"/>
  <c r="T61" i="3"/>
  <c r="S11" i="3"/>
  <c r="K17" i="3"/>
  <c r="C20" i="3"/>
  <c r="P75" i="3"/>
  <c r="H18" i="3"/>
  <c r="T19" i="3"/>
  <c r="S74" i="3"/>
  <c r="I9" i="3"/>
  <c r="C60" i="3"/>
  <c r="Q15" i="3"/>
  <c r="L58" i="3"/>
  <c r="J67" i="3"/>
  <c r="J76" i="3"/>
  <c r="D58" i="3"/>
  <c r="P74" i="3"/>
  <c r="C64" i="3"/>
  <c r="F10" i="3"/>
  <c r="H62" i="3"/>
  <c r="U72" i="3"/>
  <c r="J72" i="3"/>
  <c r="L68" i="3"/>
  <c r="U6" i="3"/>
  <c r="Q4" i="3"/>
  <c r="O8" i="3"/>
  <c r="F72" i="3"/>
  <c r="N13" i="3"/>
  <c r="H69" i="3"/>
  <c r="S77" i="3"/>
  <c r="G19" i="3"/>
  <c r="D10" i="3"/>
  <c r="G76" i="3"/>
  <c r="L12" i="3"/>
  <c r="C14" i="3"/>
  <c r="T3" i="3"/>
  <c r="D17" i="3"/>
  <c r="E58" i="3"/>
  <c r="O70" i="3"/>
  <c r="K61" i="3"/>
  <c r="H21" i="3"/>
  <c r="Q75" i="3"/>
  <c r="M65" i="3"/>
  <c r="N64" i="3"/>
  <c r="Q76" i="3"/>
  <c r="D67" i="3"/>
  <c r="E9" i="3"/>
  <c r="O12" i="3"/>
  <c r="C76" i="3"/>
  <c r="J18" i="3"/>
  <c r="N14" i="3"/>
  <c r="N4" i="3"/>
  <c r="T20" i="3"/>
  <c r="M62" i="3"/>
  <c r="J66" i="3"/>
  <c r="P73" i="3"/>
  <c r="G70" i="3"/>
  <c r="F7" i="3"/>
  <c r="F18" i="3"/>
  <c r="T74" i="3"/>
  <c r="U13" i="3"/>
  <c r="G6" i="3"/>
  <c r="I12" i="3"/>
  <c r="T67" i="3"/>
  <c r="G75" i="3"/>
  <c r="D23" i="3"/>
  <c r="E8" i="3"/>
  <c r="P14" i="3"/>
  <c r="K7" i="3"/>
  <c r="O6" i="3"/>
  <c r="C68" i="3"/>
  <c r="P19" i="3"/>
  <c r="K71" i="3"/>
  <c r="S10" i="3"/>
  <c r="O72" i="3"/>
  <c r="P23" i="3"/>
  <c r="M76" i="3"/>
  <c r="N15" i="3"/>
  <c r="G17" i="3"/>
  <c r="S8" i="3"/>
  <c r="E21" i="3"/>
  <c r="P8" i="3"/>
  <c r="O69" i="3"/>
  <c r="I77" i="3"/>
  <c r="N23" i="3"/>
  <c r="U60" i="3"/>
  <c r="L6" i="3"/>
  <c r="K22" i="3"/>
  <c r="M14" i="3"/>
  <c r="S60" i="3"/>
  <c r="M63" i="3"/>
  <c r="E4" i="3"/>
  <c r="I61" i="3"/>
  <c r="L17" i="3"/>
  <c r="L66" i="3"/>
  <c r="L74" i="3"/>
  <c r="U17" i="3"/>
  <c r="G13" i="3"/>
  <c r="G60" i="3"/>
  <c r="N67" i="3"/>
  <c r="K5" i="3"/>
  <c r="D12" i="3"/>
  <c r="M67" i="3"/>
  <c r="T11" i="3"/>
  <c r="P72" i="3"/>
  <c r="S58" i="3"/>
  <c r="T9" i="3"/>
  <c r="L9" i="3"/>
  <c r="S16" i="3"/>
  <c r="O66" i="3"/>
  <c r="K9" i="3"/>
  <c r="K68" i="3"/>
  <c r="J75" i="3"/>
  <c r="N63" i="3"/>
  <c r="N9" i="3"/>
  <c r="U9" i="3"/>
  <c r="K67" i="3"/>
  <c r="Q70" i="3"/>
  <c r="P76" i="3"/>
  <c r="G10" i="3"/>
  <c r="U23" i="3"/>
  <c r="O65" i="3"/>
  <c r="C59" i="3"/>
  <c r="E6" i="3"/>
  <c r="P6" i="3"/>
  <c r="G72" i="3"/>
  <c r="L59" i="3"/>
  <c r="U19" i="3"/>
  <c r="K10" i="3"/>
  <c r="J11" i="3"/>
  <c r="O14" i="3"/>
  <c r="K3" i="3"/>
  <c r="I72" i="3"/>
  <c r="M4" i="3"/>
  <c r="L16" i="3"/>
  <c r="C18" i="3"/>
  <c r="F60" i="3"/>
  <c r="T17" i="3"/>
  <c r="S66" i="3"/>
  <c r="I15" i="3"/>
  <c r="U5" i="3"/>
  <c r="H59" i="3"/>
  <c r="O16" i="3"/>
  <c r="G8" i="3"/>
  <c r="M9" i="3"/>
  <c r="J14" i="3"/>
  <c r="R14" i="3"/>
  <c r="E64" i="3"/>
  <c r="E11" i="3"/>
  <c r="E23" i="3"/>
  <c r="H60" i="3"/>
  <c r="P10" i="3"/>
  <c r="Q65" i="3"/>
  <c r="G64" i="3"/>
  <c r="T65" i="3"/>
  <c r="H9" i="3"/>
  <c r="I18" i="3"/>
  <c r="O3" i="3"/>
  <c r="N65" i="3"/>
  <c r="C65" i="3"/>
  <c r="D15" i="3"/>
  <c r="T64" i="3"/>
  <c r="T12" i="3"/>
  <c r="T58" i="3"/>
  <c r="D71" i="3"/>
  <c r="M75" i="3"/>
  <c r="T8" i="3"/>
  <c r="U59" i="3"/>
  <c r="N72" i="3"/>
  <c r="S3" i="3"/>
  <c r="R11" i="3"/>
  <c r="E22" i="3"/>
  <c r="P22" i="3"/>
  <c r="D68" i="3"/>
  <c r="G14" i="3"/>
  <c r="G74" i="3"/>
  <c r="F59" i="3"/>
  <c r="T60" i="3"/>
  <c r="D60" i="3"/>
  <c r="J19" i="3"/>
  <c r="L21" i="3"/>
  <c r="N5" i="3"/>
  <c r="J64" i="3"/>
  <c r="F20" i="3"/>
  <c r="R61" i="3"/>
  <c r="R8" i="3"/>
  <c r="F22" i="3"/>
  <c r="O59" i="3"/>
  <c r="Q20" i="3"/>
  <c r="F14" i="3"/>
  <c r="N22" i="3"/>
  <c r="Q59" i="3"/>
  <c r="S13" i="3"/>
  <c r="S4" i="3"/>
  <c r="M64" i="3"/>
  <c r="T73" i="3"/>
  <c r="P67" i="3"/>
  <c r="T15" i="3"/>
  <c r="Q69" i="3"/>
  <c r="O5" i="3"/>
  <c r="R20" i="3"/>
  <c r="J3" i="3"/>
  <c r="G5" i="3"/>
  <c r="Q7" i="3"/>
  <c r="U57" i="3"/>
  <c r="S70" i="3"/>
  <c r="U58" i="3"/>
  <c r="D6" i="3"/>
  <c r="F23" i="3"/>
  <c r="P9" i="3"/>
  <c r="G77" i="3"/>
  <c r="C13" i="3"/>
  <c r="R71" i="3"/>
  <c r="I14" i="3"/>
  <c r="N62" i="3"/>
  <c r="U14" i="3"/>
  <c r="I20" i="3"/>
  <c r="U75" i="3"/>
  <c r="O73" i="3"/>
  <c r="U66" i="3"/>
  <c r="I13" i="3"/>
  <c r="U68" i="3"/>
  <c r="J7" i="3"/>
  <c r="Q71" i="3"/>
  <c r="O7" i="3"/>
  <c r="I63" i="3"/>
  <c r="O71" i="3"/>
  <c r="P77" i="3"/>
  <c r="O4" i="3"/>
  <c r="U71" i="3"/>
  <c r="E76" i="3"/>
  <c r="E70" i="3"/>
  <c r="O64" i="3"/>
  <c r="Q22" i="3"/>
  <c r="L18" i="3"/>
  <c r="E3" i="3"/>
  <c r="P65" i="3"/>
  <c r="L7" i="3"/>
  <c r="C23" i="3"/>
  <c r="D61" i="3"/>
  <c r="D66" i="3"/>
  <c r="E13" i="3"/>
  <c r="E65" i="3"/>
  <c r="S71" i="3"/>
  <c r="P11" i="3"/>
  <c r="Q19" i="3"/>
  <c r="K11" i="3"/>
  <c r="H19" i="3"/>
  <c r="Q11" i="3"/>
  <c r="N58" i="3"/>
  <c r="J69" i="3"/>
  <c r="S17" i="3"/>
  <c r="K12" i="3"/>
  <c r="P64" i="3"/>
  <c r="S64" i="3"/>
  <c r="H68" i="3"/>
  <c r="Q21" i="3"/>
  <c r="O15" i="3"/>
  <c r="I69" i="3"/>
  <c r="P21" i="3"/>
  <c r="N69" i="3"/>
  <c r="H76" i="3"/>
  <c r="T59" i="3"/>
  <c r="Q61" i="3"/>
  <c r="O20" i="3"/>
  <c r="H17" i="3"/>
  <c r="R69" i="3"/>
  <c r="U21" i="3"/>
  <c r="C17" i="3"/>
  <c r="J8" i="3"/>
  <c r="E20" i="3"/>
  <c r="P15" i="3"/>
  <c r="H65" i="3"/>
  <c r="P62" i="3"/>
  <c r="D64" i="3"/>
  <c r="M59" i="3"/>
  <c r="I75" i="3"/>
  <c r="I59" i="3"/>
  <c r="I62" i="3"/>
  <c r="H70" i="3"/>
  <c r="R18" i="3"/>
  <c r="R22" i="3"/>
  <c r="E59" i="3"/>
  <c r="E14" i="3"/>
  <c r="H67" i="3"/>
  <c r="U70" i="3"/>
  <c r="O21" i="3"/>
  <c r="R17" i="3"/>
  <c r="I76" i="3"/>
  <c r="U61" i="3"/>
  <c r="S6" i="3"/>
  <c r="C75" i="3"/>
  <c r="I65" i="3"/>
  <c r="S67" i="3"/>
  <c r="L22" i="3"/>
  <c r="J6" i="3"/>
  <c r="S65" i="3"/>
  <c r="M58" i="3"/>
  <c r="N8" i="3"/>
  <c r="H22" i="3"/>
  <c r="P59" i="3"/>
  <c r="E68" i="3"/>
  <c r="Q14" i="3"/>
  <c r="H63" i="3"/>
  <c r="R74" i="3"/>
  <c r="N18" i="3"/>
  <c r="J58" i="3"/>
  <c r="U73" i="3"/>
  <c r="F3" i="3"/>
  <c r="G65" i="3"/>
  <c r="E77" i="3"/>
  <c r="M13" i="3"/>
  <c r="H4" i="3"/>
  <c r="D9" i="3"/>
  <c r="D11" i="3"/>
  <c r="T4" i="3"/>
  <c r="R16" i="3"/>
  <c r="H74" i="3"/>
  <c r="F13" i="3"/>
  <c r="N68" i="3"/>
  <c r="N75" i="3"/>
  <c r="P69" i="3"/>
  <c r="N10" i="3"/>
  <c r="T76" i="3"/>
  <c r="O18" i="3"/>
  <c r="N60" i="3"/>
  <c r="G11" i="3"/>
  <c r="K70" i="3"/>
  <c r="D59" i="3"/>
  <c r="F19" i="3"/>
  <c r="D7" i="3"/>
  <c r="U76" i="3"/>
  <c r="C62" i="3"/>
  <c r="P71" i="3"/>
  <c r="I11" i="3"/>
  <c r="K4" i="3"/>
  <c r="E71" i="3"/>
  <c r="P66" i="3"/>
  <c r="U64" i="3"/>
  <c r="R21" i="3"/>
  <c r="I58" i="3"/>
  <c r="S68" i="3"/>
  <c r="E60" i="3"/>
  <c r="R70" i="3"/>
  <c r="I71" i="3"/>
  <c r="O13" i="3"/>
  <c r="O58" i="3"/>
  <c r="K69" i="3"/>
  <c r="P60" i="3"/>
  <c r="S12" i="3"/>
  <c r="L61" i="3"/>
  <c r="O68" i="3"/>
  <c r="L60" i="3"/>
  <c r="C5" i="3"/>
  <c r="D65" i="3"/>
  <c r="I16" i="3"/>
  <c r="D73" i="3"/>
  <c r="C21" i="3"/>
  <c r="U11" i="3"/>
  <c r="U18" i="3"/>
  <c r="U8" i="3"/>
  <c r="J21" i="3"/>
  <c r="P5" i="3"/>
  <c r="P20" i="3"/>
  <c r="O77" i="3"/>
  <c r="O74" i="3"/>
  <c r="M69" i="3"/>
  <c r="K62" i="3"/>
  <c r="J62" i="3"/>
  <c r="K77" i="3"/>
  <c r="S69" i="3"/>
  <c r="G61" i="3"/>
  <c r="Q58" i="3"/>
  <c r="H11" i="3"/>
  <c r="C11" i="3"/>
  <c r="H13" i="3"/>
  <c r="D70" i="3"/>
  <c r="K74" i="3"/>
  <c r="Q9" i="3"/>
  <c r="D77" i="3"/>
  <c r="I22" i="3"/>
  <c r="N74" i="3"/>
  <c r="O17" i="3"/>
  <c r="K19" i="3"/>
  <c r="D3" i="3"/>
  <c r="E72" i="3"/>
  <c r="T16" i="3"/>
  <c r="Q10" i="3"/>
  <c r="N71" i="3"/>
  <c r="I4" i="3"/>
  <c r="J23" i="3"/>
  <c r="U10" i="3"/>
  <c r="T77" i="3"/>
  <c r="T5" i="3"/>
  <c r="C74" i="3"/>
  <c r="C22" i="3"/>
  <c r="O75" i="3"/>
  <c r="C69" i="3"/>
  <c r="G71" i="3"/>
  <c r="J10" i="3"/>
  <c r="F69" i="3"/>
  <c r="J59" i="3"/>
  <c r="E19" i="3"/>
  <c r="M5" i="3"/>
  <c r="Q12" i="3"/>
  <c r="K20" i="3"/>
  <c r="T66" i="3"/>
  <c r="U16" i="3"/>
  <c r="L65" i="3"/>
  <c r="E15" i="3"/>
  <c r="S23" i="3"/>
  <c r="J17" i="3"/>
  <c r="S18" i="3"/>
  <c r="S72" i="3"/>
  <c r="P61" i="3"/>
  <c r="I67" i="3"/>
  <c r="S62" i="3"/>
  <c r="M66" i="3"/>
  <c r="F73" i="3"/>
  <c r="M22" i="3"/>
  <c r="K13" i="3"/>
  <c r="R12" i="3"/>
  <c r="J15" i="3"/>
  <c r="O67" i="3"/>
  <c r="R59" i="3"/>
  <c r="M71" i="3"/>
  <c r="G58" i="3"/>
  <c r="S73" i="3"/>
  <c r="D5" i="3"/>
  <c r="J73" i="3"/>
  <c r="C67" i="3"/>
  <c r="J61" i="3"/>
  <c r="R7" i="3"/>
  <c r="K23" i="3"/>
  <c r="E62" i="3"/>
  <c r="U22" i="3"/>
  <c r="N3" i="3"/>
  <c r="I7" i="3"/>
  <c r="L73" i="3"/>
  <c r="J74" i="3"/>
  <c r="K21" i="3"/>
  <c r="H5" i="3"/>
  <c r="K58" i="3"/>
  <c r="Q5" i="3"/>
  <c r="F65" i="3"/>
  <c r="Q17" i="3"/>
  <c r="T71" i="3"/>
  <c r="H14" i="3"/>
  <c r="U7" i="3"/>
  <c r="E75" i="3"/>
  <c r="K66" i="3"/>
  <c r="P12" i="3"/>
  <c r="H10" i="3"/>
  <c r="Q66" i="3"/>
  <c r="L69" i="3"/>
  <c r="M19" i="3"/>
  <c r="O9" i="3"/>
  <c r="P17" i="3"/>
  <c r="I74" i="3"/>
  <c r="R64" i="3"/>
  <c r="Q63" i="3"/>
  <c r="F64" i="3"/>
  <c r="P63" i="3"/>
  <c r="C77" i="3"/>
  <c r="F76" i="3"/>
  <c r="M10" i="3"/>
  <c r="R73" i="3"/>
  <c r="S63" i="3"/>
  <c r="J20" i="3"/>
  <c r="C19" i="3"/>
  <c r="L10" i="3"/>
  <c r="N21" i="3"/>
  <c r="H73" i="3"/>
  <c r="I68" i="3"/>
  <c r="R10" i="3"/>
  <c r="J22" i="3"/>
  <c r="K14" i="3"/>
  <c r="S9" i="3"/>
  <c r="F77" i="3"/>
  <c r="I70" i="3"/>
  <c r="C7" i="3"/>
  <c r="N11" i="3"/>
  <c r="K72" i="3"/>
  <c r="Q13" i="3"/>
  <c r="M12" i="3"/>
  <c r="T6" i="3"/>
  <c r="N59" i="3"/>
  <c r="T68" i="3"/>
  <c r="U4" i="3"/>
  <c r="H3" i="3"/>
  <c r="O76" i="3"/>
  <c r="K18" i="3"/>
  <c r="R63" i="3"/>
  <c r="T23" i="3"/>
  <c r="T72" i="3"/>
  <c r="R15" i="3"/>
  <c r="M18" i="3"/>
  <c r="Q18" i="3"/>
  <c r="F12" i="3"/>
  <c r="U67" i="3"/>
  <c r="Q62" i="3"/>
  <c r="M60" i="3"/>
  <c r="N16" i="3"/>
  <c r="S76" i="3"/>
  <c r="M20" i="3"/>
  <c r="H71" i="3"/>
  <c r="L15" i="3"/>
  <c r="L62" i="3"/>
  <c r="L5" i="3"/>
  <c r="N7" i="3"/>
  <c r="I17" i="3"/>
  <c r="D20" i="3"/>
  <c r="D13" i="3"/>
  <c r="L4" i="3"/>
  <c r="U74" i="3"/>
  <c r="R62" i="3"/>
  <c r="H58" i="3"/>
  <c r="F62" i="3"/>
  <c r="L72" i="3"/>
  <c r="R66" i="3"/>
  <c r="T63" i="3"/>
  <c r="K73" i="3"/>
  <c r="F9" i="3"/>
  <c r="R19" i="3"/>
  <c r="G18" i="3"/>
  <c r="I23" i="3"/>
  <c r="J60" i="3"/>
  <c r="C66" i="3"/>
  <c r="L63" i="3"/>
  <c r="K59" i="3"/>
  <c r="F75" i="3"/>
  <c r="C6" i="3"/>
  <c r="N73" i="3"/>
  <c r="G68" i="3"/>
  <c r="G4" i="3"/>
  <c r="Q73" i="3"/>
  <c r="M77" i="3"/>
  <c r="K63" i="3"/>
  <c r="K16" i="3"/>
  <c r="G7" i="3"/>
  <c r="C72" i="3"/>
  <c r="R60" i="3"/>
  <c r="C61" i="3"/>
  <c r="K65" i="3"/>
  <c r="F11" i="3"/>
  <c r="M15" i="3"/>
  <c r="D18" i="3"/>
  <c r="D4" i="3"/>
  <c r="E12" i="3"/>
  <c r="G69" i="3"/>
  <c r="F66" i="3"/>
  <c r="C73" i="3"/>
  <c r="R23" i="3"/>
  <c r="S75" i="3"/>
  <c r="I5" i="3"/>
  <c r="M72" i="3"/>
  <c r="T70" i="3"/>
  <c r="H6" i="3"/>
  <c r="S61" i="3"/>
  <c r="P68" i="3"/>
  <c r="E74" i="3"/>
  <c r="S19" i="3"/>
  <c r="C10" i="3"/>
  <c r="D19" i="3"/>
  <c r="L11" i="3"/>
  <c r="J77" i="3"/>
  <c r="P58" i="3"/>
  <c r="Q77" i="3"/>
  <c r="H66" i="3"/>
  <c r="Q3" i="3"/>
  <c r="L75" i="3"/>
  <c r="C71" i="3"/>
  <c r="R4" i="3"/>
  <c r="H12" i="3"/>
  <c r="M17" i="3"/>
  <c r="E5" i="3"/>
  <c r="E63" i="3"/>
  <c r="J5" i="3"/>
  <c r="N20" i="3"/>
  <c r="T18" i="3"/>
  <c r="F5" i="3"/>
  <c r="N19" i="3"/>
  <c r="L64" i="3"/>
  <c r="N6" i="3"/>
  <c r="K8" i="3"/>
  <c r="J9" i="3"/>
  <c r="S59" i="3"/>
  <c r="Q74" i="3"/>
  <c r="C70" i="3"/>
  <c r="T10" i="3"/>
  <c r="J12" i="3"/>
  <c r="L67" i="3"/>
  <c r="G22" i="3"/>
  <c r="R6" i="3"/>
  <c r="O60" i="3"/>
  <c r="H61" i="3"/>
  <c r="L70" i="3"/>
  <c r="D69" i="3"/>
  <c r="D8" i="3"/>
  <c r="S15" i="3"/>
  <c r="O10" i="3"/>
  <c r="O62" i="3"/>
  <c r="L23" i="3"/>
  <c r="U15" i="3"/>
  <c r="J71" i="3"/>
  <c r="R13" i="3"/>
  <c r="F8" i="3"/>
  <c r="T7" i="3"/>
  <c r="J63" i="3"/>
  <c r="E18" i="3"/>
  <c r="P16" i="3"/>
  <c r="C63" i="3"/>
  <c r="I21" i="3"/>
  <c r="L20" i="3"/>
  <c r="G16" i="3"/>
  <c r="E61" i="3"/>
  <c r="Q68" i="3"/>
  <c r="I3" i="3"/>
  <c r="Q67" i="3"/>
  <c r="L13" i="3"/>
  <c r="R57" i="3"/>
  <c r="T57" i="3"/>
  <c r="O57" i="3"/>
  <c r="C57" i="3"/>
  <c r="L57" i="3"/>
  <c r="M57" i="3"/>
  <c r="D57" i="3"/>
  <c r="S57" i="3"/>
  <c r="J57" i="3"/>
  <c r="I57" i="3"/>
  <c r="E57" i="3"/>
  <c r="P57" i="3"/>
  <c r="K57" i="3"/>
  <c r="F57" i="3"/>
  <c r="H57" i="3"/>
  <c r="N57" i="3"/>
  <c r="G57" i="3"/>
  <c r="Q57" i="3"/>
</calcChain>
</file>

<file path=xl/sharedStrings.xml><?xml version="1.0" encoding="utf-8"?>
<sst xmlns="http://schemas.openxmlformats.org/spreadsheetml/2006/main" count="311" uniqueCount="148">
  <si>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</si>
  <si>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</si>
  <si>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</si>
  <si>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</si>
  <si>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</si>
  <si>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</si>
  <si>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</si>
  <si>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</si>
  <si>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</si>
  <si>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</si>
  <si>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</si>
  <si>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</si>
  <si>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</si>
  <si>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</si>
  <si>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</si>
  <si>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</si>
  <si>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</si>
  <si>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</si>
  <si>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</si>
  <si>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</si>
  <si>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</si>
  <si>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</si>
  <si>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</si>
  <si>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</si>
  <si>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</si>
  <si>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</si>
  <si>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</si>
  <si>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</si>
  <si>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</si>
  <si>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</si>
  <si>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</si>
  <si>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</si>
  <si>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</si>
  <si>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</si>
  <si>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</si>
  <si>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</si>
  <si>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</si>
  <si>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</si>
  <si>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</si>
  <si>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</si>
  <si>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</si>
  <si>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</si>
  <si>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</si>
  <si>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</si>
  <si>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</si>
  <si>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</si>
  <si>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</si>
  <si>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</si>
  <si>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</si>
  <si>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</si>
  <si>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</si>
  <si>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</si>
  <si>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</si>
  <si>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</si>
  <si>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</si>
  <si>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</si>
  <si>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</si>
  <si>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</si>
  <si>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</si>
  <si>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</si>
  <si>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</si>
  <si>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</si>
  <si>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</si>
  <si>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</si>
  <si>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</si>
  <si>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</si>
  <si>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</si>
  <si>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</si>
  <si>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</si>
  <si>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</si>
  <si>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</si>
  <si>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</si>
  <si>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</si>
  <si>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</si>
  <si>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</si>
  <si>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</si>
  <si>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</si>
  <si>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</si>
  <si>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</si>
  <si>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</si>
  <si>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</si>
  <si>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</si>
  <si>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</si>
  <si>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</si>
  <si>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</si>
  <si>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</si>
  <si>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</si>
  <si>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</si>
  <si>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</si>
  <si>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</si>
  <si>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</si>
  <si>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</si>
  <si>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</si>
  <si>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</si>
  <si>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</si>
  <si>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</si>
  <si>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</si>
  <si>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E2 Orthopedics Room 07 Bed 03</t>
  </si>
  <si>
    <t>C3 Oncology Room 26 Bed 01</t>
  </si>
  <si>
    <t>F4 Surg Oncology Room 12 Bed 02</t>
  </si>
  <si>
    <t>E3 Medicine Room 02 Bed 04</t>
  </si>
  <si>
    <t>C3 Oncology Room 07 Bed 01</t>
  </si>
  <si>
    <t>F4 Surg Oncology Room 05 Bed 02</t>
  </si>
  <si>
    <t>E3 Medicine Room 01 Bed 01</t>
  </si>
  <si>
    <t>F4 Surg Oncology Room 10 Bed 01</t>
  </si>
  <si>
    <t>E4 Room 01 Bed 01</t>
  </si>
  <si>
    <t>E3 Medicine Room 18 Bed 01</t>
  </si>
  <si>
    <t>F3 Medicine Room 05 Bed 04</t>
  </si>
  <si>
    <t>CDU Express Bed 07</t>
  </si>
  <si>
    <t>JC 10D (3724)</t>
  </si>
  <si>
    <t>E4 Room 18 Bed 02</t>
  </si>
  <si>
    <t>F3 Medicine Room 04 Bed 02</t>
  </si>
  <si>
    <t>C3 Oncology Room 32 Bed 02</t>
  </si>
  <si>
    <t>C4 Haematology Room 33 Bed 02</t>
  </si>
  <si>
    <t>B3 Orthopaedics Room 218 Bed 01</t>
  </si>
  <si>
    <t>C4 Haematology Room 43 Bed 01</t>
  </si>
  <si>
    <t>JC 21G (3743)</t>
  </si>
  <si>
    <t>F4 Surg Oncology Room 11 Bed 04</t>
  </si>
  <si>
    <t>F5 ALC Room 12 Bed 03</t>
  </si>
  <si>
    <t>JC 10B (3722)</t>
  </si>
  <si>
    <t>C4 Haematology Room 17 Bed 01</t>
  </si>
  <si>
    <t>Emergency Department Bed 10</t>
  </si>
  <si>
    <t>C3 Oncology Room 06 Bed 01</t>
  </si>
  <si>
    <t>C3 Oncology Room 14 Bed 02</t>
  </si>
  <si>
    <t>F4 Surg Oncology DWA Bed 02</t>
  </si>
  <si>
    <t>F4 Surg Oncology Room 03 Bed 01</t>
  </si>
  <si>
    <t>JC 21H (3747)</t>
  </si>
  <si>
    <t>C3 Oncology Room 29 Bed 01</t>
  </si>
  <si>
    <t>JC Inpatient Bed 10</t>
  </si>
  <si>
    <t>C3 Oncology Room 17 Bed 01</t>
  </si>
  <si>
    <t>JC 21F (3741)</t>
  </si>
  <si>
    <t>F5 ALC Room 12 Bed 01</t>
  </si>
  <si>
    <t>CMR Ward 2 Rehab (3302)</t>
  </si>
  <si>
    <t>E2 Orthopedics Room 02 Bed 02</t>
  </si>
  <si>
    <t>F3 Medicine Room 10 Bed 01</t>
  </si>
  <si>
    <t>Morgue (2032)</t>
  </si>
  <si>
    <t>F5 ALC Room 01 Bed 01</t>
  </si>
  <si>
    <t>E4 Room 06 Bed 01</t>
  </si>
  <si>
    <t>Intensive Care Unit [ICU] (3486)</t>
  </si>
  <si>
    <t>E4 Room 06 Bed 03</t>
  </si>
  <si>
    <t>C4 Haematology Room 52 Bed 01</t>
  </si>
  <si>
    <t>E3 Nurse Station (3497)</t>
  </si>
  <si>
    <t>NA24</t>
  </si>
  <si>
    <t>NA25</t>
  </si>
  <si>
    <t>NA26</t>
  </si>
  <si>
    <t>NA27</t>
  </si>
  <si>
    <t>Total Number Of Jobs Completed</t>
  </si>
  <si>
    <t>Number of Pending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</si>
</sst>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34.5</c:v>
                </c:pt>
                <c:pt idx="1">
                  <c:v>0</c:v>
                </c:pt>
                <c:pt idx="2">
                  <c:v>70</c:v>
                </c:pt>
                <c:pt idx="3">
                  <c:v>0</c:v>
                </c:pt>
                <c:pt idx="4">
                  <c:v>44</c:v>
                </c:pt>
                <c:pt idx="5">
                  <c:v>0</c:v>
                </c:pt>
                <c:pt idx="6">
                  <c:v>28</c:v>
                </c:pt>
                <c:pt idx="7">
                  <c:v>17</c:v>
                </c:pt>
                <c:pt idx="8">
                  <c:v>26</c:v>
                </c:pt>
                <c:pt idx="9">
                  <c:v>29</c:v>
                </c:pt>
                <c:pt idx="10">
                  <c:v>49</c:v>
                </c:pt>
                <c:pt idx="11">
                  <c:v>38.5</c:v>
                </c:pt>
                <c:pt idx="12">
                  <c:v>0</c:v>
                </c:pt>
                <c:pt idx="13">
                  <c:v>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13</c:v>
                </c:pt>
                <c:pt idx="2">
                  <c:v>31</c:v>
                </c:pt>
                <c:pt idx="3">
                  <c:v>33</c:v>
                </c:pt>
                <c:pt idx="4">
                  <c:v>0</c:v>
                </c:pt>
                <c:pt idx="5">
                  <c:v>31</c:v>
                </c:pt>
                <c:pt idx="6">
                  <c:v>40</c:v>
                </c:pt>
                <c:pt idx="7">
                  <c:v>37</c:v>
                </c:pt>
                <c:pt idx="8">
                  <c:v>0</c:v>
                </c:pt>
                <c:pt idx="9">
                  <c:v>29</c:v>
                </c:pt>
                <c:pt idx="10">
                  <c:v>51</c:v>
                </c:pt>
                <c:pt idx="11">
                  <c:v>33</c:v>
                </c:pt>
                <c:pt idx="12">
                  <c:v>44</c:v>
                </c:pt>
                <c:pt idx="13">
                  <c:v>0</c:v>
                </c:pt>
                <c:pt idx="14">
                  <c:v>22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28</c:v>
                </c:pt>
                <c:pt idx="2">
                  <c:v>0</c:v>
                </c:pt>
                <c:pt idx="3">
                  <c:v>29</c:v>
                </c:pt>
                <c:pt idx="4">
                  <c:v>40</c:v>
                </c:pt>
                <c:pt idx="5">
                  <c:v>0</c:v>
                </c:pt>
                <c:pt idx="6">
                  <c:v>38</c:v>
                </c:pt>
                <c:pt idx="7">
                  <c:v>0</c:v>
                </c:pt>
                <c:pt idx="8">
                  <c:v>15</c:v>
                </c:pt>
                <c:pt idx="9">
                  <c:v>26</c:v>
                </c:pt>
                <c:pt idx="10">
                  <c:v>48</c:v>
                </c:pt>
                <c:pt idx="11">
                  <c:v>32</c:v>
                </c:pt>
                <c:pt idx="12">
                  <c:v>0</c:v>
                </c:pt>
                <c:pt idx="13">
                  <c:v>43</c:v>
                </c:pt>
                <c:pt idx="14">
                  <c:v>0</c:v>
                </c:pt>
                <c:pt idx="15">
                  <c:v>49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14</c:v>
                </c:pt>
                <c:pt idx="2">
                  <c:v>63</c:v>
                </c:pt>
                <c:pt idx="3">
                  <c:v>0</c:v>
                </c:pt>
                <c:pt idx="4">
                  <c:v>33</c:v>
                </c:pt>
                <c:pt idx="5">
                  <c:v>19</c:v>
                </c:pt>
                <c:pt idx="6">
                  <c:v>17</c:v>
                </c:pt>
                <c:pt idx="7">
                  <c:v>13</c:v>
                </c:pt>
                <c:pt idx="8">
                  <c:v>32</c:v>
                </c:pt>
                <c:pt idx="9">
                  <c:v>74</c:v>
                </c:pt>
                <c:pt idx="10">
                  <c:v>45</c:v>
                </c:pt>
                <c:pt idx="11">
                  <c:v>0</c:v>
                </c:pt>
                <c:pt idx="12">
                  <c:v>67</c:v>
                </c:pt>
                <c:pt idx="13">
                  <c:v>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80</c:v>
                </c:pt>
                <c:pt idx="3">
                  <c:v>0</c:v>
                </c:pt>
                <c:pt idx="4">
                  <c:v>0</c:v>
                </c:pt>
                <c:pt idx="5">
                  <c:v>60</c:v>
                </c:pt>
                <c:pt idx="6">
                  <c:v>0</c:v>
                </c:pt>
                <c:pt idx="7">
                  <c:v>19</c:v>
                </c:pt>
                <c:pt idx="8">
                  <c:v>17</c:v>
                </c:pt>
                <c:pt idx="9">
                  <c:v>29.5</c:v>
                </c:pt>
                <c:pt idx="10">
                  <c:v>0</c:v>
                </c:pt>
                <c:pt idx="11">
                  <c:v>76</c:v>
                </c:pt>
                <c:pt idx="12">
                  <c:v>0</c:v>
                </c:pt>
                <c:pt idx="13">
                  <c:v>45</c:v>
                </c:pt>
                <c:pt idx="14">
                  <c:v>0</c:v>
                </c:pt>
                <c:pt idx="15">
                  <c:v>41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54</c:v>
                </c:pt>
                <c:pt idx="3">
                  <c:v>0</c:v>
                </c:pt>
                <c:pt idx="4">
                  <c:v>41</c:v>
                </c:pt>
                <c:pt idx="5">
                  <c:v>55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42</c:v>
                </c:pt>
                <c:pt idx="10">
                  <c:v>30</c:v>
                </c:pt>
                <c:pt idx="11">
                  <c:v>72</c:v>
                </c:pt>
                <c:pt idx="12">
                  <c:v>0</c:v>
                </c:pt>
                <c:pt idx="13">
                  <c:v>0</c:v>
                </c:pt>
                <c:pt idx="14">
                  <c:v>69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64</c:v>
                </c:pt>
                <c:pt idx="3">
                  <c:v>0</c:v>
                </c:pt>
                <c:pt idx="4">
                  <c:v>52</c:v>
                </c:pt>
                <c:pt idx="5">
                  <c:v>0</c:v>
                </c:pt>
                <c:pt idx="6">
                  <c:v>12</c:v>
                </c:pt>
                <c:pt idx="7">
                  <c:v>22</c:v>
                </c:pt>
                <c:pt idx="8">
                  <c:v>26</c:v>
                </c:pt>
                <c:pt idx="9">
                  <c:v>23.5</c:v>
                </c:pt>
                <c:pt idx="10">
                  <c:v>0</c:v>
                </c:pt>
                <c:pt idx="11">
                  <c:v>54</c:v>
                </c:pt>
                <c:pt idx="12">
                  <c:v>0</c:v>
                </c:pt>
                <c:pt idx="13">
                  <c:v>47.5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'Day1'!$B$24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'Day1'!$C$24:$T$24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'Day1'!$B$25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'Day1'!$B$26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'Day1'!$B$27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1827088"/>
        <c:axId val="821830896"/>
      </c:barChart>
      <c:catAx>
        <c:axId val="82182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30896"/>
        <c:crosses val="autoZero"/>
        <c:auto val="1"/>
        <c:lblAlgn val="ctr"/>
        <c:lblOffset val="100"/>
        <c:noMultiLvlLbl val="0"/>
      </c:catAx>
      <c:valAx>
        <c:axId val="8218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7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34.5</c:v>
                </c:pt>
                <c:pt idx="1">
                  <c:v>16.8</c:v>
                </c:pt>
                <c:pt idx="2">
                  <c:v>60.333333333333336</c:v>
                </c:pt>
                <c:pt idx="3">
                  <c:v>31</c:v>
                </c:pt>
                <c:pt idx="4">
                  <c:v>42</c:v>
                </c:pt>
                <c:pt idx="5">
                  <c:v>41.25</c:v>
                </c:pt>
                <c:pt idx="6">
                  <c:v>27</c:v>
                </c:pt>
                <c:pt idx="7">
                  <c:v>21.6</c:v>
                </c:pt>
                <c:pt idx="8">
                  <c:v>23.833333333333332</c:v>
                </c:pt>
                <c:pt idx="9">
                  <c:v>34</c:v>
                </c:pt>
                <c:pt idx="10">
                  <c:v>44.6</c:v>
                </c:pt>
                <c:pt idx="11">
                  <c:v>49.142857142857139</c:v>
                </c:pt>
                <c:pt idx="12">
                  <c:v>55.5</c:v>
                </c:pt>
                <c:pt idx="13">
                  <c:v>41.333333333333336</c:v>
                </c:pt>
                <c:pt idx="14">
                  <c:v>37.666666666666664</c:v>
                </c:pt>
                <c:pt idx="15">
                  <c:v>45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829808"/>
        <c:axId val="821833072"/>
      </c:lineChart>
      <c:catAx>
        <c:axId val="82182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33072"/>
        <c:crosses val="autoZero"/>
        <c:auto val="1"/>
        <c:lblAlgn val="ctr"/>
        <c:lblOffset val="100"/>
        <c:noMultiLvlLbl val="0"/>
      </c:catAx>
      <c:valAx>
        <c:axId val="8218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'Day1'!$C$56:$T$56</c:f>
              <c:numCache>
                <c:formatCode>0.00</c:formatCode>
                <c:ptCount val="18"/>
                <c:pt idx="0">
                  <c:v>11.5</c:v>
                </c:pt>
                <c:pt idx="1">
                  <c:v>10.8</c:v>
                </c:pt>
                <c:pt idx="2">
                  <c:v>9.6666666666666661</c:v>
                </c:pt>
                <c:pt idx="3">
                  <c:v>7.5</c:v>
                </c:pt>
                <c:pt idx="4">
                  <c:v>2.6</c:v>
                </c:pt>
                <c:pt idx="5">
                  <c:v>0.5</c:v>
                </c:pt>
                <c:pt idx="6">
                  <c:v>0.4</c:v>
                </c:pt>
                <c:pt idx="7">
                  <c:v>4.5999999999999996</c:v>
                </c:pt>
                <c:pt idx="8">
                  <c:v>0.66666666666666663</c:v>
                </c:pt>
                <c:pt idx="9">
                  <c:v>3.2222222222222223</c:v>
                </c:pt>
                <c:pt idx="10">
                  <c:v>7.4</c:v>
                </c:pt>
                <c:pt idx="11">
                  <c:v>6.1428571428571432</c:v>
                </c:pt>
                <c:pt idx="12">
                  <c:v>3.5</c:v>
                </c:pt>
                <c:pt idx="13">
                  <c:v>2.6666666666666665</c:v>
                </c:pt>
                <c:pt idx="14">
                  <c:v>18.666666666666668</c:v>
                </c:pt>
                <c:pt idx="15">
                  <c:v>6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1827632"/>
        <c:axId val="821824368"/>
      </c:lineChart>
      <c:catAx>
        <c:axId val="82182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4368"/>
        <c:crosses val="autoZero"/>
        <c:auto val="1"/>
        <c:lblAlgn val="ctr"/>
        <c:lblOffset val="100"/>
        <c:noMultiLvlLbl val="0"/>
      </c:catAx>
      <c:valAx>
        <c:axId val="82182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'Day1'!$B$57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'Day1'!$C$57:$T$57</c:f>
              <c:numCache>
                <c:formatCode>0.00</c:formatCode>
                <c:ptCount val="18"/>
                <c:pt idx="0">
                  <c:v>11.5</c:v>
                </c:pt>
                <c:pt idx="1">
                  <c:v>0</c:v>
                </c:pt>
                <c:pt idx="2">
                  <c:v>8</c:v>
                </c:pt>
                <c:pt idx="3">
                  <c:v>0</c:v>
                </c:pt>
                <c:pt idx="4">
                  <c:v>7</c:v>
                </c:pt>
                <c:pt idx="5">
                  <c:v>0</c:v>
                </c:pt>
                <c:pt idx="6">
                  <c:v>8</c:v>
                </c:pt>
                <c:pt idx="7">
                  <c:v>4</c:v>
                </c:pt>
                <c:pt idx="8">
                  <c:v>7</c:v>
                </c:pt>
                <c:pt idx="9">
                  <c:v>9</c:v>
                </c:pt>
                <c:pt idx="10">
                  <c:v>10</c:v>
                </c:pt>
                <c:pt idx="11">
                  <c:v>23.5</c:v>
                </c:pt>
                <c:pt idx="12">
                  <c:v>0</c:v>
                </c:pt>
                <c:pt idx="13">
                  <c:v>23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'Day1'!$B$58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'Day1'!$C$58:$T$58</c:f>
              <c:numCache>
                <c:formatCode>0.00</c:formatCode>
                <c:ptCount val="18"/>
                <c:pt idx="0">
                  <c:v>0</c:v>
                </c:pt>
                <c:pt idx="1">
                  <c:v>14.5</c:v>
                </c:pt>
                <c:pt idx="2">
                  <c:v>25</c:v>
                </c:pt>
                <c:pt idx="3">
                  <c:v>10</c:v>
                </c:pt>
                <c:pt idx="4">
                  <c:v>0</c:v>
                </c:pt>
                <c:pt idx="5">
                  <c:v>27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4</c:v>
                </c:pt>
                <c:pt idx="10">
                  <c:v>14</c:v>
                </c:pt>
                <c:pt idx="11">
                  <c:v>52</c:v>
                </c:pt>
                <c:pt idx="12">
                  <c:v>19</c:v>
                </c:pt>
                <c:pt idx="13">
                  <c:v>0</c:v>
                </c:pt>
                <c:pt idx="14">
                  <c:v>26.5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'Day1'!$B$59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'Day1'!$C$59:$T$59</c:f>
              <c:numCache>
                <c:formatCode>0.00</c:formatCode>
                <c:ptCount val="18"/>
                <c:pt idx="0">
                  <c:v>0</c:v>
                </c:pt>
                <c:pt idx="1">
                  <c:v>23</c:v>
                </c:pt>
                <c:pt idx="2">
                  <c:v>0</c:v>
                </c:pt>
                <c:pt idx="3">
                  <c:v>5</c:v>
                </c:pt>
                <c:pt idx="4">
                  <c:v>21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25</c:v>
                </c:pt>
                <c:pt idx="11">
                  <c:v>46</c:v>
                </c:pt>
                <c:pt idx="12">
                  <c:v>0</c:v>
                </c:pt>
                <c:pt idx="13">
                  <c:v>21</c:v>
                </c:pt>
                <c:pt idx="14">
                  <c:v>0</c:v>
                </c:pt>
                <c:pt idx="15">
                  <c:v>10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'Day1'!$B$60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'Day1'!$C$60:$T$60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6</c:v>
                </c:pt>
                <c:pt idx="5">
                  <c:v>11</c:v>
                </c:pt>
                <c:pt idx="6">
                  <c:v>7</c:v>
                </c:pt>
                <c:pt idx="7">
                  <c:v>1</c:v>
                </c:pt>
                <c:pt idx="8">
                  <c:v>13</c:v>
                </c:pt>
                <c:pt idx="9">
                  <c:v>15</c:v>
                </c:pt>
                <c:pt idx="10">
                  <c:v>45</c:v>
                </c:pt>
                <c:pt idx="11">
                  <c:v>0</c:v>
                </c:pt>
                <c:pt idx="12">
                  <c:v>48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'Day1'!$B$61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'Day1'!$C$61:$T$61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13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0</c:v>
                </c:pt>
                <c:pt idx="7">
                  <c:v>10</c:v>
                </c:pt>
                <c:pt idx="8">
                  <c:v>7</c:v>
                </c:pt>
                <c:pt idx="9">
                  <c:v>7.5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48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'Day1'!$B$62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'Day1'!$C$62:$T$62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19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16</c:v>
                </c:pt>
                <c:pt idx="10">
                  <c:v>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26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'Day1'!$B$63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'Day1'!$C$63:$T$63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20</c:v>
                </c:pt>
                <c:pt idx="5">
                  <c:v>0</c:v>
                </c:pt>
                <c:pt idx="6">
                  <c:v>17</c:v>
                </c:pt>
                <c:pt idx="7">
                  <c:v>5</c:v>
                </c:pt>
                <c:pt idx="8">
                  <c:v>24</c:v>
                </c:pt>
                <c:pt idx="9">
                  <c:v>5.5</c:v>
                </c:pt>
                <c:pt idx="10">
                  <c:v>0</c:v>
                </c:pt>
                <c:pt idx="11">
                  <c:v>53</c:v>
                </c:pt>
                <c:pt idx="12">
                  <c:v>0</c:v>
                </c:pt>
                <c:pt idx="13">
                  <c:v>17.5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'Day1'!$B$64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'Day1'!$C$64:$T$64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'Day1'!$B$65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'Day1'!$C$65:$T$65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'Day1'!$B$66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'Day1'!$C$66:$T$66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'Day1'!$B$67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'Day1'!$C$67:$T$67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'Day1'!$B$68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'Day1'!$C$68:$T$68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'Day1'!$B$69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'Day1'!$C$69:$T$69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'Day1'!$B$70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'Day1'!$C$70:$T$70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'Day1'!$B$71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'Day1'!$C$71:$T$71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'Day1'!$B$72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'Day1'!$C$72:$T$72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'Day1'!$B$73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'Day1'!$C$73:$T$73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'Day1'!$B$74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'Day1'!$C$74:$T$74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'Day1'!$B$75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'Day1'!$C$75:$T$75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'Day1'!$B$76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'Day1'!$C$76:$T$76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'Day1'!$B$77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'Day1'!$C$77:$T$77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'Day1'!$B$78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'Day1'!$C$78:$T$78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'Day1'!$B$79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'Day1'!$C$79:$T$79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'Day1'!$B$80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'Day1'!$C$80:$T$80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'Day1'!$B$81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'Day1'!$C$81:$T$81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21836880"/>
        <c:axId val="821835792"/>
      </c:barChart>
      <c:catAx>
        <c:axId val="82183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35792"/>
        <c:crosses val="autoZero"/>
        <c:auto val="1"/>
        <c:lblAlgn val="ctr"/>
        <c:lblOffset val="100"/>
        <c:noMultiLvlLbl val="0"/>
      </c:catAx>
      <c:valAx>
        <c:axId val="82183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36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 Number Of</a:t>
            </a:r>
            <a:r>
              <a:rPr lang="en-CA" baseline="0"/>
              <a:t> Jobs Complete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6</c:v>
                </c:pt>
                <c:pt idx="16">
                  <c:v>2</c:v>
                </c:pt>
                <c:pt idx="17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21835248"/>
        <c:axId val="821821648"/>
      </c:barChart>
      <c:catAx>
        <c:axId val="82183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1648"/>
        <c:crosses val="autoZero"/>
        <c:auto val="1"/>
        <c:lblAlgn val="ctr"/>
        <c:lblOffset val="100"/>
        <c:noMultiLvlLbl val="0"/>
      </c:catAx>
      <c:valAx>
        <c:axId val="82182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3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Total</a:t>
            </a:r>
            <a:r>
              <a:rPr lang="en-CA" baseline="0"/>
              <a:t> Number of Jobs Complete per Porter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'Day1'!$B$30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General</c:formatCode>
                <c:ptCount val="18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1"/>
          <c:order val="1"/>
          <c:tx>
            <c:strRef>
              <c:f>'Day1'!$B$31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2"/>
          <c:order val="2"/>
          <c:tx>
            <c:strRef>
              <c:f>'Day1'!$B$32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'Day1'!$B$33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4"/>
          <c:order val="4"/>
          <c:tx>
            <c:strRef>
              <c:f>'Day1'!$B$34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5"/>
          <c:order val="5"/>
          <c:tx>
            <c:strRef>
              <c:f>'Day1'!$B$35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</c:ser>
        <c:ser>
          <c:idx val="6"/>
          <c:order val="6"/>
          <c:tx>
            <c:strRef>
              <c:f>'Day1'!$B$36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'Day1'!$B$37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'Day1'!$B$38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'Day1'!$B$39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'Day1'!$B$40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'Day1'!$B$41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'Day1'!$B$42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'Day1'!$B$43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'Day1'!$B$44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'Day1'!$B$45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'Day1'!$B$46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'Day1'!$B$47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'Day1'!$C$47:$T$47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'Day1'!$B$48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'Day1'!$C$48:$T$48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'Day1'!$B$49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'Day1'!$C$49:$T$49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'Day1'!$B$50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'Day1'!$C$50:$T$50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'Day1'!$B$51</c:f>
              <c:strCache>
                <c:ptCount val="1"/>
                <c:pt idx="0">
                  <c:v>NA24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'Day1'!$C$51:$T$51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'Day1'!$B$52</c:f>
              <c:strCache>
                <c:ptCount val="1"/>
                <c:pt idx="0">
                  <c:v>NA25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'Day1'!$C$52:$T$52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'Day1'!$B$53</c:f>
              <c:strCache>
                <c:ptCount val="1"/>
                <c:pt idx="0">
                  <c:v>NA26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'Day1'!$C$53:$T$53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'Day1'!$B$54</c:f>
              <c:strCache>
                <c:ptCount val="1"/>
                <c:pt idx="0">
                  <c:v>NA27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Off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lumOff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Off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'Day1'!$C$54:$T$54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821826000"/>
        <c:axId val="821826544"/>
      </c:barChart>
      <c:catAx>
        <c:axId val="82182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6544"/>
        <c:crosses val="autoZero"/>
        <c:auto val="1"/>
        <c:lblAlgn val="ctr"/>
        <c:lblOffset val="100"/>
        <c:noMultiLvlLbl val="0"/>
      </c:catAx>
      <c:valAx>
        <c:axId val="82182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82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vs. Jobs Complete vs. Pending Jobs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Complete Jobs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34.5</c:v>
                </c:pt>
                <c:pt idx="1">
                  <c:v>16.8</c:v>
                </c:pt>
                <c:pt idx="2">
                  <c:v>60.333333333333336</c:v>
                </c:pt>
                <c:pt idx="3">
                  <c:v>31</c:v>
                </c:pt>
                <c:pt idx="4">
                  <c:v>42</c:v>
                </c:pt>
                <c:pt idx="5">
                  <c:v>41.25</c:v>
                </c:pt>
                <c:pt idx="6">
                  <c:v>27</c:v>
                </c:pt>
                <c:pt idx="7">
                  <c:v>21.6</c:v>
                </c:pt>
                <c:pt idx="8">
                  <c:v>23.833333333333332</c:v>
                </c:pt>
                <c:pt idx="9">
                  <c:v>34</c:v>
                </c:pt>
                <c:pt idx="10">
                  <c:v>44.6</c:v>
                </c:pt>
                <c:pt idx="11">
                  <c:v>49.142857142857139</c:v>
                </c:pt>
                <c:pt idx="12">
                  <c:v>55.5</c:v>
                </c:pt>
                <c:pt idx="13">
                  <c:v>41.333333333333336</c:v>
                </c:pt>
                <c:pt idx="14">
                  <c:v>37.666666666666664</c:v>
                </c:pt>
                <c:pt idx="15">
                  <c:v>45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v>Pending Jobs</c:v>
          </c:tx>
          <c:spPr>
            <a:solidFill>
              <a:srgbClr val="FF0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'Day1'!$C$83:$T$83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132672"/>
        <c:axId val="1022132128"/>
      </c:barChart>
      <c:lineChart>
        <c:grouping val="standard"/>
        <c:varyColors val="0"/>
        <c:ser>
          <c:idx val="1"/>
          <c:order val="1"/>
          <c:tx>
            <c:v>Average Transaction Time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'Day1'!$C$29:$T$29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8</c:v>
                </c:pt>
                <c:pt idx="8">
                  <c:v>7</c:v>
                </c:pt>
                <c:pt idx="9">
                  <c:v>7</c:v>
                </c:pt>
                <c:pt idx="10">
                  <c:v>2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5">
                  <c:v>6</c:v>
                </c:pt>
                <c:pt idx="16">
                  <c:v>2</c:v>
                </c:pt>
                <c:pt idx="17">
                  <c:v>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133216"/>
        <c:axId val="1022128864"/>
      </c:lineChart>
      <c:valAx>
        <c:axId val="102212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Jobs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133216"/>
        <c:crosses val="autoZero"/>
        <c:crossBetween val="between"/>
      </c:valAx>
      <c:catAx>
        <c:axId val="10221332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321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tRANSACtion</a:t>
                </a:r>
                <a:r>
                  <a:rPr lang="en-CA" baseline="0"/>
                  <a:t> time (min)</a:t>
                </a:r>
                <a:endParaRPr lang="en-CA"/>
              </a:p>
            </c:rich>
          </c:tx>
          <c:layout/>
          <c:overlay val="0"/>
          <c:spPr>
            <a:noFill/>
            <a:ln>
              <a:solidFill>
                <a:schemeClr val="accent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132672"/>
        <c:crosses val="max"/>
        <c:crossBetween val="between"/>
      </c:valAx>
      <c:catAx>
        <c:axId val="1022132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22132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177800</xdr:colOff>
      <xdr:row>95</xdr:row>
      <xdr:rowOff>25400</xdr:rowOff>
    </xdr:from>
    <xdr:to>
      <xdr:col>19</xdr:col>
      <xdr:colOff>546100</xdr:colOff>
      <xdr:row>119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177800</xdr:colOff>
      <xdr:row>120</xdr:row>
      <xdr:rowOff>12700</xdr:rowOff>
    </xdr:from>
    <xdr:to>
      <xdr:col>19</xdr:col>
      <xdr:colOff>533400</xdr:colOff>
      <xdr:row>145</xdr:row>
      <xdr:rowOff>101600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152400</xdr:rowOff>
        </xdr:from>
        <xdr:to>
          <xdr:col>19</xdr:col>
          <xdr:colOff>91440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CA" sz="24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190500</xdr:colOff>
      <xdr:row>146</xdr:row>
      <xdr:rowOff>0</xdr:rowOff>
    </xdr:from>
    <xdr:to>
      <xdr:col>19</xdr:col>
      <xdr:colOff>533400</xdr:colOff>
      <xdr:row>171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77"/>
  <sheetViews>
    <sheetView workbookViewId="0">
      <selection activeCell="A5" sqref="A5"/>
    </sheetView>
  </sheetViews>
  <sheetFormatPr defaultRowHeight="14.4" x14ac:dyDescent="0.3"/>
  <cols>
    <col min="3" max="3" width="9.33203125" customWidth="1"/>
    <col min="6" max="6" width="12.5546875" bestFit="1" customWidth="1"/>
    <col min="7" max="7" width="18.33203125" bestFit="1" customWidth="1"/>
  </cols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41640.033333333333</v>
      </c>
      <c r="B2">
        <v>1440</v>
      </c>
      <c r="C2">
        <v>41640.01666666667</v>
      </c>
      <c r="D2" t="s">
        <v>42</v>
      </c>
      <c r="E2" t="s">
        <v>43</v>
      </c>
      <c r="F2">
        <v>41640.042361111111</v>
      </c>
      <c r="G2">
        <v>41640.059027777781</v>
      </c>
      <c r="J2">
        <v>0</v>
      </c>
      <c r="K2">
        <v>0</v>
      </c>
      <c r="M2">
        <v>0</v>
      </c>
      <c r="N2">
        <v>1</v>
      </c>
    </row>
    <row r="3" spans="1:14" x14ac:dyDescent="0.3">
      <c r="A3">
        <v>41640.210416666669</v>
      </c>
      <c r="B3">
        <v>2700</v>
      </c>
      <c r="C3">
        <v>41640.03125</v>
      </c>
      <c r="D3" t="s">
        <v>88</v>
      </c>
      <c r="E3" t="s">
        <v>44</v>
      </c>
      <c r="F3">
        <v>41640.217361111114</v>
      </c>
      <c r="G3">
        <v>41640.248611111114</v>
      </c>
      <c r="J3">
        <v>0</v>
      </c>
      <c r="K3">
        <v>0</v>
      </c>
      <c r="M3">
        <v>1</v>
      </c>
      <c r="N3">
        <v>1</v>
      </c>
    </row>
    <row r="4" spans="1:14" x14ac:dyDescent="0.3">
      <c r="A4">
        <v>41640.28125</v>
      </c>
      <c r="B4">
        <v>2160</v>
      </c>
      <c r="C4">
        <v>41640.027083333334</v>
      </c>
      <c r="D4" t="s">
        <v>97</v>
      </c>
      <c r="E4" t="s">
        <v>45</v>
      </c>
      <c r="F4">
        <v>41640.28402777778</v>
      </c>
      <c r="G4">
        <v>41640.309027777781</v>
      </c>
      <c r="J4">
        <v>0</v>
      </c>
      <c r="K4">
        <v>0</v>
      </c>
      <c r="M4">
        <v>2</v>
      </c>
      <c r="N4">
        <v>1</v>
      </c>
    </row>
    <row r="5" spans="1:14" x14ac:dyDescent="0.3">
      <c r="A5">
        <v>41640.296527777777</v>
      </c>
      <c r="B5">
        <v>1020</v>
      </c>
      <c r="C5">
        <v>41640.011805555558</v>
      </c>
      <c r="D5" t="s">
        <v>98</v>
      </c>
      <c r="E5" t="s">
        <v>46</v>
      </c>
      <c r="F5">
        <v>41640.302777777775</v>
      </c>
      <c r="G5">
        <v>41640.314583333333</v>
      </c>
      <c r="J5">
        <v>0</v>
      </c>
      <c r="K5">
        <v>0</v>
      </c>
      <c r="M5">
        <v>7</v>
      </c>
      <c r="N5">
        <v>0</v>
      </c>
    </row>
    <row r="6" spans="1:14" x14ac:dyDescent="0.3">
      <c r="A6">
        <v>41640.303472222222</v>
      </c>
      <c r="B6">
        <v>1680</v>
      </c>
      <c r="C6">
        <v>41640.022916666669</v>
      </c>
      <c r="D6" t="s">
        <v>99</v>
      </c>
      <c r="E6" t="s">
        <v>47</v>
      </c>
      <c r="F6">
        <v>41640.319444444445</v>
      </c>
      <c r="G6">
        <v>41640.338888888888</v>
      </c>
      <c r="J6">
        <v>0</v>
      </c>
      <c r="K6">
        <v>0</v>
      </c>
      <c r="M6">
        <v>4</v>
      </c>
      <c r="N6">
        <v>3</v>
      </c>
    </row>
    <row r="7" spans="1:14" x14ac:dyDescent="0.3">
      <c r="A7">
        <v>41640.324305555558</v>
      </c>
      <c r="B7">
        <v>840</v>
      </c>
      <c r="C7">
        <v>41640.022916666669</v>
      </c>
      <c r="D7" t="s">
        <v>46</v>
      </c>
      <c r="E7" t="s">
        <v>98</v>
      </c>
      <c r="F7">
        <v>41640.324999999997</v>
      </c>
      <c r="G7">
        <v>41640.334722222222</v>
      </c>
      <c r="J7">
        <v>0</v>
      </c>
      <c r="K7">
        <v>0</v>
      </c>
      <c r="M7">
        <v>3</v>
      </c>
      <c r="N7">
        <v>2</v>
      </c>
    </row>
    <row r="8" spans="1:14" x14ac:dyDescent="0.3">
      <c r="A8">
        <v>41640.326388888891</v>
      </c>
      <c r="B8">
        <v>540</v>
      </c>
      <c r="C8">
        <v>41640.006249999999</v>
      </c>
      <c r="D8" t="s">
        <v>89</v>
      </c>
      <c r="E8" t="s">
        <v>46</v>
      </c>
      <c r="F8">
        <v>41640.340277777781</v>
      </c>
      <c r="G8">
        <v>41640.34652777778</v>
      </c>
      <c r="J8">
        <v>0</v>
      </c>
      <c r="K8">
        <v>0</v>
      </c>
      <c r="M8">
        <v>5</v>
      </c>
      <c r="N8">
        <v>0</v>
      </c>
    </row>
    <row r="9" spans="1:14" x14ac:dyDescent="0.3">
      <c r="A9">
        <v>41640.327777777777</v>
      </c>
      <c r="B9">
        <v>960</v>
      </c>
      <c r="C9">
        <v>41640.011111111111</v>
      </c>
      <c r="D9" t="s">
        <v>65</v>
      </c>
      <c r="E9" t="s">
        <v>46</v>
      </c>
      <c r="F9">
        <v>41640.328472222223</v>
      </c>
      <c r="G9">
        <v>41640.339583333334</v>
      </c>
      <c r="J9">
        <v>0</v>
      </c>
      <c r="K9">
        <v>0</v>
      </c>
      <c r="M9">
        <v>6</v>
      </c>
      <c r="N9">
        <v>5</v>
      </c>
    </row>
    <row r="10" spans="1:14" x14ac:dyDescent="0.3">
      <c r="A10">
        <v>41640.345138888886</v>
      </c>
      <c r="B10">
        <v>4200</v>
      </c>
      <c r="C10">
        <v>41640.054861111108</v>
      </c>
      <c r="D10" t="s">
        <v>47</v>
      </c>
      <c r="E10" t="s">
        <v>63</v>
      </c>
      <c r="F10">
        <v>41640.350694444445</v>
      </c>
      <c r="G10">
        <v>41640.399305555555</v>
      </c>
      <c r="J10">
        <v>0</v>
      </c>
      <c r="K10">
        <v>0</v>
      </c>
      <c r="M10">
        <v>10</v>
      </c>
      <c r="N10">
        <v>1</v>
      </c>
    </row>
    <row r="11" spans="1:14" x14ac:dyDescent="0.3">
      <c r="A11">
        <v>41640.347222222219</v>
      </c>
      <c r="B11">
        <v>3240</v>
      </c>
      <c r="C11">
        <v>41640.037499999999</v>
      </c>
      <c r="D11" t="s">
        <v>100</v>
      </c>
      <c r="E11" t="s">
        <v>48</v>
      </c>
      <c r="F11">
        <v>41640.35</v>
      </c>
      <c r="G11">
        <v>41640.387499999997</v>
      </c>
      <c r="J11">
        <v>0</v>
      </c>
      <c r="K11">
        <v>0</v>
      </c>
      <c r="M11">
        <v>38</v>
      </c>
      <c r="N11">
        <v>4</v>
      </c>
    </row>
    <row r="12" spans="1:14" x14ac:dyDescent="0.3">
      <c r="A12">
        <v>41640.347916666666</v>
      </c>
      <c r="B12">
        <v>3840</v>
      </c>
      <c r="C12">
        <v>41640.046527777777</v>
      </c>
      <c r="D12" t="s">
        <v>47</v>
      </c>
      <c r="E12" t="s">
        <v>64</v>
      </c>
      <c r="F12">
        <v>41640.350694444445</v>
      </c>
      <c r="G12">
        <v>41640.395138888889</v>
      </c>
      <c r="J12">
        <v>0</v>
      </c>
      <c r="K12">
        <v>0</v>
      </c>
      <c r="M12">
        <v>37</v>
      </c>
      <c r="N12">
        <v>6</v>
      </c>
    </row>
    <row r="13" spans="1:14" x14ac:dyDescent="0.3">
      <c r="A13">
        <v>41640.349305555559</v>
      </c>
      <c r="B13">
        <v>4800</v>
      </c>
      <c r="C13">
        <v>41640.055555555555</v>
      </c>
      <c r="D13" t="s">
        <v>101</v>
      </c>
      <c r="E13" t="s">
        <v>46</v>
      </c>
      <c r="F13">
        <v>41640.35833333333</v>
      </c>
      <c r="G13">
        <v>41640.413888888892</v>
      </c>
      <c r="J13">
        <v>0</v>
      </c>
      <c r="K13">
        <v>0</v>
      </c>
      <c r="M13">
        <v>33</v>
      </c>
      <c r="N13">
        <v>5</v>
      </c>
    </row>
    <row r="14" spans="1:14" x14ac:dyDescent="0.3">
      <c r="A14">
        <v>41640.354861111111</v>
      </c>
      <c r="B14">
        <v>1860</v>
      </c>
      <c r="C14">
        <v>41640.023611111108</v>
      </c>
      <c r="D14" t="s">
        <v>102</v>
      </c>
      <c r="E14" t="s">
        <v>45</v>
      </c>
      <c r="F14">
        <v>41640.37222222222</v>
      </c>
      <c r="G14">
        <v>41640.393750000003</v>
      </c>
      <c r="J14">
        <v>0</v>
      </c>
      <c r="K14">
        <v>0</v>
      </c>
      <c r="M14">
        <v>39</v>
      </c>
      <c r="N14">
        <v>0</v>
      </c>
    </row>
    <row r="15" spans="1:14" x14ac:dyDescent="0.3">
      <c r="A15">
        <v>41640.354861111111</v>
      </c>
      <c r="B15">
        <v>3780</v>
      </c>
      <c r="C15">
        <v>41640.048611111109</v>
      </c>
      <c r="D15" t="s">
        <v>103</v>
      </c>
      <c r="E15" t="s">
        <v>49</v>
      </c>
      <c r="F15">
        <v>41640.357638888891</v>
      </c>
      <c r="G15">
        <v>41640.401388888888</v>
      </c>
      <c r="J15">
        <v>0</v>
      </c>
      <c r="K15">
        <v>0</v>
      </c>
      <c r="M15">
        <v>11</v>
      </c>
      <c r="N15">
        <v>2</v>
      </c>
    </row>
    <row r="16" spans="1:14" x14ac:dyDescent="0.3">
      <c r="A16">
        <v>41640.395833333336</v>
      </c>
      <c r="B16">
        <v>1740</v>
      </c>
      <c r="C16">
        <v>41640.020138888889</v>
      </c>
      <c r="D16" t="s">
        <v>60</v>
      </c>
      <c r="E16" t="s">
        <v>47</v>
      </c>
      <c r="F16">
        <v>41640.399305555555</v>
      </c>
      <c r="G16">
        <v>41640.419444444444</v>
      </c>
      <c r="J16">
        <v>0</v>
      </c>
      <c r="K16">
        <v>0</v>
      </c>
      <c r="M16">
        <v>12</v>
      </c>
      <c r="N16">
        <v>3</v>
      </c>
    </row>
    <row r="17" spans="1:14" x14ac:dyDescent="0.3">
      <c r="A17">
        <v>41640.413194444445</v>
      </c>
      <c r="B17">
        <v>1980</v>
      </c>
      <c r="C17">
        <v>41640.032638888886</v>
      </c>
      <c r="D17" t="s">
        <v>46</v>
      </c>
      <c r="E17" t="s">
        <v>101</v>
      </c>
      <c r="F17">
        <v>41640.420138888891</v>
      </c>
      <c r="G17">
        <v>41640.443055555559</v>
      </c>
      <c r="J17">
        <v>0</v>
      </c>
      <c r="K17">
        <v>0</v>
      </c>
      <c r="M17">
        <v>34</v>
      </c>
      <c r="N17">
        <v>0</v>
      </c>
    </row>
    <row r="18" spans="1:14" x14ac:dyDescent="0.3">
      <c r="A18">
        <v>41640.42291666667</v>
      </c>
      <c r="B18">
        <v>2460</v>
      </c>
      <c r="C18">
        <v>41640.034722222219</v>
      </c>
      <c r="D18" t="s">
        <v>47</v>
      </c>
      <c r="E18" t="s">
        <v>60</v>
      </c>
      <c r="F18">
        <v>41640.436111111114</v>
      </c>
      <c r="G18">
        <v>41640.464583333334</v>
      </c>
      <c r="J18">
        <v>0</v>
      </c>
      <c r="K18">
        <v>0</v>
      </c>
      <c r="M18">
        <v>26</v>
      </c>
      <c r="N18">
        <v>4</v>
      </c>
    </row>
    <row r="19" spans="1:14" x14ac:dyDescent="0.3">
      <c r="A19">
        <v>41640.429861111108</v>
      </c>
      <c r="B19">
        <v>3120</v>
      </c>
      <c r="C19">
        <v>41640.043749999997</v>
      </c>
      <c r="D19" t="s">
        <v>104</v>
      </c>
      <c r="E19" t="s">
        <v>46</v>
      </c>
      <c r="F19">
        <v>41640.443749999999</v>
      </c>
      <c r="G19">
        <v>41640.479861111111</v>
      </c>
      <c r="J19">
        <v>0</v>
      </c>
      <c r="K19">
        <v>0</v>
      </c>
      <c r="M19">
        <v>20</v>
      </c>
      <c r="N19">
        <v>6</v>
      </c>
    </row>
    <row r="20" spans="1:14" x14ac:dyDescent="0.3">
      <c r="A20">
        <v>41640.434027777781</v>
      </c>
      <c r="B20">
        <v>2400</v>
      </c>
      <c r="C20">
        <v>41640.045138888891</v>
      </c>
      <c r="D20" t="s">
        <v>46</v>
      </c>
      <c r="E20" t="s">
        <v>105</v>
      </c>
      <c r="F20">
        <v>41640.448611111111</v>
      </c>
      <c r="G20">
        <v>41640.476388888892</v>
      </c>
      <c r="J20">
        <v>0</v>
      </c>
      <c r="K20">
        <v>0</v>
      </c>
      <c r="M20">
        <v>22</v>
      </c>
      <c r="N20">
        <v>3</v>
      </c>
    </row>
    <row r="21" spans="1:14" x14ac:dyDescent="0.3">
      <c r="A21">
        <v>41640.447916666664</v>
      </c>
      <c r="B21">
        <v>1980</v>
      </c>
      <c r="C21">
        <v>41640.025000000001</v>
      </c>
      <c r="D21" t="s">
        <v>106</v>
      </c>
      <c r="E21" t="s">
        <v>46</v>
      </c>
      <c r="F21">
        <v>41640.45208333333</v>
      </c>
      <c r="G21">
        <v>41640.474999999999</v>
      </c>
      <c r="J21">
        <v>0</v>
      </c>
      <c r="K21">
        <v>0</v>
      </c>
      <c r="M21">
        <v>27</v>
      </c>
      <c r="N21">
        <v>2</v>
      </c>
    </row>
    <row r="22" spans="1:14" x14ac:dyDescent="0.3">
      <c r="A22">
        <v>41640.45416666667</v>
      </c>
      <c r="B22">
        <v>2640</v>
      </c>
      <c r="C22">
        <v>41640.031944444447</v>
      </c>
      <c r="D22" t="s">
        <v>49</v>
      </c>
      <c r="E22" t="s">
        <v>107</v>
      </c>
      <c r="F22">
        <v>41640.459027777775</v>
      </c>
      <c r="G22">
        <v>41640.489583333336</v>
      </c>
      <c r="J22">
        <v>0</v>
      </c>
      <c r="K22">
        <v>0</v>
      </c>
      <c r="M22">
        <v>36</v>
      </c>
      <c r="N22">
        <v>1</v>
      </c>
    </row>
    <row r="23" spans="1:14" x14ac:dyDescent="0.3">
      <c r="A23">
        <v>41640.458333333336</v>
      </c>
      <c r="B23">
        <v>1860</v>
      </c>
      <c r="C23">
        <v>41640.027083333334</v>
      </c>
      <c r="D23" t="s">
        <v>90</v>
      </c>
      <c r="E23" t="s">
        <v>46</v>
      </c>
      <c r="F23">
        <v>41640.477083333331</v>
      </c>
      <c r="G23">
        <v>41640.498611111114</v>
      </c>
      <c r="J23">
        <v>0</v>
      </c>
      <c r="K23">
        <v>0</v>
      </c>
      <c r="M23">
        <v>28</v>
      </c>
      <c r="N23">
        <v>0</v>
      </c>
    </row>
    <row r="24" spans="1:14" x14ac:dyDescent="0.3">
      <c r="A24">
        <v>41640.461805555555</v>
      </c>
      <c r="B24">
        <v>3600</v>
      </c>
      <c r="C24">
        <v>41640.047222222223</v>
      </c>
      <c r="D24" t="s">
        <v>51</v>
      </c>
      <c r="E24" t="s">
        <v>46</v>
      </c>
      <c r="F24">
        <v>41640.472916666666</v>
      </c>
      <c r="G24">
        <v>41640.51458333333</v>
      </c>
      <c r="J24">
        <v>0</v>
      </c>
      <c r="K24">
        <v>0</v>
      </c>
      <c r="M24">
        <v>15</v>
      </c>
      <c r="N24">
        <v>5</v>
      </c>
    </row>
    <row r="25" spans="1:14" x14ac:dyDescent="0.3">
      <c r="A25">
        <v>41640.495833333334</v>
      </c>
      <c r="B25">
        <v>1140</v>
      </c>
      <c r="C25">
        <v>41640.023611111108</v>
      </c>
      <c r="D25" t="s">
        <v>45</v>
      </c>
      <c r="E25" t="s">
        <v>102</v>
      </c>
      <c r="F25">
        <v>41640.503472222219</v>
      </c>
      <c r="G25">
        <v>41640.51666666667</v>
      </c>
      <c r="J25">
        <v>0</v>
      </c>
      <c r="K25">
        <v>0</v>
      </c>
      <c r="M25">
        <v>8</v>
      </c>
      <c r="N25">
        <v>2</v>
      </c>
    </row>
    <row r="26" spans="1:14" x14ac:dyDescent="0.3">
      <c r="A26">
        <v>41640.497916666667</v>
      </c>
      <c r="B26">
        <v>3300</v>
      </c>
      <c r="C26">
        <v>41640.048611111109</v>
      </c>
      <c r="D26" t="s">
        <v>62</v>
      </c>
      <c r="E26" t="s">
        <v>58</v>
      </c>
      <c r="F26">
        <v>41640.503472222219</v>
      </c>
      <c r="G26">
        <v>41640.541666666664</v>
      </c>
      <c r="J26">
        <v>0</v>
      </c>
      <c r="K26">
        <v>0</v>
      </c>
      <c r="M26">
        <v>17</v>
      </c>
      <c r="N26">
        <v>4</v>
      </c>
    </row>
    <row r="27" spans="1:14" x14ac:dyDescent="0.3">
      <c r="A27">
        <v>41640.51458333333</v>
      </c>
      <c r="B27">
        <v>720</v>
      </c>
      <c r="C27">
        <v>41640.013194444444</v>
      </c>
      <c r="D27" t="s">
        <v>47</v>
      </c>
      <c r="E27" t="s">
        <v>62</v>
      </c>
      <c r="F27">
        <v>41640.526388888888</v>
      </c>
      <c r="G27">
        <v>41640.534722222219</v>
      </c>
      <c r="J27">
        <v>0</v>
      </c>
      <c r="K27">
        <v>0</v>
      </c>
      <c r="M27">
        <v>82</v>
      </c>
      <c r="N27">
        <v>6</v>
      </c>
    </row>
    <row r="28" spans="1:14" x14ac:dyDescent="0.3">
      <c r="A28">
        <v>41640.517361111109</v>
      </c>
      <c r="B28">
        <v>2280</v>
      </c>
      <c r="C28">
        <v>41640.026388888888</v>
      </c>
      <c r="D28" t="s">
        <v>53</v>
      </c>
      <c r="E28" t="s">
        <v>91</v>
      </c>
      <c r="F28">
        <v>41640.536111111112</v>
      </c>
      <c r="G28">
        <v>41640.5625</v>
      </c>
      <c r="J28">
        <v>0</v>
      </c>
      <c r="K28">
        <v>0</v>
      </c>
      <c r="M28">
        <v>68</v>
      </c>
      <c r="N28">
        <v>3</v>
      </c>
    </row>
    <row r="29" spans="1:14" x14ac:dyDescent="0.3">
      <c r="A29">
        <v>41640.518750000003</v>
      </c>
      <c r="B29">
        <v>1680</v>
      </c>
      <c r="C29">
        <v>41640.019444444442</v>
      </c>
      <c r="D29" t="s">
        <v>50</v>
      </c>
      <c r="E29" t="s">
        <v>67</v>
      </c>
      <c r="F29">
        <v>41640.524305555555</v>
      </c>
      <c r="G29">
        <v>41640.543749999997</v>
      </c>
      <c r="J29">
        <v>0</v>
      </c>
      <c r="K29">
        <v>0</v>
      </c>
      <c r="M29">
        <v>100</v>
      </c>
      <c r="N29">
        <v>1</v>
      </c>
    </row>
    <row r="30" spans="1:14" x14ac:dyDescent="0.3">
      <c r="A30">
        <v>41640.524305555555</v>
      </c>
      <c r="B30">
        <v>2400</v>
      </c>
      <c r="C30">
        <v>41640.027777777781</v>
      </c>
      <c r="D30" t="s">
        <v>108</v>
      </c>
      <c r="E30" t="s">
        <v>48</v>
      </c>
      <c r="F30">
        <v>41640.526388888888</v>
      </c>
      <c r="G30">
        <v>41640.554166666669</v>
      </c>
      <c r="J30">
        <v>0</v>
      </c>
      <c r="K30">
        <v>0</v>
      </c>
      <c r="M30">
        <v>50</v>
      </c>
      <c r="N30">
        <v>0</v>
      </c>
    </row>
    <row r="31" spans="1:14" x14ac:dyDescent="0.3">
      <c r="A31">
        <v>41640.538194444445</v>
      </c>
      <c r="B31">
        <v>1020</v>
      </c>
      <c r="C31">
        <v>41640.022916666669</v>
      </c>
      <c r="D31" t="s">
        <v>56</v>
      </c>
      <c r="E31" t="s">
        <v>109</v>
      </c>
      <c r="F31">
        <v>41640.543055555558</v>
      </c>
      <c r="G31">
        <v>41640.554861111108</v>
      </c>
      <c r="J31">
        <v>0</v>
      </c>
      <c r="K31">
        <v>0</v>
      </c>
      <c r="M31">
        <v>84</v>
      </c>
      <c r="N31">
        <v>2</v>
      </c>
    </row>
    <row r="32" spans="1:14" x14ac:dyDescent="0.3">
      <c r="A32">
        <v>41640.546527777777</v>
      </c>
      <c r="B32">
        <v>1320</v>
      </c>
      <c r="C32">
        <v>41640.020833333336</v>
      </c>
      <c r="D32" t="s">
        <v>110</v>
      </c>
      <c r="E32" t="s">
        <v>49</v>
      </c>
      <c r="F32">
        <v>41640.550000000003</v>
      </c>
      <c r="G32">
        <v>41640.56527777778</v>
      </c>
      <c r="J32">
        <v>0</v>
      </c>
      <c r="K32">
        <v>0</v>
      </c>
      <c r="M32">
        <v>115</v>
      </c>
      <c r="N32">
        <v>6</v>
      </c>
    </row>
    <row r="33" spans="1:14" x14ac:dyDescent="0.3">
      <c r="A33">
        <v>41640.560416666667</v>
      </c>
      <c r="B33">
        <v>1140</v>
      </c>
      <c r="C33">
        <v>41640.017361111109</v>
      </c>
      <c r="D33" t="s">
        <v>111</v>
      </c>
      <c r="E33" t="s">
        <v>46</v>
      </c>
      <c r="F33">
        <v>41640.567361111112</v>
      </c>
      <c r="G33">
        <v>41640.580555555556</v>
      </c>
      <c r="J33">
        <v>0</v>
      </c>
      <c r="K33">
        <v>0</v>
      </c>
      <c r="M33">
        <v>101</v>
      </c>
      <c r="N33">
        <v>5</v>
      </c>
    </row>
    <row r="34" spans="1:14" x14ac:dyDescent="0.3">
      <c r="A34">
        <v>41640.563194444447</v>
      </c>
      <c r="B34">
        <v>1020</v>
      </c>
      <c r="C34">
        <v>41640.011805555558</v>
      </c>
      <c r="D34" t="s">
        <v>109</v>
      </c>
      <c r="E34" t="s">
        <v>112</v>
      </c>
      <c r="F34">
        <v>41640.565972222219</v>
      </c>
      <c r="G34">
        <v>41640.577777777777</v>
      </c>
      <c r="J34">
        <v>0</v>
      </c>
      <c r="K34">
        <v>0</v>
      </c>
      <c r="M34">
        <v>109</v>
      </c>
      <c r="N34">
        <v>1</v>
      </c>
    </row>
    <row r="35" spans="1:14" x14ac:dyDescent="0.3">
      <c r="A35">
        <v>41640.577777777777</v>
      </c>
      <c r="B35">
        <v>780</v>
      </c>
      <c r="C35">
        <v>41640.012499999997</v>
      </c>
      <c r="D35" t="s">
        <v>49</v>
      </c>
      <c r="E35" t="s">
        <v>113</v>
      </c>
      <c r="F35">
        <v>41640.578472222223</v>
      </c>
      <c r="G35">
        <v>41640.587500000001</v>
      </c>
      <c r="J35">
        <v>0</v>
      </c>
      <c r="K35">
        <v>0</v>
      </c>
      <c r="M35">
        <v>106</v>
      </c>
      <c r="N35">
        <v>2</v>
      </c>
    </row>
    <row r="36" spans="1:14" x14ac:dyDescent="0.3">
      <c r="A36">
        <v>41640.581250000003</v>
      </c>
      <c r="B36">
        <v>2220</v>
      </c>
      <c r="C36">
        <v>41640.025694444441</v>
      </c>
      <c r="D36" t="s">
        <v>52</v>
      </c>
      <c r="E36" t="s">
        <v>114</v>
      </c>
      <c r="F36">
        <v>41640.583333333336</v>
      </c>
      <c r="G36">
        <v>41640.609027777777</v>
      </c>
      <c r="J36">
        <v>0</v>
      </c>
      <c r="K36">
        <v>0</v>
      </c>
      <c r="M36">
        <v>76</v>
      </c>
      <c r="N36">
        <v>0</v>
      </c>
    </row>
    <row r="37" spans="1:14" x14ac:dyDescent="0.3">
      <c r="A37">
        <v>41640.586111111108</v>
      </c>
      <c r="B37">
        <v>1560</v>
      </c>
      <c r="C37">
        <v>41640.025000000001</v>
      </c>
      <c r="D37" t="s">
        <v>115</v>
      </c>
      <c r="E37" t="s">
        <v>116</v>
      </c>
      <c r="F37">
        <v>41640.602777777778</v>
      </c>
      <c r="G37">
        <v>41640.620833333334</v>
      </c>
      <c r="J37">
        <v>0</v>
      </c>
      <c r="K37">
        <v>0</v>
      </c>
      <c r="M37">
        <v>71</v>
      </c>
      <c r="N37">
        <v>6</v>
      </c>
    </row>
    <row r="38" spans="1:14" x14ac:dyDescent="0.3">
      <c r="A38">
        <v>41640.587500000001</v>
      </c>
      <c r="B38">
        <v>1560</v>
      </c>
      <c r="C38">
        <v>41640.018055555556</v>
      </c>
      <c r="D38" t="s">
        <v>45</v>
      </c>
      <c r="E38" t="s">
        <v>117</v>
      </c>
      <c r="F38">
        <v>41640.592361111114</v>
      </c>
      <c r="G38">
        <v>41640.61041666667</v>
      </c>
      <c r="J38">
        <v>0</v>
      </c>
      <c r="K38">
        <v>0</v>
      </c>
      <c r="M38">
        <v>113</v>
      </c>
      <c r="N38">
        <v>1</v>
      </c>
    </row>
    <row r="39" spans="1:14" x14ac:dyDescent="0.3">
      <c r="A39">
        <v>41640.588194444441</v>
      </c>
      <c r="B39">
        <v>900</v>
      </c>
      <c r="C39">
        <v>41640.029861111114</v>
      </c>
      <c r="D39" t="s">
        <v>49</v>
      </c>
      <c r="E39" t="s">
        <v>110</v>
      </c>
      <c r="F39">
        <v>41640.589583333334</v>
      </c>
      <c r="G39">
        <v>41640.6</v>
      </c>
      <c r="J39">
        <v>0</v>
      </c>
      <c r="K39">
        <v>0</v>
      </c>
      <c r="M39">
        <v>49</v>
      </c>
      <c r="N39">
        <v>3</v>
      </c>
    </row>
    <row r="40" spans="1:14" x14ac:dyDescent="0.3">
      <c r="A40">
        <v>41640.590277777781</v>
      </c>
      <c r="B40">
        <v>1620</v>
      </c>
      <c r="C40">
        <v>41640.019444444442</v>
      </c>
      <c r="D40" t="s">
        <v>118</v>
      </c>
      <c r="E40" t="s">
        <v>119</v>
      </c>
      <c r="F40">
        <v>41640.597916666666</v>
      </c>
      <c r="G40">
        <v>41640.616666666669</v>
      </c>
      <c r="J40">
        <v>0</v>
      </c>
      <c r="K40">
        <v>0</v>
      </c>
      <c r="M40">
        <v>88</v>
      </c>
      <c r="N40">
        <v>4</v>
      </c>
    </row>
    <row r="41" spans="1:14" x14ac:dyDescent="0.3">
      <c r="A41">
        <v>41640.594444444447</v>
      </c>
      <c r="B41">
        <v>1920</v>
      </c>
      <c r="C41">
        <v>41640.026388888888</v>
      </c>
      <c r="D41" t="s">
        <v>92</v>
      </c>
      <c r="E41" t="s">
        <v>46</v>
      </c>
      <c r="F41">
        <v>41640.603472222225</v>
      </c>
      <c r="G41">
        <v>41640.625694444447</v>
      </c>
      <c r="J41">
        <v>0</v>
      </c>
      <c r="K41">
        <v>0</v>
      </c>
      <c r="M41">
        <v>85</v>
      </c>
      <c r="N41">
        <v>2</v>
      </c>
    </row>
    <row r="42" spans="1:14" x14ac:dyDescent="0.3">
      <c r="A42">
        <v>41640.597916666666</v>
      </c>
      <c r="B42">
        <v>1020</v>
      </c>
      <c r="C42">
        <v>41640.018750000003</v>
      </c>
      <c r="D42" t="s">
        <v>119</v>
      </c>
      <c r="E42" t="s">
        <v>120</v>
      </c>
      <c r="F42">
        <v>41640.602777777778</v>
      </c>
      <c r="G42">
        <v>41640.614583333336</v>
      </c>
      <c r="J42">
        <v>0</v>
      </c>
      <c r="K42">
        <v>0</v>
      </c>
      <c r="M42">
        <v>112</v>
      </c>
      <c r="N42">
        <v>5</v>
      </c>
    </row>
    <row r="43" spans="1:14" x14ac:dyDescent="0.3">
      <c r="A43">
        <v>41640.625</v>
      </c>
      <c r="B43">
        <v>2520</v>
      </c>
      <c r="C43">
        <v>41640.029861111114</v>
      </c>
      <c r="D43" t="s">
        <v>46</v>
      </c>
      <c r="E43" t="s">
        <v>92</v>
      </c>
      <c r="F43">
        <v>41640.636111111111</v>
      </c>
      <c r="G43">
        <v>41640.665277777778</v>
      </c>
      <c r="J43">
        <v>0</v>
      </c>
      <c r="K43">
        <v>0</v>
      </c>
      <c r="M43">
        <v>46</v>
      </c>
      <c r="N43">
        <v>4</v>
      </c>
    </row>
    <row r="44" spans="1:14" x14ac:dyDescent="0.3">
      <c r="A44">
        <v>41640.625694444447</v>
      </c>
      <c r="B44">
        <v>1740</v>
      </c>
      <c r="C44">
        <v>41640.020833333336</v>
      </c>
      <c r="D44" t="s">
        <v>66</v>
      </c>
      <c r="E44" t="s">
        <v>49</v>
      </c>
      <c r="F44">
        <v>41640.631944444445</v>
      </c>
      <c r="G44">
        <v>41640.652083333334</v>
      </c>
      <c r="J44">
        <v>0</v>
      </c>
      <c r="K44">
        <v>0</v>
      </c>
      <c r="M44">
        <v>92</v>
      </c>
      <c r="N44">
        <v>1</v>
      </c>
    </row>
    <row r="45" spans="1:14" x14ac:dyDescent="0.3">
      <c r="A45">
        <v>41640.629166666666</v>
      </c>
      <c r="B45">
        <v>1560</v>
      </c>
      <c r="C45">
        <v>41640.018055555556</v>
      </c>
      <c r="D45" t="s">
        <v>54</v>
      </c>
      <c r="E45" t="s">
        <v>121</v>
      </c>
      <c r="F45">
        <v>41640.642361111109</v>
      </c>
      <c r="G45">
        <v>41640.660416666666</v>
      </c>
      <c r="J45">
        <v>0</v>
      </c>
      <c r="K45">
        <v>0</v>
      </c>
      <c r="M45">
        <v>79</v>
      </c>
      <c r="N45">
        <v>3</v>
      </c>
    </row>
    <row r="46" spans="1:14" x14ac:dyDescent="0.3">
      <c r="A46">
        <v>41640.633333333331</v>
      </c>
      <c r="B46">
        <v>1140</v>
      </c>
      <c r="C46">
        <v>41640.027083333334</v>
      </c>
      <c r="D46" t="s">
        <v>50</v>
      </c>
      <c r="E46" t="s">
        <v>122</v>
      </c>
      <c r="F46">
        <v>41640.634027777778</v>
      </c>
      <c r="G46">
        <v>41640.647222222222</v>
      </c>
      <c r="J46">
        <v>0</v>
      </c>
      <c r="K46">
        <v>0</v>
      </c>
      <c r="M46">
        <v>99</v>
      </c>
      <c r="N46">
        <v>5</v>
      </c>
    </row>
    <row r="47" spans="1:14" x14ac:dyDescent="0.3">
      <c r="A47">
        <v>41640.633333333331</v>
      </c>
      <c r="B47">
        <v>1740</v>
      </c>
      <c r="C47">
        <v>41640.022222222222</v>
      </c>
      <c r="D47" t="s">
        <v>55</v>
      </c>
      <c r="E47" t="s">
        <v>93</v>
      </c>
      <c r="F47">
        <v>41640.636111111111</v>
      </c>
      <c r="G47">
        <v>41640.65625</v>
      </c>
      <c r="J47">
        <v>0</v>
      </c>
      <c r="K47">
        <v>0</v>
      </c>
      <c r="M47">
        <v>56</v>
      </c>
      <c r="N47">
        <v>0</v>
      </c>
    </row>
    <row r="48" spans="1:14" x14ac:dyDescent="0.3">
      <c r="A48">
        <v>41640.645138888889</v>
      </c>
      <c r="B48">
        <v>300</v>
      </c>
      <c r="C48">
        <v>41640.011111111111</v>
      </c>
      <c r="D48" t="s">
        <v>49</v>
      </c>
      <c r="E48" t="s">
        <v>123</v>
      </c>
      <c r="F48">
        <v>41640.645833333336</v>
      </c>
      <c r="G48">
        <v>41640.649305555555</v>
      </c>
      <c r="J48">
        <v>0</v>
      </c>
      <c r="K48">
        <v>0</v>
      </c>
      <c r="M48">
        <v>91</v>
      </c>
      <c r="N48">
        <v>6</v>
      </c>
    </row>
    <row r="49" spans="1:14" x14ac:dyDescent="0.3">
      <c r="A49">
        <v>41640.647916666669</v>
      </c>
      <c r="B49">
        <v>4440</v>
      </c>
      <c r="C49">
        <v>41640.052083333336</v>
      </c>
      <c r="D49" t="s">
        <v>57</v>
      </c>
      <c r="E49" t="s">
        <v>43</v>
      </c>
      <c r="F49">
        <v>41640.658333333333</v>
      </c>
      <c r="G49">
        <v>41640.709722222222</v>
      </c>
      <c r="J49">
        <v>0</v>
      </c>
      <c r="K49">
        <v>0</v>
      </c>
      <c r="M49">
        <v>62</v>
      </c>
      <c r="N49">
        <v>2</v>
      </c>
    </row>
    <row r="50" spans="1:14" x14ac:dyDescent="0.3">
      <c r="A50">
        <v>41640.655555555553</v>
      </c>
      <c r="B50">
        <v>2520</v>
      </c>
      <c r="C50">
        <v>41640.029166666667</v>
      </c>
      <c r="D50" t="s">
        <v>124</v>
      </c>
      <c r="E50" t="s">
        <v>58</v>
      </c>
      <c r="F50">
        <v>41640.662499999999</v>
      </c>
      <c r="G50">
        <v>41640.691666666666</v>
      </c>
      <c r="J50">
        <v>0</v>
      </c>
      <c r="K50">
        <v>0</v>
      </c>
      <c r="M50">
        <v>74</v>
      </c>
      <c r="N50">
        <v>6</v>
      </c>
    </row>
    <row r="51" spans="1:14" x14ac:dyDescent="0.3">
      <c r="A51">
        <v>41640.665972222225</v>
      </c>
      <c r="B51">
        <v>2400</v>
      </c>
      <c r="C51">
        <v>41640.035416666666</v>
      </c>
      <c r="D51" t="s">
        <v>57</v>
      </c>
      <c r="E51" t="s">
        <v>58</v>
      </c>
      <c r="F51">
        <v>41640.675694444442</v>
      </c>
      <c r="G51">
        <v>41640.703472222223</v>
      </c>
      <c r="J51">
        <v>0</v>
      </c>
      <c r="K51">
        <v>0</v>
      </c>
      <c r="M51">
        <v>94</v>
      </c>
      <c r="N51">
        <v>5</v>
      </c>
    </row>
    <row r="52" spans="1:14" x14ac:dyDescent="0.3">
      <c r="A52">
        <v>41640.668749999997</v>
      </c>
      <c r="B52">
        <v>2940</v>
      </c>
      <c r="C52">
        <v>41640.038888888892</v>
      </c>
      <c r="D52" t="s">
        <v>46</v>
      </c>
      <c r="E52" t="s">
        <v>125</v>
      </c>
      <c r="F52">
        <v>41640.675694444442</v>
      </c>
      <c r="G52">
        <v>41640.709722222222</v>
      </c>
      <c r="J52">
        <v>0</v>
      </c>
      <c r="K52">
        <v>0</v>
      </c>
      <c r="M52">
        <v>140</v>
      </c>
      <c r="N52">
        <v>1</v>
      </c>
    </row>
    <row r="53" spans="1:14" x14ac:dyDescent="0.3">
      <c r="A53">
        <v>41640.677083333336</v>
      </c>
      <c r="B53">
        <v>2880</v>
      </c>
      <c r="C53">
        <v>41640.045138888891</v>
      </c>
      <c r="D53" t="s">
        <v>126</v>
      </c>
      <c r="E53" t="s">
        <v>59</v>
      </c>
      <c r="F53">
        <v>41640.694444444445</v>
      </c>
      <c r="G53">
        <v>41640.727777777778</v>
      </c>
      <c r="J53">
        <v>0</v>
      </c>
      <c r="K53">
        <v>0</v>
      </c>
      <c r="M53">
        <v>129</v>
      </c>
      <c r="N53">
        <v>3</v>
      </c>
    </row>
    <row r="54" spans="1:14" x14ac:dyDescent="0.3">
      <c r="A54">
        <v>41640.677777777775</v>
      </c>
      <c r="B54">
        <v>3060</v>
      </c>
      <c r="C54">
        <v>41640.043055555558</v>
      </c>
      <c r="D54" t="s">
        <v>49</v>
      </c>
      <c r="E54" t="s">
        <v>127</v>
      </c>
      <c r="F54">
        <v>41640.6875</v>
      </c>
      <c r="G54">
        <v>41640.722916666666</v>
      </c>
      <c r="J54">
        <v>0</v>
      </c>
      <c r="K54">
        <v>0</v>
      </c>
      <c r="M54">
        <v>119</v>
      </c>
      <c r="N54">
        <v>0</v>
      </c>
    </row>
    <row r="55" spans="1:14" x14ac:dyDescent="0.3">
      <c r="A55">
        <v>41640.693749999999</v>
      </c>
      <c r="B55">
        <v>1800</v>
      </c>
      <c r="C55">
        <v>41640.021527777775</v>
      </c>
      <c r="D55" t="s">
        <v>57</v>
      </c>
      <c r="E55" t="s">
        <v>94</v>
      </c>
      <c r="F55">
        <v>41640.695833333331</v>
      </c>
      <c r="G55">
        <v>41640.716666666667</v>
      </c>
      <c r="J55">
        <v>0</v>
      </c>
      <c r="K55">
        <v>0</v>
      </c>
      <c r="M55">
        <v>127</v>
      </c>
      <c r="N55">
        <v>4</v>
      </c>
    </row>
    <row r="56" spans="1:14" x14ac:dyDescent="0.3">
      <c r="A56">
        <v>41640.706250000003</v>
      </c>
      <c r="B56">
        <v>2700</v>
      </c>
      <c r="C56">
        <v>41640.053472222222</v>
      </c>
      <c r="D56" t="s">
        <v>128</v>
      </c>
      <c r="E56" t="s">
        <v>56</v>
      </c>
      <c r="F56">
        <v>41640.945833333331</v>
      </c>
      <c r="G56">
        <v>41640.977083333331</v>
      </c>
      <c r="J56">
        <v>0</v>
      </c>
      <c r="K56">
        <v>0</v>
      </c>
      <c r="M56">
        <v>123</v>
      </c>
      <c r="N56">
        <v>2</v>
      </c>
    </row>
    <row r="57" spans="1:14" x14ac:dyDescent="0.3">
      <c r="A57">
        <v>41640.711805555555</v>
      </c>
      <c r="B57">
        <v>3240</v>
      </c>
      <c r="C57">
        <v>41640.038194444445</v>
      </c>
      <c r="D57" t="s">
        <v>109</v>
      </c>
      <c r="E57" t="s">
        <v>68</v>
      </c>
      <c r="F57">
        <v>41640.748611111114</v>
      </c>
      <c r="G57">
        <v>41640.786111111112</v>
      </c>
      <c r="J57">
        <v>0</v>
      </c>
      <c r="K57">
        <v>0</v>
      </c>
      <c r="M57">
        <v>128</v>
      </c>
      <c r="N57">
        <v>6</v>
      </c>
    </row>
    <row r="58" spans="1:14" x14ac:dyDescent="0.3">
      <c r="A58">
        <v>41640.72152777778</v>
      </c>
      <c r="B58">
        <v>540</v>
      </c>
      <c r="C58">
        <v>41640.011805555558</v>
      </c>
      <c r="D58" t="s">
        <v>49</v>
      </c>
      <c r="E58" t="s">
        <v>129</v>
      </c>
      <c r="F58">
        <v>41640.956944444442</v>
      </c>
      <c r="G58">
        <v>41640.963194444441</v>
      </c>
      <c r="J58">
        <v>0</v>
      </c>
      <c r="K58">
        <v>0</v>
      </c>
      <c r="M58">
        <v>131</v>
      </c>
      <c r="N58">
        <v>1</v>
      </c>
    </row>
    <row r="59" spans="1:14" x14ac:dyDescent="0.3">
      <c r="A59">
        <v>41640.734027777777</v>
      </c>
      <c r="B59">
        <v>1980</v>
      </c>
      <c r="C59">
        <v>41640.02847222222</v>
      </c>
      <c r="D59" t="s">
        <v>46</v>
      </c>
      <c r="E59" t="s">
        <v>95</v>
      </c>
      <c r="F59">
        <v>41640.936805555553</v>
      </c>
      <c r="G59">
        <v>41640.959722222222</v>
      </c>
      <c r="J59">
        <v>0</v>
      </c>
      <c r="K59">
        <v>0</v>
      </c>
      <c r="M59">
        <v>133</v>
      </c>
      <c r="N59">
        <v>0</v>
      </c>
    </row>
    <row r="60" spans="1:14" x14ac:dyDescent="0.3">
      <c r="A60">
        <v>41640.73541666667</v>
      </c>
      <c r="B60">
        <v>4560</v>
      </c>
      <c r="C60">
        <v>41640.053472222222</v>
      </c>
      <c r="D60" t="s">
        <v>130</v>
      </c>
      <c r="E60" t="s">
        <v>93</v>
      </c>
      <c r="F60">
        <v>41640.739583333336</v>
      </c>
      <c r="G60">
        <v>41640.792361111111</v>
      </c>
      <c r="J60">
        <v>0</v>
      </c>
      <c r="K60">
        <v>0</v>
      </c>
      <c r="M60">
        <v>125</v>
      </c>
      <c r="N60">
        <v>5</v>
      </c>
    </row>
    <row r="61" spans="1:14" x14ac:dyDescent="0.3">
      <c r="A61">
        <v>41640.736805555556</v>
      </c>
      <c r="B61">
        <v>4320</v>
      </c>
      <c r="C61">
        <v>41640.056250000001</v>
      </c>
      <c r="D61" t="s">
        <v>131</v>
      </c>
      <c r="E61" t="s">
        <v>132</v>
      </c>
      <c r="F61">
        <v>41640.75</v>
      </c>
      <c r="G61">
        <v>41640.800000000003</v>
      </c>
      <c r="J61">
        <v>0</v>
      </c>
      <c r="K61">
        <v>0</v>
      </c>
      <c r="M61">
        <v>136</v>
      </c>
      <c r="N61">
        <v>4</v>
      </c>
    </row>
    <row r="62" spans="1:14" x14ac:dyDescent="0.3">
      <c r="A62">
        <v>41640.743750000001</v>
      </c>
      <c r="B62">
        <v>1920</v>
      </c>
      <c r="C62">
        <v>41640.032638888886</v>
      </c>
      <c r="D62" t="s">
        <v>49</v>
      </c>
      <c r="E62" t="s">
        <v>133</v>
      </c>
      <c r="F62">
        <v>41640.775694444441</v>
      </c>
      <c r="G62">
        <v>41640.79791666667</v>
      </c>
      <c r="J62">
        <v>0</v>
      </c>
      <c r="K62">
        <v>0</v>
      </c>
      <c r="M62">
        <v>132</v>
      </c>
      <c r="N62">
        <v>3</v>
      </c>
    </row>
    <row r="63" spans="1:14" x14ac:dyDescent="0.3">
      <c r="A63">
        <v>41640.74722222222</v>
      </c>
      <c r="B63">
        <v>4080</v>
      </c>
      <c r="C63">
        <v>41640.04791666667</v>
      </c>
      <c r="D63" t="s">
        <v>134</v>
      </c>
      <c r="E63" t="s">
        <v>135</v>
      </c>
      <c r="F63">
        <v>41640.75277777778</v>
      </c>
      <c r="G63">
        <v>41640.800000000003</v>
      </c>
      <c r="J63">
        <v>0</v>
      </c>
      <c r="K63">
        <v>0</v>
      </c>
      <c r="M63">
        <v>118</v>
      </c>
      <c r="N63">
        <v>1</v>
      </c>
    </row>
    <row r="64" spans="1:14" x14ac:dyDescent="0.3">
      <c r="A64">
        <v>41640.760416666664</v>
      </c>
      <c r="B64">
        <v>2640</v>
      </c>
      <c r="C64">
        <v>41640.034722222219</v>
      </c>
      <c r="D64" t="s">
        <v>136</v>
      </c>
      <c r="E64" t="s">
        <v>46</v>
      </c>
      <c r="F64">
        <v>41640.773611111108</v>
      </c>
      <c r="G64">
        <v>41640.804166666669</v>
      </c>
      <c r="J64">
        <v>0</v>
      </c>
      <c r="K64">
        <v>0</v>
      </c>
      <c r="M64">
        <v>124</v>
      </c>
      <c r="N64">
        <v>0</v>
      </c>
    </row>
    <row r="65" spans="1:14" x14ac:dyDescent="0.3">
      <c r="A65">
        <v>41640.761111111111</v>
      </c>
      <c r="B65">
        <v>4020</v>
      </c>
      <c r="C65">
        <v>41640.049305555556</v>
      </c>
      <c r="D65" t="s">
        <v>137</v>
      </c>
      <c r="E65" t="s">
        <v>46</v>
      </c>
      <c r="F65">
        <v>41640.794444444444</v>
      </c>
      <c r="G65">
        <v>41640.84097222222</v>
      </c>
      <c r="J65">
        <v>0</v>
      </c>
      <c r="K65">
        <v>0</v>
      </c>
      <c r="M65">
        <v>138</v>
      </c>
      <c r="N65">
        <v>2</v>
      </c>
    </row>
    <row r="66" spans="1:14" x14ac:dyDescent="0.3">
      <c r="A66">
        <v>41640.79791666667</v>
      </c>
      <c r="B66">
        <v>1440</v>
      </c>
      <c r="C66">
        <v>41640.035416666666</v>
      </c>
      <c r="D66" t="s">
        <v>46</v>
      </c>
      <c r="E66" t="s">
        <v>136</v>
      </c>
      <c r="F66">
        <v>41640.936805555553</v>
      </c>
      <c r="G66">
        <v>41640.953472222223</v>
      </c>
      <c r="J66">
        <v>0</v>
      </c>
      <c r="K66">
        <v>0</v>
      </c>
      <c r="M66">
        <v>134</v>
      </c>
      <c r="N66">
        <v>6</v>
      </c>
    </row>
    <row r="67" spans="1:14" x14ac:dyDescent="0.3">
      <c r="A67">
        <v>41640.807638888888</v>
      </c>
      <c r="B67">
        <v>1500</v>
      </c>
      <c r="C67">
        <v>41640.023611111108</v>
      </c>
      <c r="D67" t="s">
        <v>49</v>
      </c>
      <c r="E67" t="s">
        <v>138</v>
      </c>
      <c r="F67">
        <v>41640.897222222222</v>
      </c>
      <c r="G67">
        <v>41640.914583333331</v>
      </c>
      <c r="J67">
        <v>0</v>
      </c>
      <c r="K67">
        <v>0</v>
      </c>
      <c r="M67">
        <v>137</v>
      </c>
      <c r="N67">
        <v>2</v>
      </c>
    </row>
    <row r="68" spans="1:14" x14ac:dyDescent="0.3">
      <c r="A68">
        <v>41640.80972222222</v>
      </c>
      <c r="B68">
        <v>2400</v>
      </c>
      <c r="C68">
        <v>41640.038888888892</v>
      </c>
      <c r="D68" t="s">
        <v>121</v>
      </c>
      <c r="E68" t="s">
        <v>93</v>
      </c>
      <c r="F68">
        <v>41640.867361111108</v>
      </c>
      <c r="G68">
        <v>41640.895138888889</v>
      </c>
      <c r="J68">
        <v>0</v>
      </c>
      <c r="K68">
        <v>0</v>
      </c>
      <c r="M68">
        <v>141</v>
      </c>
      <c r="N68">
        <v>1</v>
      </c>
    </row>
    <row r="69" spans="1:14" x14ac:dyDescent="0.3">
      <c r="A69">
        <v>41640.8125</v>
      </c>
      <c r="B69">
        <v>2700</v>
      </c>
      <c r="C69">
        <v>41640.036805555559</v>
      </c>
      <c r="D69" t="s">
        <v>46</v>
      </c>
      <c r="E69" t="s">
        <v>137</v>
      </c>
      <c r="F69">
        <v>41640.845833333333</v>
      </c>
      <c r="G69">
        <v>41640.877083333333</v>
      </c>
      <c r="J69">
        <v>0</v>
      </c>
      <c r="K69">
        <v>0</v>
      </c>
      <c r="M69">
        <v>135</v>
      </c>
      <c r="N69">
        <v>5</v>
      </c>
    </row>
    <row r="70" spans="1:14" x14ac:dyDescent="0.3">
      <c r="A70">
        <v>41640.817361111112</v>
      </c>
      <c r="B70">
        <v>4260</v>
      </c>
      <c r="C70">
        <v>41640.050000000003</v>
      </c>
      <c r="D70" t="s">
        <v>139</v>
      </c>
      <c r="E70" t="s">
        <v>46</v>
      </c>
      <c r="F70">
        <v>41640.827777777777</v>
      </c>
      <c r="G70">
        <v>41640.877083333333</v>
      </c>
      <c r="J70">
        <v>0</v>
      </c>
      <c r="K70">
        <v>0</v>
      </c>
      <c r="M70">
        <v>117</v>
      </c>
      <c r="N70">
        <v>6</v>
      </c>
    </row>
    <row r="71" spans="1:14" x14ac:dyDescent="0.3">
      <c r="A71">
        <v>41640.82708333333</v>
      </c>
      <c r="B71">
        <v>2580</v>
      </c>
      <c r="C71">
        <v>41640.030555555553</v>
      </c>
      <c r="D71" t="s">
        <v>140</v>
      </c>
      <c r="E71" t="s">
        <v>49</v>
      </c>
      <c r="F71">
        <v>41640.841666666667</v>
      </c>
      <c r="G71">
        <v>41640.871527777781</v>
      </c>
      <c r="J71">
        <v>0</v>
      </c>
      <c r="K71">
        <v>0</v>
      </c>
      <c r="M71">
        <v>142</v>
      </c>
      <c r="N71">
        <v>3</v>
      </c>
    </row>
    <row r="72" spans="1:14" x14ac:dyDescent="0.3">
      <c r="A72">
        <v>41640.837500000001</v>
      </c>
      <c r="B72">
        <v>1260</v>
      </c>
      <c r="C72">
        <v>41640.023611111108</v>
      </c>
      <c r="D72" t="s">
        <v>57</v>
      </c>
      <c r="E72" t="s">
        <v>94</v>
      </c>
      <c r="F72">
        <v>41640.841666666667</v>
      </c>
      <c r="G72">
        <v>41640.856249999997</v>
      </c>
      <c r="J72">
        <v>0</v>
      </c>
      <c r="K72">
        <v>0</v>
      </c>
      <c r="M72">
        <v>146</v>
      </c>
      <c r="N72">
        <v>0</v>
      </c>
    </row>
    <row r="73" spans="1:14" x14ac:dyDescent="0.3">
      <c r="A73">
        <v>41640.854166666664</v>
      </c>
      <c r="B73">
        <v>1380</v>
      </c>
      <c r="C73">
        <v>41640.026388888888</v>
      </c>
      <c r="D73" t="s">
        <v>57</v>
      </c>
      <c r="E73" t="s">
        <v>94</v>
      </c>
      <c r="F73">
        <v>41640.886805555558</v>
      </c>
      <c r="G73">
        <v>41640.902777777781</v>
      </c>
      <c r="J73">
        <v>0</v>
      </c>
      <c r="K73">
        <v>0</v>
      </c>
      <c r="M73">
        <v>143</v>
      </c>
      <c r="N73">
        <v>0</v>
      </c>
    </row>
    <row r="74" spans="1:14" x14ac:dyDescent="0.3">
      <c r="A74">
        <v>41640.856249999997</v>
      </c>
      <c r="B74">
        <v>4140</v>
      </c>
      <c r="C74">
        <v>41640.04791666667</v>
      </c>
      <c r="D74" t="s">
        <v>57</v>
      </c>
      <c r="E74" t="s">
        <v>44</v>
      </c>
      <c r="F74">
        <v>41640.85833333333</v>
      </c>
      <c r="G74">
        <v>41640.90625</v>
      </c>
      <c r="J74">
        <v>0</v>
      </c>
      <c r="K74">
        <v>0</v>
      </c>
      <c r="M74">
        <v>148</v>
      </c>
      <c r="N74">
        <v>4</v>
      </c>
    </row>
    <row r="75" spans="1:14" x14ac:dyDescent="0.3">
      <c r="A75">
        <v>41640.899305555555</v>
      </c>
      <c r="B75">
        <v>2940</v>
      </c>
      <c r="C75">
        <v>41640.036111111112</v>
      </c>
      <c r="D75" t="s">
        <v>57</v>
      </c>
      <c r="E75" t="s">
        <v>141</v>
      </c>
      <c r="F75">
        <v>41640.90625</v>
      </c>
      <c r="G75">
        <v>41640.94027777778</v>
      </c>
      <c r="J75">
        <v>0</v>
      </c>
      <c r="K75">
        <v>0</v>
      </c>
      <c r="M75">
        <v>147</v>
      </c>
      <c r="N75">
        <v>3</v>
      </c>
    </row>
    <row r="76" spans="1:14" x14ac:dyDescent="0.3">
      <c r="A76">
        <v>41640.912499999999</v>
      </c>
      <c r="B76">
        <v>2460</v>
      </c>
      <c r="C76">
        <v>41640.02847222222</v>
      </c>
      <c r="D76" t="s">
        <v>97</v>
      </c>
      <c r="E76" t="s">
        <v>141</v>
      </c>
      <c r="F76">
        <v>41640.955555555556</v>
      </c>
      <c r="G76">
        <v>41640.984027777777</v>
      </c>
      <c r="J76">
        <v>0</v>
      </c>
      <c r="K76">
        <v>0</v>
      </c>
      <c r="M76">
        <v>145</v>
      </c>
      <c r="N76">
        <v>5</v>
      </c>
    </row>
    <row r="77" spans="1:14" x14ac:dyDescent="0.3">
      <c r="A77">
        <v>41640.945138888892</v>
      </c>
      <c r="B77">
        <v>1020</v>
      </c>
      <c r="C77">
        <v>41640.011805555558</v>
      </c>
      <c r="D77" t="s">
        <v>96</v>
      </c>
      <c r="E77" t="s">
        <v>141</v>
      </c>
      <c r="F77">
        <v>41640.963194444441</v>
      </c>
      <c r="G77">
        <v>41640.974999999999</v>
      </c>
      <c r="J77">
        <v>0</v>
      </c>
      <c r="K77">
        <v>0</v>
      </c>
      <c r="M77">
        <v>144</v>
      </c>
      <c r="N77">
        <v>4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tabSelected="1" topLeftCell="C68" zoomScale="80" zoomScaleNormal="80" workbookViewId="0">
      <selection activeCell="S83" sqref="S83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34.5</v>
      </c>
      <c r="D2" s="5">
        <f>averageCompletionTime(Dates!D$4,Dates!D$5)</f>
        <v>16.8</v>
      </c>
      <c r="E2" s="5">
        <f>averageCompletionTime(Dates!E$4,Dates!E$5)</f>
        <v>60.333333333333336</v>
      </c>
      <c r="F2" s="5">
        <f>averageCompletionTime(Dates!F$4,Dates!F$5)</f>
        <v>31</v>
      </c>
      <c r="G2" s="5">
        <f>averageCompletionTime(Dates!G$4,Dates!G$5)</f>
        <v>42</v>
      </c>
      <c r="H2" s="5">
        <f>averageCompletionTime(Dates!H$4,Dates!H$5)</f>
        <v>41.25</v>
      </c>
      <c r="I2" s="5">
        <f>averageCompletionTime(Dates!I$4,Dates!I$5)</f>
        <v>27</v>
      </c>
      <c r="J2" s="5">
        <f>averageCompletionTime(Dates!J$4,Dates!J$5)</f>
        <v>21.6</v>
      </c>
      <c r="K2" s="5">
        <f>averageCompletionTime(Dates!K$4,Dates!K$5)</f>
        <v>23.833333333333332</v>
      </c>
      <c r="L2" s="5">
        <f>averageCompletionTime(Dates!L$4,Dates!L$5)</f>
        <v>34</v>
      </c>
      <c r="M2" s="5">
        <f>averageCompletionTime(Dates!M$4,Dates!M$5)</f>
        <v>44.6</v>
      </c>
      <c r="N2" s="5">
        <f>averageCompletionTime(Dates!N$4,Dates!N$5)</f>
        <v>49.142857142857139</v>
      </c>
      <c r="O2" s="5">
        <f>averageCompletionTime(Dates!O$4,Dates!O$5)</f>
        <v>55.5</v>
      </c>
      <c r="P2" s="5">
        <f>averageCompletionTime(Dates!P$4,Dates!P$5)</f>
        <v>41.333333333333336</v>
      </c>
      <c r="Q2" s="5">
        <f>averageCompletionTime(Dates!Q$4,Dates!Q$5)</f>
        <v>37.666666666666664</v>
      </c>
      <c r="R2" s="5">
        <f>averageCompletionTime(Dates!R$4,Dates!R$5)</f>
        <v>45</v>
      </c>
      <c r="S2" s="5">
        <f>averageCompletionTime(Dates!S$4,Dates!S$5)</f>
        <v>17</v>
      </c>
      <c r="T2" s="5">
        <f>averageCompletionTime(Dates!T$4,Dates!T$5)</f>
        <v>0</v>
      </c>
      <c r="U2" s="5">
        <f>averageCompletionTime(Dates!C$4,Dates!T$5)</f>
        <v>37.184210526315795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34.5</v>
      </c>
      <c r="D3" s="5">
        <f>averageCompletionTimePorter(Dates!D$4,Dates!D$5,'Day1'!$B3)</f>
        <v>0</v>
      </c>
      <c r="E3" s="5">
        <f>averageCompletionTimePorter(Dates!E$4,Dates!E$5,'Day1'!$B3)</f>
        <v>70</v>
      </c>
      <c r="F3" s="5">
        <f>averageCompletionTimePorter(Dates!F$4,Dates!F$5,'Day1'!$B3)</f>
        <v>0</v>
      </c>
      <c r="G3" s="5">
        <f>averageCompletionTimePorter(Dates!G$4,Dates!G$5,'Day1'!$B3)</f>
        <v>44</v>
      </c>
      <c r="H3" s="5">
        <f>averageCompletionTimePorter(Dates!H$4,Dates!H$5,'Day1'!$B3)</f>
        <v>0</v>
      </c>
      <c r="I3" s="5">
        <f>averageCompletionTimePorter(Dates!I$4,Dates!I$5,'Day1'!$B3)</f>
        <v>28</v>
      </c>
      <c r="J3" s="5">
        <f>averageCompletionTimePorter(Dates!J$4,Dates!J$5,'Day1'!$B3)</f>
        <v>17</v>
      </c>
      <c r="K3" s="5">
        <f>averageCompletionTimePorter(Dates!K$4,Dates!K$5,'Day1'!$B3)</f>
        <v>26</v>
      </c>
      <c r="L3" s="5">
        <f>averageCompletionTimePorter(Dates!L$4,Dates!L$5,'Day1'!$B3)</f>
        <v>29</v>
      </c>
      <c r="M3" s="5">
        <f>averageCompletionTimePorter(Dates!M$4,Dates!M$5,'Day1'!$B3)</f>
        <v>49</v>
      </c>
      <c r="N3" s="5">
        <f>averageCompletionTimePorter(Dates!N$4,Dates!N$5,'Day1'!$B3)</f>
        <v>38.5</v>
      </c>
      <c r="O3" s="5">
        <f>averageCompletionTimePorter(Dates!O$4,Dates!O$5,'Day1'!$B3)</f>
        <v>0</v>
      </c>
      <c r="P3" s="5">
        <f>averageCompletionTimePorter(Dates!P$4,Dates!P$5,'Day1'!$B3)</f>
        <v>40</v>
      </c>
      <c r="Q3" s="5">
        <f>averageCompletionTimePorter(Dates!Q$4,Dates!Q$5,'Day1'!$B3)</f>
        <v>0</v>
      </c>
      <c r="R3" s="5">
        <f>averageCompletionTimePorter(Dates!R$4,Dates!R$5,'Day1'!$B3)</f>
        <v>0</v>
      </c>
      <c r="S3" s="5">
        <f>averageCompletionTimePorter(Dates!S$4,Dates!S$5,'Day1'!$B3)</f>
        <v>0</v>
      </c>
      <c r="T3" s="5">
        <f>averageCompletionTimePorter(Dates!T$4,Dates!T$5,'Day1'!$B3)</f>
        <v>0</v>
      </c>
      <c r="U3" s="5">
        <f>averageCompletionTimePorter(Dates!$C$4,Dates!$T$5,'Day1'!$B3)</f>
        <v>37.307692307692307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13</v>
      </c>
      <c r="E4" s="5">
        <f>averageCompletionTimePorter(Dates!E$4,Dates!E$5,'Day1'!$B4)</f>
        <v>31</v>
      </c>
      <c r="F4" s="5">
        <f>averageCompletionTimePorter(Dates!F$4,Dates!F$5,'Day1'!$B4)</f>
        <v>33</v>
      </c>
      <c r="G4" s="5">
        <f>averageCompletionTimePorter(Dates!G$4,Dates!G$5,'Day1'!$B4)</f>
        <v>0</v>
      </c>
      <c r="H4" s="5">
        <f>averageCompletionTimePorter(Dates!H$4,Dates!H$5,'Day1'!$B4)</f>
        <v>31</v>
      </c>
      <c r="I4" s="5">
        <f>averageCompletionTimePorter(Dates!I$4,Dates!I$5,'Day1'!$B4)</f>
        <v>40</v>
      </c>
      <c r="J4" s="5">
        <f>averageCompletionTimePorter(Dates!J$4,Dates!J$5,'Day1'!$B4)</f>
        <v>37</v>
      </c>
      <c r="K4" s="5">
        <f>averageCompletionTimePorter(Dates!K$4,Dates!K$5,'Day1'!$B4)</f>
        <v>0</v>
      </c>
      <c r="L4" s="5">
        <f>averageCompletionTimePorter(Dates!L$4,Dates!L$5,'Day1'!$B4)</f>
        <v>29</v>
      </c>
      <c r="M4" s="5">
        <f>averageCompletionTimePorter(Dates!M$4,Dates!M$5,'Day1'!$B4)</f>
        <v>51</v>
      </c>
      <c r="N4" s="5">
        <f>averageCompletionTimePorter(Dates!N$4,Dates!N$5,'Day1'!$B4)</f>
        <v>33</v>
      </c>
      <c r="O4" s="5">
        <f>averageCompletionTimePorter(Dates!O$4,Dates!O$5,'Day1'!$B4)</f>
        <v>44</v>
      </c>
      <c r="P4" s="5">
        <f>averageCompletionTimePorter(Dates!P$4,Dates!P$5,'Day1'!$B4)</f>
        <v>0</v>
      </c>
      <c r="Q4" s="5">
        <f>averageCompletionTimePorter(Dates!Q$4,Dates!Q$5,'Day1'!$B4)</f>
        <v>22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30.69230769230769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28</v>
      </c>
      <c r="E5" s="5">
        <f>averageCompletionTimePorter(Dates!E$4,Dates!E$5,'Day1'!$B5)</f>
        <v>0</v>
      </c>
      <c r="F5" s="5">
        <f>averageCompletionTimePorter(Dates!F$4,Dates!F$5,'Day1'!$B5)</f>
        <v>29</v>
      </c>
      <c r="G5" s="5">
        <f>averageCompletionTimePorter(Dates!G$4,Dates!G$5,'Day1'!$B5)</f>
        <v>40</v>
      </c>
      <c r="H5" s="5">
        <f>averageCompletionTimePorter(Dates!H$4,Dates!H$5,'Day1'!$B5)</f>
        <v>0</v>
      </c>
      <c r="I5" s="5">
        <f>averageCompletionTimePorter(Dates!I$4,Dates!I$5,'Day1'!$B5)</f>
        <v>38</v>
      </c>
      <c r="J5" s="5">
        <f>averageCompletionTimePorter(Dates!J$4,Dates!J$5,'Day1'!$B5)</f>
        <v>0</v>
      </c>
      <c r="K5" s="5">
        <f>averageCompletionTimePorter(Dates!K$4,Dates!K$5,'Day1'!$B5)</f>
        <v>15</v>
      </c>
      <c r="L5" s="5">
        <f>averageCompletionTimePorter(Dates!L$4,Dates!L$5,'Day1'!$B5)</f>
        <v>26</v>
      </c>
      <c r="M5" s="5">
        <f>averageCompletionTimePorter(Dates!M$4,Dates!M$5,'Day1'!$B5)</f>
        <v>48</v>
      </c>
      <c r="N5" s="5">
        <f>averageCompletionTimePorter(Dates!N$4,Dates!N$5,'Day1'!$B5)</f>
        <v>32</v>
      </c>
      <c r="O5" s="5">
        <f>averageCompletionTimePorter(Dates!O$4,Dates!O$5,'Day1'!$B5)</f>
        <v>0</v>
      </c>
      <c r="P5" s="5">
        <f>averageCompletionTimePorter(Dates!P$4,Dates!P$5,'Day1'!$B5)</f>
        <v>43</v>
      </c>
      <c r="Q5" s="5">
        <f>averageCompletionTimePorter(Dates!Q$4,Dates!Q$5,'Day1'!$B5)</f>
        <v>0</v>
      </c>
      <c r="R5" s="5">
        <f>averageCompletionTimePorter(Dates!R$4,Dates!R$5,'Day1'!$B5)</f>
        <v>49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34.799999999999997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14</v>
      </c>
      <c r="E6" s="5">
        <f>averageCompletionTimePorter(Dates!E$4,Dates!E$5,'Day1'!$B6)</f>
        <v>63</v>
      </c>
      <c r="F6" s="5">
        <f>averageCompletionTimePorter(Dates!F$4,Dates!F$5,'Day1'!$B6)</f>
        <v>0</v>
      </c>
      <c r="G6" s="5">
        <f>averageCompletionTimePorter(Dates!G$4,Dates!G$5,'Day1'!$B6)</f>
        <v>33</v>
      </c>
      <c r="H6" s="5">
        <f>averageCompletionTimePorter(Dates!H$4,Dates!H$5,'Day1'!$B6)</f>
        <v>19</v>
      </c>
      <c r="I6" s="5">
        <f>averageCompletionTimePorter(Dates!I$4,Dates!I$5,'Day1'!$B6)</f>
        <v>17</v>
      </c>
      <c r="J6" s="5">
        <f>averageCompletionTimePorter(Dates!J$4,Dates!J$5,'Day1'!$B6)</f>
        <v>13</v>
      </c>
      <c r="K6" s="5">
        <f>averageCompletionTimePorter(Dates!K$4,Dates!K$5,'Day1'!$B6)</f>
        <v>32</v>
      </c>
      <c r="L6" s="5">
        <f>averageCompletionTimePorter(Dates!L$4,Dates!L$5,'Day1'!$B6)</f>
        <v>74</v>
      </c>
      <c r="M6" s="5">
        <f>averageCompletionTimePorter(Dates!M$4,Dates!M$5,'Day1'!$B6)</f>
        <v>45</v>
      </c>
      <c r="N6" s="5">
        <f>averageCompletionTimePorter(Dates!N$4,Dates!N$5,'Day1'!$B6)</f>
        <v>0</v>
      </c>
      <c r="O6" s="5">
        <f>averageCompletionTimePorter(Dates!O$4,Dates!O$5,'Day1'!$B6)</f>
        <v>67</v>
      </c>
      <c r="P6" s="5">
        <f>averageCompletionTimePorter(Dates!P$4,Dates!P$5,'Day1'!$B6)</f>
        <v>25</v>
      </c>
      <c r="Q6" s="5">
        <f>averageCompletionTimePorter(Dates!Q$4,Dates!Q$5,'Day1'!$B6)</f>
        <v>0</v>
      </c>
      <c r="R6" s="5">
        <f>averageCompletionTimePorter(Dates!R$4,Dates!R$5,'Day1'!$B6)</f>
        <v>0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36.54545454545454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16</v>
      </c>
      <c r="E7" s="5">
        <f>averageCompletionTimePorter(Dates!E$4,Dates!E$5,'Day1'!$B7)</f>
        <v>80</v>
      </c>
      <c r="F7" s="5">
        <f>averageCompletionTimePorter(Dates!F$4,Dates!F$5,'Day1'!$B7)</f>
        <v>0</v>
      </c>
      <c r="G7" s="5">
        <f>averageCompletionTimePorter(Dates!G$4,Dates!G$5,'Day1'!$B7)</f>
        <v>0</v>
      </c>
      <c r="H7" s="5">
        <f>averageCompletionTimePorter(Dates!H$4,Dates!H$5,'Day1'!$B7)</f>
        <v>60</v>
      </c>
      <c r="I7" s="5">
        <f>averageCompletionTimePorter(Dates!I$4,Dates!I$5,'Day1'!$B7)</f>
        <v>0</v>
      </c>
      <c r="J7" s="5">
        <f>averageCompletionTimePorter(Dates!J$4,Dates!J$5,'Day1'!$B7)</f>
        <v>19</v>
      </c>
      <c r="K7" s="5">
        <f>averageCompletionTimePorter(Dates!K$4,Dates!K$5,'Day1'!$B7)</f>
        <v>17</v>
      </c>
      <c r="L7" s="5">
        <f>averageCompletionTimePorter(Dates!L$4,Dates!L$5,'Day1'!$B7)</f>
        <v>29.5</v>
      </c>
      <c r="M7" s="5">
        <f>averageCompletionTimePorter(Dates!M$4,Dates!M$5,'Day1'!$B7)</f>
        <v>0</v>
      </c>
      <c r="N7" s="5">
        <f>averageCompletionTimePorter(Dates!N$4,Dates!N$5,'Day1'!$B7)</f>
        <v>76</v>
      </c>
      <c r="O7" s="5">
        <f>averageCompletionTimePorter(Dates!O$4,Dates!O$5,'Day1'!$B7)</f>
        <v>0</v>
      </c>
      <c r="P7" s="5">
        <f>averageCompletionTimePorter(Dates!P$4,Dates!P$5,'Day1'!$B7)</f>
        <v>45</v>
      </c>
      <c r="Q7" s="5">
        <f>averageCompletionTimePorter(Dates!Q$4,Dates!Q$5,'Day1'!$B7)</f>
        <v>0</v>
      </c>
      <c r="R7" s="5">
        <f>averageCompletionTimePorter(Dates!R$4,Dates!R$5,'Day1'!$B7)</f>
        <v>41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41.3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0</v>
      </c>
      <c r="E8" s="5">
        <f>averageCompletionTimePorter(Dates!E$4,Dates!E$5,'Day1'!$B8)</f>
        <v>54</v>
      </c>
      <c r="F8" s="5">
        <f>averageCompletionTimePorter(Dates!F$4,Dates!F$5,'Day1'!$B8)</f>
        <v>0</v>
      </c>
      <c r="G8" s="5">
        <f>averageCompletionTimePorter(Dates!G$4,Dates!G$5,'Day1'!$B8)</f>
        <v>41</v>
      </c>
      <c r="H8" s="5">
        <f>averageCompletionTimePorter(Dates!H$4,Dates!H$5,'Day1'!$B8)</f>
        <v>55</v>
      </c>
      <c r="I8" s="5">
        <f>averageCompletionTimePorter(Dates!I$4,Dates!I$5,'Day1'!$B8)</f>
        <v>0</v>
      </c>
      <c r="J8" s="5">
        <f>averageCompletionTimePorter(Dates!J$4,Dates!J$5,'Day1'!$B8)</f>
        <v>0</v>
      </c>
      <c r="K8" s="5">
        <f>averageCompletionTimePorter(Dates!K$4,Dates!K$5,'Day1'!$B8)</f>
        <v>27</v>
      </c>
      <c r="L8" s="5">
        <f>averageCompletionTimePorter(Dates!L$4,Dates!L$5,'Day1'!$B8)</f>
        <v>42</v>
      </c>
      <c r="M8" s="5">
        <f>averageCompletionTimePorter(Dates!M$4,Dates!M$5,'Day1'!$B8)</f>
        <v>30</v>
      </c>
      <c r="N8" s="5">
        <f>averageCompletionTimePorter(Dates!N$4,Dates!N$5,'Day1'!$B8)</f>
        <v>72</v>
      </c>
      <c r="O8" s="5">
        <f>averageCompletionTimePorter(Dates!O$4,Dates!O$5,'Day1'!$B8)</f>
        <v>0</v>
      </c>
      <c r="P8" s="5">
        <f>averageCompletionTimePorter(Dates!P$4,Dates!P$5,'Day1'!$B8)</f>
        <v>0</v>
      </c>
      <c r="Q8" s="5">
        <f>averageCompletionTimePorter(Dates!Q$4,Dates!Q$5,'Day1'!$B8)</f>
        <v>69</v>
      </c>
      <c r="R8" s="5">
        <f>averageCompletionTimePorter(Dates!R$4,Dates!R$5,'Day1'!$B8)</f>
        <v>0</v>
      </c>
      <c r="S8" s="5">
        <f>averageCompletionTimePorter(Dates!S$4,Dates!S$5,'Day1'!$B8)</f>
        <v>17</v>
      </c>
      <c r="T8" s="5">
        <f>averageCompletionTimePorter(Dates!T$4,Dates!T$5,'Day1'!$B8)</f>
        <v>0</v>
      </c>
      <c r="U8" s="5">
        <f>averageCompletionTimePorter(Dates!$C$4,Dates!$T$5,'Day1'!$B8)</f>
        <v>45.222222222222221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0</v>
      </c>
      <c r="E9" s="5">
        <f>averageCompletionTimePorter(Dates!E$4,Dates!E$5,'Day1'!$B9)</f>
        <v>64</v>
      </c>
      <c r="F9" s="5">
        <f>averageCompletionTimePorter(Dates!F$4,Dates!F$5,'Day1'!$B9)</f>
        <v>0</v>
      </c>
      <c r="G9" s="5">
        <f>averageCompletionTimePorter(Dates!G$4,Dates!G$5,'Day1'!$B9)</f>
        <v>52</v>
      </c>
      <c r="H9" s="5">
        <f>averageCompletionTimePorter(Dates!H$4,Dates!H$5,'Day1'!$B9)</f>
        <v>0</v>
      </c>
      <c r="I9" s="5">
        <f>averageCompletionTimePorter(Dates!I$4,Dates!I$5,'Day1'!$B9)</f>
        <v>12</v>
      </c>
      <c r="J9" s="5">
        <f>averageCompletionTimePorter(Dates!J$4,Dates!J$5,'Day1'!$B9)</f>
        <v>22</v>
      </c>
      <c r="K9" s="5">
        <f>averageCompletionTimePorter(Dates!K$4,Dates!K$5,'Day1'!$B9)</f>
        <v>26</v>
      </c>
      <c r="L9" s="5">
        <f>averageCompletionTimePorter(Dates!L$4,Dates!L$5,'Day1'!$B9)</f>
        <v>23.5</v>
      </c>
      <c r="M9" s="5">
        <f>averageCompletionTimePorter(Dates!M$4,Dates!M$5,'Day1'!$B9)</f>
        <v>0</v>
      </c>
      <c r="N9" s="5">
        <f>averageCompletionTimePorter(Dates!N$4,Dates!N$5,'Day1'!$B9)</f>
        <v>54</v>
      </c>
      <c r="O9" s="5">
        <f>averageCompletionTimePorter(Dates!O$4,Dates!O$5,'Day1'!$B9)</f>
        <v>0</v>
      </c>
      <c r="P9" s="5">
        <f>averageCompletionTimePorter(Dates!P$4,Dates!P$5,'Day1'!$B9)</f>
        <v>47.5</v>
      </c>
      <c r="Q9" s="5">
        <f>averageCompletionTimePorter(Dates!Q$4,Dates!Q$5,'Day1'!$B9)</f>
        <v>0</v>
      </c>
      <c r="R9" s="5">
        <f>averageCompletionTimePorter(Dates!R$4,Dates!R$5,'Day1'!$B9)</f>
        <v>0</v>
      </c>
      <c r="S9" s="5">
        <f>averageCompletionTimePorter(Dates!S$4,Dates!S$5,'Day1'!$B9)</f>
        <v>0</v>
      </c>
      <c r="T9" s="5">
        <f>averageCompletionTimePorter(Dates!T$4,Dates!T$5,'Day1'!$B9)</f>
        <v>0</v>
      </c>
      <c r="U9" s="5">
        <f>averageCompletionTimePorter(Dates!$C$4,Dates!$T$5,'Day1'!$B9)</f>
        <v>37.200000000000003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4" spans="2:21" x14ac:dyDescent="0.3">
      <c r="B24" s="8" t="s">
        <v>142</v>
      </c>
      <c r="C24" s="5">
        <f>averageCompletionTimePorter(Dates!C$4,Dates!C$5,'Day1'!$B24)</f>
        <v>0</v>
      </c>
      <c r="D24" s="5">
        <f>averageCompletionTimePorter(Dates!D$4,Dates!D$5,'Day1'!$B24)</f>
        <v>0</v>
      </c>
      <c r="E24" s="5">
        <f>averageCompletionTimePorter(Dates!E$4,Dates!E$5,'Day1'!$B24)</f>
        <v>0</v>
      </c>
      <c r="F24" s="5">
        <f>averageCompletionTimePorter(Dates!F$4,Dates!F$5,'Day1'!$B24)</f>
        <v>0</v>
      </c>
      <c r="G24" s="5">
        <f>averageCompletionTimePorter(Dates!G$4,Dates!G$5,'Day1'!$B24)</f>
        <v>0</v>
      </c>
      <c r="H24" s="5">
        <f>averageCompletionTimePorter(Dates!H$4,Dates!H$5,'Day1'!$B24)</f>
        <v>0</v>
      </c>
      <c r="I24" s="5">
        <f>averageCompletionTimePorter(Dates!I$4,Dates!I$5,'Day1'!$B24)</f>
        <v>0</v>
      </c>
      <c r="J24" s="5">
        <f>averageCompletionTimePorter(Dates!J$4,Dates!J$5,'Day1'!$B24)</f>
        <v>0</v>
      </c>
      <c r="K24" s="5">
        <f>averageCompletionTimePorter(Dates!K$4,Dates!K$5,'Day1'!$B24)</f>
        <v>0</v>
      </c>
      <c r="L24" s="5">
        <f>averageCompletionTimePorter(Dates!L$4,Dates!L$5,'Day1'!$B24)</f>
        <v>0</v>
      </c>
      <c r="M24" s="5">
        <f>averageCompletionTimePorter(Dates!M$4,Dates!M$5,'Day1'!$B24)</f>
        <v>0</v>
      </c>
      <c r="N24" s="5">
        <f>averageCompletionTimePorter(Dates!N$4,Dates!N$5,'Day1'!$B24)</f>
        <v>0</v>
      </c>
      <c r="O24" s="5">
        <f>averageCompletionTimePorter(Dates!O$4,Dates!O$5,'Day1'!$B24)</f>
        <v>0</v>
      </c>
      <c r="P24" s="5">
        <f>averageCompletionTimePorter(Dates!P$4,Dates!P$5,'Day1'!$B24)</f>
        <v>0</v>
      </c>
      <c r="Q24" s="5">
        <f>averageCompletionTimePorter(Dates!Q$4,Dates!Q$5,'Day1'!$B24)</f>
        <v>0</v>
      </c>
      <c r="R24" s="5">
        <f>averageCompletionTimePorter(Dates!R$4,Dates!R$5,'Day1'!$B24)</f>
        <v>0</v>
      </c>
      <c r="S24" s="5">
        <f>averageCompletionTimePorter(Dates!S$4,Dates!S$5,'Day1'!$B24)</f>
        <v>0</v>
      </c>
      <c r="T24" s="5">
        <f>averageCompletionTimePorter(Dates!T$4,Dates!T$5,'Day1'!$B24)</f>
        <v>0</v>
      </c>
      <c r="U24" s="5">
        <f>averageCompletionTimePorter(Dates!$C$4,Dates!$T$5,'Day1'!$B24)</f>
        <v>0</v>
      </c>
    </row>
    <row r="25" spans="2:21" x14ac:dyDescent="0.3">
      <c r="B25" s="8" t="s">
        <v>143</v>
      </c>
      <c r="C25" s="5">
        <f>averageCompletionTimePorter(Dates!C$4,Dates!C$5,'Day1'!$B25)</f>
        <v>0</v>
      </c>
      <c r="D25" s="5">
        <f>averageCompletionTimePorter(Dates!D$4,Dates!D$5,'Day1'!$B25)</f>
        <v>0</v>
      </c>
      <c r="E25" s="5">
        <f>averageCompletionTimePorter(Dates!E$4,Dates!E$5,'Day1'!$B25)</f>
        <v>0</v>
      </c>
      <c r="F25" s="5">
        <f>averageCompletionTimePorter(Dates!F$4,Dates!F$5,'Day1'!$B25)</f>
        <v>0</v>
      </c>
      <c r="G25" s="5">
        <f>averageCompletionTimePorter(Dates!G$4,Dates!G$5,'Day1'!$B25)</f>
        <v>0</v>
      </c>
      <c r="H25" s="5">
        <f>averageCompletionTimePorter(Dates!H$4,Dates!H$5,'Day1'!$B25)</f>
        <v>0</v>
      </c>
      <c r="I25" s="5">
        <f>averageCompletionTimePorter(Dates!I$4,Dates!I$5,'Day1'!$B25)</f>
        <v>0</v>
      </c>
      <c r="J25" s="5">
        <f>averageCompletionTimePorter(Dates!J$4,Dates!J$5,'Day1'!$B25)</f>
        <v>0</v>
      </c>
      <c r="K25" s="5">
        <f>averageCompletionTimePorter(Dates!K$4,Dates!K$5,'Day1'!$B25)</f>
        <v>0</v>
      </c>
      <c r="L25" s="5">
        <f>averageCompletionTimePorter(Dates!L$4,Dates!L$5,'Day1'!$B25)</f>
        <v>0</v>
      </c>
      <c r="M25" s="5">
        <f>averageCompletionTimePorter(Dates!M$4,Dates!M$5,'Day1'!$B25)</f>
        <v>0</v>
      </c>
      <c r="N25" s="5">
        <f>averageCompletionTimePorter(Dates!N$4,Dates!N$5,'Day1'!$B25)</f>
        <v>0</v>
      </c>
      <c r="O25" s="5">
        <f>averageCompletionTimePorter(Dates!O$4,Dates!O$5,'Day1'!$B25)</f>
        <v>0</v>
      </c>
      <c r="P25" s="5">
        <f>averageCompletionTimePorter(Dates!P$4,Dates!P$5,'Day1'!$B25)</f>
        <v>0</v>
      </c>
      <c r="Q25" s="5">
        <f>averageCompletionTimePorter(Dates!Q$4,Dates!Q$5,'Day1'!$B25)</f>
        <v>0</v>
      </c>
      <c r="R25" s="5">
        <f>averageCompletionTimePorter(Dates!R$4,Dates!R$5,'Day1'!$B25)</f>
        <v>0</v>
      </c>
      <c r="S25" s="5">
        <f>averageCompletionTimePorter(Dates!S$4,Dates!S$5,'Day1'!$B25)</f>
        <v>0</v>
      </c>
      <c r="T25" s="5">
        <f>averageCompletionTimePorter(Dates!T$4,Dates!T$5,'Day1'!$B25)</f>
        <v>0</v>
      </c>
      <c r="U25" s="5">
        <f>averageCompletionTimePorter(Dates!$C$4,Dates!$T$5,'Day1'!$B25)</f>
        <v>0</v>
      </c>
    </row>
    <row r="26" spans="2:21" x14ac:dyDescent="0.3">
      <c r="B26" s="8" t="s">
        <v>144</v>
      </c>
      <c r="C26" s="5">
        <f>averageCompletionTimePorter(Dates!C$4,Dates!C$5,'Day1'!$B26)</f>
        <v>0</v>
      </c>
      <c r="D26" s="5">
        <f>averageCompletionTimePorter(Dates!D$4,Dates!D$5,'Day1'!$B26)</f>
        <v>0</v>
      </c>
      <c r="E26" s="5">
        <f>averageCompletionTimePorter(Dates!E$4,Dates!E$5,'Day1'!$B26)</f>
        <v>0</v>
      </c>
      <c r="F26" s="5">
        <f>averageCompletionTimePorter(Dates!F$4,Dates!F$5,'Day1'!$B26)</f>
        <v>0</v>
      </c>
      <c r="G26" s="5">
        <f>averageCompletionTimePorter(Dates!G$4,Dates!G$5,'Day1'!$B26)</f>
        <v>0</v>
      </c>
      <c r="H26" s="5">
        <f>averageCompletionTimePorter(Dates!H$4,Dates!H$5,'Day1'!$B26)</f>
        <v>0</v>
      </c>
      <c r="I26" s="5">
        <f>averageCompletionTimePorter(Dates!I$4,Dates!I$5,'Day1'!$B26)</f>
        <v>0</v>
      </c>
      <c r="J26" s="5">
        <f>averageCompletionTimePorter(Dates!J$4,Dates!J$5,'Day1'!$B26)</f>
        <v>0</v>
      </c>
      <c r="K26" s="5">
        <f>averageCompletionTimePorter(Dates!K$4,Dates!K$5,'Day1'!$B26)</f>
        <v>0</v>
      </c>
      <c r="L26" s="5">
        <f>averageCompletionTimePorter(Dates!L$4,Dates!L$5,'Day1'!$B26)</f>
        <v>0</v>
      </c>
      <c r="M26" s="5">
        <f>averageCompletionTimePorter(Dates!M$4,Dates!M$5,'Day1'!$B26)</f>
        <v>0</v>
      </c>
      <c r="N26" s="5">
        <f>averageCompletionTimePorter(Dates!N$4,Dates!N$5,'Day1'!$B26)</f>
        <v>0</v>
      </c>
      <c r="O26" s="5">
        <f>averageCompletionTimePorter(Dates!O$4,Dates!O$5,'Day1'!$B26)</f>
        <v>0</v>
      </c>
      <c r="P26" s="5">
        <f>averageCompletionTimePorter(Dates!P$4,Dates!P$5,'Day1'!$B26)</f>
        <v>0</v>
      </c>
      <c r="Q26" s="5">
        <f>averageCompletionTimePorter(Dates!Q$4,Dates!Q$5,'Day1'!$B26)</f>
        <v>0</v>
      </c>
      <c r="R26" s="5">
        <f>averageCompletionTimePorter(Dates!R$4,Dates!R$5,'Day1'!$B26)</f>
        <v>0</v>
      </c>
      <c r="S26" s="5">
        <f>averageCompletionTimePorter(Dates!S$4,Dates!S$5,'Day1'!$B26)</f>
        <v>0</v>
      </c>
      <c r="T26" s="5">
        <f>averageCompletionTimePorter(Dates!T$4,Dates!T$5,'Day1'!$B26)</f>
        <v>0</v>
      </c>
      <c r="U26" s="5">
        <f>averageCompletionTimePorter(Dates!$C$4,Dates!$T$5,'Day1'!$B26)</f>
        <v>0</v>
      </c>
    </row>
    <row r="27" spans="2:21" x14ac:dyDescent="0.3">
      <c r="B27" s="8" t="s">
        <v>145</v>
      </c>
      <c r="C27" s="5">
        <f>averageCompletionTimePorter(Dates!C$4,Dates!C$5,'Day1'!$B27)</f>
        <v>0</v>
      </c>
      <c r="D27" s="5">
        <f>averageCompletionTimePorter(Dates!D$4,Dates!D$5,'Day1'!$B27)</f>
        <v>0</v>
      </c>
      <c r="E27" s="5">
        <f>averageCompletionTimePorter(Dates!E$4,Dates!E$5,'Day1'!$B27)</f>
        <v>0</v>
      </c>
      <c r="F27" s="5">
        <f>averageCompletionTimePorter(Dates!F$4,Dates!F$5,'Day1'!$B27)</f>
        <v>0</v>
      </c>
      <c r="G27" s="5">
        <f>averageCompletionTimePorter(Dates!G$4,Dates!G$5,'Day1'!$B27)</f>
        <v>0</v>
      </c>
      <c r="H27" s="5">
        <f>averageCompletionTimePorter(Dates!H$4,Dates!H$5,'Day1'!$B27)</f>
        <v>0</v>
      </c>
      <c r="I27" s="5">
        <f>averageCompletionTimePorter(Dates!I$4,Dates!I$5,'Day1'!$B27)</f>
        <v>0</v>
      </c>
      <c r="J27" s="5">
        <f>averageCompletionTimePorter(Dates!J$4,Dates!J$5,'Day1'!$B27)</f>
        <v>0</v>
      </c>
      <c r="K27" s="5">
        <f>averageCompletionTimePorter(Dates!K$4,Dates!K$5,'Day1'!$B27)</f>
        <v>0</v>
      </c>
      <c r="L27" s="5">
        <f>averageCompletionTimePorter(Dates!L$4,Dates!L$5,'Day1'!$B27)</f>
        <v>0</v>
      </c>
      <c r="M27" s="5">
        <f>averageCompletionTimePorter(Dates!M$4,Dates!M$5,'Day1'!$B27)</f>
        <v>0</v>
      </c>
      <c r="N27" s="5">
        <f>averageCompletionTimePorter(Dates!N$4,Dates!N$5,'Day1'!$B27)</f>
        <v>0</v>
      </c>
      <c r="O27" s="5">
        <f>averageCompletionTimePorter(Dates!O$4,Dates!O$5,'Day1'!$B27)</f>
        <v>0</v>
      </c>
      <c r="P27" s="5">
        <f>averageCompletionTimePorter(Dates!P$4,Dates!P$5,'Day1'!$B27)</f>
        <v>0</v>
      </c>
      <c r="Q27" s="5">
        <f>averageCompletionTimePorter(Dates!Q$4,Dates!Q$5,'Day1'!$B27)</f>
        <v>0</v>
      </c>
      <c r="R27" s="5">
        <f>averageCompletionTimePorter(Dates!R$4,Dates!R$5,'Day1'!$B27)</f>
        <v>0</v>
      </c>
      <c r="S27" s="5">
        <f>averageCompletionTimePorter(Dates!S$4,Dates!S$5,'Day1'!$B27)</f>
        <v>0</v>
      </c>
      <c r="T27" s="5">
        <f>averageCompletionTimePorter(Dates!T$4,Dates!T$5,'Day1'!$B27)</f>
        <v>0</v>
      </c>
      <c r="U27" s="5">
        <f>averageCompletionTimePorter(Dates!$C$4,Dates!$T$5,'Day1'!$B27)</f>
        <v>0</v>
      </c>
    </row>
    <row r="29" spans="2:21" x14ac:dyDescent="0.3">
      <c r="B29" s="7" t="s">
        <v>146</v>
      </c>
      <c r="C29">
        <f>totalNumberOfJobsCompleted(Dates!C$4,Dates!C$5)</f>
        <v>2</v>
      </c>
      <c r="D29">
        <f>totalNumberOfJobsCompleted(Dates!D$4,Dates!D$5)</f>
        <v>2</v>
      </c>
      <c r="E29">
        <f>totalNumberOfJobsCompleted(Dates!E$4,Dates!E$5)</f>
        <v>4</v>
      </c>
      <c r="F29">
        <f>totalNumberOfJobsCompleted(Dates!F$4,Dates!F$5)</f>
        <v>6</v>
      </c>
      <c r="G29">
        <f>totalNumberOfJobsCompleted(Dates!G$4,Dates!G$5)</f>
        <v>2</v>
      </c>
      <c r="H29">
        <f>totalNumberOfJobsCompleted(Dates!H$4,Dates!H$5)</f>
        <v>6</v>
      </c>
      <c r="I29">
        <f>totalNumberOfJobsCompleted(Dates!I$4,Dates!I$5)</f>
        <v>3</v>
      </c>
      <c r="J29">
        <f>totalNumberOfJobsCompleted(Dates!J$4,Dates!J$5)</f>
        <v>8</v>
      </c>
      <c r="K29">
        <f>totalNumberOfJobsCompleted(Dates!K$4,Dates!K$5)</f>
        <v>7</v>
      </c>
      <c r="L29">
        <f>totalNumberOfJobsCompleted(Dates!L$4,Dates!L$5)</f>
        <v>7</v>
      </c>
      <c r="M29">
        <f>totalNumberOfJobsCompleted(Dates!M$4,Dates!M$5)</f>
        <v>2</v>
      </c>
      <c r="N29">
        <f>totalNumberOfJobsCompleted(Dates!N$4,Dates!N$5)</f>
        <v>5</v>
      </c>
      <c r="O29">
        <f>totalNumberOfJobsCompleted(Dates!O$4,Dates!O$5)</f>
        <v>1</v>
      </c>
      <c r="P29">
        <f>totalNumberOfJobsCompleted(Dates!P$4,Dates!P$5)</f>
        <v>5</v>
      </c>
      <c r="Q29">
        <f>totalNumberOfJobsCompleted(Dates!Q$4,Dates!Q$5)</f>
        <v>3</v>
      </c>
      <c r="R29">
        <f>totalNumberOfJobsCompleted(Dates!R$4,Dates!R$5)</f>
        <v>6</v>
      </c>
      <c r="S29">
        <f>totalNumberOfJobsCompleted(Dates!S$4,Dates!S$5)</f>
        <v>2</v>
      </c>
      <c r="T29">
        <f>totalNumberOfJobsCompleted(Dates!T$4,Dates!T$5)</f>
        <v>5</v>
      </c>
      <c r="U29">
        <f>SUM(C29:T29)</f>
        <v>76</v>
      </c>
    </row>
    <row r="30" spans="2:21" x14ac:dyDescent="0.3">
      <c r="B30" s="7">
        <f>B3</f>
        <v>1</v>
      </c>
      <c r="C30">
        <f>totalNumberOfJobsCompletedPorter(Dates!C$4,Dates!C$5,'Day1'!$B30)</f>
        <v>2</v>
      </c>
      <c r="D30">
        <f>totalNumberOfJobsCompletedPorter(Dates!D$4,Dates!D$5,'Day1'!$B30)</f>
        <v>1</v>
      </c>
      <c r="E30">
        <f>totalNumberOfJobsCompletedPorter(Dates!E$4,Dates!E$5,'Day1'!$B30)</f>
        <v>0</v>
      </c>
      <c r="F30">
        <f>totalNumberOfJobsCompletedPorter(Dates!F$4,Dates!F$5,'Day1'!$B30)</f>
        <v>1</v>
      </c>
      <c r="G30">
        <f>totalNumberOfJobsCompletedPorter(Dates!G$4,Dates!G$5,'Day1'!$B30)</f>
        <v>0</v>
      </c>
      <c r="H30">
        <f>totalNumberOfJobsCompletedPorter(Dates!H$4,Dates!H$5,'Day1'!$B30)</f>
        <v>1</v>
      </c>
      <c r="I30">
        <f>totalNumberOfJobsCompletedPorter(Dates!I$4,Dates!I$5,'Day1'!$B30)</f>
        <v>0</v>
      </c>
      <c r="J30">
        <f>totalNumberOfJobsCompletedPorter(Dates!J$4,Dates!J$5,'Day1'!$B30)</f>
        <v>2</v>
      </c>
      <c r="K30">
        <f>totalNumberOfJobsCompletedPorter(Dates!K$4,Dates!K$5,'Day1'!$B30)</f>
        <v>1</v>
      </c>
      <c r="L30">
        <f>totalNumberOfJobsCompletedPorter(Dates!L$4,Dates!L$5,'Day1'!$B30)</f>
        <v>1</v>
      </c>
      <c r="M30">
        <f>totalNumberOfJobsCompletedPorter(Dates!M$4,Dates!M$5,'Day1'!$B30)</f>
        <v>0</v>
      </c>
      <c r="N30">
        <f>totalNumberOfJobsCompletedPorter(Dates!N$4,Dates!N$5,'Day1'!$B30)</f>
        <v>1</v>
      </c>
      <c r="O30">
        <f>totalNumberOfJobsCompletedPorter(Dates!O$4,Dates!O$5,'Day1'!$B30)</f>
        <v>0</v>
      </c>
      <c r="P30">
        <f>totalNumberOfJobsCompletedPorter(Dates!P$4,Dates!P$5,'Day1'!$B30)</f>
        <v>1</v>
      </c>
      <c r="Q30">
        <f>totalNumberOfJobsCompletedPorter(Dates!Q$4,Dates!Q$5,'Day1'!$B30)</f>
        <v>0</v>
      </c>
      <c r="R30">
        <f>totalNumberOfJobsCompletedPorter(Dates!R$4,Dates!R$5,'Day1'!$B30)</f>
        <v>1</v>
      </c>
      <c r="S30">
        <f>totalNumberOfJobsCompletedPorter(Dates!S$4,Dates!S$5,'Day1'!$B30)</f>
        <v>0</v>
      </c>
      <c r="T30">
        <f>totalNumberOfJobsCompletedPorter(Dates!T$4,Dates!T$5,'Day1'!$B30)</f>
        <v>1</v>
      </c>
      <c r="U30">
        <f t="shared" ref="U30:U54" si="0">SUM(C30:T30)</f>
        <v>13</v>
      </c>
    </row>
    <row r="31" spans="2:21" x14ac:dyDescent="0.3">
      <c r="B31" s="7">
        <f t="shared" ref="B31:B54" si="1">B4</f>
        <v>0</v>
      </c>
      <c r="C31">
        <f>totalNumberOfJobsCompletedPorter(Dates!C$4,Dates!C$5,'Day1'!$B31)</f>
        <v>0</v>
      </c>
      <c r="D31">
        <f>totalNumberOfJobsCompletedPorter(Dates!D$4,Dates!D$5,'Day1'!$B31)</f>
        <v>1</v>
      </c>
      <c r="E31">
        <f>totalNumberOfJobsCompletedPorter(Dates!E$4,Dates!E$5,'Day1'!$B31)</f>
        <v>1</v>
      </c>
      <c r="F31">
        <f>totalNumberOfJobsCompletedPorter(Dates!F$4,Dates!F$5,'Day1'!$B31)</f>
        <v>1</v>
      </c>
      <c r="G31">
        <f>totalNumberOfJobsCompletedPorter(Dates!G$4,Dates!G$5,'Day1'!$B31)</f>
        <v>1</v>
      </c>
      <c r="H31">
        <f>totalNumberOfJobsCompletedPorter(Dates!H$4,Dates!H$5,'Day1'!$B31)</f>
        <v>1</v>
      </c>
      <c r="I31">
        <f>totalNumberOfJobsCompletedPorter(Dates!I$4,Dates!I$5,'Day1'!$B31)</f>
        <v>0</v>
      </c>
      <c r="J31">
        <f>totalNumberOfJobsCompletedPorter(Dates!J$4,Dates!J$5,'Day1'!$B31)</f>
        <v>1</v>
      </c>
      <c r="K31">
        <f>totalNumberOfJobsCompletedPorter(Dates!K$4,Dates!K$5,'Day1'!$B31)</f>
        <v>1</v>
      </c>
      <c r="L31">
        <f>totalNumberOfJobsCompletedPorter(Dates!L$4,Dates!L$5,'Day1'!$B31)</f>
        <v>1</v>
      </c>
      <c r="M31">
        <f>totalNumberOfJobsCompletedPorter(Dates!M$4,Dates!M$5,'Day1'!$B31)</f>
        <v>0</v>
      </c>
      <c r="N31">
        <f>totalNumberOfJobsCompletedPorter(Dates!N$4,Dates!N$5,'Day1'!$B31)</f>
        <v>1</v>
      </c>
      <c r="O31">
        <f>totalNumberOfJobsCompletedPorter(Dates!O$4,Dates!O$5,'Day1'!$B31)</f>
        <v>0</v>
      </c>
      <c r="P31">
        <f>totalNumberOfJobsCompletedPorter(Dates!P$4,Dates!P$5,'Day1'!$B31)</f>
        <v>1</v>
      </c>
      <c r="Q31">
        <f>totalNumberOfJobsCompletedPorter(Dates!Q$4,Dates!Q$5,'Day1'!$B31)</f>
        <v>1</v>
      </c>
      <c r="R31">
        <f>totalNumberOfJobsCompletedPorter(Dates!R$4,Dates!R$5,'Day1'!$B31)</f>
        <v>1</v>
      </c>
      <c r="S31">
        <f>totalNumberOfJobsCompletedPorter(Dates!S$4,Dates!S$5,'Day1'!$B31)</f>
        <v>0</v>
      </c>
      <c r="T31">
        <f>totalNumberOfJobsCompletedPorter(Dates!T$4,Dates!T$5,'Day1'!$B31)</f>
        <v>1</v>
      </c>
      <c r="U31">
        <f t="shared" si="0"/>
        <v>13</v>
      </c>
    </row>
    <row r="32" spans="2:21" x14ac:dyDescent="0.3">
      <c r="B32" s="7">
        <f t="shared" si="1"/>
        <v>3</v>
      </c>
      <c r="C32">
        <f>totalNumberOfJobsCompletedPorter(Dates!C$4,Dates!C$5,'Day1'!$B32)</f>
        <v>0</v>
      </c>
      <c r="D32">
        <f>totalNumberOfJobsCompletedPorter(Dates!D$4,Dates!D$5,'Day1'!$B32)</f>
        <v>0</v>
      </c>
      <c r="E32">
        <f>totalNumberOfJobsCompletedPorter(Dates!E$4,Dates!E$5,'Day1'!$B32)</f>
        <v>1</v>
      </c>
      <c r="F32">
        <f>totalNumberOfJobsCompletedPorter(Dates!F$4,Dates!F$5,'Day1'!$B32)</f>
        <v>0</v>
      </c>
      <c r="G32">
        <f>totalNumberOfJobsCompletedPorter(Dates!G$4,Dates!G$5,'Day1'!$B32)</f>
        <v>1</v>
      </c>
      <c r="H32">
        <f>totalNumberOfJobsCompletedPorter(Dates!H$4,Dates!H$5,'Day1'!$B32)</f>
        <v>1</v>
      </c>
      <c r="I32">
        <f>totalNumberOfJobsCompletedPorter(Dates!I$4,Dates!I$5,'Day1'!$B32)</f>
        <v>0</v>
      </c>
      <c r="J32">
        <f>totalNumberOfJobsCompletedPorter(Dates!J$4,Dates!J$5,'Day1'!$B32)</f>
        <v>1</v>
      </c>
      <c r="K32">
        <f>totalNumberOfJobsCompletedPorter(Dates!K$4,Dates!K$5,'Day1'!$B32)</f>
        <v>1</v>
      </c>
      <c r="L32">
        <f>totalNumberOfJobsCompletedPorter(Dates!L$4,Dates!L$5,'Day1'!$B32)</f>
        <v>1</v>
      </c>
      <c r="M32">
        <f>totalNumberOfJobsCompletedPorter(Dates!M$4,Dates!M$5,'Day1'!$B32)</f>
        <v>0</v>
      </c>
      <c r="N32">
        <f>totalNumberOfJobsCompletedPorter(Dates!N$4,Dates!N$5,'Day1'!$B32)</f>
        <v>1</v>
      </c>
      <c r="O32">
        <f>totalNumberOfJobsCompletedPorter(Dates!O$4,Dates!O$5,'Day1'!$B32)</f>
        <v>0</v>
      </c>
      <c r="P32">
        <f>totalNumberOfJobsCompletedPorter(Dates!P$4,Dates!P$5,'Day1'!$B32)</f>
        <v>1</v>
      </c>
      <c r="Q32">
        <f>totalNumberOfJobsCompletedPorter(Dates!Q$4,Dates!Q$5,'Day1'!$B32)</f>
        <v>1</v>
      </c>
      <c r="R32">
        <f>totalNumberOfJobsCompletedPorter(Dates!R$4,Dates!R$5,'Day1'!$B32)</f>
        <v>0</v>
      </c>
      <c r="S32">
        <f>totalNumberOfJobsCompletedPorter(Dates!S$4,Dates!S$5,'Day1'!$B32)</f>
        <v>1</v>
      </c>
      <c r="T32">
        <f>totalNumberOfJobsCompletedPorter(Dates!T$4,Dates!T$5,'Day1'!$B32)</f>
        <v>0</v>
      </c>
      <c r="U32">
        <f t="shared" si="0"/>
        <v>10</v>
      </c>
    </row>
    <row r="33" spans="2:21" x14ac:dyDescent="0.3">
      <c r="B33" s="7">
        <f t="shared" si="1"/>
        <v>2</v>
      </c>
      <c r="C33">
        <f>totalNumberOfJobsCompletedPorter(Dates!C$4,Dates!C$5,'Day1'!$B33)</f>
        <v>0</v>
      </c>
      <c r="D33">
        <f>totalNumberOfJobsCompletedPorter(Dates!D$4,Dates!D$5,'Day1'!$B33)</f>
        <v>0</v>
      </c>
      <c r="E33">
        <f>totalNumberOfJobsCompletedPorter(Dates!E$4,Dates!E$5,'Day1'!$B33)</f>
        <v>1</v>
      </c>
      <c r="F33">
        <f>totalNumberOfJobsCompletedPorter(Dates!F$4,Dates!F$5,'Day1'!$B33)</f>
        <v>1</v>
      </c>
      <c r="G33">
        <f>totalNumberOfJobsCompletedPorter(Dates!G$4,Dates!G$5,'Day1'!$B33)</f>
        <v>0</v>
      </c>
      <c r="H33">
        <f>totalNumberOfJobsCompletedPorter(Dates!H$4,Dates!H$5,'Day1'!$B33)</f>
        <v>1</v>
      </c>
      <c r="I33">
        <f>totalNumberOfJobsCompletedPorter(Dates!I$4,Dates!I$5,'Day1'!$B33)</f>
        <v>1</v>
      </c>
      <c r="J33">
        <f>totalNumberOfJobsCompletedPorter(Dates!J$4,Dates!J$5,'Day1'!$B33)</f>
        <v>1</v>
      </c>
      <c r="K33">
        <f>totalNumberOfJobsCompletedPorter(Dates!K$4,Dates!K$5,'Day1'!$B33)</f>
        <v>1</v>
      </c>
      <c r="L33">
        <f>totalNumberOfJobsCompletedPorter(Dates!L$4,Dates!L$5,'Day1'!$B33)</f>
        <v>1</v>
      </c>
      <c r="M33">
        <f>totalNumberOfJobsCompletedPorter(Dates!M$4,Dates!M$5,'Day1'!$B33)</f>
        <v>0</v>
      </c>
      <c r="N33">
        <f>totalNumberOfJobsCompletedPorter(Dates!N$4,Dates!N$5,'Day1'!$B33)</f>
        <v>1</v>
      </c>
      <c r="O33">
        <f>totalNumberOfJobsCompletedPorter(Dates!O$4,Dates!O$5,'Day1'!$B33)</f>
        <v>0</v>
      </c>
      <c r="P33">
        <f>totalNumberOfJobsCompletedPorter(Dates!P$4,Dates!P$5,'Day1'!$B33)</f>
        <v>0</v>
      </c>
      <c r="Q33">
        <f>totalNumberOfJobsCompletedPorter(Dates!Q$4,Dates!Q$5,'Day1'!$B33)</f>
        <v>1</v>
      </c>
      <c r="R33">
        <f>totalNumberOfJobsCompletedPorter(Dates!R$4,Dates!R$5,'Day1'!$B33)</f>
        <v>1</v>
      </c>
      <c r="S33">
        <f>totalNumberOfJobsCompletedPorter(Dates!S$4,Dates!S$5,'Day1'!$B33)</f>
        <v>0</v>
      </c>
      <c r="T33">
        <f>totalNumberOfJobsCompletedPorter(Dates!T$4,Dates!T$5,'Day1'!$B33)</f>
        <v>1</v>
      </c>
      <c r="U33">
        <f t="shared" si="0"/>
        <v>11</v>
      </c>
    </row>
    <row r="34" spans="2:21" x14ac:dyDescent="0.3">
      <c r="B34" s="7">
        <f t="shared" si="1"/>
        <v>5</v>
      </c>
      <c r="C34">
        <f>totalNumberOfJobsCompletedPorter(Dates!C$4,Dates!C$5,'Day1'!$B34)</f>
        <v>0</v>
      </c>
      <c r="D34">
        <f>totalNumberOfJobsCompletedPorter(Dates!D$4,Dates!D$5,'Day1'!$B34)</f>
        <v>0</v>
      </c>
      <c r="E34">
        <f>totalNumberOfJobsCompletedPorter(Dates!E$4,Dates!E$5,'Day1'!$B34)</f>
        <v>1</v>
      </c>
      <c r="F34">
        <f>totalNumberOfJobsCompletedPorter(Dates!F$4,Dates!F$5,'Day1'!$B34)</f>
        <v>1</v>
      </c>
      <c r="G34">
        <f>totalNumberOfJobsCompletedPorter(Dates!G$4,Dates!G$5,'Day1'!$B34)</f>
        <v>0</v>
      </c>
      <c r="H34">
        <f>totalNumberOfJobsCompletedPorter(Dates!H$4,Dates!H$5,'Day1'!$B34)</f>
        <v>0</v>
      </c>
      <c r="I34">
        <f>totalNumberOfJobsCompletedPorter(Dates!I$4,Dates!I$5,'Day1'!$B34)</f>
        <v>1</v>
      </c>
      <c r="J34">
        <f>totalNumberOfJobsCompletedPorter(Dates!J$4,Dates!J$5,'Day1'!$B34)</f>
        <v>1</v>
      </c>
      <c r="K34">
        <f>totalNumberOfJobsCompletedPorter(Dates!K$4,Dates!K$5,'Day1'!$B34)</f>
        <v>1</v>
      </c>
      <c r="L34">
        <f>totalNumberOfJobsCompletedPorter(Dates!L$4,Dates!L$5,'Day1'!$B34)</f>
        <v>1</v>
      </c>
      <c r="M34">
        <f>totalNumberOfJobsCompletedPorter(Dates!M$4,Dates!M$5,'Day1'!$B34)</f>
        <v>1</v>
      </c>
      <c r="N34">
        <f>totalNumberOfJobsCompletedPorter(Dates!N$4,Dates!N$5,'Day1'!$B34)</f>
        <v>0</v>
      </c>
      <c r="O34">
        <f>totalNumberOfJobsCompletedPorter(Dates!O$4,Dates!O$5,'Day1'!$B34)</f>
        <v>0</v>
      </c>
      <c r="P34">
        <f>totalNumberOfJobsCompletedPorter(Dates!P$4,Dates!P$5,'Day1'!$B34)</f>
        <v>1</v>
      </c>
      <c r="Q34">
        <f>totalNumberOfJobsCompletedPorter(Dates!Q$4,Dates!Q$5,'Day1'!$B34)</f>
        <v>0</v>
      </c>
      <c r="R34">
        <f>totalNumberOfJobsCompletedPorter(Dates!R$4,Dates!R$5,'Day1'!$B34)</f>
        <v>1</v>
      </c>
      <c r="S34">
        <f>totalNumberOfJobsCompletedPorter(Dates!S$4,Dates!S$5,'Day1'!$B34)</f>
        <v>0</v>
      </c>
      <c r="T34">
        <f>totalNumberOfJobsCompletedPorter(Dates!T$4,Dates!T$5,'Day1'!$B34)</f>
        <v>1</v>
      </c>
      <c r="U34">
        <f t="shared" si="0"/>
        <v>10</v>
      </c>
    </row>
    <row r="35" spans="2:21" x14ac:dyDescent="0.3">
      <c r="B35" s="7">
        <f t="shared" si="1"/>
        <v>4</v>
      </c>
      <c r="C35">
        <f>totalNumberOfJobsCompletedPorter(Dates!C$4,Dates!C$5,'Day1'!$B35)</f>
        <v>0</v>
      </c>
      <c r="D35">
        <f>totalNumberOfJobsCompletedPorter(Dates!D$4,Dates!D$5,'Day1'!$B35)</f>
        <v>0</v>
      </c>
      <c r="E35">
        <f>totalNumberOfJobsCompletedPorter(Dates!E$4,Dates!E$5,'Day1'!$B35)</f>
        <v>0</v>
      </c>
      <c r="F35">
        <f>totalNumberOfJobsCompletedPorter(Dates!F$4,Dates!F$5,'Day1'!$B35)</f>
        <v>1</v>
      </c>
      <c r="G35">
        <f>totalNumberOfJobsCompletedPorter(Dates!G$4,Dates!G$5,'Day1'!$B35)</f>
        <v>0</v>
      </c>
      <c r="H35">
        <f>totalNumberOfJobsCompletedPorter(Dates!H$4,Dates!H$5,'Day1'!$B35)</f>
        <v>1</v>
      </c>
      <c r="I35">
        <f>totalNumberOfJobsCompletedPorter(Dates!I$4,Dates!I$5,'Day1'!$B35)</f>
        <v>0</v>
      </c>
      <c r="J35">
        <f>totalNumberOfJobsCompletedPorter(Dates!J$4,Dates!J$5,'Day1'!$B35)</f>
        <v>1</v>
      </c>
      <c r="K35">
        <f>totalNumberOfJobsCompletedPorter(Dates!K$4,Dates!K$5,'Day1'!$B35)</f>
        <v>1</v>
      </c>
      <c r="L35">
        <f>totalNumberOfJobsCompletedPorter(Dates!L$4,Dates!L$5,'Day1'!$B35)</f>
        <v>1</v>
      </c>
      <c r="M35">
        <f>totalNumberOfJobsCompletedPorter(Dates!M$4,Dates!M$5,'Day1'!$B35)</f>
        <v>0</v>
      </c>
      <c r="N35">
        <f>totalNumberOfJobsCompletedPorter(Dates!N$4,Dates!N$5,'Day1'!$B35)</f>
        <v>1</v>
      </c>
      <c r="O35">
        <f>totalNumberOfJobsCompletedPorter(Dates!O$4,Dates!O$5,'Day1'!$B35)</f>
        <v>0</v>
      </c>
      <c r="P35">
        <f>totalNumberOfJobsCompletedPorter(Dates!P$4,Dates!P$5,'Day1'!$B35)</f>
        <v>1</v>
      </c>
      <c r="Q35">
        <f>totalNumberOfJobsCompletedPorter(Dates!Q$4,Dates!Q$5,'Day1'!$B35)</f>
        <v>0</v>
      </c>
      <c r="R35">
        <f>totalNumberOfJobsCompletedPorter(Dates!R$4,Dates!R$5,'Day1'!$B35)</f>
        <v>1</v>
      </c>
      <c r="S35">
        <f>totalNumberOfJobsCompletedPorter(Dates!S$4,Dates!S$5,'Day1'!$B35)</f>
        <v>0</v>
      </c>
      <c r="T35">
        <f>totalNumberOfJobsCompletedPorter(Dates!T$4,Dates!T$5,'Day1'!$B35)</f>
        <v>1</v>
      </c>
      <c r="U35">
        <f t="shared" si="0"/>
        <v>9</v>
      </c>
    </row>
    <row r="36" spans="2:21" x14ac:dyDescent="0.3">
      <c r="B36" s="7">
        <f t="shared" si="1"/>
        <v>6</v>
      </c>
      <c r="C36">
        <f>totalNumberOfJobsCompletedPorter(Dates!C$4,Dates!C$5,'Day1'!$B36)</f>
        <v>0</v>
      </c>
      <c r="D36">
        <f>totalNumberOfJobsCompletedPorter(Dates!D$4,Dates!D$5,'Day1'!$B36)</f>
        <v>0</v>
      </c>
      <c r="E36">
        <f>totalNumberOfJobsCompletedPorter(Dates!E$4,Dates!E$5,'Day1'!$B36)</f>
        <v>0</v>
      </c>
      <c r="F36">
        <f>totalNumberOfJobsCompletedPorter(Dates!F$4,Dates!F$5,'Day1'!$B36)</f>
        <v>1</v>
      </c>
      <c r="G36">
        <f>totalNumberOfJobsCompletedPorter(Dates!G$4,Dates!G$5,'Day1'!$B36)</f>
        <v>0</v>
      </c>
      <c r="H36">
        <f>totalNumberOfJobsCompletedPorter(Dates!H$4,Dates!H$5,'Day1'!$B36)</f>
        <v>1</v>
      </c>
      <c r="I36">
        <f>totalNumberOfJobsCompletedPorter(Dates!I$4,Dates!I$5,'Day1'!$B36)</f>
        <v>1</v>
      </c>
      <c r="J36">
        <f>totalNumberOfJobsCompletedPorter(Dates!J$4,Dates!J$5,'Day1'!$B36)</f>
        <v>1</v>
      </c>
      <c r="K36">
        <f>totalNumberOfJobsCompletedPorter(Dates!K$4,Dates!K$5,'Day1'!$B36)</f>
        <v>1</v>
      </c>
      <c r="L36">
        <f>totalNumberOfJobsCompletedPorter(Dates!L$4,Dates!L$5,'Day1'!$B36)</f>
        <v>1</v>
      </c>
      <c r="M36">
        <f>totalNumberOfJobsCompletedPorter(Dates!M$4,Dates!M$5,'Day1'!$B36)</f>
        <v>1</v>
      </c>
      <c r="N36">
        <f>totalNumberOfJobsCompletedPorter(Dates!N$4,Dates!N$5,'Day1'!$B36)</f>
        <v>0</v>
      </c>
      <c r="O36">
        <f>totalNumberOfJobsCompletedPorter(Dates!O$4,Dates!O$5,'Day1'!$B36)</f>
        <v>1</v>
      </c>
      <c r="P36">
        <f>totalNumberOfJobsCompletedPorter(Dates!P$4,Dates!P$5,'Day1'!$B36)</f>
        <v>0</v>
      </c>
      <c r="Q36">
        <f>totalNumberOfJobsCompletedPorter(Dates!Q$4,Dates!Q$5,'Day1'!$B36)</f>
        <v>0</v>
      </c>
      <c r="R36">
        <f>totalNumberOfJobsCompletedPorter(Dates!R$4,Dates!R$5,'Day1'!$B36)</f>
        <v>1</v>
      </c>
      <c r="S36">
        <f>totalNumberOfJobsCompletedPorter(Dates!S$4,Dates!S$5,'Day1'!$B36)</f>
        <v>1</v>
      </c>
      <c r="T36">
        <f>totalNumberOfJobsCompletedPorter(Dates!T$4,Dates!T$5,'Day1'!$B36)</f>
        <v>0</v>
      </c>
      <c r="U36">
        <f t="shared" si="0"/>
        <v>10</v>
      </c>
    </row>
    <row r="37" spans="2:21" x14ac:dyDescent="0.3">
      <c r="B37" s="7" t="str">
        <f t="shared" si="1"/>
        <v>NA10</v>
      </c>
      <c r="C37">
        <f>totalNumberOfJobsCompletedPorter(Dates!C$4,Dates!C$5,'Day1'!$B37)</f>
        <v>0</v>
      </c>
      <c r="D37">
        <f>totalNumberOfJobsCompletedPorter(Dates!D$4,Dates!D$5,'Day1'!$B37)</f>
        <v>0</v>
      </c>
      <c r="E37">
        <f>totalNumberOfJobsCompletedPorter(Dates!E$4,Dates!E$5,'Day1'!$B37)</f>
        <v>0</v>
      </c>
      <c r="F37">
        <f>totalNumberOfJobsCompletedPorter(Dates!F$4,Dates!F$5,'Day1'!$B37)</f>
        <v>0</v>
      </c>
      <c r="G37">
        <f>totalNumberOfJobsCompletedPorter(Dates!G$4,Dates!G$5,'Day1'!$B37)</f>
        <v>0</v>
      </c>
      <c r="H37">
        <f>totalNumberOfJobsCompletedPorter(Dates!H$4,Dates!H$5,'Day1'!$B37)</f>
        <v>0</v>
      </c>
      <c r="I37">
        <f>totalNumberOfJobsCompletedPorter(Dates!I$4,Dates!I$5,'Day1'!$B37)</f>
        <v>0</v>
      </c>
      <c r="J37">
        <f>totalNumberOfJobsCompletedPorter(Dates!J$4,Dates!J$5,'Day1'!$B37)</f>
        <v>0</v>
      </c>
      <c r="K37">
        <f>totalNumberOfJobsCompletedPorter(Dates!K$4,Dates!K$5,'Day1'!$B37)</f>
        <v>0</v>
      </c>
      <c r="L37">
        <f>totalNumberOfJobsCompletedPorter(Dates!L$4,Dates!L$5,'Day1'!$B37)</f>
        <v>0</v>
      </c>
      <c r="M37">
        <f>totalNumberOfJobsCompletedPorter(Dates!M$4,Dates!M$5,'Day1'!$B37)</f>
        <v>0</v>
      </c>
      <c r="N37">
        <f>totalNumberOfJobsCompletedPorter(Dates!N$4,Dates!N$5,'Day1'!$B37)</f>
        <v>0</v>
      </c>
      <c r="O37">
        <f>totalNumberOfJobsCompletedPorter(Dates!O$4,Dates!O$5,'Day1'!$B37)</f>
        <v>0</v>
      </c>
      <c r="P37">
        <f>totalNumberOfJobsCompletedPorter(Dates!P$4,Dates!P$5,'Day1'!$B37)</f>
        <v>0</v>
      </c>
      <c r="Q37">
        <f>totalNumberOfJobsCompletedPorter(Dates!Q$4,Dates!Q$5,'Day1'!$B37)</f>
        <v>0</v>
      </c>
      <c r="R37">
        <f>totalNumberOfJobsCompletedPorter(Dates!R$4,Dates!R$5,'Day1'!$B37)</f>
        <v>0</v>
      </c>
      <c r="S37">
        <f>totalNumberOfJobsCompletedPorter(Dates!S$4,Dates!S$5,'Day1'!$B37)</f>
        <v>0</v>
      </c>
      <c r="T37">
        <f>totalNumberOfJobsCompletedPorter(Dates!T$4,Dates!T$5,'Day1'!$B37)</f>
        <v>0</v>
      </c>
      <c r="U37">
        <f t="shared" si="0"/>
        <v>0</v>
      </c>
    </row>
    <row r="38" spans="2:21" x14ac:dyDescent="0.3">
      <c r="B38" s="7" t="str">
        <f t="shared" si="1"/>
        <v>NA11</v>
      </c>
      <c r="C38">
        <f>totalNumberOfJobsCompletedPorter(Dates!C$4,Dates!C$5,'Day1'!$B38)</f>
        <v>0</v>
      </c>
      <c r="D38">
        <f>totalNumberOfJobsCompletedPorter(Dates!D$4,Dates!D$5,'Day1'!$B38)</f>
        <v>0</v>
      </c>
      <c r="E38">
        <f>totalNumberOfJobsCompletedPorter(Dates!E$4,Dates!E$5,'Day1'!$B38)</f>
        <v>0</v>
      </c>
      <c r="F38">
        <f>totalNumberOfJobsCompletedPorter(Dates!F$4,Dates!F$5,'Day1'!$B38)</f>
        <v>0</v>
      </c>
      <c r="G38">
        <f>totalNumberOfJobsCompletedPorter(Dates!G$4,Dates!G$5,'Day1'!$B38)</f>
        <v>0</v>
      </c>
      <c r="H38">
        <f>totalNumberOfJobsCompletedPorter(Dates!H$4,Dates!H$5,'Day1'!$B38)</f>
        <v>0</v>
      </c>
      <c r="I38">
        <f>totalNumberOfJobsCompletedPorter(Dates!I$4,Dates!I$5,'Day1'!$B38)</f>
        <v>0</v>
      </c>
      <c r="J38">
        <f>totalNumberOfJobsCompletedPorter(Dates!J$4,Dates!J$5,'Day1'!$B38)</f>
        <v>0</v>
      </c>
      <c r="K38">
        <f>totalNumberOfJobsCompletedPorter(Dates!K$4,Dates!K$5,'Day1'!$B38)</f>
        <v>0</v>
      </c>
      <c r="L38">
        <f>totalNumberOfJobsCompletedPorter(Dates!L$4,Dates!L$5,'Day1'!$B38)</f>
        <v>0</v>
      </c>
      <c r="M38">
        <f>totalNumberOfJobsCompletedPorter(Dates!M$4,Dates!M$5,'Day1'!$B38)</f>
        <v>0</v>
      </c>
      <c r="N38">
        <f>totalNumberOfJobsCompletedPorter(Dates!N$4,Dates!N$5,'Day1'!$B38)</f>
        <v>0</v>
      </c>
      <c r="O38">
        <f>totalNumberOfJobsCompletedPorter(Dates!O$4,Dates!O$5,'Day1'!$B38)</f>
        <v>0</v>
      </c>
      <c r="P38">
        <f>totalNumberOfJobsCompletedPorter(Dates!P$4,Dates!P$5,'Day1'!$B38)</f>
        <v>0</v>
      </c>
      <c r="Q38">
        <f>totalNumberOfJobsCompletedPorter(Dates!Q$4,Dates!Q$5,'Day1'!$B38)</f>
        <v>0</v>
      </c>
      <c r="R38">
        <f>totalNumberOfJobsCompletedPorter(Dates!R$4,Dates!R$5,'Day1'!$B38)</f>
        <v>0</v>
      </c>
      <c r="S38">
        <f>totalNumberOfJobsCompletedPorter(Dates!S$4,Dates!S$5,'Day1'!$B38)</f>
        <v>0</v>
      </c>
      <c r="T38">
        <f>totalNumberOfJobsCompletedPorter(Dates!T$4,Dates!T$5,'Day1'!$B38)</f>
        <v>0</v>
      </c>
      <c r="U38">
        <f t="shared" si="0"/>
        <v>0</v>
      </c>
    </row>
    <row r="39" spans="2:21" x14ac:dyDescent="0.3">
      <c r="B39" s="7" t="str">
        <f t="shared" si="1"/>
        <v>NA12</v>
      </c>
      <c r="C39">
        <f>totalNumberOfJobsCompletedPorter(Dates!C$4,Dates!C$5,'Day1'!$B39)</f>
        <v>0</v>
      </c>
      <c r="D39">
        <f>totalNumberOfJobsCompletedPorter(Dates!D$4,Dates!D$5,'Day1'!$B39)</f>
        <v>0</v>
      </c>
      <c r="E39">
        <f>totalNumberOfJobsCompletedPorter(Dates!E$4,Dates!E$5,'Day1'!$B39)</f>
        <v>0</v>
      </c>
      <c r="F39">
        <f>totalNumberOfJobsCompletedPorter(Dates!F$4,Dates!F$5,'Day1'!$B39)</f>
        <v>0</v>
      </c>
      <c r="G39">
        <f>totalNumberOfJobsCompletedPorter(Dates!G$4,Dates!G$5,'Day1'!$B39)</f>
        <v>0</v>
      </c>
      <c r="H39">
        <f>totalNumberOfJobsCompletedPorter(Dates!H$4,Dates!H$5,'Day1'!$B39)</f>
        <v>0</v>
      </c>
      <c r="I39">
        <f>totalNumberOfJobsCompletedPorter(Dates!I$4,Dates!I$5,'Day1'!$B39)</f>
        <v>0</v>
      </c>
      <c r="J39">
        <f>totalNumberOfJobsCompletedPorter(Dates!J$4,Dates!J$5,'Day1'!$B39)</f>
        <v>0</v>
      </c>
      <c r="K39">
        <f>totalNumberOfJobsCompletedPorter(Dates!K$4,Dates!K$5,'Day1'!$B39)</f>
        <v>0</v>
      </c>
      <c r="L39">
        <f>totalNumberOfJobsCompletedPorter(Dates!L$4,Dates!L$5,'Day1'!$B39)</f>
        <v>0</v>
      </c>
      <c r="M39">
        <f>totalNumberOfJobsCompletedPorter(Dates!M$4,Dates!M$5,'Day1'!$B39)</f>
        <v>0</v>
      </c>
      <c r="N39">
        <f>totalNumberOfJobsCompletedPorter(Dates!N$4,Dates!N$5,'Day1'!$B39)</f>
        <v>0</v>
      </c>
      <c r="O39">
        <f>totalNumberOfJobsCompletedPorter(Dates!O$4,Dates!O$5,'Day1'!$B39)</f>
        <v>0</v>
      </c>
      <c r="P39">
        <f>totalNumberOfJobsCompletedPorter(Dates!P$4,Dates!P$5,'Day1'!$B39)</f>
        <v>0</v>
      </c>
      <c r="Q39">
        <f>totalNumberOfJobsCompletedPorter(Dates!Q$4,Dates!Q$5,'Day1'!$B39)</f>
        <v>0</v>
      </c>
      <c r="R39">
        <f>totalNumberOfJobsCompletedPorter(Dates!R$4,Dates!R$5,'Day1'!$B39)</f>
        <v>0</v>
      </c>
      <c r="S39">
        <f>totalNumberOfJobsCompletedPorter(Dates!S$4,Dates!S$5,'Day1'!$B39)</f>
        <v>0</v>
      </c>
      <c r="T39">
        <f>totalNumberOfJobsCompletedPorter(Dates!T$4,Dates!T$5,'Day1'!$B39)</f>
        <v>0</v>
      </c>
      <c r="U39">
        <f t="shared" si="0"/>
        <v>0</v>
      </c>
    </row>
    <row r="40" spans="2:21" x14ac:dyDescent="0.3">
      <c r="B40" s="7" t="str">
        <f t="shared" si="1"/>
        <v>NA13</v>
      </c>
      <c r="C40">
        <f>totalNumberOfJobsCompletedPorter(Dates!C$4,Dates!C$5,'Day1'!$B40)</f>
        <v>0</v>
      </c>
      <c r="D40">
        <f>totalNumberOfJobsCompletedPorter(Dates!D$4,Dates!D$5,'Day1'!$B40)</f>
        <v>0</v>
      </c>
      <c r="E40">
        <f>totalNumberOfJobsCompletedPorter(Dates!E$4,Dates!E$5,'Day1'!$B40)</f>
        <v>0</v>
      </c>
      <c r="F40">
        <f>totalNumberOfJobsCompletedPorter(Dates!F$4,Dates!F$5,'Day1'!$B40)</f>
        <v>0</v>
      </c>
      <c r="G40">
        <f>totalNumberOfJobsCompletedPorter(Dates!G$4,Dates!G$5,'Day1'!$B40)</f>
        <v>0</v>
      </c>
      <c r="H40">
        <f>totalNumberOfJobsCompletedPorter(Dates!H$4,Dates!H$5,'Day1'!$B40)</f>
        <v>0</v>
      </c>
      <c r="I40">
        <f>totalNumberOfJobsCompletedPorter(Dates!I$4,Dates!I$5,'Day1'!$B40)</f>
        <v>0</v>
      </c>
      <c r="J40">
        <f>totalNumberOfJobsCompletedPorter(Dates!J$4,Dates!J$5,'Day1'!$B40)</f>
        <v>0</v>
      </c>
      <c r="K40">
        <f>totalNumberOfJobsCompletedPorter(Dates!K$4,Dates!K$5,'Day1'!$B40)</f>
        <v>0</v>
      </c>
      <c r="L40">
        <f>totalNumberOfJobsCompletedPorter(Dates!L$4,Dates!L$5,'Day1'!$B40)</f>
        <v>0</v>
      </c>
      <c r="M40">
        <f>totalNumberOfJobsCompletedPorter(Dates!M$4,Dates!M$5,'Day1'!$B40)</f>
        <v>0</v>
      </c>
      <c r="N40">
        <f>totalNumberOfJobsCompletedPorter(Dates!N$4,Dates!N$5,'Day1'!$B40)</f>
        <v>0</v>
      </c>
      <c r="O40">
        <f>totalNumberOfJobsCompletedPorter(Dates!O$4,Dates!O$5,'Day1'!$B40)</f>
        <v>0</v>
      </c>
      <c r="P40">
        <f>totalNumberOfJobsCompletedPorter(Dates!P$4,Dates!P$5,'Day1'!$B40)</f>
        <v>0</v>
      </c>
      <c r="Q40">
        <f>totalNumberOfJobsCompletedPorter(Dates!Q$4,Dates!Q$5,'Day1'!$B40)</f>
        <v>0</v>
      </c>
      <c r="R40">
        <f>totalNumberOfJobsCompletedPorter(Dates!R$4,Dates!R$5,'Day1'!$B40)</f>
        <v>0</v>
      </c>
      <c r="S40">
        <f>totalNumberOfJobsCompletedPorter(Dates!S$4,Dates!S$5,'Day1'!$B40)</f>
        <v>0</v>
      </c>
      <c r="T40">
        <f>totalNumberOfJobsCompletedPorter(Dates!T$4,Dates!T$5,'Day1'!$B40)</f>
        <v>0</v>
      </c>
      <c r="U40">
        <f t="shared" si="0"/>
        <v>0</v>
      </c>
    </row>
    <row r="41" spans="2:21" x14ac:dyDescent="0.3">
      <c r="B41" s="7" t="str">
        <f t="shared" si="1"/>
        <v>NA14</v>
      </c>
      <c r="C41">
        <f>totalNumberOfJobsCompletedPorter(Dates!C$4,Dates!C$5,'Day1'!$B41)</f>
        <v>0</v>
      </c>
      <c r="D41">
        <f>totalNumberOfJobsCompletedPorter(Dates!D$4,Dates!D$5,'Day1'!$B41)</f>
        <v>0</v>
      </c>
      <c r="E41">
        <f>totalNumberOfJobsCompletedPorter(Dates!E$4,Dates!E$5,'Day1'!$B41)</f>
        <v>0</v>
      </c>
      <c r="F41">
        <f>totalNumberOfJobsCompletedPorter(Dates!F$4,Dates!F$5,'Day1'!$B41)</f>
        <v>0</v>
      </c>
      <c r="G41">
        <f>totalNumberOfJobsCompletedPorter(Dates!G$4,Dates!G$5,'Day1'!$B41)</f>
        <v>0</v>
      </c>
      <c r="H41">
        <f>totalNumberOfJobsCompletedPorter(Dates!H$4,Dates!H$5,'Day1'!$B41)</f>
        <v>0</v>
      </c>
      <c r="I41">
        <f>totalNumberOfJobsCompletedPorter(Dates!I$4,Dates!I$5,'Day1'!$B41)</f>
        <v>0</v>
      </c>
      <c r="J41">
        <f>totalNumberOfJobsCompletedPorter(Dates!J$4,Dates!J$5,'Day1'!$B41)</f>
        <v>0</v>
      </c>
      <c r="K41">
        <f>totalNumberOfJobsCompletedPorter(Dates!K$4,Dates!K$5,'Day1'!$B41)</f>
        <v>0</v>
      </c>
      <c r="L41">
        <f>totalNumberOfJobsCompletedPorter(Dates!L$4,Dates!L$5,'Day1'!$B41)</f>
        <v>0</v>
      </c>
      <c r="M41">
        <f>totalNumberOfJobsCompletedPorter(Dates!M$4,Dates!M$5,'Day1'!$B41)</f>
        <v>0</v>
      </c>
      <c r="N41">
        <f>totalNumberOfJobsCompletedPorter(Dates!N$4,Dates!N$5,'Day1'!$B41)</f>
        <v>0</v>
      </c>
      <c r="O41">
        <f>totalNumberOfJobsCompletedPorter(Dates!O$4,Dates!O$5,'Day1'!$B41)</f>
        <v>0</v>
      </c>
      <c r="P41">
        <f>totalNumberOfJobsCompletedPorter(Dates!P$4,Dates!P$5,'Day1'!$B41)</f>
        <v>0</v>
      </c>
      <c r="Q41">
        <f>totalNumberOfJobsCompletedPorter(Dates!Q$4,Dates!Q$5,'Day1'!$B41)</f>
        <v>0</v>
      </c>
      <c r="R41">
        <f>totalNumberOfJobsCompletedPorter(Dates!R$4,Dates!R$5,'Day1'!$B41)</f>
        <v>0</v>
      </c>
      <c r="S41">
        <f>totalNumberOfJobsCompletedPorter(Dates!S$4,Dates!S$5,'Day1'!$B41)</f>
        <v>0</v>
      </c>
      <c r="T41">
        <f>totalNumberOfJobsCompletedPorter(Dates!T$4,Dates!T$5,'Day1'!$B41)</f>
        <v>0</v>
      </c>
      <c r="U41">
        <f t="shared" si="0"/>
        <v>0</v>
      </c>
    </row>
    <row r="42" spans="2:21" x14ac:dyDescent="0.3">
      <c r="B42" s="7" t="str">
        <f t="shared" si="1"/>
        <v>NA15</v>
      </c>
      <c r="C42">
        <f>totalNumberOfJobsCompletedPorter(Dates!C$4,Dates!C$5,'Day1'!$B42)</f>
        <v>0</v>
      </c>
      <c r="D42">
        <f>totalNumberOfJobsCompletedPorter(Dates!D$4,Dates!D$5,'Day1'!$B42)</f>
        <v>0</v>
      </c>
      <c r="E42">
        <f>totalNumberOfJobsCompletedPorter(Dates!E$4,Dates!E$5,'Day1'!$B42)</f>
        <v>0</v>
      </c>
      <c r="F42">
        <f>totalNumberOfJobsCompletedPorter(Dates!F$4,Dates!F$5,'Day1'!$B42)</f>
        <v>0</v>
      </c>
      <c r="G42">
        <f>totalNumberOfJobsCompletedPorter(Dates!G$4,Dates!G$5,'Day1'!$B42)</f>
        <v>0</v>
      </c>
      <c r="H42">
        <f>totalNumberOfJobsCompletedPorter(Dates!H$4,Dates!H$5,'Day1'!$B42)</f>
        <v>0</v>
      </c>
      <c r="I42">
        <f>totalNumberOfJobsCompletedPorter(Dates!I$4,Dates!I$5,'Day1'!$B42)</f>
        <v>0</v>
      </c>
      <c r="J42">
        <f>totalNumberOfJobsCompletedPorter(Dates!J$4,Dates!J$5,'Day1'!$B42)</f>
        <v>0</v>
      </c>
      <c r="K42">
        <f>totalNumberOfJobsCompletedPorter(Dates!K$4,Dates!K$5,'Day1'!$B42)</f>
        <v>0</v>
      </c>
      <c r="L42">
        <f>totalNumberOfJobsCompletedPorter(Dates!L$4,Dates!L$5,'Day1'!$B42)</f>
        <v>0</v>
      </c>
      <c r="M42">
        <f>totalNumberOfJobsCompletedPorter(Dates!M$4,Dates!M$5,'Day1'!$B42)</f>
        <v>0</v>
      </c>
      <c r="N42">
        <f>totalNumberOfJobsCompletedPorter(Dates!N$4,Dates!N$5,'Day1'!$B42)</f>
        <v>0</v>
      </c>
      <c r="O42">
        <f>totalNumberOfJobsCompletedPorter(Dates!O$4,Dates!O$5,'Day1'!$B42)</f>
        <v>0</v>
      </c>
      <c r="P42">
        <f>totalNumberOfJobsCompletedPorter(Dates!P$4,Dates!P$5,'Day1'!$B42)</f>
        <v>0</v>
      </c>
      <c r="Q42">
        <f>totalNumberOfJobsCompletedPorter(Dates!Q$4,Dates!Q$5,'Day1'!$B42)</f>
        <v>0</v>
      </c>
      <c r="R42">
        <f>totalNumberOfJobsCompletedPorter(Dates!R$4,Dates!R$5,'Day1'!$B42)</f>
        <v>0</v>
      </c>
      <c r="S42">
        <f>totalNumberOfJobsCompletedPorter(Dates!S$4,Dates!S$5,'Day1'!$B42)</f>
        <v>0</v>
      </c>
      <c r="T42">
        <f>totalNumberOfJobsCompletedPorter(Dates!T$4,Dates!T$5,'Day1'!$B42)</f>
        <v>0</v>
      </c>
      <c r="U42">
        <f t="shared" si="0"/>
        <v>0</v>
      </c>
    </row>
    <row r="43" spans="2:21" x14ac:dyDescent="0.3">
      <c r="B43" s="7" t="str">
        <f t="shared" si="1"/>
        <v>NA16</v>
      </c>
      <c r="C43">
        <f>totalNumberOfJobsCompletedPorter(Dates!C$4,Dates!C$5,'Day1'!$B43)</f>
        <v>0</v>
      </c>
      <c r="D43">
        <f>totalNumberOfJobsCompletedPorter(Dates!D$4,Dates!D$5,'Day1'!$B43)</f>
        <v>0</v>
      </c>
      <c r="E43">
        <f>totalNumberOfJobsCompletedPorter(Dates!E$4,Dates!E$5,'Day1'!$B43)</f>
        <v>0</v>
      </c>
      <c r="F43">
        <f>totalNumberOfJobsCompletedPorter(Dates!F$4,Dates!F$5,'Day1'!$B43)</f>
        <v>0</v>
      </c>
      <c r="G43">
        <f>totalNumberOfJobsCompletedPorter(Dates!G$4,Dates!G$5,'Day1'!$B43)</f>
        <v>0</v>
      </c>
      <c r="H43">
        <f>totalNumberOfJobsCompletedPorter(Dates!H$4,Dates!H$5,'Day1'!$B43)</f>
        <v>0</v>
      </c>
      <c r="I43">
        <f>totalNumberOfJobsCompletedPorter(Dates!I$4,Dates!I$5,'Day1'!$B43)</f>
        <v>0</v>
      </c>
      <c r="J43">
        <f>totalNumberOfJobsCompletedPorter(Dates!J$4,Dates!J$5,'Day1'!$B43)</f>
        <v>0</v>
      </c>
      <c r="K43">
        <f>totalNumberOfJobsCompletedPorter(Dates!K$4,Dates!K$5,'Day1'!$B43)</f>
        <v>0</v>
      </c>
      <c r="L43">
        <f>totalNumberOfJobsCompletedPorter(Dates!L$4,Dates!L$5,'Day1'!$B43)</f>
        <v>0</v>
      </c>
      <c r="M43">
        <f>totalNumberOfJobsCompletedPorter(Dates!M$4,Dates!M$5,'Day1'!$B43)</f>
        <v>0</v>
      </c>
      <c r="N43">
        <f>totalNumberOfJobsCompletedPorter(Dates!N$4,Dates!N$5,'Day1'!$B43)</f>
        <v>0</v>
      </c>
      <c r="O43">
        <f>totalNumberOfJobsCompletedPorter(Dates!O$4,Dates!O$5,'Day1'!$B43)</f>
        <v>0</v>
      </c>
      <c r="P43">
        <f>totalNumberOfJobsCompletedPorter(Dates!P$4,Dates!P$5,'Day1'!$B43)</f>
        <v>0</v>
      </c>
      <c r="Q43">
        <f>totalNumberOfJobsCompletedPorter(Dates!Q$4,Dates!Q$5,'Day1'!$B43)</f>
        <v>0</v>
      </c>
      <c r="R43">
        <f>totalNumberOfJobsCompletedPorter(Dates!R$4,Dates!R$5,'Day1'!$B43)</f>
        <v>0</v>
      </c>
      <c r="S43">
        <f>totalNumberOfJobsCompletedPorter(Dates!S$4,Dates!S$5,'Day1'!$B43)</f>
        <v>0</v>
      </c>
      <c r="T43">
        <f>totalNumberOfJobsCompletedPorter(Dates!T$4,Dates!T$5,'Day1'!$B43)</f>
        <v>0</v>
      </c>
      <c r="U43">
        <f t="shared" si="0"/>
        <v>0</v>
      </c>
    </row>
    <row r="44" spans="2:21" x14ac:dyDescent="0.3">
      <c r="B44" s="7" t="str">
        <f t="shared" si="1"/>
        <v>NA17</v>
      </c>
      <c r="C44">
        <f>totalNumberOfJobsCompletedPorter(Dates!C$4,Dates!C$5,'Day1'!$B44)</f>
        <v>0</v>
      </c>
      <c r="D44">
        <f>totalNumberOfJobsCompletedPorter(Dates!D$4,Dates!D$5,'Day1'!$B44)</f>
        <v>0</v>
      </c>
      <c r="E44">
        <f>totalNumberOfJobsCompletedPorter(Dates!E$4,Dates!E$5,'Day1'!$B44)</f>
        <v>0</v>
      </c>
      <c r="F44">
        <f>totalNumberOfJobsCompletedPorter(Dates!F$4,Dates!F$5,'Day1'!$B44)</f>
        <v>0</v>
      </c>
      <c r="G44">
        <f>totalNumberOfJobsCompletedPorter(Dates!G$4,Dates!G$5,'Day1'!$B44)</f>
        <v>0</v>
      </c>
      <c r="H44">
        <f>totalNumberOfJobsCompletedPorter(Dates!H$4,Dates!H$5,'Day1'!$B44)</f>
        <v>0</v>
      </c>
      <c r="I44">
        <f>totalNumberOfJobsCompletedPorter(Dates!I$4,Dates!I$5,'Day1'!$B44)</f>
        <v>0</v>
      </c>
      <c r="J44">
        <f>totalNumberOfJobsCompletedPorter(Dates!J$4,Dates!J$5,'Day1'!$B44)</f>
        <v>0</v>
      </c>
      <c r="K44">
        <f>totalNumberOfJobsCompletedPorter(Dates!K$4,Dates!K$5,'Day1'!$B44)</f>
        <v>0</v>
      </c>
      <c r="L44">
        <f>totalNumberOfJobsCompletedPorter(Dates!L$4,Dates!L$5,'Day1'!$B44)</f>
        <v>0</v>
      </c>
      <c r="M44">
        <f>totalNumberOfJobsCompletedPorter(Dates!M$4,Dates!M$5,'Day1'!$B44)</f>
        <v>0</v>
      </c>
      <c r="N44">
        <f>totalNumberOfJobsCompletedPorter(Dates!N$4,Dates!N$5,'Day1'!$B44)</f>
        <v>0</v>
      </c>
      <c r="O44">
        <f>totalNumberOfJobsCompletedPorter(Dates!O$4,Dates!O$5,'Day1'!$B44)</f>
        <v>0</v>
      </c>
      <c r="P44">
        <f>totalNumberOfJobsCompletedPorter(Dates!P$4,Dates!P$5,'Day1'!$B44)</f>
        <v>0</v>
      </c>
      <c r="Q44">
        <f>totalNumberOfJobsCompletedPorter(Dates!Q$4,Dates!Q$5,'Day1'!$B44)</f>
        <v>0</v>
      </c>
      <c r="R44">
        <f>totalNumberOfJobsCompletedPorter(Dates!R$4,Dates!R$5,'Day1'!$B44)</f>
        <v>0</v>
      </c>
      <c r="S44">
        <f>totalNumberOfJobsCompletedPorter(Dates!S$4,Dates!S$5,'Day1'!$B44)</f>
        <v>0</v>
      </c>
      <c r="T44">
        <f>totalNumberOfJobsCompletedPorter(Dates!T$4,Dates!T$5,'Day1'!$B44)</f>
        <v>0</v>
      </c>
      <c r="U44">
        <f t="shared" si="0"/>
        <v>0</v>
      </c>
    </row>
    <row r="45" spans="2:21" x14ac:dyDescent="0.3">
      <c r="B45" s="7" t="str">
        <f t="shared" si="1"/>
        <v>NA18</v>
      </c>
      <c r="C45">
        <f>totalNumberOfJobsCompletedPorter(Dates!C$4,Dates!C$5,'Day1'!$B45)</f>
        <v>0</v>
      </c>
      <c r="D45">
        <f>totalNumberOfJobsCompletedPorter(Dates!D$4,Dates!D$5,'Day1'!$B45)</f>
        <v>0</v>
      </c>
      <c r="E45">
        <f>totalNumberOfJobsCompletedPorter(Dates!E$4,Dates!E$5,'Day1'!$B45)</f>
        <v>0</v>
      </c>
      <c r="F45">
        <f>totalNumberOfJobsCompletedPorter(Dates!F$4,Dates!F$5,'Day1'!$B45)</f>
        <v>0</v>
      </c>
      <c r="G45">
        <f>totalNumberOfJobsCompletedPorter(Dates!G$4,Dates!G$5,'Day1'!$B45)</f>
        <v>0</v>
      </c>
      <c r="H45">
        <f>totalNumberOfJobsCompletedPorter(Dates!H$4,Dates!H$5,'Day1'!$B45)</f>
        <v>0</v>
      </c>
      <c r="I45">
        <f>totalNumberOfJobsCompletedPorter(Dates!I$4,Dates!I$5,'Day1'!$B45)</f>
        <v>0</v>
      </c>
      <c r="J45">
        <f>totalNumberOfJobsCompletedPorter(Dates!J$4,Dates!J$5,'Day1'!$B45)</f>
        <v>0</v>
      </c>
      <c r="K45">
        <f>totalNumberOfJobsCompletedPorter(Dates!K$4,Dates!K$5,'Day1'!$B45)</f>
        <v>0</v>
      </c>
      <c r="L45">
        <f>totalNumberOfJobsCompletedPorter(Dates!L$4,Dates!L$5,'Day1'!$B45)</f>
        <v>0</v>
      </c>
      <c r="M45">
        <f>totalNumberOfJobsCompletedPorter(Dates!M$4,Dates!M$5,'Day1'!$B45)</f>
        <v>0</v>
      </c>
      <c r="N45">
        <f>totalNumberOfJobsCompletedPorter(Dates!N$4,Dates!N$5,'Day1'!$B45)</f>
        <v>0</v>
      </c>
      <c r="O45">
        <f>totalNumberOfJobsCompletedPorter(Dates!O$4,Dates!O$5,'Day1'!$B45)</f>
        <v>0</v>
      </c>
      <c r="P45">
        <f>totalNumberOfJobsCompletedPorter(Dates!P$4,Dates!P$5,'Day1'!$B45)</f>
        <v>0</v>
      </c>
      <c r="Q45">
        <f>totalNumberOfJobsCompletedPorter(Dates!Q$4,Dates!Q$5,'Day1'!$B45)</f>
        <v>0</v>
      </c>
      <c r="R45">
        <f>totalNumberOfJobsCompletedPorter(Dates!R$4,Dates!R$5,'Day1'!$B45)</f>
        <v>0</v>
      </c>
      <c r="S45">
        <f>totalNumberOfJobsCompletedPorter(Dates!S$4,Dates!S$5,'Day1'!$B45)</f>
        <v>0</v>
      </c>
      <c r="T45">
        <f>totalNumberOfJobsCompletedPorter(Dates!T$4,Dates!T$5,'Day1'!$B45)</f>
        <v>0</v>
      </c>
      <c r="U45">
        <f t="shared" si="0"/>
        <v>0</v>
      </c>
    </row>
    <row r="46" spans="2:21" x14ac:dyDescent="0.3">
      <c r="B46" s="7" t="str">
        <f t="shared" si="1"/>
        <v>NA19</v>
      </c>
      <c r="C46">
        <f>totalNumberOfJobsCompletedPorter(Dates!C$4,Dates!C$5,'Day1'!$B46)</f>
        <v>0</v>
      </c>
      <c r="D46">
        <f>totalNumberOfJobsCompletedPorter(Dates!D$4,Dates!D$5,'Day1'!$B46)</f>
        <v>0</v>
      </c>
      <c r="E46">
        <f>totalNumberOfJobsCompletedPorter(Dates!E$4,Dates!E$5,'Day1'!$B46)</f>
        <v>0</v>
      </c>
      <c r="F46">
        <f>totalNumberOfJobsCompletedPorter(Dates!F$4,Dates!F$5,'Day1'!$B46)</f>
        <v>0</v>
      </c>
      <c r="G46">
        <f>totalNumberOfJobsCompletedPorter(Dates!G$4,Dates!G$5,'Day1'!$B46)</f>
        <v>0</v>
      </c>
      <c r="H46">
        <f>totalNumberOfJobsCompletedPorter(Dates!H$4,Dates!H$5,'Day1'!$B46)</f>
        <v>0</v>
      </c>
      <c r="I46">
        <f>totalNumberOfJobsCompletedPorter(Dates!I$4,Dates!I$5,'Day1'!$B46)</f>
        <v>0</v>
      </c>
      <c r="J46">
        <f>totalNumberOfJobsCompletedPorter(Dates!J$4,Dates!J$5,'Day1'!$B46)</f>
        <v>0</v>
      </c>
      <c r="K46">
        <f>totalNumberOfJobsCompletedPorter(Dates!K$4,Dates!K$5,'Day1'!$B46)</f>
        <v>0</v>
      </c>
      <c r="L46">
        <f>totalNumberOfJobsCompletedPorter(Dates!L$4,Dates!L$5,'Day1'!$B46)</f>
        <v>0</v>
      </c>
      <c r="M46">
        <f>totalNumberOfJobsCompletedPorter(Dates!M$4,Dates!M$5,'Day1'!$B46)</f>
        <v>0</v>
      </c>
      <c r="N46">
        <f>totalNumberOfJobsCompletedPorter(Dates!N$4,Dates!N$5,'Day1'!$B46)</f>
        <v>0</v>
      </c>
      <c r="O46">
        <f>totalNumberOfJobsCompletedPorter(Dates!O$4,Dates!O$5,'Day1'!$B46)</f>
        <v>0</v>
      </c>
      <c r="P46">
        <f>totalNumberOfJobsCompletedPorter(Dates!P$4,Dates!P$5,'Day1'!$B46)</f>
        <v>0</v>
      </c>
      <c r="Q46">
        <f>totalNumberOfJobsCompletedPorter(Dates!Q$4,Dates!Q$5,'Day1'!$B46)</f>
        <v>0</v>
      </c>
      <c r="R46">
        <f>totalNumberOfJobsCompletedPorter(Dates!R$4,Dates!R$5,'Day1'!$B46)</f>
        <v>0</v>
      </c>
      <c r="S46">
        <f>totalNumberOfJobsCompletedPorter(Dates!S$4,Dates!S$5,'Day1'!$B46)</f>
        <v>0</v>
      </c>
      <c r="T46">
        <f>totalNumberOfJobsCompletedPorter(Dates!T$4,Dates!T$5,'Day1'!$B46)</f>
        <v>0</v>
      </c>
      <c r="U46">
        <f t="shared" si="0"/>
        <v>0</v>
      </c>
    </row>
    <row r="47" spans="2:21" x14ac:dyDescent="0.3">
      <c r="B47" s="7" t="str">
        <f t="shared" si="1"/>
        <v>NA20</v>
      </c>
      <c r="C47">
        <f>totalNumberOfJobsCompletedPorter(Dates!C$4,Dates!C$5,'Day1'!$B47)</f>
        <v>0</v>
      </c>
      <c r="D47">
        <f>totalNumberOfJobsCompletedPorter(Dates!D$4,Dates!D$5,'Day1'!$B47)</f>
        <v>0</v>
      </c>
      <c r="E47">
        <f>totalNumberOfJobsCompletedPorter(Dates!E$4,Dates!E$5,'Day1'!$B47)</f>
        <v>0</v>
      </c>
      <c r="F47">
        <f>totalNumberOfJobsCompletedPorter(Dates!F$4,Dates!F$5,'Day1'!$B47)</f>
        <v>0</v>
      </c>
      <c r="G47">
        <f>totalNumberOfJobsCompletedPorter(Dates!G$4,Dates!G$5,'Day1'!$B47)</f>
        <v>0</v>
      </c>
      <c r="H47">
        <f>totalNumberOfJobsCompletedPorter(Dates!H$4,Dates!H$5,'Day1'!$B47)</f>
        <v>0</v>
      </c>
      <c r="I47">
        <f>totalNumberOfJobsCompletedPorter(Dates!I$4,Dates!I$5,'Day1'!$B47)</f>
        <v>0</v>
      </c>
      <c r="J47">
        <f>totalNumberOfJobsCompletedPorter(Dates!J$4,Dates!J$5,'Day1'!$B47)</f>
        <v>0</v>
      </c>
      <c r="K47">
        <f>totalNumberOfJobsCompletedPorter(Dates!K$4,Dates!K$5,'Day1'!$B47)</f>
        <v>0</v>
      </c>
      <c r="L47">
        <f>totalNumberOfJobsCompletedPorter(Dates!L$4,Dates!L$5,'Day1'!$B47)</f>
        <v>0</v>
      </c>
      <c r="M47">
        <f>totalNumberOfJobsCompletedPorter(Dates!M$4,Dates!M$5,'Day1'!$B47)</f>
        <v>0</v>
      </c>
      <c r="N47">
        <f>totalNumberOfJobsCompletedPorter(Dates!N$4,Dates!N$5,'Day1'!$B47)</f>
        <v>0</v>
      </c>
      <c r="O47">
        <f>totalNumberOfJobsCompletedPorter(Dates!O$4,Dates!O$5,'Day1'!$B47)</f>
        <v>0</v>
      </c>
      <c r="P47">
        <f>totalNumberOfJobsCompletedPorter(Dates!P$4,Dates!P$5,'Day1'!$B47)</f>
        <v>0</v>
      </c>
      <c r="Q47">
        <f>totalNumberOfJobsCompletedPorter(Dates!Q$4,Dates!Q$5,'Day1'!$B47)</f>
        <v>0</v>
      </c>
      <c r="R47">
        <f>totalNumberOfJobsCompletedPorter(Dates!R$4,Dates!R$5,'Day1'!$B47)</f>
        <v>0</v>
      </c>
      <c r="S47">
        <f>totalNumberOfJobsCompletedPorter(Dates!S$4,Dates!S$5,'Day1'!$B47)</f>
        <v>0</v>
      </c>
      <c r="T47">
        <f>totalNumberOfJobsCompletedPorter(Dates!T$4,Dates!T$5,'Day1'!$B47)</f>
        <v>0</v>
      </c>
      <c r="U47">
        <f t="shared" si="0"/>
        <v>0</v>
      </c>
    </row>
    <row r="48" spans="2:21" x14ac:dyDescent="0.3">
      <c r="B48" s="7" t="str">
        <f t="shared" si="1"/>
        <v>NA21</v>
      </c>
      <c r="C48">
        <f>totalNumberOfJobsCompletedPorter(Dates!C$4,Dates!C$5,'Day1'!$B48)</f>
        <v>0</v>
      </c>
      <c r="D48">
        <f>totalNumberOfJobsCompletedPorter(Dates!D$4,Dates!D$5,'Day1'!$B48)</f>
        <v>0</v>
      </c>
      <c r="E48">
        <f>totalNumberOfJobsCompletedPorter(Dates!E$4,Dates!E$5,'Day1'!$B48)</f>
        <v>0</v>
      </c>
      <c r="F48">
        <f>totalNumberOfJobsCompletedPorter(Dates!F$4,Dates!F$5,'Day1'!$B48)</f>
        <v>0</v>
      </c>
      <c r="G48">
        <f>totalNumberOfJobsCompletedPorter(Dates!G$4,Dates!G$5,'Day1'!$B48)</f>
        <v>0</v>
      </c>
      <c r="H48">
        <f>totalNumberOfJobsCompletedPorter(Dates!H$4,Dates!H$5,'Day1'!$B48)</f>
        <v>0</v>
      </c>
      <c r="I48">
        <f>totalNumberOfJobsCompletedPorter(Dates!I$4,Dates!I$5,'Day1'!$B48)</f>
        <v>0</v>
      </c>
      <c r="J48">
        <f>totalNumberOfJobsCompletedPorter(Dates!J$4,Dates!J$5,'Day1'!$B48)</f>
        <v>0</v>
      </c>
      <c r="K48">
        <f>totalNumberOfJobsCompletedPorter(Dates!K$4,Dates!K$5,'Day1'!$B48)</f>
        <v>0</v>
      </c>
      <c r="L48">
        <f>totalNumberOfJobsCompletedPorter(Dates!L$4,Dates!L$5,'Day1'!$B48)</f>
        <v>0</v>
      </c>
      <c r="M48">
        <f>totalNumberOfJobsCompletedPorter(Dates!M$4,Dates!M$5,'Day1'!$B48)</f>
        <v>0</v>
      </c>
      <c r="N48">
        <f>totalNumberOfJobsCompletedPorter(Dates!N$4,Dates!N$5,'Day1'!$B48)</f>
        <v>0</v>
      </c>
      <c r="O48">
        <f>totalNumberOfJobsCompletedPorter(Dates!O$4,Dates!O$5,'Day1'!$B48)</f>
        <v>0</v>
      </c>
      <c r="P48">
        <f>totalNumberOfJobsCompletedPorter(Dates!P$4,Dates!P$5,'Day1'!$B48)</f>
        <v>0</v>
      </c>
      <c r="Q48">
        <f>totalNumberOfJobsCompletedPorter(Dates!Q$4,Dates!Q$5,'Day1'!$B48)</f>
        <v>0</v>
      </c>
      <c r="R48">
        <f>totalNumberOfJobsCompletedPorter(Dates!R$4,Dates!R$5,'Day1'!$B48)</f>
        <v>0</v>
      </c>
      <c r="S48">
        <f>totalNumberOfJobsCompletedPorter(Dates!S$4,Dates!S$5,'Day1'!$B48)</f>
        <v>0</v>
      </c>
      <c r="T48">
        <f>totalNumberOfJobsCompletedPorter(Dates!T$4,Dates!T$5,'Day1'!$B48)</f>
        <v>0</v>
      </c>
      <c r="U48">
        <f t="shared" si="0"/>
        <v>0</v>
      </c>
    </row>
    <row r="49" spans="2:21" x14ac:dyDescent="0.3">
      <c r="B49" s="7" t="str">
        <f t="shared" si="1"/>
        <v>NA22</v>
      </c>
      <c r="C49">
        <f>totalNumberOfJobsCompletedPorter(Dates!C$4,Dates!C$5,'Day1'!$B49)</f>
        <v>0</v>
      </c>
      <c r="D49">
        <f>totalNumberOfJobsCompletedPorter(Dates!D$4,Dates!D$5,'Day1'!$B49)</f>
        <v>0</v>
      </c>
      <c r="E49">
        <f>totalNumberOfJobsCompletedPorter(Dates!E$4,Dates!E$5,'Day1'!$B49)</f>
        <v>0</v>
      </c>
      <c r="F49">
        <f>totalNumberOfJobsCompletedPorter(Dates!F$4,Dates!F$5,'Day1'!$B49)</f>
        <v>0</v>
      </c>
      <c r="G49">
        <f>totalNumberOfJobsCompletedPorter(Dates!G$4,Dates!G$5,'Day1'!$B49)</f>
        <v>0</v>
      </c>
      <c r="H49">
        <f>totalNumberOfJobsCompletedPorter(Dates!H$4,Dates!H$5,'Day1'!$B49)</f>
        <v>0</v>
      </c>
      <c r="I49">
        <f>totalNumberOfJobsCompletedPorter(Dates!I$4,Dates!I$5,'Day1'!$B49)</f>
        <v>0</v>
      </c>
      <c r="J49">
        <f>totalNumberOfJobsCompletedPorter(Dates!J$4,Dates!J$5,'Day1'!$B49)</f>
        <v>0</v>
      </c>
      <c r="K49">
        <f>totalNumberOfJobsCompletedPorter(Dates!K$4,Dates!K$5,'Day1'!$B49)</f>
        <v>0</v>
      </c>
      <c r="L49">
        <f>totalNumberOfJobsCompletedPorter(Dates!L$4,Dates!L$5,'Day1'!$B49)</f>
        <v>0</v>
      </c>
      <c r="M49">
        <f>totalNumberOfJobsCompletedPorter(Dates!M$4,Dates!M$5,'Day1'!$B49)</f>
        <v>0</v>
      </c>
      <c r="N49">
        <f>totalNumberOfJobsCompletedPorter(Dates!N$4,Dates!N$5,'Day1'!$B49)</f>
        <v>0</v>
      </c>
      <c r="O49">
        <f>totalNumberOfJobsCompletedPorter(Dates!O$4,Dates!O$5,'Day1'!$B49)</f>
        <v>0</v>
      </c>
      <c r="P49">
        <f>totalNumberOfJobsCompletedPorter(Dates!P$4,Dates!P$5,'Day1'!$B49)</f>
        <v>0</v>
      </c>
      <c r="Q49">
        <f>totalNumberOfJobsCompletedPorter(Dates!Q$4,Dates!Q$5,'Day1'!$B49)</f>
        <v>0</v>
      </c>
      <c r="R49">
        <f>totalNumberOfJobsCompletedPorter(Dates!R$4,Dates!R$5,'Day1'!$B49)</f>
        <v>0</v>
      </c>
      <c r="S49">
        <f>totalNumberOfJobsCompletedPorter(Dates!S$4,Dates!S$5,'Day1'!$B49)</f>
        <v>0</v>
      </c>
      <c r="T49">
        <f>totalNumberOfJobsCompletedPorter(Dates!T$4,Dates!T$5,'Day1'!$B49)</f>
        <v>0</v>
      </c>
      <c r="U49">
        <f t="shared" si="0"/>
        <v>0</v>
      </c>
    </row>
    <row r="50" spans="2:21" x14ac:dyDescent="0.3">
      <c r="B50" s="7" t="str">
        <f t="shared" si="1"/>
        <v>NA23</v>
      </c>
      <c r="C50">
        <f>totalNumberOfJobsCompletedPorter(Dates!C$4,Dates!C$5,'Day1'!$B50)</f>
        <v>0</v>
      </c>
      <c r="D50">
        <f>totalNumberOfJobsCompletedPorter(Dates!D$4,Dates!D$5,'Day1'!$B50)</f>
        <v>0</v>
      </c>
      <c r="E50">
        <f>totalNumberOfJobsCompletedPorter(Dates!E$4,Dates!E$5,'Day1'!$B50)</f>
        <v>0</v>
      </c>
      <c r="F50">
        <f>totalNumberOfJobsCompletedPorter(Dates!F$4,Dates!F$5,'Day1'!$B50)</f>
        <v>0</v>
      </c>
      <c r="G50">
        <f>totalNumberOfJobsCompletedPorter(Dates!G$4,Dates!G$5,'Day1'!$B50)</f>
        <v>0</v>
      </c>
      <c r="H50">
        <f>totalNumberOfJobsCompletedPorter(Dates!H$4,Dates!H$5,'Day1'!$B50)</f>
        <v>0</v>
      </c>
      <c r="I50">
        <f>totalNumberOfJobsCompletedPorter(Dates!I$4,Dates!I$5,'Day1'!$B50)</f>
        <v>0</v>
      </c>
      <c r="J50">
        <f>totalNumberOfJobsCompletedPorter(Dates!J$4,Dates!J$5,'Day1'!$B50)</f>
        <v>0</v>
      </c>
      <c r="K50">
        <f>totalNumberOfJobsCompletedPorter(Dates!K$4,Dates!K$5,'Day1'!$B50)</f>
        <v>0</v>
      </c>
      <c r="L50">
        <f>totalNumberOfJobsCompletedPorter(Dates!L$4,Dates!L$5,'Day1'!$B50)</f>
        <v>0</v>
      </c>
      <c r="M50">
        <f>totalNumberOfJobsCompletedPorter(Dates!M$4,Dates!M$5,'Day1'!$B50)</f>
        <v>0</v>
      </c>
      <c r="N50">
        <f>totalNumberOfJobsCompletedPorter(Dates!N$4,Dates!N$5,'Day1'!$B50)</f>
        <v>0</v>
      </c>
      <c r="O50">
        <f>totalNumberOfJobsCompletedPorter(Dates!O$4,Dates!O$5,'Day1'!$B50)</f>
        <v>0</v>
      </c>
      <c r="P50">
        <f>totalNumberOfJobsCompletedPorter(Dates!P$4,Dates!P$5,'Day1'!$B50)</f>
        <v>0</v>
      </c>
      <c r="Q50">
        <f>totalNumberOfJobsCompletedPorter(Dates!Q$4,Dates!Q$5,'Day1'!$B50)</f>
        <v>0</v>
      </c>
      <c r="R50">
        <f>totalNumberOfJobsCompletedPorter(Dates!R$4,Dates!R$5,'Day1'!$B50)</f>
        <v>0</v>
      </c>
      <c r="S50">
        <f>totalNumberOfJobsCompletedPorter(Dates!S$4,Dates!S$5,'Day1'!$B50)</f>
        <v>0</v>
      </c>
      <c r="T50">
        <f>totalNumberOfJobsCompletedPorter(Dates!T$4,Dates!T$5,'Day1'!$B50)</f>
        <v>0</v>
      </c>
      <c r="U50">
        <f t="shared" si="0"/>
        <v>0</v>
      </c>
    </row>
    <row r="51" spans="2:21" x14ac:dyDescent="0.3">
      <c r="B51" s="7" t="str">
        <f t="shared" si="1"/>
        <v>NA24</v>
      </c>
      <c r="C51">
        <f>totalNumberOfJobsCompletedPorter(Dates!C$4,Dates!C$5,'Day1'!$B51)</f>
        <v>0</v>
      </c>
      <c r="D51">
        <f>totalNumberOfJobsCompletedPorter(Dates!D$4,Dates!D$5,'Day1'!$B51)</f>
        <v>0</v>
      </c>
      <c r="E51">
        <f>totalNumberOfJobsCompletedPorter(Dates!E$4,Dates!E$5,'Day1'!$B51)</f>
        <v>0</v>
      </c>
      <c r="F51">
        <f>totalNumberOfJobsCompletedPorter(Dates!F$4,Dates!F$5,'Day1'!$B51)</f>
        <v>0</v>
      </c>
      <c r="G51">
        <f>totalNumberOfJobsCompletedPorter(Dates!G$4,Dates!G$5,'Day1'!$B51)</f>
        <v>0</v>
      </c>
      <c r="H51">
        <f>totalNumberOfJobsCompletedPorter(Dates!H$4,Dates!H$5,'Day1'!$B51)</f>
        <v>0</v>
      </c>
      <c r="I51">
        <f>totalNumberOfJobsCompletedPorter(Dates!I$4,Dates!I$5,'Day1'!$B51)</f>
        <v>0</v>
      </c>
      <c r="J51">
        <f>totalNumberOfJobsCompletedPorter(Dates!J$4,Dates!J$5,'Day1'!$B51)</f>
        <v>0</v>
      </c>
      <c r="K51">
        <f>totalNumberOfJobsCompletedPorter(Dates!K$4,Dates!K$5,'Day1'!$B51)</f>
        <v>0</v>
      </c>
      <c r="L51">
        <f>totalNumberOfJobsCompletedPorter(Dates!L$4,Dates!L$5,'Day1'!$B51)</f>
        <v>0</v>
      </c>
      <c r="M51">
        <f>totalNumberOfJobsCompletedPorter(Dates!M$4,Dates!M$5,'Day1'!$B51)</f>
        <v>0</v>
      </c>
      <c r="N51">
        <f>totalNumberOfJobsCompletedPorter(Dates!N$4,Dates!N$5,'Day1'!$B51)</f>
        <v>0</v>
      </c>
      <c r="O51">
        <f>totalNumberOfJobsCompletedPorter(Dates!O$4,Dates!O$5,'Day1'!$B51)</f>
        <v>0</v>
      </c>
      <c r="P51">
        <f>totalNumberOfJobsCompletedPorter(Dates!P$4,Dates!P$5,'Day1'!$B51)</f>
        <v>0</v>
      </c>
      <c r="Q51">
        <f>totalNumberOfJobsCompletedPorter(Dates!Q$4,Dates!Q$5,'Day1'!$B51)</f>
        <v>0</v>
      </c>
      <c r="R51">
        <f>totalNumberOfJobsCompletedPorter(Dates!R$4,Dates!R$5,'Day1'!$B51)</f>
        <v>0</v>
      </c>
      <c r="S51">
        <f>totalNumberOfJobsCompletedPorter(Dates!S$4,Dates!S$5,'Day1'!$B51)</f>
        <v>0</v>
      </c>
      <c r="T51">
        <f>totalNumberOfJobsCompletedPorter(Dates!T$4,Dates!T$5,'Day1'!$B51)</f>
        <v>0</v>
      </c>
      <c r="U51">
        <f t="shared" si="0"/>
        <v>0</v>
      </c>
    </row>
    <row r="52" spans="2:21" x14ac:dyDescent="0.3">
      <c r="B52" s="7" t="str">
        <f t="shared" si="1"/>
        <v>NA25</v>
      </c>
      <c r="C52">
        <f>totalNumberOfJobsCompletedPorter(Dates!C$4,Dates!C$5,'Day1'!$B52)</f>
        <v>0</v>
      </c>
      <c r="D52">
        <f>totalNumberOfJobsCompletedPorter(Dates!D$4,Dates!D$5,'Day1'!$B52)</f>
        <v>0</v>
      </c>
      <c r="E52">
        <f>totalNumberOfJobsCompletedPorter(Dates!E$4,Dates!E$5,'Day1'!$B52)</f>
        <v>0</v>
      </c>
      <c r="F52">
        <f>totalNumberOfJobsCompletedPorter(Dates!F$4,Dates!F$5,'Day1'!$B52)</f>
        <v>0</v>
      </c>
      <c r="G52">
        <f>totalNumberOfJobsCompletedPorter(Dates!G$4,Dates!G$5,'Day1'!$B52)</f>
        <v>0</v>
      </c>
      <c r="H52">
        <f>totalNumberOfJobsCompletedPorter(Dates!H$4,Dates!H$5,'Day1'!$B52)</f>
        <v>0</v>
      </c>
      <c r="I52">
        <f>totalNumberOfJobsCompletedPorter(Dates!I$4,Dates!I$5,'Day1'!$B52)</f>
        <v>0</v>
      </c>
      <c r="J52">
        <f>totalNumberOfJobsCompletedPorter(Dates!J$4,Dates!J$5,'Day1'!$B52)</f>
        <v>0</v>
      </c>
      <c r="K52">
        <f>totalNumberOfJobsCompletedPorter(Dates!K$4,Dates!K$5,'Day1'!$B52)</f>
        <v>0</v>
      </c>
      <c r="L52">
        <f>totalNumberOfJobsCompletedPorter(Dates!L$4,Dates!L$5,'Day1'!$B52)</f>
        <v>0</v>
      </c>
      <c r="M52">
        <f>totalNumberOfJobsCompletedPorter(Dates!M$4,Dates!M$5,'Day1'!$B52)</f>
        <v>0</v>
      </c>
      <c r="N52">
        <f>totalNumberOfJobsCompletedPorter(Dates!N$4,Dates!N$5,'Day1'!$B52)</f>
        <v>0</v>
      </c>
      <c r="O52">
        <f>totalNumberOfJobsCompletedPorter(Dates!O$4,Dates!O$5,'Day1'!$B52)</f>
        <v>0</v>
      </c>
      <c r="P52">
        <f>totalNumberOfJobsCompletedPorter(Dates!P$4,Dates!P$5,'Day1'!$B52)</f>
        <v>0</v>
      </c>
      <c r="Q52">
        <f>totalNumberOfJobsCompletedPorter(Dates!Q$4,Dates!Q$5,'Day1'!$B52)</f>
        <v>0</v>
      </c>
      <c r="R52">
        <f>totalNumberOfJobsCompletedPorter(Dates!R$4,Dates!R$5,'Day1'!$B52)</f>
        <v>0</v>
      </c>
      <c r="S52">
        <f>totalNumberOfJobsCompletedPorter(Dates!S$4,Dates!S$5,'Day1'!$B52)</f>
        <v>0</v>
      </c>
      <c r="T52">
        <f>totalNumberOfJobsCompletedPorter(Dates!T$4,Dates!T$5,'Day1'!$B52)</f>
        <v>0</v>
      </c>
      <c r="U52">
        <f t="shared" si="0"/>
        <v>0</v>
      </c>
    </row>
    <row r="53" spans="2:21" x14ac:dyDescent="0.3">
      <c r="B53" s="7" t="str">
        <f t="shared" si="1"/>
        <v>NA26</v>
      </c>
      <c r="C53">
        <f>totalNumberOfJobsCompletedPorter(Dates!C$4,Dates!C$5,'Day1'!$B53)</f>
        <v>0</v>
      </c>
      <c r="D53">
        <f>totalNumberOfJobsCompletedPorter(Dates!D$4,Dates!D$5,'Day1'!$B53)</f>
        <v>0</v>
      </c>
      <c r="E53">
        <f>totalNumberOfJobsCompletedPorter(Dates!E$4,Dates!E$5,'Day1'!$B53)</f>
        <v>0</v>
      </c>
      <c r="F53">
        <f>totalNumberOfJobsCompletedPorter(Dates!F$4,Dates!F$5,'Day1'!$B53)</f>
        <v>0</v>
      </c>
      <c r="G53">
        <f>totalNumberOfJobsCompletedPorter(Dates!G$4,Dates!G$5,'Day1'!$B53)</f>
        <v>0</v>
      </c>
      <c r="H53">
        <f>totalNumberOfJobsCompletedPorter(Dates!H$4,Dates!H$5,'Day1'!$B53)</f>
        <v>0</v>
      </c>
      <c r="I53">
        <f>totalNumberOfJobsCompletedPorter(Dates!I$4,Dates!I$5,'Day1'!$B53)</f>
        <v>0</v>
      </c>
      <c r="J53">
        <f>totalNumberOfJobsCompletedPorter(Dates!J$4,Dates!J$5,'Day1'!$B53)</f>
        <v>0</v>
      </c>
      <c r="K53">
        <f>totalNumberOfJobsCompletedPorter(Dates!K$4,Dates!K$5,'Day1'!$B53)</f>
        <v>0</v>
      </c>
      <c r="L53">
        <f>totalNumberOfJobsCompletedPorter(Dates!L$4,Dates!L$5,'Day1'!$B53)</f>
        <v>0</v>
      </c>
      <c r="M53">
        <f>totalNumberOfJobsCompletedPorter(Dates!M$4,Dates!M$5,'Day1'!$B53)</f>
        <v>0</v>
      </c>
      <c r="N53">
        <f>totalNumberOfJobsCompletedPorter(Dates!N$4,Dates!N$5,'Day1'!$B53)</f>
        <v>0</v>
      </c>
      <c r="O53">
        <f>totalNumberOfJobsCompletedPorter(Dates!O$4,Dates!O$5,'Day1'!$B53)</f>
        <v>0</v>
      </c>
      <c r="P53">
        <f>totalNumberOfJobsCompletedPorter(Dates!P$4,Dates!P$5,'Day1'!$B53)</f>
        <v>0</v>
      </c>
      <c r="Q53">
        <f>totalNumberOfJobsCompletedPorter(Dates!Q$4,Dates!Q$5,'Day1'!$B53)</f>
        <v>0</v>
      </c>
      <c r="R53">
        <f>totalNumberOfJobsCompletedPorter(Dates!R$4,Dates!R$5,'Day1'!$B53)</f>
        <v>0</v>
      </c>
      <c r="S53">
        <f>totalNumberOfJobsCompletedPorter(Dates!S$4,Dates!S$5,'Day1'!$B53)</f>
        <v>0</v>
      </c>
      <c r="T53">
        <f>totalNumberOfJobsCompletedPorter(Dates!T$4,Dates!T$5,'Day1'!$B53)</f>
        <v>0</v>
      </c>
      <c r="U53">
        <f t="shared" si="0"/>
        <v>0</v>
      </c>
    </row>
    <row r="54" spans="2:21" x14ac:dyDescent="0.3">
      <c r="B54" s="7" t="str">
        <f t="shared" si="1"/>
        <v>NA27</v>
      </c>
      <c r="C54">
        <f>totalNumberOfJobsCompletedPorter(Dates!C$4,Dates!C$5,'Day1'!$B54)</f>
        <v>0</v>
      </c>
      <c r="D54">
        <f>totalNumberOfJobsCompletedPorter(Dates!D$4,Dates!D$5,'Day1'!$B54)</f>
        <v>0</v>
      </c>
      <c r="E54">
        <f>totalNumberOfJobsCompletedPorter(Dates!E$4,Dates!E$5,'Day1'!$B54)</f>
        <v>0</v>
      </c>
      <c r="F54">
        <f>totalNumberOfJobsCompletedPorter(Dates!F$4,Dates!F$5,'Day1'!$B54)</f>
        <v>0</v>
      </c>
      <c r="G54">
        <f>totalNumberOfJobsCompletedPorter(Dates!G$4,Dates!G$5,'Day1'!$B54)</f>
        <v>0</v>
      </c>
      <c r="H54">
        <f>totalNumberOfJobsCompletedPorter(Dates!H$4,Dates!H$5,'Day1'!$B54)</f>
        <v>0</v>
      </c>
      <c r="I54">
        <f>totalNumberOfJobsCompletedPorter(Dates!I$4,Dates!I$5,'Day1'!$B54)</f>
        <v>0</v>
      </c>
      <c r="J54">
        <f>totalNumberOfJobsCompletedPorter(Dates!J$4,Dates!J$5,'Day1'!$B54)</f>
        <v>0</v>
      </c>
      <c r="K54">
        <f>totalNumberOfJobsCompletedPorter(Dates!K$4,Dates!K$5,'Day1'!$B54)</f>
        <v>0</v>
      </c>
      <c r="L54">
        <f>totalNumberOfJobsCompletedPorter(Dates!L$4,Dates!L$5,'Day1'!$B54)</f>
        <v>0</v>
      </c>
      <c r="M54">
        <f>totalNumberOfJobsCompletedPorter(Dates!M$4,Dates!M$5,'Day1'!$B54)</f>
        <v>0</v>
      </c>
      <c r="N54">
        <f>totalNumberOfJobsCompletedPorter(Dates!N$4,Dates!N$5,'Day1'!$B54)</f>
        <v>0</v>
      </c>
      <c r="O54">
        <f>totalNumberOfJobsCompletedPorter(Dates!O$4,Dates!O$5,'Day1'!$B54)</f>
        <v>0</v>
      </c>
      <c r="P54">
        <f>totalNumberOfJobsCompletedPorter(Dates!P$4,Dates!P$5,'Day1'!$B54)</f>
        <v>0</v>
      </c>
      <c r="Q54">
        <f>totalNumberOfJobsCompletedPorter(Dates!Q$4,Dates!Q$5,'Day1'!$B54)</f>
        <v>0</v>
      </c>
      <c r="R54">
        <f>totalNumberOfJobsCompletedPorter(Dates!R$4,Dates!R$5,'Day1'!$B54)</f>
        <v>0</v>
      </c>
      <c r="S54">
        <f>totalNumberOfJobsCompletedPorter(Dates!S$4,Dates!S$5,'Day1'!$B54)</f>
        <v>0</v>
      </c>
      <c r="T54">
        <f>totalNumberOfJobsCompletedPorter(Dates!T$4,Dates!T$5,'Day1'!$B54)</f>
        <v>0</v>
      </c>
      <c r="U54">
        <f t="shared" si="0"/>
        <v>0</v>
      </c>
    </row>
    <row r="56" spans="2:21" x14ac:dyDescent="0.3">
      <c r="B56" s="7" t="s">
        <v>12</v>
      </c>
      <c r="C56" s="5">
        <f>averageResponseTime(Dates!C$4,Dates!C$5)</f>
        <v>11.5</v>
      </c>
      <c r="D56" s="5">
        <f>averageResponseTime(Dates!D$4,Dates!D$5)</f>
        <v>10.8</v>
      </c>
      <c r="E56" s="5">
        <f>averageResponseTime(Dates!E$4,Dates!E$5)</f>
        <v>9.6666666666666661</v>
      </c>
      <c r="F56" s="5">
        <f>averageResponseTime(Dates!F$4,Dates!F$5)</f>
        <v>7.5</v>
      </c>
      <c r="G56" s="5">
        <f>averageResponseTime(Dates!G$4,Dates!G$5)</f>
        <v>2.6</v>
      </c>
      <c r="H56" s="5">
        <f>averageResponseTime(Dates!H$4,Dates!H$5)</f>
        <v>0.5</v>
      </c>
      <c r="I56" s="5">
        <f>averageResponseTime(Dates!I$4,Dates!I$5)</f>
        <v>0.4</v>
      </c>
      <c r="J56" s="5">
        <f>averageResponseTime(Dates!J$4,Dates!J$5)</f>
        <v>4.5999999999999996</v>
      </c>
      <c r="K56" s="5">
        <f>averageResponseTime(Dates!K$4,Dates!K$5)</f>
        <v>0.66666666666666663</v>
      </c>
      <c r="L56" s="5">
        <f>averageResponseTime(Dates!L$4,Dates!L$5)</f>
        <v>3.2222222222222223</v>
      </c>
      <c r="M56" s="5">
        <f>averageResponseTime(Dates!M$4,Dates!M$5)</f>
        <v>7.4</v>
      </c>
      <c r="N56" s="5">
        <f>averageResponseTime(Dates!N$4,Dates!N$5)</f>
        <v>6.1428571428571432</v>
      </c>
      <c r="O56" s="5">
        <f>averageResponseTime(Dates!O$4,Dates!O$5)</f>
        <v>3.5</v>
      </c>
      <c r="P56" s="5">
        <f>averageResponseTime(Dates!P$4,Dates!P$5)</f>
        <v>2.6666666666666665</v>
      </c>
      <c r="Q56" s="5">
        <f>averageResponseTime(Dates!Q$4,Dates!Q$5)</f>
        <v>18.666666666666668</v>
      </c>
      <c r="R56" s="5">
        <f>averageResponseTime(Dates!R$4,Dates!R$5)</f>
        <v>6</v>
      </c>
      <c r="S56" s="5">
        <f>averageResponseTime(Dates!S$4,Dates!S$5)</f>
        <v>26</v>
      </c>
      <c r="T56" s="5">
        <f>averageResponseTime(Dates!T$4,Dates!T$5)</f>
        <v>0</v>
      </c>
      <c r="U56" s="5">
        <f>averageResponseTime(Dates!C$4,Dates!T$5)</f>
        <v>5.2631578947368418E-2</v>
      </c>
    </row>
    <row r="57" spans="2:21" x14ac:dyDescent="0.3">
      <c r="B57" s="7">
        <f t="shared" ref="B57:B81" si="2">B3</f>
        <v>1</v>
      </c>
      <c r="C57" s="5">
        <f>averageResponseTimePorter(Dates!C$4,Dates!C$5,'Day1'!$B57)</f>
        <v>11.5</v>
      </c>
      <c r="D57" s="5">
        <f>averageResponseTimePorter(Dates!D$4,Dates!D$5,'Day1'!$B57)</f>
        <v>0</v>
      </c>
      <c r="E57" s="5">
        <f>averageResponseTimePorter(Dates!E$4,Dates!E$5,'Day1'!$B57)</f>
        <v>8</v>
      </c>
      <c r="F57" s="5">
        <f>averageResponseTimePorter(Dates!F$4,Dates!F$5,'Day1'!$B57)</f>
        <v>0</v>
      </c>
      <c r="G57" s="5">
        <f>averageResponseTimePorter(Dates!G$4,Dates!G$5,'Day1'!$B57)</f>
        <v>7</v>
      </c>
      <c r="H57" s="5">
        <f>averageResponseTimePorter(Dates!H$4,Dates!H$5,'Day1'!$B57)</f>
        <v>0</v>
      </c>
      <c r="I57" s="5">
        <f>averageResponseTimePorter(Dates!I$4,Dates!I$5,'Day1'!$B57)</f>
        <v>8</v>
      </c>
      <c r="J57" s="5">
        <f>averageResponseTimePorter(Dates!J$4,Dates!J$5,'Day1'!$B57)</f>
        <v>4</v>
      </c>
      <c r="K57" s="5">
        <f>averageResponseTimePorter(Dates!K$4,Dates!K$5,'Day1'!$B57)</f>
        <v>7</v>
      </c>
      <c r="L57" s="5">
        <f>averageResponseTimePorter(Dates!L$4,Dates!L$5,'Day1'!$B57)</f>
        <v>9</v>
      </c>
      <c r="M57" s="5">
        <f>averageResponseTimePorter(Dates!M$4,Dates!M$5,'Day1'!$B57)</f>
        <v>10</v>
      </c>
      <c r="N57" s="5">
        <f>averageResponseTimePorter(Dates!N$4,Dates!N$5,'Day1'!$B57)</f>
        <v>23.5</v>
      </c>
      <c r="O57" s="5">
        <f>averageResponseTimePorter(Dates!O$4,Dates!O$5,'Day1'!$B57)</f>
        <v>0</v>
      </c>
      <c r="P57" s="5">
        <f>averageResponseTimePorter(Dates!P$4,Dates!P$5,'Day1'!$B57)</f>
        <v>23</v>
      </c>
      <c r="Q57" s="5">
        <f>averageResponseTimePorter(Dates!Q$4,Dates!Q$5,'Day1'!$B57)</f>
        <v>0</v>
      </c>
      <c r="R57" s="5">
        <f>averageResponseTimePorter(Dates!R$4,Dates!R$5,'Day1'!$B57)</f>
        <v>0</v>
      </c>
      <c r="S57" s="5">
        <f>averageResponseTimePorter(Dates!S$4,Dates!S$5,'Day1'!$B57)</f>
        <v>0</v>
      </c>
      <c r="T57" s="5">
        <f>averageResponseTimePorter(Dates!T$4,Dates!T$5,'Day1'!$B57)</f>
        <v>0</v>
      </c>
      <c r="U57" s="5">
        <f>averageResponseTimePorter(Dates!$C$4,Dates!$T$5,'Day1'!$B3)</f>
        <v>2.3076923076923075</v>
      </c>
    </row>
    <row r="58" spans="2:21" x14ac:dyDescent="0.3">
      <c r="B58" s="7">
        <f t="shared" si="2"/>
        <v>0</v>
      </c>
      <c r="C58" s="5">
        <f>averageResponseTimePorter(Dates!C$4,Dates!C$5,'Day1'!$B58)</f>
        <v>0</v>
      </c>
      <c r="D58" s="5">
        <f>averageResponseTimePorter(Dates!D$4,Dates!D$5,'Day1'!$B58)</f>
        <v>14.5</v>
      </c>
      <c r="E58" s="5">
        <f>averageResponseTimePorter(Dates!E$4,Dates!E$5,'Day1'!$B58)</f>
        <v>25</v>
      </c>
      <c r="F58" s="5">
        <f>averageResponseTimePorter(Dates!F$4,Dates!F$5,'Day1'!$B58)</f>
        <v>10</v>
      </c>
      <c r="G58" s="5">
        <f>averageResponseTimePorter(Dates!G$4,Dates!G$5,'Day1'!$B58)</f>
        <v>0</v>
      </c>
      <c r="H58" s="5">
        <f>averageResponseTimePorter(Dates!H$4,Dates!H$5,'Day1'!$B58)</f>
        <v>27</v>
      </c>
      <c r="I58" s="5">
        <f>averageResponseTimePorter(Dates!I$4,Dates!I$5,'Day1'!$B58)</f>
        <v>3</v>
      </c>
      <c r="J58" s="5">
        <f>averageResponseTimePorter(Dates!J$4,Dates!J$5,'Day1'!$B58)</f>
        <v>3</v>
      </c>
      <c r="K58" s="5">
        <f>averageResponseTimePorter(Dates!K$4,Dates!K$5,'Day1'!$B58)</f>
        <v>0</v>
      </c>
      <c r="L58" s="5">
        <f>averageResponseTimePorter(Dates!L$4,Dates!L$5,'Day1'!$B58)</f>
        <v>4</v>
      </c>
      <c r="M58" s="5">
        <f>averageResponseTimePorter(Dates!M$4,Dates!M$5,'Day1'!$B58)</f>
        <v>14</v>
      </c>
      <c r="N58" s="5">
        <f>averageResponseTimePorter(Dates!N$4,Dates!N$5,'Day1'!$B58)</f>
        <v>52</v>
      </c>
      <c r="O58" s="5">
        <f>averageResponseTimePorter(Dates!O$4,Dates!O$5,'Day1'!$B58)</f>
        <v>19</v>
      </c>
      <c r="P58" s="5">
        <f>averageResponseTimePorter(Dates!P$4,Dates!P$5,'Day1'!$B58)</f>
        <v>0</v>
      </c>
      <c r="Q58" s="5">
        <f>averageResponseTimePorter(Dates!Q$4,Dates!Q$5,'Day1'!$B58)</f>
        <v>26.5</v>
      </c>
      <c r="R58" s="5">
        <f>averageResponseTimePorter(Dates!R$4,Dates!R$5,'Day1'!$B58)</f>
        <v>0</v>
      </c>
      <c r="S58" s="5">
        <f>averageResponseTimePorter(Dates!S$4,Dates!S$5,'Day1'!$B58)</f>
        <v>0</v>
      </c>
      <c r="T58" s="5">
        <f>averageResponseTimePorter(Dates!T$4,Dates!T$5,'Day1'!$B58)</f>
        <v>0</v>
      </c>
      <c r="U58" s="5">
        <f>averageResponseTimePorter(Dates!$C$4,Dates!$T$5,'Day1'!$B4)</f>
        <v>4.5384615384615383</v>
      </c>
    </row>
    <row r="59" spans="2:21" x14ac:dyDescent="0.3">
      <c r="B59" s="7">
        <f t="shared" si="2"/>
        <v>3</v>
      </c>
      <c r="C59" s="5">
        <f>averageResponseTimePorter(Dates!C$4,Dates!C$5,'Day1'!$B59)</f>
        <v>0</v>
      </c>
      <c r="D59" s="5">
        <f>averageResponseTimePorter(Dates!D$4,Dates!D$5,'Day1'!$B59)</f>
        <v>23</v>
      </c>
      <c r="E59" s="5">
        <f>averageResponseTimePorter(Dates!E$4,Dates!E$5,'Day1'!$B59)</f>
        <v>0</v>
      </c>
      <c r="F59" s="5">
        <f>averageResponseTimePorter(Dates!F$4,Dates!F$5,'Day1'!$B59)</f>
        <v>5</v>
      </c>
      <c r="G59" s="5">
        <f>averageResponseTimePorter(Dates!G$4,Dates!G$5,'Day1'!$B59)</f>
        <v>21</v>
      </c>
      <c r="H59" s="5">
        <f>averageResponseTimePorter(Dates!H$4,Dates!H$5,'Day1'!$B59)</f>
        <v>0</v>
      </c>
      <c r="I59" s="5">
        <f>averageResponseTimePorter(Dates!I$4,Dates!I$5,'Day1'!$B59)</f>
        <v>27</v>
      </c>
      <c r="J59" s="5">
        <f>averageResponseTimePorter(Dates!J$4,Dates!J$5,'Day1'!$B59)</f>
        <v>0</v>
      </c>
      <c r="K59" s="5">
        <f>averageResponseTimePorter(Dates!K$4,Dates!K$5,'Day1'!$B59)</f>
        <v>2</v>
      </c>
      <c r="L59" s="5">
        <f>averageResponseTimePorter(Dates!L$4,Dates!L$5,'Day1'!$B59)</f>
        <v>19</v>
      </c>
      <c r="M59" s="5">
        <f>averageResponseTimePorter(Dates!M$4,Dates!M$5,'Day1'!$B59)</f>
        <v>25</v>
      </c>
      <c r="N59" s="5">
        <f>averageResponseTimePorter(Dates!N$4,Dates!N$5,'Day1'!$B59)</f>
        <v>46</v>
      </c>
      <c r="O59" s="5">
        <f>averageResponseTimePorter(Dates!O$4,Dates!O$5,'Day1'!$B59)</f>
        <v>0</v>
      </c>
      <c r="P59" s="5">
        <f>averageResponseTimePorter(Dates!P$4,Dates!P$5,'Day1'!$B59)</f>
        <v>21</v>
      </c>
      <c r="Q59" s="5">
        <f>averageResponseTimePorter(Dates!Q$4,Dates!Q$5,'Day1'!$B59)</f>
        <v>0</v>
      </c>
      <c r="R59" s="5">
        <f>averageResponseTimePorter(Dates!R$4,Dates!R$5,'Day1'!$B59)</f>
        <v>10</v>
      </c>
      <c r="S59" s="5">
        <f>averageResponseTimePorter(Dates!S$4,Dates!S$5,'Day1'!$B59)</f>
        <v>0</v>
      </c>
      <c r="T59" s="5">
        <f>averageResponseTimePorter(Dates!T$4,Dates!T$5,'Day1'!$B59)</f>
        <v>0</v>
      </c>
      <c r="U59" s="5">
        <f>averageResponseTimePorter(Dates!$C$4,Dates!$T$5,'Day1'!$B5)</f>
        <v>1.9</v>
      </c>
    </row>
    <row r="60" spans="2:21" x14ac:dyDescent="0.3">
      <c r="B60" s="7">
        <f t="shared" si="2"/>
        <v>2</v>
      </c>
      <c r="C60" s="5">
        <f>averageResponseTimePorter(Dates!C$4,Dates!C$5,'Day1'!$B60)</f>
        <v>0</v>
      </c>
      <c r="D60" s="5">
        <f>averageResponseTimePorter(Dates!D$4,Dates!D$5,'Day1'!$B60)</f>
        <v>1</v>
      </c>
      <c r="E60" s="5">
        <f>averageResponseTimePorter(Dates!E$4,Dates!E$5,'Day1'!$B60)</f>
        <v>4</v>
      </c>
      <c r="F60" s="5">
        <f>averageResponseTimePorter(Dates!F$4,Dates!F$5,'Day1'!$B60)</f>
        <v>0</v>
      </c>
      <c r="G60" s="5">
        <f>averageResponseTimePorter(Dates!G$4,Dates!G$5,'Day1'!$B60)</f>
        <v>6</v>
      </c>
      <c r="H60" s="5">
        <f>averageResponseTimePorter(Dates!H$4,Dates!H$5,'Day1'!$B60)</f>
        <v>11</v>
      </c>
      <c r="I60" s="5">
        <f>averageResponseTimePorter(Dates!I$4,Dates!I$5,'Day1'!$B60)</f>
        <v>7</v>
      </c>
      <c r="J60" s="5">
        <f>averageResponseTimePorter(Dates!J$4,Dates!J$5,'Day1'!$B60)</f>
        <v>1</v>
      </c>
      <c r="K60" s="5">
        <f>averageResponseTimePorter(Dates!K$4,Dates!K$5,'Day1'!$B60)</f>
        <v>13</v>
      </c>
      <c r="L60" s="5">
        <f>averageResponseTimePorter(Dates!L$4,Dates!L$5,'Day1'!$B60)</f>
        <v>15</v>
      </c>
      <c r="M60" s="5">
        <f>averageResponseTimePorter(Dates!M$4,Dates!M$5,'Day1'!$B60)</f>
        <v>45</v>
      </c>
      <c r="N60" s="5">
        <f>averageResponseTimePorter(Dates!N$4,Dates!N$5,'Day1'!$B60)</f>
        <v>0</v>
      </c>
      <c r="O60" s="5">
        <f>averageResponseTimePorter(Dates!O$4,Dates!O$5,'Day1'!$B60)</f>
        <v>48</v>
      </c>
      <c r="P60" s="5">
        <f>averageResponseTimePorter(Dates!P$4,Dates!P$5,'Day1'!$B60)</f>
        <v>9</v>
      </c>
      <c r="Q60" s="5">
        <f>averageResponseTimePorter(Dates!Q$4,Dates!Q$5,'Day1'!$B60)</f>
        <v>0</v>
      </c>
      <c r="R60" s="5">
        <f>averageResponseTimePorter(Dates!R$4,Dates!R$5,'Day1'!$B60)</f>
        <v>0</v>
      </c>
      <c r="S60" s="5">
        <f>averageResponseTimePorter(Dates!S$4,Dates!S$5,'Day1'!$B60)</f>
        <v>0</v>
      </c>
      <c r="T60" s="5">
        <f>averageResponseTimePorter(Dates!T$4,Dates!T$5,'Day1'!$B60)</f>
        <v>0</v>
      </c>
      <c r="U60" s="5">
        <f>averageResponseTimePorter(Dates!$C$4,Dates!$T$5,'Day1'!$B6)</f>
        <v>3.6363636363636362</v>
      </c>
    </row>
    <row r="61" spans="2:21" x14ac:dyDescent="0.3">
      <c r="B61" s="7">
        <f t="shared" si="2"/>
        <v>5</v>
      </c>
      <c r="C61" s="5">
        <f>averageResponseTimePorter(Dates!C$4,Dates!C$5,'Day1'!$B61)</f>
        <v>0</v>
      </c>
      <c r="D61" s="5">
        <f>averageResponseTimePorter(Dates!D$4,Dates!D$5,'Day1'!$B61)</f>
        <v>1</v>
      </c>
      <c r="E61" s="5">
        <f>averageResponseTimePorter(Dates!E$4,Dates!E$5,'Day1'!$B61)</f>
        <v>13</v>
      </c>
      <c r="F61" s="5">
        <f>averageResponseTimePorter(Dates!F$4,Dates!F$5,'Day1'!$B61)</f>
        <v>0</v>
      </c>
      <c r="G61" s="5">
        <f>averageResponseTimePorter(Dates!G$4,Dates!G$5,'Day1'!$B61)</f>
        <v>0</v>
      </c>
      <c r="H61" s="5">
        <f>averageResponseTimePorter(Dates!H$4,Dates!H$5,'Day1'!$B61)</f>
        <v>16</v>
      </c>
      <c r="I61" s="5">
        <f>averageResponseTimePorter(Dates!I$4,Dates!I$5,'Day1'!$B61)</f>
        <v>0</v>
      </c>
      <c r="J61" s="5">
        <f>averageResponseTimePorter(Dates!J$4,Dates!J$5,'Day1'!$B61)</f>
        <v>10</v>
      </c>
      <c r="K61" s="5">
        <f>averageResponseTimePorter(Dates!K$4,Dates!K$5,'Day1'!$B61)</f>
        <v>7</v>
      </c>
      <c r="L61" s="5">
        <f>averageResponseTimePorter(Dates!L$4,Dates!L$5,'Day1'!$B61)</f>
        <v>7.5</v>
      </c>
      <c r="M61" s="5">
        <f>averageResponseTimePorter(Dates!M$4,Dates!M$5,'Day1'!$B61)</f>
        <v>0</v>
      </c>
      <c r="N61" s="5">
        <f>averageResponseTimePorter(Dates!N$4,Dates!N$5,'Day1'!$B61)</f>
        <v>6</v>
      </c>
      <c r="O61" s="5">
        <f>averageResponseTimePorter(Dates!O$4,Dates!O$5,'Day1'!$B61)</f>
        <v>0</v>
      </c>
      <c r="P61" s="5">
        <f>averageResponseTimePorter(Dates!P$4,Dates!P$5,'Day1'!$B61)</f>
        <v>48</v>
      </c>
      <c r="Q61" s="5">
        <f>averageResponseTimePorter(Dates!Q$4,Dates!Q$5,'Day1'!$B61)</f>
        <v>0</v>
      </c>
      <c r="R61" s="5">
        <f>averageResponseTimePorter(Dates!R$4,Dates!R$5,'Day1'!$B61)</f>
        <v>2</v>
      </c>
      <c r="S61" s="5">
        <f>averageResponseTimePorter(Dates!S$4,Dates!S$5,'Day1'!$B61)</f>
        <v>0</v>
      </c>
      <c r="T61" s="5">
        <f>averageResponseTimePorter(Dates!T$4,Dates!T$5,'Day1'!$B61)</f>
        <v>0</v>
      </c>
      <c r="U61" s="5">
        <f>averageResponseTimePorter(Dates!$C$4,Dates!$T$5,'Day1'!$B7)</f>
        <v>5.8</v>
      </c>
    </row>
    <row r="62" spans="2:21" x14ac:dyDescent="0.3">
      <c r="B62" s="7">
        <f t="shared" si="2"/>
        <v>4</v>
      </c>
      <c r="C62" s="5">
        <f>averageResponseTimePorter(Dates!C$4,Dates!C$5,'Day1'!$B62)</f>
        <v>0</v>
      </c>
      <c r="D62" s="5">
        <f>averageResponseTimePorter(Dates!D$4,Dates!D$5,'Day1'!$B62)</f>
        <v>0</v>
      </c>
      <c r="E62" s="5">
        <f>averageResponseTimePorter(Dates!E$4,Dates!E$5,'Day1'!$B62)</f>
        <v>4</v>
      </c>
      <c r="F62" s="5">
        <f>averageResponseTimePorter(Dates!F$4,Dates!F$5,'Day1'!$B62)</f>
        <v>0</v>
      </c>
      <c r="G62" s="5">
        <f>averageResponseTimePorter(Dates!G$4,Dates!G$5,'Day1'!$B62)</f>
        <v>19</v>
      </c>
      <c r="H62" s="5">
        <f>averageResponseTimePorter(Dates!H$4,Dates!H$5,'Day1'!$B62)</f>
        <v>8</v>
      </c>
      <c r="I62" s="5">
        <f>averageResponseTimePorter(Dates!I$4,Dates!I$5,'Day1'!$B62)</f>
        <v>0</v>
      </c>
      <c r="J62" s="5">
        <f>averageResponseTimePorter(Dates!J$4,Dates!J$5,'Day1'!$B62)</f>
        <v>0</v>
      </c>
      <c r="K62" s="5">
        <f>averageResponseTimePorter(Dates!K$4,Dates!K$5,'Day1'!$B62)</f>
        <v>11</v>
      </c>
      <c r="L62" s="5">
        <f>averageResponseTimePorter(Dates!L$4,Dates!L$5,'Day1'!$B62)</f>
        <v>16</v>
      </c>
      <c r="M62" s="5">
        <f>averageResponseTimePorter(Dates!M$4,Dates!M$5,'Day1'!$B62)</f>
        <v>3</v>
      </c>
      <c r="N62" s="5">
        <f>averageResponseTimePorter(Dates!N$4,Dates!N$5,'Day1'!$B62)</f>
        <v>19</v>
      </c>
      <c r="O62" s="5">
        <f>averageResponseTimePorter(Dates!O$4,Dates!O$5,'Day1'!$B62)</f>
        <v>0</v>
      </c>
      <c r="P62" s="5">
        <f>averageResponseTimePorter(Dates!P$4,Dates!P$5,'Day1'!$B62)</f>
        <v>0</v>
      </c>
      <c r="Q62" s="5">
        <f>averageResponseTimePorter(Dates!Q$4,Dates!Q$5,'Day1'!$B62)</f>
        <v>3</v>
      </c>
      <c r="R62" s="5">
        <f>averageResponseTimePorter(Dates!R$4,Dates!R$5,'Day1'!$B62)</f>
        <v>0</v>
      </c>
      <c r="S62" s="5">
        <f>averageResponseTimePorter(Dates!S$4,Dates!S$5,'Day1'!$B62)</f>
        <v>26</v>
      </c>
      <c r="T62" s="5">
        <f>averageResponseTimePorter(Dates!T$4,Dates!T$5,'Day1'!$B62)</f>
        <v>0</v>
      </c>
      <c r="U62" s="5">
        <f>averageResponseTimePorter(Dates!$C$4,Dates!$T$5,'Day1'!$B8)</f>
        <v>5.4444444444444446</v>
      </c>
    </row>
    <row r="63" spans="2:21" x14ac:dyDescent="0.3">
      <c r="B63" s="7">
        <f t="shared" si="2"/>
        <v>6</v>
      </c>
      <c r="C63" s="5">
        <f>averageResponseTimePorter(Dates!C$4,Dates!C$5,'Day1'!$B63)</f>
        <v>0</v>
      </c>
      <c r="D63" s="5">
        <f>averageResponseTimePorter(Dates!D$4,Dates!D$5,'Day1'!$B63)</f>
        <v>0</v>
      </c>
      <c r="E63" s="5">
        <f>averageResponseTimePorter(Dates!E$4,Dates!E$5,'Day1'!$B63)</f>
        <v>4</v>
      </c>
      <c r="F63" s="5">
        <f>averageResponseTimePorter(Dates!F$4,Dates!F$5,'Day1'!$B63)</f>
        <v>0</v>
      </c>
      <c r="G63" s="5">
        <f>averageResponseTimePorter(Dates!G$4,Dates!G$5,'Day1'!$B63)</f>
        <v>20</v>
      </c>
      <c r="H63" s="5">
        <f>averageResponseTimePorter(Dates!H$4,Dates!H$5,'Day1'!$B63)</f>
        <v>0</v>
      </c>
      <c r="I63" s="5">
        <f>averageResponseTimePorter(Dates!I$4,Dates!I$5,'Day1'!$B63)</f>
        <v>17</v>
      </c>
      <c r="J63" s="5">
        <f>averageResponseTimePorter(Dates!J$4,Dates!J$5,'Day1'!$B63)</f>
        <v>5</v>
      </c>
      <c r="K63" s="5">
        <f>averageResponseTimePorter(Dates!K$4,Dates!K$5,'Day1'!$B63)</f>
        <v>24</v>
      </c>
      <c r="L63" s="5">
        <f>averageResponseTimePorter(Dates!L$4,Dates!L$5,'Day1'!$B63)</f>
        <v>5.5</v>
      </c>
      <c r="M63" s="5">
        <f>averageResponseTimePorter(Dates!M$4,Dates!M$5,'Day1'!$B63)</f>
        <v>0</v>
      </c>
      <c r="N63" s="5">
        <f>averageResponseTimePorter(Dates!N$4,Dates!N$5,'Day1'!$B63)</f>
        <v>53</v>
      </c>
      <c r="O63" s="5">
        <f>averageResponseTimePorter(Dates!O$4,Dates!O$5,'Day1'!$B63)</f>
        <v>0</v>
      </c>
      <c r="P63" s="5">
        <f>averageResponseTimePorter(Dates!P$4,Dates!P$5,'Day1'!$B63)</f>
        <v>17.5</v>
      </c>
      <c r="Q63" s="5">
        <f>averageResponseTimePorter(Dates!Q$4,Dates!Q$5,'Day1'!$B63)</f>
        <v>0</v>
      </c>
      <c r="R63" s="5">
        <f>averageResponseTimePorter(Dates!R$4,Dates!R$5,'Day1'!$B63)</f>
        <v>0</v>
      </c>
      <c r="S63" s="5">
        <f>averageResponseTimePorter(Dates!S$4,Dates!S$5,'Day1'!$B63)</f>
        <v>0</v>
      </c>
      <c r="T63" s="5">
        <f>averageResponseTimePorter(Dates!T$4,Dates!T$5,'Day1'!$B63)</f>
        <v>0</v>
      </c>
      <c r="U63" s="5">
        <f>averageResponseTimePorter(Dates!$C$4,Dates!$T$5,'Day1'!$B9)</f>
        <v>4.9000000000000004</v>
      </c>
    </row>
    <row r="64" spans="2:21" x14ac:dyDescent="0.3">
      <c r="B64" s="7" t="str">
        <f t="shared" si="2"/>
        <v>NA10</v>
      </c>
      <c r="C64" s="5">
        <f>averageResponseTimePorter(Dates!C$4,Dates!C$5,'Day1'!$B64)</f>
        <v>0</v>
      </c>
      <c r="D64" s="5">
        <f>averageResponseTimePorter(Dates!D$4,Dates!D$5,'Day1'!$B64)</f>
        <v>0</v>
      </c>
      <c r="E64" s="5">
        <f>averageResponseTimePorter(Dates!E$4,Dates!E$5,'Day1'!$B64)</f>
        <v>0</v>
      </c>
      <c r="F64" s="5">
        <f>averageResponseTimePorter(Dates!F$4,Dates!F$5,'Day1'!$B64)</f>
        <v>0</v>
      </c>
      <c r="G64" s="5">
        <f>averageResponseTimePorter(Dates!G$4,Dates!G$5,'Day1'!$B64)</f>
        <v>0</v>
      </c>
      <c r="H64" s="5">
        <f>averageResponseTimePorter(Dates!H$4,Dates!H$5,'Day1'!$B64)</f>
        <v>0</v>
      </c>
      <c r="I64" s="5">
        <f>averageResponseTimePorter(Dates!I$4,Dates!I$5,'Day1'!$B64)</f>
        <v>0</v>
      </c>
      <c r="J64" s="5">
        <f>averageResponseTimePorter(Dates!J$4,Dates!J$5,'Day1'!$B64)</f>
        <v>0</v>
      </c>
      <c r="K64" s="5">
        <f>averageResponseTimePorter(Dates!K$4,Dates!K$5,'Day1'!$B64)</f>
        <v>0</v>
      </c>
      <c r="L64" s="5">
        <f>averageResponseTimePorter(Dates!L$4,Dates!L$5,'Day1'!$B64)</f>
        <v>0</v>
      </c>
      <c r="M64" s="5">
        <f>averageResponseTimePorter(Dates!M$4,Dates!M$5,'Day1'!$B64)</f>
        <v>0</v>
      </c>
      <c r="N64" s="5">
        <f>averageResponseTimePorter(Dates!N$4,Dates!N$5,'Day1'!$B64)</f>
        <v>0</v>
      </c>
      <c r="O64" s="5">
        <f>averageResponseTimePorter(Dates!O$4,Dates!O$5,'Day1'!$B64)</f>
        <v>0</v>
      </c>
      <c r="P64" s="5">
        <f>averageResponseTimePorter(Dates!P$4,Dates!P$5,'Day1'!$B64)</f>
        <v>0</v>
      </c>
      <c r="Q64" s="5">
        <f>averageResponseTimePorter(Dates!Q$4,Dates!Q$5,'Day1'!$B64)</f>
        <v>0</v>
      </c>
      <c r="R64" s="5">
        <f>averageResponseTimePorter(Dates!R$4,Dates!R$5,'Day1'!$B64)</f>
        <v>0</v>
      </c>
      <c r="S64" s="5">
        <f>averageResponseTimePorter(Dates!S$4,Dates!S$5,'Day1'!$B64)</f>
        <v>0</v>
      </c>
      <c r="T64" s="5">
        <f>averageResponseTimePorter(Dates!T$4,Dates!T$5,'Day1'!$B64)</f>
        <v>0</v>
      </c>
      <c r="U64" s="5">
        <f>averageResponseTimePorter(Dates!$C$4,Dates!$T$5,'Day1'!$B10)</f>
        <v>0</v>
      </c>
    </row>
    <row r="65" spans="2:21" x14ac:dyDescent="0.3">
      <c r="B65" s="7" t="str">
        <f t="shared" si="2"/>
        <v>NA11</v>
      </c>
      <c r="C65" s="5">
        <f>averageResponseTimePorter(Dates!C$4,Dates!C$5,'Day1'!$B65)</f>
        <v>0</v>
      </c>
      <c r="D65" s="5">
        <f>averageResponseTimePorter(Dates!D$4,Dates!D$5,'Day1'!$B65)</f>
        <v>0</v>
      </c>
      <c r="E65" s="5">
        <f>averageResponseTimePorter(Dates!E$4,Dates!E$5,'Day1'!$B65)</f>
        <v>0</v>
      </c>
      <c r="F65" s="5">
        <f>averageResponseTimePorter(Dates!F$4,Dates!F$5,'Day1'!$B65)</f>
        <v>0</v>
      </c>
      <c r="G65" s="5">
        <f>averageResponseTimePorter(Dates!G$4,Dates!G$5,'Day1'!$B65)</f>
        <v>0</v>
      </c>
      <c r="H65" s="5">
        <f>averageResponseTimePorter(Dates!H$4,Dates!H$5,'Day1'!$B65)</f>
        <v>0</v>
      </c>
      <c r="I65" s="5">
        <f>averageResponseTimePorter(Dates!I$4,Dates!I$5,'Day1'!$B65)</f>
        <v>0</v>
      </c>
      <c r="J65" s="5">
        <f>averageResponseTimePorter(Dates!J$4,Dates!J$5,'Day1'!$B65)</f>
        <v>0</v>
      </c>
      <c r="K65" s="5">
        <f>averageResponseTimePorter(Dates!K$4,Dates!K$5,'Day1'!$B65)</f>
        <v>0</v>
      </c>
      <c r="L65" s="5">
        <f>averageResponseTimePorter(Dates!L$4,Dates!L$5,'Day1'!$B65)</f>
        <v>0</v>
      </c>
      <c r="M65" s="5">
        <f>averageResponseTimePorter(Dates!M$4,Dates!M$5,'Day1'!$B65)</f>
        <v>0</v>
      </c>
      <c r="N65" s="5">
        <f>averageResponseTimePorter(Dates!N$4,Dates!N$5,'Day1'!$B65)</f>
        <v>0</v>
      </c>
      <c r="O65" s="5">
        <f>averageResponseTimePorter(Dates!O$4,Dates!O$5,'Day1'!$B65)</f>
        <v>0</v>
      </c>
      <c r="P65" s="5">
        <f>averageResponseTimePorter(Dates!P$4,Dates!P$5,'Day1'!$B65)</f>
        <v>0</v>
      </c>
      <c r="Q65" s="5">
        <f>averageResponseTimePorter(Dates!Q$4,Dates!Q$5,'Day1'!$B65)</f>
        <v>0</v>
      </c>
      <c r="R65" s="5">
        <f>averageResponseTimePorter(Dates!R$4,Dates!R$5,'Day1'!$B65)</f>
        <v>0</v>
      </c>
      <c r="S65" s="5">
        <f>averageResponseTimePorter(Dates!S$4,Dates!S$5,'Day1'!$B65)</f>
        <v>0</v>
      </c>
      <c r="T65" s="5">
        <f>averageResponseTimePorter(Dates!T$4,Dates!T$5,'Day1'!$B65)</f>
        <v>0</v>
      </c>
      <c r="U65" s="5">
        <f>averageResponseTimePorter(Dates!$C$4,Dates!$T$5,'Day1'!$B11)</f>
        <v>0</v>
      </c>
    </row>
    <row r="66" spans="2:21" x14ac:dyDescent="0.3">
      <c r="B66" s="7" t="str">
        <f t="shared" si="2"/>
        <v>NA12</v>
      </c>
      <c r="C66" s="5">
        <f>averageResponseTimePorter(Dates!C$4,Dates!C$5,'Day1'!$B66)</f>
        <v>0</v>
      </c>
      <c r="D66" s="5">
        <f>averageResponseTimePorter(Dates!D$4,Dates!D$5,'Day1'!$B66)</f>
        <v>0</v>
      </c>
      <c r="E66" s="5">
        <f>averageResponseTimePorter(Dates!E$4,Dates!E$5,'Day1'!$B66)</f>
        <v>0</v>
      </c>
      <c r="F66" s="5">
        <f>averageResponseTimePorter(Dates!F$4,Dates!F$5,'Day1'!$B66)</f>
        <v>0</v>
      </c>
      <c r="G66" s="5">
        <f>averageResponseTimePorter(Dates!G$4,Dates!G$5,'Day1'!$B66)</f>
        <v>0</v>
      </c>
      <c r="H66" s="5">
        <f>averageResponseTimePorter(Dates!H$4,Dates!H$5,'Day1'!$B66)</f>
        <v>0</v>
      </c>
      <c r="I66" s="5">
        <f>averageResponseTimePorter(Dates!I$4,Dates!I$5,'Day1'!$B66)</f>
        <v>0</v>
      </c>
      <c r="J66" s="5">
        <f>averageResponseTimePorter(Dates!J$4,Dates!J$5,'Day1'!$B66)</f>
        <v>0</v>
      </c>
      <c r="K66" s="5">
        <f>averageResponseTimePorter(Dates!K$4,Dates!K$5,'Day1'!$B66)</f>
        <v>0</v>
      </c>
      <c r="L66" s="5">
        <f>averageResponseTimePorter(Dates!L$4,Dates!L$5,'Day1'!$B66)</f>
        <v>0</v>
      </c>
      <c r="M66" s="5">
        <f>averageResponseTimePorter(Dates!M$4,Dates!M$5,'Day1'!$B66)</f>
        <v>0</v>
      </c>
      <c r="N66" s="5">
        <f>averageResponseTimePorter(Dates!N$4,Dates!N$5,'Day1'!$B66)</f>
        <v>0</v>
      </c>
      <c r="O66" s="5">
        <f>averageResponseTimePorter(Dates!O$4,Dates!O$5,'Day1'!$B66)</f>
        <v>0</v>
      </c>
      <c r="P66" s="5">
        <f>averageResponseTimePorter(Dates!P$4,Dates!P$5,'Day1'!$B66)</f>
        <v>0</v>
      </c>
      <c r="Q66" s="5">
        <f>averageResponseTimePorter(Dates!Q$4,Dates!Q$5,'Day1'!$B66)</f>
        <v>0</v>
      </c>
      <c r="R66" s="5">
        <f>averageResponseTimePorter(Dates!R$4,Dates!R$5,'Day1'!$B66)</f>
        <v>0</v>
      </c>
      <c r="S66" s="5">
        <f>averageResponseTimePorter(Dates!S$4,Dates!S$5,'Day1'!$B66)</f>
        <v>0</v>
      </c>
      <c r="T66" s="5">
        <f>averageResponseTimePorter(Dates!T$4,Dates!T$5,'Day1'!$B66)</f>
        <v>0</v>
      </c>
      <c r="U66" s="5">
        <f>averageResponseTimePorter(Dates!$C$4,Dates!$T$5,'Day1'!$B12)</f>
        <v>0</v>
      </c>
    </row>
    <row r="67" spans="2:21" x14ac:dyDescent="0.3">
      <c r="B67" s="7" t="str">
        <f t="shared" si="2"/>
        <v>NA13</v>
      </c>
      <c r="C67" s="5">
        <f>averageResponseTimePorter(Dates!C$4,Dates!C$5,'Day1'!$B67)</f>
        <v>0</v>
      </c>
      <c r="D67" s="5">
        <f>averageResponseTimePorter(Dates!D$4,Dates!D$5,'Day1'!$B67)</f>
        <v>0</v>
      </c>
      <c r="E67" s="5">
        <f>averageResponseTimePorter(Dates!E$4,Dates!E$5,'Day1'!$B67)</f>
        <v>0</v>
      </c>
      <c r="F67" s="5">
        <f>averageResponseTimePorter(Dates!F$4,Dates!F$5,'Day1'!$B67)</f>
        <v>0</v>
      </c>
      <c r="G67" s="5">
        <f>averageResponseTimePorter(Dates!G$4,Dates!G$5,'Day1'!$B67)</f>
        <v>0</v>
      </c>
      <c r="H67" s="5">
        <f>averageResponseTimePorter(Dates!H$4,Dates!H$5,'Day1'!$B67)</f>
        <v>0</v>
      </c>
      <c r="I67" s="5">
        <f>averageResponseTimePorter(Dates!I$4,Dates!I$5,'Day1'!$B67)</f>
        <v>0</v>
      </c>
      <c r="J67" s="5">
        <f>averageResponseTimePorter(Dates!J$4,Dates!J$5,'Day1'!$B67)</f>
        <v>0</v>
      </c>
      <c r="K67" s="5">
        <f>averageResponseTimePorter(Dates!K$4,Dates!K$5,'Day1'!$B67)</f>
        <v>0</v>
      </c>
      <c r="L67" s="5">
        <f>averageResponseTimePorter(Dates!L$4,Dates!L$5,'Day1'!$B67)</f>
        <v>0</v>
      </c>
      <c r="M67" s="5">
        <f>averageResponseTimePorter(Dates!M$4,Dates!M$5,'Day1'!$B67)</f>
        <v>0</v>
      </c>
      <c r="N67" s="5">
        <f>averageResponseTimePorter(Dates!N$4,Dates!N$5,'Day1'!$B67)</f>
        <v>0</v>
      </c>
      <c r="O67" s="5">
        <f>averageResponseTimePorter(Dates!O$4,Dates!O$5,'Day1'!$B67)</f>
        <v>0</v>
      </c>
      <c r="P67" s="5">
        <f>averageResponseTimePorter(Dates!P$4,Dates!P$5,'Day1'!$B67)</f>
        <v>0</v>
      </c>
      <c r="Q67" s="5">
        <f>averageResponseTimePorter(Dates!Q$4,Dates!Q$5,'Day1'!$B67)</f>
        <v>0</v>
      </c>
      <c r="R67" s="5">
        <f>averageResponseTimePorter(Dates!R$4,Dates!R$5,'Day1'!$B67)</f>
        <v>0</v>
      </c>
      <c r="S67" s="5">
        <f>averageResponseTimePorter(Dates!S$4,Dates!S$5,'Day1'!$B67)</f>
        <v>0</v>
      </c>
      <c r="T67" s="5">
        <f>averageResponseTimePorter(Dates!T$4,Dates!T$5,'Day1'!$B67)</f>
        <v>0</v>
      </c>
      <c r="U67" s="5">
        <f>averageResponseTimePorter(Dates!$C$4,Dates!$T$5,'Day1'!$B13)</f>
        <v>0</v>
      </c>
    </row>
    <row r="68" spans="2:21" x14ac:dyDescent="0.3">
      <c r="B68" s="7" t="str">
        <f t="shared" si="2"/>
        <v>NA14</v>
      </c>
      <c r="C68" s="5">
        <f>averageResponseTimePorter(Dates!C$4,Dates!C$5,'Day1'!$B68)</f>
        <v>0</v>
      </c>
      <c r="D68" s="5">
        <f>averageResponseTimePorter(Dates!D$4,Dates!D$5,'Day1'!$B68)</f>
        <v>0</v>
      </c>
      <c r="E68" s="5">
        <f>averageResponseTimePorter(Dates!E$4,Dates!E$5,'Day1'!$B68)</f>
        <v>0</v>
      </c>
      <c r="F68" s="5">
        <f>averageResponseTimePorter(Dates!F$4,Dates!F$5,'Day1'!$B68)</f>
        <v>0</v>
      </c>
      <c r="G68" s="5">
        <f>averageResponseTimePorter(Dates!G$4,Dates!G$5,'Day1'!$B68)</f>
        <v>0</v>
      </c>
      <c r="H68" s="5">
        <f>averageResponseTimePorter(Dates!H$4,Dates!H$5,'Day1'!$B68)</f>
        <v>0</v>
      </c>
      <c r="I68" s="5">
        <f>averageResponseTimePorter(Dates!I$4,Dates!I$5,'Day1'!$B68)</f>
        <v>0</v>
      </c>
      <c r="J68" s="5">
        <f>averageResponseTimePorter(Dates!J$4,Dates!J$5,'Day1'!$B68)</f>
        <v>0</v>
      </c>
      <c r="K68" s="5">
        <f>averageResponseTimePorter(Dates!K$4,Dates!K$5,'Day1'!$B68)</f>
        <v>0</v>
      </c>
      <c r="L68" s="5">
        <f>averageResponseTimePorter(Dates!L$4,Dates!L$5,'Day1'!$B68)</f>
        <v>0</v>
      </c>
      <c r="M68" s="5">
        <f>averageResponseTimePorter(Dates!M$4,Dates!M$5,'Day1'!$B68)</f>
        <v>0</v>
      </c>
      <c r="N68" s="5">
        <f>averageResponseTimePorter(Dates!N$4,Dates!N$5,'Day1'!$B68)</f>
        <v>0</v>
      </c>
      <c r="O68" s="5">
        <f>averageResponseTimePorter(Dates!O$4,Dates!O$5,'Day1'!$B68)</f>
        <v>0</v>
      </c>
      <c r="P68" s="5">
        <f>averageResponseTimePorter(Dates!P$4,Dates!P$5,'Day1'!$B68)</f>
        <v>0</v>
      </c>
      <c r="Q68" s="5">
        <f>averageResponseTimePorter(Dates!Q$4,Dates!Q$5,'Day1'!$B68)</f>
        <v>0</v>
      </c>
      <c r="R68" s="5">
        <f>averageResponseTimePorter(Dates!R$4,Dates!R$5,'Day1'!$B68)</f>
        <v>0</v>
      </c>
      <c r="S68" s="5">
        <f>averageResponseTimePorter(Dates!S$4,Dates!S$5,'Day1'!$B68)</f>
        <v>0</v>
      </c>
      <c r="T68" s="5">
        <f>averageResponseTimePorter(Dates!T$4,Dates!T$5,'Day1'!$B68)</f>
        <v>0</v>
      </c>
      <c r="U68" s="5">
        <f>averageResponseTimePorter(Dates!$C$4,Dates!$T$5,'Day1'!$B14)</f>
        <v>0</v>
      </c>
    </row>
    <row r="69" spans="2:21" x14ac:dyDescent="0.3">
      <c r="B69" s="7" t="str">
        <f t="shared" si="2"/>
        <v>NA15</v>
      </c>
      <c r="C69" s="5">
        <f>averageResponseTimePorter(Dates!C$4,Dates!C$5,'Day1'!$B69)</f>
        <v>0</v>
      </c>
      <c r="D69" s="5">
        <f>averageResponseTimePorter(Dates!D$4,Dates!D$5,'Day1'!$B69)</f>
        <v>0</v>
      </c>
      <c r="E69" s="5">
        <f>averageResponseTimePorter(Dates!E$4,Dates!E$5,'Day1'!$B69)</f>
        <v>0</v>
      </c>
      <c r="F69" s="5">
        <f>averageResponseTimePorter(Dates!F$4,Dates!F$5,'Day1'!$B69)</f>
        <v>0</v>
      </c>
      <c r="G69" s="5">
        <f>averageResponseTimePorter(Dates!G$4,Dates!G$5,'Day1'!$B69)</f>
        <v>0</v>
      </c>
      <c r="H69" s="5">
        <f>averageResponseTimePorter(Dates!H$4,Dates!H$5,'Day1'!$B69)</f>
        <v>0</v>
      </c>
      <c r="I69" s="5">
        <f>averageResponseTimePorter(Dates!I$4,Dates!I$5,'Day1'!$B69)</f>
        <v>0</v>
      </c>
      <c r="J69" s="5">
        <f>averageResponseTimePorter(Dates!J$4,Dates!J$5,'Day1'!$B69)</f>
        <v>0</v>
      </c>
      <c r="K69" s="5">
        <f>averageResponseTimePorter(Dates!K$4,Dates!K$5,'Day1'!$B69)</f>
        <v>0</v>
      </c>
      <c r="L69" s="5">
        <f>averageResponseTimePorter(Dates!L$4,Dates!L$5,'Day1'!$B69)</f>
        <v>0</v>
      </c>
      <c r="M69" s="5">
        <f>averageResponseTimePorter(Dates!M$4,Dates!M$5,'Day1'!$B69)</f>
        <v>0</v>
      </c>
      <c r="N69" s="5">
        <f>averageResponseTimePorter(Dates!N$4,Dates!N$5,'Day1'!$B69)</f>
        <v>0</v>
      </c>
      <c r="O69" s="5">
        <f>averageResponseTimePorter(Dates!O$4,Dates!O$5,'Day1'!$B69)</f>
        <v>0</v>
      </c>
      <c r="P69" s="5">
        <f>averageResponseTimePorter(Dates!P$4,Dates!P$5,'Day1'!$B69)</f>
        <v>0</v>
      </c>
      <c r="Q69" s="5">
        <f>averageResponseTimePorter(Dates!Q$4,Dates!Q$5,'Day1'!$B69)</f>
        <v>0</v>
      </c>
      <c r="R69" s="5">
        <f>averageResponseTimePorter(Dates!R$4,Dates!R$5,'Day1'!$B69)</f>
        <v>0</v>
      </c>
      <c r="S69" s="5">
        <f>averageResponseTimePorter(Dates!S$4,Dates!S$5,'Day1'!$B69)</f>
        <v>0</v>
      </c>
      <c r="T69" s="5">
        <f>averageResponseTimePorter(Dates!T$4,Dates!T$5,'Day1'!$B69)</f>
        <v>0</v>
      </c>
      <c r="U69" s="5">
        <f>averageResponseTimePorter(Dates!$C$4,Dates!$T$5,'Day1'!$B15)</f>
        <v>0</v>
      </c>
    </row>
    <row r="70" spans="2:21" x14ac:dyDescent="0.3">
      <c r="B70" s="7" t="str">
        <f t="shared" si="2"/>
        <v>NA16</v>
      </c>
      <c r="C70" s="5">
        <f>averageResponseTimePorter(Dates!C$4,Dates!C$5,'Day1'!$B70)</f>
        <v>0</v>
      </c>
      <c r="D70" s="5">
        <f>averageResponseTimePorter(Dates!D$4,Dates!D$5,'Day1'!$B70)</f>
        <v>0</v>
      </c>
      <c r="E70" s="5">
        <f>averageResponseTimePorter(Dates!E$4,Dates!E$5,'Day1'!$B70)</f>
        <v>0</v>
      </c>
      <c r="F70" s="5">
        <f>averageResponseTimePorter(Dates!F$4,Dates!F$5,'Day1'!$B70)</f>
        <v>0</v>
      </c>
      <c r="G70" s="5">
        <f>averageResponseTimePorter(Dates!G$4,Dates!G$5,'Day1'!$B70)</f>
        <v>0</v>
      </c>
      <c r="H70" s="5">
        <f>averageResponseTimePorter(Dates!H$4,Dates!H$5,'Day1'!$B70)</f>
        <v>0</v>
      </c>
      <c r="I70" s="5">
        <f>averageResponseTimePorter(Dates!I$4,Dates!I$5,'Day1'!$B70)</f>
        <v>0</v>
      </c>
      <c r="J70" s="5">
        <f>averageResponseTimePorter(Dates!J$4,Dates!J$5,'Day1'!$B70)</f>
        <v>0</v>
      </c>
      <c r="K70" s="5">
        <f>averageResponseTimePorter(Dates!K$4,Dates!K$5,'Day1'!$B70)</f>
        <v>0</v>
      </c>
      <c r="L70" s="5">
        <f>averageResponseTimePorter(Dates!L$4,Dates!L$5,'Day1'!$B70)</f>
        <v>0</v>
      </c>
      <c r="M70" s="5">
        <f>averageResponseTimePorter(Dates!M$4,Dates!M$5,'Day1'!$B70)</f>
        <v>0</v>
      </c>
      <c r="N70" s="5">
        <f>averageResponseTimePorter(Dates!N$4,Dates!N$5,'Day1'!$B70)</f>
        <v>0</v>
      </c>
      <c r="O70" s="5">
        <f>averageResponseTimePorter(Dates!O$4,Dates!O$5,'Day1'!$B70)</f>
        <v>0</v>
      </c>
      <c r="P70" s="5">
        <f>averageResponseTimePorter(Dates!P$4,Dates!P$5,'Day1'!$B70)</f>
        <v>0</v>
      </c>
      <c r="Q70" s="5">
        <f>averageResponseTimePorter(Dates!Q$4,Dates!Q$5,'Day1'!$B70)</f>
        <v>0</v>
      </c>
      <c r="R70" s="5">
        <f>averageResponseTimePorter(Dates!R$4,Dates!R$5,'Day1'!$B70)</f>
        <v>0</v>
      </c>
      <c r="S70" s="5">
        <f>averageResponseTimePorter(Dates!S$4,Dates!S$5,'Day1'!$B70)</f>
        <v>0</v>
      </c>
      <c r="T70" s="5">
        <f>averageResponseTimePorter(Dates!T$4,Dates!T$5,'Day1'!$B70)</f>
        <v>0</v>
      </c>
      <c r="U70" s="5">
        <f>averageResponseTimePorter(Dates!$C$4,Dates!$T$5,'Day1'!$B16)</f>
        <v>0</v>
      </c>
    </row>
    <row r="71" spans="2:21" x14ac:dyDescent="0.3">
      <c r="B71" s="7" t="str">
        <f t="shared" si="2"/>
        <v>NA17</v>
      </c>
      <c r="C71" s="5">
        <f>averageResponseTimePorter(Dates!C$4,Dates!C$5,'Day1'!$B71)</f>
        <v>0</v>
      </c>
      <c r="D71" s="5">
        <f>averageResponseTimePorter(Dates!D$4,Dates!D$5,'Day1'!$B71)</f>
        <v>0</v>
      </c>
      <c r="E71" s="5">
        <f>averageResponseTimePorter(Dates!E$4,Dates!E$5,'Day1'!$B71)</f>
        <v>0</v>
      </c>
      <c r="F71" s="5">
        <f>averageResponseTimePorter(Dates!F$4,Dates!F$5,'Day1'!$B71)</f>
        <v>0</v>
      </c>
      <c r="G71" s="5">
        <f>averageResponseTimePorter(Dates!G$4,Dates!G$5,'Day1'!$B71)</f>
        <v>0</v>
      </c>
      <c r="H71" s="5">
        <f>averageResponseTimePorter(Dates!H$4,Dates!H$5,'Day1'!$B71)</f>
        <v>0</v>
      </c>
      <c r="I71" s="5">
        <f>averageResponseTimePorter(Dates!I$4,Dates!I$5,'Day1'!$B71)</f>
        <v>0</v>
      </c>
      <c r="J71" s="5">
        <f>averageResponseTimePorter(Dates!J$4,Dates!J$5,'Day1'!$B71)</f>
        <v>0</v>
      </c>
      <c r="K71" s="5">
        <f>averageResponseTimePorter(Dates!K$4,Dates!K$5,'Day1'!$B71)</f>
        <v>0</v>
      </c>
      <c r="L71" s="5">
        <f>averageResponseTimePorter(Dates!L$4,Dates!L$5,'Day1'!$B71)</f>
        <v>0</v>
      </c>
      <c r="M71" s="5">
        <f>averageResponseTimePorter(Dates!M$4,Dates!M$5,'Day1'!$B71)</f>
        <v>0</v>
      </c>
      <c r="N71" s="5">
        <f>averageResponseTimePorter(Dates!N$4,Dates!N$5,'Day1'!$B71)</f>
        <v>0</v>
      </c>
      <c r="O71" s="5">
        <f>averageResponseTimePorter(Dates!O$4,Dates!O$5,'Day1'!$B71)</f>
        <v>0</v>
      </c>
      <c r="P71" s="5">
        <f>averageResponseTimePorter(Dates!P$4,Dates!P$5,'Day1'!$B71)</f>
        <v>0</v>
      </c>
      <c r="Q71" s="5">
        <f>averageResponseTimePorter(Dates!Q$4,Dates!Q$5,'Day1'!$B71)</f>
        <v>0</v>
      </c>
      <c r="R71" s="5">
        <f>averageResponseTimePorter(Dates!R$4,Dates!R$5,'Day1'!$B71)</f>
        <v>0</v>
      </c>
      <c r="S71" s="5">
        <f>averageResponseTimePorter(Dates!S$4,Dates!S$5,'Day1'!$B71)</f>
        <v>0</v>
      </c>
      <c r="T71" s="5">
        <f>averageResponseTimePorter(Dates!T$4,Dates!T$5,'Day1'!$B71)</f>
        <v>0</v>
      </c>
      <c r="U71" s="5">
        <f>averageResponseTimePorter(Dates!$C$4,Dates!$T$5,'Day1'!$B17)</f>
        <v>0</v>
      </c>
    </row>
    <row r="72" spans="2:21" x14ac:dyDescent="0.3">
      <c r="B72" s="7" t="str">
        <f t="shared" si="2"/>
        <v>NA18</v>
      </c>
      <c r="C72" s="5">
        <f>averageResponseTimePorter(Dates!C$4,Dates!C$5,'Day1'!$B72)</f>
        <v>0</v>
      </c>
      <c r="D72" s="5">
        <f>averageResponseTimePorter(Dates!D$4,Dates!D$5,'Day1'!$B72)</f>
        <v>0</v>
      </c>
      <c r="E72" s="5">
        <f>averageResponseTimePorter(Dates!E$4,Dates!E$5,'Day1'!$B72)</f>
        <v>0</v>
      </c>
      <c r="F72" s="5">
        <f>averageResponseTimePorter(Dates!F$4,Dates!F$5,'Day1'!$B72)</f>
        <v>0</v>
      </c>
      <c r="G72" s="5">
        <f>averageResponseTimePorter(Dates!G$4,Dates!G$5,'Day1'!$B72)</f>
        <v>0</v>
      </c>
      <c r="H72" s="5">
        <f>averageResponseTimePorter(Dates!H$4,Dates!H$5,'Day1'!$B72)</f>
        <v>0</v>
      </c>
      <c r="I72" s="5">
        <f>averageResponseTimePorter(Dates!I$4,Dates!I$5,'Day1'!$B72)</f>
        <v>0</v>
      </c>
      <c r="J72" s="5">
        <f>averageResponseTimePorter(Dates!J$4,Dates!J$5,'Day1'!$B72)</f>
        <v>0</v>
      </c>
      <c r="K72" s="5">
        <f>averageResponseTimePorter(Dates!K$4,Dates!K$5,'Day1'!$B72)</f>
        <v>0</v>
      </c>
      <c r="L72" s="5">
        <f>averageResponseTimePorter(Dates!L$4,Dates!L$5,'Day1'!$B72)</f>
        <v>0</v>
      </c>
      <c r="M72" s="5">
        <f>averageResponseTimePorter(Dates!M$4,Dates!M$5,'Day1'!$B72)</f>
        <v>0</v>
      </c>
      <c r="N72" s="5">
        <f>averageResponseTimePorter(Dates!N$4,Dates!N$5,'Day1'!$B72)</f>
        <v>0</v>
      </c>
      <c r="O72" s="5">
        <f>averageResponseTimePorter(Dates!O$4,Dates!O$5,'Day1'!$B72)</f>
        <v>0</v>
      </c>
      <c r="P72" s="5">
        <f>averageResponseTimePorter(Dates!P$4,Dates!P$5,'Day1'!$B72)</f>
        <v>0</v>
      </c>
      <c r="Q72" s="5">
        <f>averageResponseTimePorter(Dates!Q$4,Dates!Q$5,'Day1'!$B72)</f>
        <v>0</v>
      </c>
      <c r="R72" s="5">
        <f>averageResponseTimePorter(Dates!R$4,Dates!R$5,'Day1'!$B72)</f>
        <v>0</v>
      </c>
      <c r="S72" s="5">
        <f>averageResponseTimePorter(Dates!S$4,Dates!S$5,'Day1'!$B72)</f>
        <v>0</v>
      </c>
      <c r="T72" s="5">
        <f>averageResponseTimePorter(Dates!T$4,Dates!T$5,'Day1'!$B72)</f>
        <v>0</v>
      </c>
      <c r="U72" s="5">
        <f>averageResponseTimePorter(Dates!$C$4,Dates!$T$5,'Day1'!$B18)</f>
        <v>0</v>
      </c>
    </row>
    <row r="73" spans="2:21" x14ac:dyDescent="0.3">
      <c r="B73" s="7" t="str">
        <f t="shared" si="2"/>
        <v>NA19</v>
      </c>
      <c r="C73" s="5">
        <f>averageResponseTimePorter(Dates!C$4,Dates!C$5,'Day1'!$B73)</f>
        <v>0</v>
      </c>
      <c r="D73" s="5">
        <f>averageResponseTimePorter(Dates!D$4,Dates!D$5,'Day1'!$B73)</f>
        <v>0</v>
      </c>
      <c r="E73" s="5">
        <f>averageResponseTimePorter(Dates!E$4,Dates!E$5,'Day1'!$B73)</f>
        <v>0</v>
      </c>
      <c r="F73" s="5">
        <f>averageResponseTimePorter(Dates!F$4,Dates!F$5,'Day1'!$B73)</f>
        <v>0</v>
      </c>
      <c r="G73" s="5">
        <f>averageResponseTimePorter(Dates!G$4,Dates!G$5,'Day1'!$B73)</f>
        <v>0</v>
      </c>
      <c r="H73" s="5">
        <f>averageResponseTimePorter(Dates!H$4,Dates!H$5,'Day1'!$B73)</f>
        <v>0</v>
      </c>
      <c r="I73" s="5">
        <f>averageResponseTimePorter(Dates!I$4,Dates!I$5,'Day1'!$B73)</f>
        <v>0</v>
      </c>
      <c r="J73" s="5">
        <f>averageResponseTimePorter(Dates!J$4,Dates!J$5,'Day1'!$B73)</f>
        <v>0</v>
      </c>
      <c r="K73" s="5">
        <f>averageResponseTimePorter(Dates!K$4,Dates!K$5,'Day1'!$B73)</f>
        <v>0</v>
      </c>
      <c r="L73" s="5">
        <f>averageResponseTimePorter(Dates!L$4,Dates!L$5,'Day1'!$B73)</f>
        <v>0</v>
      </c>
      <c r="M73" s="5">
        <f>averageResponseTimePorter(Dates!M$4,Dates!M$5,'Day1'!$B73)</f>
        <v>0</v>
      </c>
      <c r="N73" s="5">
        <f>averageResponseTimePorter(Dates!N$4,Dates!N$5,'Day1'!$B73)</f>
        <v>0</v>
      </c>
      <c r="O73" s="5">
        <f>averageResponseTimePorter(Dates!O$4,Dates!O$5,'Day1'!$B73)</f>
        <v>0</v>
      </c>
      <c r="P73" s="5">
        <f>averageResponseTimePorter(Dates!P$4,Dates!P$5,'Day1'!$B73)</f>
        <v>0</v>
      </c>
      <c r="Q73" s="5">
        <f>averageResponseTimePorter(Dates!Q$4,Dates!Q$5,'Day1'!$B73)</f>
        <v>0</v>
      </c>
      <c r="R73" s="5">
        <f>averageResponseTimePorter(Dates!R$4,Dates!R$5,'Day1'!$B73)</f>
        <v>0</v>
      </c>
      <c r="S73" s="5">
        <f>averageResponseTimePorter(Dates!S$4,Dates!S$5,'Day1'!$B73)</f>
        <v>0</v>
      </c>
      <c r="T73" s="5">
        <f>averageResponseTimePorter(Dates!T$4,Dates!T$5,'Day1'!$B73)</f>
        <v>0</v>
      </c>
      <c r="U73" s="5">
        <f>averageResponseTimePorter(Dates!$C$4,Dates!$T$5,'Day1'!$B19)</f>
        <v>0</v>
      </c>
    </row>
    <row r="74" spans="2:21" x14ac:dyDescent="0.3">
      <c r="B74" s="7" t="str">
        <f t="shared" si="2"/>
        <v>NA20</v>
      </c>
      <c r="C74" s="5">
        <f>averageResponseTimePorter(Dates!C$4,Dates!C$5,'Day1'!$B74)</f>
        <v>0</v>
      </c>
      <c r="D74" s="5">
        <f>averageResponseTimePorter(Dates!D$4,Dates!D$5,'Day1'!$B74)</f>
        <v>0</v>
      </c>
      <c r="E74" s="5">
        <f>averageResponseTimePorter(Dates!E$4,Dates!E$5,'Day1'!$B74)</f>
        <v>0</v>
      </c>
      <c r="F74" s="5">
        <f>averageResponseTimePorter(Dates!F$4,Dates!F$5,'Day1'!$B74)</f>
        <v>0</v>
      </c>
      <c r="G74" s="5">
        <f>averageResponseTimePorter(Dates!G$4,Dates!G$5,'Day1'!$B74)</f>
        <v>0</v>
      </c>
      <c r="H74" s="5">
        <f>averageResponseTimePorter(Dates!H$4,Dates!H$5,'Day1'!$B74)</f>
        <v>0</v>
      </c>
      <c r="I74" s="5">
        <f>averageResponseTimePorter(Dates!I$4,Dates!I$5,'Day1'!$B74)</f>
        <v>0</v>
      </c>
      <c r="J74" s="5">
        <f>averageResponseTimePorter(Dates!J$4,Dates!J$5,'Day1'!$B74)</f>
        <v>0</v>
      </c>
      <c r="K74" s="5">
        <f>averageResponseTimePorter(Dates!K$4,Dates!K$5,'Day1'!$B74)</f>
        <v>0</v>
      </c>
      <c r="L74" s="5">
        <f>averageResponseTimePorter(Dates!L$4,Dates!L$5,'Day1'!$B74)</f>
        <v>0</v>
      </c>
      <c r="M74" s="5">
        <f>averageResponseTimePorter(Dates!M$4,Dates!M$5,'Day1'!$B74)</f>
        <v>0</v>
      </c>
      <c r="N74" s="5">
        <f>averageResponseTimePorter(Dates!N$4,Dates!N$5,'Day1'!$B74)</f>
        <v>0</v>
      </c>
      <c r="O74" s="5">
        <f>averageResponseTimePorter(Dates!O$4,Dates!O$5,'Day1'!$B74)</f>
        <v>0</v>
      </c>
      <c r="P74" s="5">
        <f>averageResponseTimePorter(Dates!P$4,Dates!P$5,'Day1'!$B74)</f>
        <v>0</v>
      </c>
      <c r="Q74" s="5">
        <f>averageResponseTimePorter(Dates!Q$4,Dates!Q$5,'Day1'!$B74)</f>
        <v>0</v>
      </c>
      <c r="R74" s="5">
        <f>averageResponseTimePorter(Dates!R$4,Dates!R$5,'Day1'!$B74)</f>
        <v>0</v>
      </c>
      <c r="S74" s="5">
        <f>averageResponseTimePorter(Dates!S$4,Dates!S$5,'Day1'!$B74)</f>
        <v>0</v>
      </c>
      <c r="T74" s="5">
        <f>averageResponseTimePorter(Dates!T$4,Dates!T$5,'Day1'!$B74)</f>
        <v>0</v>
      </c>
      <c r="U74" s="5">
        <f>averageResponseTimePorter(Dates!$C$4,Dates!$T$5,'Day1'!$B20)</f>
        <v>0</v>
      </c>
    </row>
    <row r="75" spans="2:21" x14ac:dyDescent="0.3">
      <c r="B75" s="7" t="str">
        <f t="shared" si="2"/>
        <v>NA21</v>
      </c>
      <c r="C75" s="5">
        <f>averageResponseTimePorter(Dates!C$4,Dates!C$5,'Day1'!$B75)</f>
        <v>0</v>
      </c>
      <c r="D75" s="5">
        <f>averageResponseTimePorter(Dates!D$4,Dates!D$5,'Day1'!$B75)</f>
        <v>0</v>
      </c>
      <c r="E75" s="5">
        <f>averageResponseTimePorter(Dates!E$4,Dates!E$5,'Day1'!$B75)</f>
        <v>0</v>
      </c>
      <c r="F75" s="5">
        <f>averageResponseTimePorter(Dates!F$4,Dates!F$5,'Day1'!$B75)</f>
        <v>0</v>
      </c>
      <c r="G75" s="5">
        <f>averageResponseTimePorter(Dates!G$4,Dates!G$5,'Day1'!$B75)</f>
        <v>0</v>
      </c>
      <c r="H75" s="5">
        <f>averageResponseTimePorter(Dates!H$4,Dates!H$5,'Day1'!$B75)</f>
        <v>0</v>
      </c>
      <c r="I75" s="5">
        <f>averageResponseTimePorter(Dates!I$4,Dates!I$5,'Day1'!$B75)</f>
        <v>0</v>
      </c>
      <c r="J75" s="5">
        <f>averageResponseTimePorter(Dates!J$4,Dates!J$5,'Day1'!$B75)</f>
        <v>0</v>
      </c>
      <c r="K75" s="5">
        <f>averageResponseTimePorter(Dates!K$4,Dates!K$5,'Day1'!$B75)</f>
        <v>0</v>
      </c>
      <c r="L75" s="5">
        <f>averageResponseTimePorter(Dates!L$4,Dates!L$5,'Day1'!$B75)</f>
        <v>0</v>
      </c>
      <c r="M75" s="5">
        <f>averageResponseTimePorter(Dates!M$4,Dates!M$5,'Day1'!$B75)</f>
        <v>0</v>
      </c>
      <c r="N75" s="5">
        <f>averageResponseTimePorter(Dates!N$4,Dates!N$5,'Day1'!$B75)</f>
        <v>0</v>
      </c>
      <c r="O75" s="5">
        <f>averageResponseTimePorter(Dates!O$4,Dates!O$5,'Day1'!$B75)</f>
        <v>0</v>
      </c>
      <c r="P75" s="5">
        <f>averageResponseTimePorter(Dates!P$4,Dates!P$5,'Day1'!$B75)</f>
        <v>0</v>
      </c>
      <c r="Q75" s="5">
        <f>averageResponseTimePorter(Dates!Q$4,Dates!Q$5,'Day1'!$B75)</f>
        <v>0</v>
      </c>
      <c r="R75" s="5">
        <f>averageResponseTimePorter(Dates!R$4,Dates!R$5,'Day1'!$B75)</f>
        <v>0</v>
      </c>
      <c r="S75" s="5">
        <f>averageResponseTimePorter(Dates!S$4,Dates!S$5,'Day1'!$B75)</f>
        <v>0</v>
      </c>
      <c r="T75" s="5">
        <f>averageResponseTimePorter(Dates!T$4,Dates!T$5,'Day1'!$B75)</f>
        <v>0</v>
      </c>
      <c r="U75" s="5">
        <f>averageResponseTimePorter(Dates!$C$4,Dates!$T$5,'Day1'!$B21)</f>
        <v>0</v>
      </c>
    </row>
    <row r="76" spans="2:21" x14ac:dyDescent="0.3">
      <c r="B76" s="7" t="str">
        <f t="shared" si="2"/>
        <v>NA22</v>
      </c>
      <c r="C76" s="5">
        <f>averageResponseTimePorter(Dates!C$4,Dates!C$5,'Day1'!$B76)</f>
        <v>0</v>
      </c>
      <c r="D76" s="5">
        <f>averageResponseTimePorter(Dates!D$4,Dates!D$5,'Day1'!$B76)</f>
        <v>0</v>
      </c>
      <c r="E76" s="5">
        <f>averageResponseTimePorter(Dates!E$4,Dates!E$5,'Day1'!$B76)</f>
        <v>0</v>
      </c>
      <c r="F76" s="5">
        <f>averageResponseTimePorter(Dates!F$4,Dates!F$5,'Day1'!$B76)</f>
        <v>0</v>
      </c>
      <c r="G76" s="5">
        <f>averageResponseTimePorter(Dates!G$4,Dates!G$5,'Day1'!$B76)</f>
        <v>0</v>
      </c>
      <c r="H76" s="5">
        <f>averageResponseTimePorter(Dates!H$4,Dates!H$5,'Day1'!$B76)</f>
        <v>0</v>
      </c>
      <c r="I76" s="5">
        <f>averageResponseTimePorter(Dates!I$4,Dates!I$5,'Day1'!$B76)</f>
        <v>0</v>
      </c>
      <c r="J76" s="5">
        <f>averageResponseTimePorter(Dates!J$4,Dates!J$5,'Day1'!$B76)</f>
        <v>0</v>
      </c>
      <c r="K76" s="5">
        <f>averageResponseTimePorter(Dates!K$4,Dates!K$5,'Day1'!$B76)</f>
        <v>0</v>
      </c>
      <c r="L76" s="5">
        <f>averageResponseTimePorter(Dates!L$4,Dates!L$5,'Day1'!$B76)</f>
        <v>0</v>
      </c>
      <c r="M76" s="5">
        <f>averageResponseTimePorter(Dates!M$4,Dates!M$5,'Day1'!$B76)</f>
        <v>0</v>
      </c>
      <c r="N76" s="5">
        <f>averageResponseTimePorter(Dates!N$4,Dates!N$5,'Day1'!$B76)</f>
        <v>0</v>
      </c>
      <c r="O76" s="5">
        <f>averageResponseTimePorter(Dates!O$4,Dates!O$5,'Day1'!$B76)</f>
        <v>0</v>
      </c>
      <c r="P76" s="5">
        <f>averageResponseTimePorter(Dates!P$4,Dates!P$5,'Day1'!$B76)</f>
        <v>0</v>
      </c>
      <c r="Q76" s="5">
        <f>averageResponseTimePorter(Dates!Q$4,Dates!Q$5,'Day1'!$B76)</f>
        <v>0</v>
      </c>
      <c r="R76" s="5">
        <f>averageResponseTimePorter(Dates!R$4,Dates!R$5,'Day1'!$B76)</f>
        <v>0</v>
      </c>
      <c r="S76" s="5">
        <f>averageResponseTimePorter(Dates!S$4,Dates!S$5,'Day1'!$B76)</f>
        <v>0</v>
      </c>
      <c r="T76" s="5">
        <f>averageResponseTimePorter(Dates!T$4,Dates!T$5,'Day1'!$B76)</f>
        <v>0</v>
      </c>
      <c r="U76" s="5">
        <f>averageResponseTimePorter(Dates!$C$4,Dates!$T$5,'Day1'!$B22)</f>
        <v>0</v>
      </c>
    </row>
    <row r="77" spans="2:21" x14ac:dyDescent="0.3">
      <c r="B77" s="7" t="str">
        <f t="shared" si="2"/>
        <v>NA23</v>
      </c>
      <c r="C77" s="5">
        <f>averageResponseTimePorter(Dates!C$4,Dates!C$5,'Day1'!$B77)</f>
        <v>0</v>
      </c>
      <c r="D77" s="5">
        <f>averageResponseTimePorter(Dates!D$4,Dates!D$5,'Day1'!$B77)</f>
        <v>0</v>
      </c>
      <c r="E77" s="5">
        <f>averageResponseTimePorter(Dates!E$4,Dates!E$5,'Day1'!$B77)</f>
        <v>0</v>
      </c>
      <c r="F77" s="5">
        <f>averageResponseTimePorter(Dates!F$4,Dates!F$5,'Day1'!$B77)</f>
        <v>0</v>
      </c>
      <c r="G77" s="5">
        <f>averageResponseTimePorter(Dates!G$4,Dates!G$5,'Day1'!$B77)</f>
        <v>0</v>
      </c>
      <c r="H77" s="5">
        <f>averageResponseTimePorter(Dates!H$4,Dates!H$5,'Day1'!$B77)</f>
        <v>0</v>
      </c>
      <c r="I77" s="5">
        <f>averageResponseTimePorter(Dates!I$4,Dates!I$5,'Day1'!$B77)</f>
        <v>0</v>
      </c>
      <c r="J77" s="5">
        <f>averageResponseTimePorter(Dates!J$4,Dates!J$5,'Day1'!$B77)</f>
        <v>0</v>
      </c>
      <c r="K77" s="5">
        <f>averageResponseTimePorter(Dates!K$4,Dates!K$5,'Day1'!$B77)</f>
        <v>0</v>
      </c>
      <c r="L77" s="5">
        <f>averageResponseTimePorter(Dates!L$4,Dates!L$5,'Day1'!$B77)</f>
        <v>0</v>
      </c>
      <c r="M77" s="5">
        <f>averageResponseTimePorter(Dates!M$4,Dates!M$5,'Day1'!$B77)</f>
        <v>0</v>
      </c>
      <c r="N77" s="5">
        <f>averageResponseTimePorter(Dates!N$4,Dates!N$5,'Day1'!$B77)</f>
        <v>0</v>
      </c>
      <c r="O77" s="5">
        <f>averageResponseTimePorter(Dates!O$4,Dates!O$5,'Day1'!$B77)</f>
        <v>0</v>
      </c>
      <c r="P77" s="5">
        <f>averageResponseTimePorter(Dates!P$4,Dates!P$5,'Day1'!$B77)</f>
        <v>0</v>
      </c>
      <c r="Q77" s="5">
        <f>averageResponseTimePorter(Dates!Q$4,Dates!Q$5,'Day1'!$B77)</f>
        <v>0</v>
      </c>
      <c r="R77" s="5">
        <f>averageResponseTimePorter(Dates!R$4,Dates!R$5,'Day1'!$B77)</f>
        <v>0</v>
      </c>
      <c r="S77" s="5">
        <f>averageResponseTimePorter(Dates!S$4,Dates!S$5,'Day1'!$B77)</f>
        <v>0</v>
      </c>
      <c r="T77" s="5">
        <f>averageResponseTimePorter(Dates!T$4,Dates!T$5,'Day1'!$B77)</f>
        <v>0</v>
      </c>
      <c r="U77" s="5">
        <f>averageResponseTimePorter(Dates!$C$4,Dates!$T$5,'Day1'!$B23)</f>
        <v>0</v>
      </c>
    </row>
    <row r="78" spans="2:21" x14ac:dyDescent="0.3">
      <c r="B78" s="7" t="str">
        <f t="shared" si="2"/>
        <v>NA24</v>
      </c>
      <c r="C78" s="5">
        <f>averageResponseTimePorter(Dates!C$4,Dates!C$5,'Day1'!$B78)</f>
        <v>0</v>
      </c>
      <c r="D78" s="5">
        <f>averageResponseTimePorter(Dates!D$4,Dates!D$5,'Day1'!$B78)</f>
        <v>0</v>
      </c>
      <c r="E78" s="5">
        <f>averageResponseTimePorter(Dates!E$4,Dates!E$5,'Day1'!$B78)</f>
        <v>0</v>
      </c>
      <c r="F78" s="5">
        <f>averageResponseTimePorter(Dates!F$4,Dates!F$5,'Day1'!$B78)</f>
        <v>0</v>
      </c>
      <c r="G78" s="5">
        <f>averageResponseTimePorter(Dates!G$4,Dates!G$5,'Day1'!$B78)</f>
        <v>0</v>
      </c>
      <c r="H78" s="5">
        <f>averageResponseTimePorter(Dates!H$4,Dates!H$5,'Day1'!$B78)</f>
        <v>0</v>
      </c>
      <c r="I78" s="5">
        <f>averageResponseTimePorter(Dates!I$4,Dates!I$5,'Day1'!$B78)</f>
        <v>0</v>
      </c>
      <c r="J78" s="5">
        <f>averageResponseTimePorter(Dates!J$4,Dates!J$5,'Day1'!$B78)</f>
        <v>0</v>
      </c>
      <c r="K78" s="5">
        <f>averageResponseTimePorter(Dates!K$4,Dates!K$5,'Day1'!$B78)</f>
        <v>0</v>
      </c>
      <c r="L78" s="5">
        <f>averageResponseTimePorter(Dates!L$4,Dates!L$5,'Day1'!$B78)</f>
        <v>0</v>
      </c>
      <c r="M78" s="5">
        <f>averageResponseTimePorter(Dates!M$4,Dates!M$5,'Day1'!$B78)</f>
        <v>0</v>
      </c>
      <c r="N78" s="5">
        <f>averageResponseTimePorter(Dates!N$4,Dates!N$5,'Day1'!$B78)</f>
        <v>0</v>
      </c>
      <c r="O78" s="5">
        <f>averageResponseTimePorter(Dates!O$4,Dates!O$5,'Day1'!$B78)</f>
        <v>0</v>
      </c>
      <c r="P78" s="5">
        <f>averageResponseTimePorter(Dates!P$4,Dates!P$5,'Day1'!$B78)</f>
        <v>0</v>
      </c>
      <c r="Q78" s="5">
        <f>averageResponseTimePorter(Dates!Q$4,Dates!Q$5,'Day1'!$B78)</f>
        <v>0</v>
      </c>
      <c r="R78" s="5">
        <f>averageResponseTimePorter(Dates!R$4,Dates!R$5,'Day1'!$B78)</f>
        <v>0</v>
      </c>
      <c r="S78" s="5">
        <f>averageResponseTimePorter(Dates!S$4,Dates!S$5,'Day1'!$B78)</f>
        <v>0</v>
      </c>
      <c r="T78" s="5">
        <f>averageResponseTimePorter(Dates!T$4,Dates!T$5,'Day1'!$B78)</f>
        <v>0</v>
      </c>
      <c r="U78" s="5">
        <f>averageResponseTimePorter(Dates!$C$4,Dates!$T$5,'Day1'!$B24)</f>
        <v>0</v>
      </c>
    </row>
    <row r="79" spans="2:21" x14ac:dyDescent="0.3">
      <c r="B79" s="7" t="str">
        <f t="shared" si="2"/>
        <v>NA25</v>
      </c>
      <c r="C79" s="5">
        <f>averageResponseTimePorter(Dates!C$4,Dates!C$5,'Day1'!$B79)</f>
        <v>0</v>
      </c>
      <c r="D79" s="5">
        <f>averageResponseTimePorter(Dates!D$4,Dates!D$5,'Day1'!$B79)</f>
        <v>0</v>
      </c>
      <c r="E79" s="5">
        <f>averageResponseTimePorter(Dates!E$4,Dates!E$5,'Day1'!$B79)</f>
        <v>0</v>
      </c>
      <c r="F79" s="5">
        <f>averageResponseTimePorter(Dates!F$4,Dates!F$5,'Day1'!$B79)</f>
        <v>0</v>
      </c>
      <c r="G79" s="5">
        <f>averageResponseTimePorter(Dates!G$4,Dates!G$5,'Day1'!$B79)</f>
        <v>0</v>
      </c>
      <c r="H79" s="5">
        <f>averageResponseTimePorter(Dates!H$4,Dates!H$5,'Day1'!$B79)</f>
        <v>0</v>
      </c>
      <c r="I79" s="5">
        <f>averageResponseTimePorter(Dates!I$4,Dates!I$5,'Day1'!$B79)</f>
        <v>0</v>
      </c>
      <c r="J79" s="5">
        <f>averageResponseTimePorter(Dates!J$4,Dates!J$5,'Day1'!$B79)</f>
        <v>0</v>
      </c>
      <c r="K79" s="5">
        <f>averageResponseTimePorter(Dates!K$4,Dates!K$5,'Day1'!$B79)</f>
        <v>0</v>
      </c>
      <c r="L79" s="5">
        <f>averageResponseTimePorter(Dates!L$4,Dates!L$5,'Day1'!$B79)</f>
        <v>0</v>
      </c>
      <c r="M79" s="5">
        <f>averageResponseTimePorter(Dates!M$4,Dates!M$5,'Day1'!$B79)</f>
        <v>0</v>
      </c>
      <c r="N79" s="5">
        <f>averageResponseTimePorter(Dates!N$4,Dates!N$5,'Day1'!$B79)</f>
        <v>0</v>
      </c>
      <c r="O79" s="5">
        <f>averageResponseTimePorter(Dates!O$4,Dates!O$5,'Day1'!$B79)</f>
        <v>0</v>
      </c>
      <c r="P79" s="5">
        <f>averageResponseTimePorter(Dates!P$4,Dates!P$5,'Day1'!$B79)</f>
        <v>0</v>
      </c>
      <c r="Q79" s="5">
        <f>averageResponseTimePorter(Dates!Q$4,Dates!Q$5,'Day1'!$B79)</f>
        <v>0</v>
      </c>
      <c r="R79" s="5">
        <f>averageResponseTimePorter(Dates!R$4,Dates!R$5,'Day1'!$B79)</f>
        <v>0</v>
      </c>
      <c r="S79" s="5">
        <f>averageResponseTimePorter(Dates!S$4,Dates!S$5,'Day1'!$B79)</f>
        <v>0</v>
      </c>
      <c r="T79" s="5">
        <f>averageResponseTimePorter(Dates!T$4,Dates!T$5,'Day1'!$B79)</f>
        <v>0</v>
      </c>
      <c r="U79" s="5">
        <f>averageResponseTimePorter(Dates!$C$4,Dates!$T$5,'Day1'!$B25)</f>
        <v>0</v>
      </c>
    </row>
    <row r="80" spans="2:21" x14ac:dyDescent="0.3">
      <c r="B80" s="7" t="str">
        <f t="shared" si="2"/>
        <v>NA26</v>
      </c>
      <c r="C80" s="5">
        <f>averageResponseTimePorter(Dates!C$4,Dates!C$5,'Day1'!$B80)</f>
        <v>0</v>
      </c>
      <c r="D80" s="5">
        <f>averageResponseTimePorter(Dates!D$4,Dates!D$5,'Day1'!$B80)</f>
        <v>0</v>
      </c>
      <c r="E80" s="5">
        <f>averageResponseTimePorter(Dates!E$4,Dates!E$5,'Day1'!$B80)</f>
        <v>0</v>
      </c>
      <c r="F80" s="5">
        <f>averageResponseTimePorter(Dates!F$4,Dates!F$5,'Day1'!$B80)</f>
        <v>0</v>
      </c>
      <c r="G80" s="5">
        <f>averageResponseTimePorter(Dates!G$4,Dates!G$5,'Day1'!$B80)</f>
        <v>0</v>
      </c>
      <c r="H80" s="5">
        <f>averageResponseTimePorter(Dates!H$4,Dates!H$5,'Day1'!$B80)</f>
        <v>0</v>
      </c>
      <c r="I80" s="5">
        <f>averageResponseTimePorter(Dates!I$4,Dates!I$5,'Day1'!$B80)</f>
        <v>0</v>
      </c>
      <c r="J80" s="5">
        <f>averageResponseTimePorter(Dates!J$4,Dates!J$5,'Day1'!$B80)</f>
        <v>0</v>
      </c>
      <c r="K80" s="5">
        <f>averageResponseTimePorter(Dates!K$4,Dates!K$5,'Day1'!$B80)</f>
        <v>0</v>
      </c>
      <c r="L80" s="5">
        <f>averageResponseTimePorter(Dates!L$4,Dates!L$5,'Day1'!$B80)</f>
        <v>0</v>
      </c>
      <c r="M80" s="5">
        <f>averageResponseTimePorter(Dates!M$4,Dates!M$5,'Day1'!$B80)</f>
        <v>0</v>
      </c>
      <c r="N80" s="5">
        <f>averageResponseTimePorter(Dates!N$4,Dates!N$5,'Day1'!$B80)</f>
        <v>0</v>
      </c>
      <c r="O80" s="5">
        <f>averageResponseTimePorter(Dates!O$4,Dates!O$5,'Day1'!$B80)</f>
        <v>0</v>
      </c>
      <c r="P80" s="5">
        <f>averageResponseTimePorter(Dates!P$4,Dates!P$5,'Day1'!$B80)</f>
        <v>0</v>
      </c>
      <c r="Q80" s="5">
        <f>averageResponseTimePorter(Dates!Q$4,Dates!Q$5,'Day1'!$B80)</f>
        <v>0</v>
      </c>
      <c r="R80" s="5">
        <f>averageResponseTimePorter(Dates!R$4,Dates!R$5,'Day1'!$B80)</f>
        <v>0</v>
      </c>
      <c r="S80" s="5">
        <f>averageResponseTimePorter(Dates!S$4,Dates!S$5,'Day1'!$B80)</f>
        <v>0</v>
      </c>
      <c r="T80" s="5">
        <f>averageResponseTimePorter(Dates!T$4,Dates!T$5,'Day1'!$B80)</f>
        <v>0</v>
      </c>
      <c r="U80" s="5">
        <f>averageResponseTimePorter(Dates!$C$4,Dates!$T$5,'Day1'!$B26)</f>
        <v>0</v>
      </c>
    </row>
    <row r="81" spans="2:21" x14ac:dyDescent="0.3">
      <c r="B81" s="7" t="str">
        <f t="shared" si="2"/>
        <v>NA27</v>
      </c>
      <c r="C81" s="5">
        <f>averageResponseTimePorter(Dates!C$4,Dates!C$5,'Day1'!$B81)</f>
        <v>0</v>
      </c>
      <c r="D81" s="5">
        <f>averageResponseTimePorter(Dates!D$4,Dates!D$5,'Day1'!$B81)</f>
        <v>0</v>
      </c>
      <c r="E81" s="5">
        <f>averageResponseTimePorter(Dates!E$4,Dates!E$5,'Day1'!$B81)</f>
        <v>0</v>
      </c>
      <c r="F81" s="5">
        <f>averageResponseTimePorter(Dates!F$4,Dates!F$5,'Day1'!$B81)</f>
        <v>0</v>
      </c>
      <c r="G81" s="5">
        <f>averageResponseTimePorter(Dates!G$4,Dates!G$5,'Day1'!$B81)</f>
        <v>0</v>
      </c>
      <c r="H81" s="5">
        <f>averageResponseTimePorter(Dates!H$4,Dates!H$5,'Day1'!$B81)</f>
        <v>0</v>
      </c>
      <c r="I81" s="5">
        <f>averageResponseTimePorter(Dates!I$4,Dates!I$5,'Day1'!$B81)</f>
        <v>0</v>
      </c>
      <c r="J81" s="5">
        <f>averageResponseTimePorter(Dates!J$4,Dates!J$5,'Day1'!$B81)</f>
        <v>0</v>
      </c>
      <c r="K81" s="5">
        <f>averageResponseTimePorter(Dates!K$4,Dates!K$5,'Day1'!$B81)</f>
        <v>0</v>
      </c>
      <c r="L81" s="5">
        <f>averageResponseTimePorter(Dates!L$4,Dates!L$5,'Day1'!$B81)</f>
        <v>0</v>
      </c>
      <c r="M81" s="5">
        <f>averageResponseTimePorter(Dates!M$4,Dates!M$5,'Day1'!$B81)</f>
        <v>0</v>
      </c>
      <c r="N81" s="5">
        <f>averageResponseTimePorter(Dates!N$4,Dates!N$5,'Day1'!$B81)</f>
        <v>0</v>
      </c>
      <c r="O81" s="5">
        <f>averageResponseTimePorter(Dates!O$4,Dates!O$5,'Day1'!$B81)</f>
        <v>0</v>
      </c>
      <c r="P81" s="5">
        <f>averageResponseTimePorter(Dates!P$4,Dates!P$5,'Day1'!$B81)</f>
        <v>0</v>
      </c>
      <c r="Q81" s="5">
        <f>averageResponseTimePorter(Dates!Q$4,Dates!Q$5,'Day1'!$B81)</f>
        <v>0</v>
      </c>
      <c r="R81" s="5">
        <f>averageResponseTimePorter(Dates!R$4,Dates!R$5,'Day1'!$B81)</f>
        <v>0</v>
      </c>
      <c r="S81" s="5">
        <f>averageResponseTimePorter(Dates!S$4,Dates!S$5,'Day1'!$B81)</f>
        <v>0</v>
      </c>
      <c r="T81" s="5">
        <f>averageResponseTimePorter(Dates!T$4,Dates!T$5,'Day1'!$B81)</f>
        <v>0</v>
      </c>
      <c r="U81" s="5">
        <f>averageResponseTimePorter(Dates!$C$4,Dates!$T$5,'Day1'!$B27)</f>
        <v>0</v>
      </c>
    </row>
    <row r="83" spans="2:21" x14ac:dyDescent="0.3">
      <c r="B83" s="7" t="s">
        <v>147</v>
      </c>
      <c r="C83">
        <f>pendingJobs(Dates!C$5)</f>
        <v>0</v>
      </c>
      <c r="D83">
        <f>pendingJobs(Dates!D$5)</f>
        <v>3</v>
      </c>
      <c r="E83">
        <f>pendingJobs(Dates!E$5)</f>
        <v>6</v>
      </c>
      <c r="F83">
        <f>pendingJobs(Dates!F$5)</f>
        <v>1</v>
      </c>
      <c r="G83">
        <f>pendingJobs(Dates!G$5)</f>
        <v>4</v>
      </c>
      <c r="H83">
        <f>pendingJobs(Dates!H$5)</f>
        <v>1</v>
      </c>
      <c r="I83">
        <f>pendingJobs(Dates!I$5)</f>
        <v>3</v>
      </c>
      <c r="J83">
        <f>pendingJobs(Dates!J$5)</f>
        <v>2</v>
      </c>
      <c r="K83">
        <f>pendingJobs(Dates!K$5)</f>
        <v>1</v>
      </c>
      <c r="L83">
        <f>pendingJobs(Dates!L$5)</f>
        <v>2</v>
      </c>
      <c r="M83">
        <f>pendingJobs(Dates!M$5)</f>
        <v>5</v>
      </c>
      <c r="N83">
        <f>pendingJobs(Dates!N$5)</f>
        <v>3</v>
      </c>
      <c r="O83">
        <f>pendingJobs(Dates!O$5)</f>
        <v>5</v>
      </c>
      <c r="P83">
        <f>pendingJobs(Dates!P$5)</f>
        <v>2</v>
      </c>
      <c r="Q83">
        <f>pendingJobs(Dates!Q$5)</f>
        <v>4</v>
      </c>
      <c r="R83">
        <f>pendingJobs(Dates!R$5)</f>
        <v>1</v>
      </c>
      <c r="S83">
        <f>pendingJobs(Dates!S$5)</f>
        <v>4</v>
      </c>
      <c r="T83">
        <f>pendingJobs(Dates!T$5)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10" zoomScale="80" zoomScaleNormal="80" workbookViewId="0">
      <selection activeCell="C4" sqref="C4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topLeftCell="A4" zoomScaleNormal="100" workbookViewId="0">
      <selection activeCell="F20" sqref="F20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S6"/>
  <sheetViews>
    <sheetView topLeftCell="A55" zoomScale="60" zoomScaleNormal="60" workbookViewId="0">
      <selection activeCell="V164" sqref="V164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37.184210526315795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'Day1'!$U$56</f>
        <v>5.2631578947368418E-2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">
                <anchor moveWithCells="1" sizeWithCells="1">
                  <from>
                    <xdr:col>12</xdr:col>
                    <xdr:colOff>342900</xdr:colOff>
                    <xdr:row>0</xdr:row>
                    <xdr:rowOff>152400</xdr:rowOff>
                  </from>
                  <to>
                    <xdr:col>19</xdr:col>
                    <xdr:colOff>91440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2014-03-15T19:36:00Z</dcterms:modified>
</cp:coreProperties>
</file>