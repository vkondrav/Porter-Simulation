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2" l="1"/>
  <c r="K4" i="12"/>
  <c r="J4" i="12"/>
  <c r="I4" i="12"/>
  <c r="H4" i="12"/>
  <c r="L3" i="12"/>
  <c r="K3" i="12"/>
  <c r="J3" i="12"/>
  <c r="I3" i="12"/>
  <c r="H3" i="12"/>
  <c r="B46" i="11" l="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45" i="3"/>
  <c r="B46" i="3"/>
  <c r="B37" i="3"/>
  <c r="B38" i="3"/>
  <c r="B39" i="3"/>
  <c r="B40" i="3"/>
  <c r="B41" i="3"/>
  <c r="B42" i="3"/>
  <c r="B43" i="3"/>
  <c r="B44" i="3"/>
  <c r="C2" i="3"/>
  <c r="T2" i="3"/>
  <c r="S2" i="3"/>
  <c r="R2" i="3"/>
  <c r="Q2" i="3"/>
  <c r="P2" i="3"/>
  <c r="O2" i="3"/>
  <c r="N2" i="3"/>
  <c r="F2" i="3"/>
  <c r="G2" i="3"/>
  <c r="H2" i="3"/>
  <c r="J2" i="3"/>
  <c r="I2" i="3"/>
  <c r="K2" i="3"/>
  <c r="L2" i="3"/>
  <c r="M2" i="3"/>
  <c r="C25" i="8"/>
  <c r="N25" i="8"/>
  <c r="K25" i="8"/>
  <c r="G25" i="8"/>
  <c r="O25" i="3"/>
  <c r="N25" i="3"/>
  <c r="M25" i="3"/>
  <c r="L25" i="3"/>
  <c r="K25" i="3"/>
  <c r="J25" i="3"/>
  <c r="I25" i="3"/>
  <c r="H25" i="3"/>
  <c r="G25" i="3"/>
  <c r="B27" i="3" l="1"/>
  <c r="B28" i="3"/>
  <c r="B29" i="3"/>
  <c r="B30" i="3"/>
  <c r="B31" i="3"/>
  <c r="B32" i="3"/>
  <c r="B33" i="3"/>
  <c r="B34" i="3"/>
  <c r="B35" i="3"/>
  <c r="B36" i="3"/>
  <c r="B26" i="3"/>
  <c r="B1" i="2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T6" i="3"/>
  <c r="T9" i="3"/>
  <c r="T7" i="3"/>
  <c r="T5" i="3"/>
  <c r="T8" i="3"/>
  <c r="T12" i="3"/>
  <c r="T4" i="3"/>
  <c r="T3" i="3"/>
  <c r="T10" i="3"/>
  <c r="T11" i="3"/>
  <c r="T13" i="3"/>
  <c r="T25" i="3"/>
  <c r="T32" i="3"/>
  <c r="T28" i="3"/>
  <c r="T26" i="3"/>
  <c r="T33" i="3"/>
  <c r="T27" i="3"/>
  <c r="T35" i="3"/>
  <c r="T29" i="3"/>
  <c r="T30" i="3"/>
  <c r="T36" i="3"/>
  <c r="T31" i="3"/>
  <c r="T34" i="3"/>
  <c r="U2" i="3"/>
  <c r="U3" i="3"/>
  <c r="U11" i="3"/>
  <c r="U7" i="3"/>
  <c r="U10" i="3"/>
  <c r="U6" i="3"/>
  <c r="U13" i="3"/>
  <c r="U9" i="3"/>
  <c r="U5" i="3"/>
  <c r="U12" i="3"/>
  <c r="U8" i="3"/>
  <c r="U4" i="3"/>
  <c r="U25" i="3"/>
  <c r="U26" i="3"/>
  <c r="U34" i="3"/>
  <c r="U30" i="3"/>
  <c r="U33" i="3"/>
  <c r="U29" i="3"/>
  <c r="U36" i="3"/>
  <c r="U32" i="3"/>
  <c r="U28" i="3"/>
  <c r="U35" i="3"/>
  <c r="U31" i="3"/>
  <c r="U27" i="3"/>
  <c r="T16" i="3"/>
  <c r="U22" i="3"/>
  <c r="T21" i="3"/>
  <c r="U18" i="3"/>
  <c r="T17" i="3"/>
  <c r="U14" i="3"/>
  <c r="T20" i="3"/>
  <c r="U23" i="3"/>
  <c r="T22" i="3"/>
  <c r="U19" i="3"/>
  <c r="T18" i="3"/>
  <c r="U15" i="3"/>
  <c r="T14" i="3"/>
  <c r="U21" i="3"/>
  <c r="U17" i="3"/>
  <c r="T23" i="3"/>
  <c r="U20" i="3"/>
  <c r="T19" i="3"/>
  <c r="U16" i="3"/>
  <c r="T15" i="3"/>
  <c r="T42" i="3"/>
  <c r="T38" i="3"/>
  <c r="U44" i="3"/>
  <c r="T39" i="3"/>
  <c r="U45" i="3"/>
  <c r="T44" i="3"/>
  <c r="U41" i="3"/>
  <c r="T40" i="3"/>
  <c r="U37" i="3"/>
  <c r="T46" i="3"/>
  <c r="U43" i="3"/>
  <c r="U39" i="3"/>
  <c r="T43" i="3"/>
  <c r="U40" i="3"/>
  <c r="U46" i="3"/>
  <c r="T45" i="3"/>
  <c r="U42" i="3"/>
  <c r="T41" i="3"/>
  <c r="U38" i="3"/>
  <c r="T37" i="3"/>
  <c r="R2" i="11"/>
  <c r="R12" i="11"/>
  <c r="R20" i="11"/>
  <c r="R16" i="11"/>
  <c r="R8" i="11"/>
  <c r="R4" i="11"/>
  <c r="R23" i="11"/>
  <c r="R19" i="11"/>
  <c r="R15" i="11"/>
  <c r="R11" i="11"/>
  <c r="R7" i="11"/>
  <c r="R3" i="11"/>
  <c r="R14" i="11"/>
  <c r="R6" i="11"/>
  <c r="R22" i="11"/>
  <c r="R18" i="11"/>
  <c r="R10" i="11"/>
  <c r="R21" i="11"/>
  <c r="R17" i="11"/>
  <c r="R13" i="11"/>
  <c r="R9" i="11"/>
  <c r="R5" i="11"/>
  <c r="R25" i="11"/>
  <c r="R27" i="11"/>
  <c r="R46" i="11"/>
  <c r="R42" i="11"/>
  <c r="R38" i="11"/>
  <c r="R34" i="11"/>
  <c r="R30" i="11"/>
  <c r="R26" i="11"/>
  <c r="R43" i="11"/>
  <c r="R45" i="11"/>
  <c r="R41" i="11"/>
  <c r="R37" i="11"/>
  <c r="R33" i="11"/>
  <c r="R29" i="11"/>
  <c r="R39" i="11"/>
  <c r="R35" i="11"/>
  <c r="R31" i="11"/>
  <c r="R44" i="11"/>
  <c r="R40" i="11"/>
  <c r="R36" i="11"/>
  <c r="R32" i="11"/>
  <c r="R28" i="11"/>
  <c r="N2" i="10"/>
  <c r="N12" i="10"/>
  <c r="N23" i="10"/>
  <c r="N19" i="10"/>
  <c r="N15" i="10"/>
  <c r="N11" i="10"/>
  <c r="N7" i="10"/>
  <c r="N3" i="10"/>
  <c r="N8" i="10"/>
  <c r="N22" i="10"/>
  <c r="N18" i="10"/>
  <c r="N14" i="10"/>
  <c r="N10" i="10"/>
  <c r="N6" i="10"/>
  <c r="N20" i="10"/>
  <c r="N16" i="10"/>
  <c r="N4" i="10"/>
  <c r="N21" i="10"/>
  <c r="N17" i="10"/>
  <c r="N13" i="10"/>
  <c r="N9" i="10"/>
  <c r="N5" i="10"/>
  <c r="N25" i="10"/>
  <c r="N39" i="10"/>
  <c r="N31" i="10"/>
  <c r="N27" i="10"/>
  <c r="N46" i="10"/>
  <c r="N42" i="10"/>
  <c r="N38" i="10"/>
  <c r="N34" i="10"/>
  <c r="N30" i="10"/>
  <c r="N26" i="10"/>
  <c r="N43" i="10"/>
  <c r="N45" i="10"/>
  <c r="N41" i="10"/>
  <c r="N37" i="10"/>
  <c r="N33" i="10"/>
  <c r="N29" i="10"/>
  <c r="N35" i="10"/>
  <c r="N44" i="10"/>
  <c r="N40" i="10"/>
  <c r="N36" i="10"/>
  <c r="N32" i="10"/>
  <c r="N28" i="10"/>
  <c r="I2" i="9"/>
  <c r="I3" i="9"/>
  <c r="I22" i="9"/>
  <c r="I21" i="9"/>
  <c r="I17" i="9"/>
  <c r="I13" i="9"/>
  <c r="I9" i="9"/>
  <c r="I5" i="9"/>
  <c r="I10" i="9"/>
  <c r="I6" i="9"/>
  <c r="I20" i="9"/>
  <c r="I16" i="9"/>
  <c r="I12" i="9"/>
  <c r="I8" i="9"/>
  <c r="I4" i="9"/>
  <c r="I18" i="9"/>
  <c r="I14" i="9"/>
  <c r="I23" i="9"/>
  <c r="I19" i="9"/>
  <c r="I15" i="9"/>
  <c r="I11" i="9"/>
  <c r="I7" i="9"/>
  <c r="I25" i="9"/>
  <c r="I44" i="9"/>
  <c r="I32" i="9"/>
  <c r="I28" i="9"/>
  <c r="I43" i="9"/>
  <c r="I39" i="9"/>
  <c r="I35" i="9"/>
  <c r="I31" i="9"/>
  <c r="I27" i="9"/>
  <c r="I40" i="9"/>
  <c r="I46" i="9"/>
  <c r="I42" i="9"/>
  <c r="I38" i="9"/>
  <c r="I34" i="9"/>
  <c r="I30" i="9"/>
  <c r="I26" i="9"/>
  <c r="I36" i="9"/>
  <c r="I45" i="9"/>
  <c r="I41" i="9"/>
  <c r="I37" i="9"/>
  <c r="I33" i="9"/>
  <c r="I29" i="9"/>
  <c r="C2" i="8"/>
  <c r="C3" i="8"/>
  <c r="C23" i="8"/>
  <c r="C7" i="8"/>
  <c r="C22" i="8"/>
  <c r="C18" i="8"/>
  <c r="C14" i="8"/>
  <c r="C10" i="8"/>
  <c r="C6" i="8"/>
  <c r="C15" i="8"/>
  <c r="C21" i="8"/>
  <c r="C17" i="8"/>
  <c r="C13" i="8"/>
  <c r="C9" i="8"/>
  <c r="C5" i="8"/>
  <c r="C19" i="8"/>
  <c r="C11" i="8"/>
  <c r="C20" i="8"/>
  <c r="C16" i="8"/>
  <c r="C12" i="8"/>
  <c r="C8" i="8"/>
  <c r="C4" i="8"/>
  <c r="C26" i="8"/>
  <c r="C42" i="8"/>
  <c r="C30" i="8"/>
  <c r="C45" i="8"/>
  <c r="C41" i="8"/>
  <c r="C37" i="8"/>
  <c r="C33" i="8"/>
  <c r="C29" i="8"/>
  <c r="C38" i="8"/>
  <c r="C44" i="8"/>
  <c r="C40" i="8"/>
  <c r="C36" i="8"/>
  <c r="C32" i="8"/>
  <c r="C28" i="8"/>
  <c r="C46" i="8"/>
  <c r="C34" i="8"/>
  <c r="C43" i="8"/>
  <c r="C39" i="8"/>
  <c r="C35" i="8"/>
  <c r="C31" i="8"/>
  <c r="C27" i="8"/>
  <c r="S2" i="11"/>
  <c r="S23" i="11"/>
  <c r="S19" i="11"/>
  <c r="S15" i="11"/>
  <c r="S11" i="11"/>
  <c r="S7" i="11"/>
  <c r="S3" i="11"/>
  <c r="S22" i="11"/>
  <c r="S18" i="11"/>
  <c r="S14" i="11"/>
  <c r="S10" i="11"/>
  <c r="S6" i="11"/>
  <c r="S13" i="11"/>
  <c r="S9" i="11"/>
  <c r="S5" i="11"/>
  <c r="S21" i="11"/>
  <c r="S17" i="11"/>
  <c r="S20" i="11"/>
  <c r="S16" i="11"/>
  <c r="S12" i="11"/>
  <c r="S8" i="11"/>
  <c r="S4" i="11"/>
  <c r="S25" i="11"/>
  <c r="S42" i="11"/>
  <c r="S38" i="11"/>
  <c r="S34" i="11"/>
  <c r="S45" i="11"/>
  <c r="S41" i="11"/>
  <c r="S37" i="11"/>
  <c r="S33" i="11"/>
  <c r="S29" i="11"/>
  <c r="S46" i="11"/>
  <c r="S30" i="11"/>
  <c r="S44" i="11"/>
  <c r="S40" i="11"/>
  <c r="S36" i="11"/>
  <c r="S32" i="11"/>
  <c r="S28" i="11"/>
  <c r="S26" i="11"/>
  <c r="S43" i="11"/>
  <c r="S39" i="11"/>
  <c r="S35" i="11"/>
  <c r="S31" i="11"/>
  <c r="S27" i="11"/>
  <c r="O2" i="10"/>
  <c r="O19" i="10"/>
  <c r="O22" i="10"/>
  <c r="O18" i="10"/>
  <c r="O14" i="10"/>
  <c r="O10" i="10"/>
  <c r="O6" i="10"/>
  <c r="O23" i="10"/>
  <c r="O15" i="10"/>
  <c r="O11" i="10"/>
  <c r="O7" i="10"/>
  <c r="O21" i="10"/>
  <c r="O17" i="10"/>
  <c r="O13" i="10"/>
  <c r="O9" i="10"/>
  <c r="O5" i="10"/>
  <c r="O3" i="10"/>
  <c r="O20" i="10"/>
  <c r="O16" i="10"/>
  <c r="O12" i="10"/>
  <c r="O8" i="10"/>
  <c r="O4" i="10"/>
  <c r="O25" i="10"/>
  <c r="O34" i="10"/>
  <c r="O45" i="10"/>
  <c r="O41" i="10"/>
  <c r="O37" i="10"/>
  <c r="O33" i="10"/>
  <c r="O29" i="10"/>
  <c r="O38" i="10"/>
  <c r="O26" i="10"/>
  <c r="O44" i="10"/>
  <c r="O40" i="10"/>
  <c r="O36" i="10"/>
  <c r="O32" i="10"/>
  <c r="O28" i="10"/>
  <c r="O46" i="10"/>
  <c r="O42" i="10"/>
  <c r="O30" i="10"/>
  <c r="O43" i="10"/>
  <c r="O39" i="10"/>
  <c r="O35" i="10"/>
  <c r="O31" i="10"/>
  <c r="O27" i="10"/>
  <c r="J2" i="9"/>
  <c r="J3" i="9"/>
  <c r="J21" i="9"/>
  <c r="J20" i="9"/>
  <c r="J16" i="9"/>
  <c r="J12" i="9"/>
  <c r="J8" i="9"/>
  <c r="J4" i="9"/>
  <c r="J13" i="9"/>
  <c r="J23" i="9"/>
  <c r="J19" i="9"/>
  <c r="J15" i="9"/>
  <c r="J11" i="9"/>
  <c r="J7" i="9"/>
  <c r="J17" i="9"/>
  <c r="J9" i="9"/>
  <c r="J5" i="9"/>
  <c r="J22" i="9"/>
  <c r="J18" i="9"/>
  <c r="J14" i="9"/>
  <c r="J10" i="9"/>
  <c r="J6" i="9"/>
  <c r="J25" i="9"/>
  <c r="J35" i="9"/>
  <c r="J46" i="9"/>
  <c r="J42" i="9"/>
  <c r="J38" i="9"/>
  <c r="J34" i="9"/>
  <c r="J30" i="9"/>
  <c r="J26" i="9"/>
  <c r="J43" i="9"/>
  <c r="J27" i="9"/>
  <c r="J45" i="9"/>
  <c r="J41" i="9"/>
  <c r="J37" i="9"/>
  <c r="J33" i="9"/>
  <c r="J29" i="9"/>
  <c r="J39" i="9"/>
  <c r="J31" i="9"/>
  <c r="J44" i="9"/>
  <c r="J40" i="9"/>
  <c r="J36" i="9"/>
  <c r="J32" i="9"/>
  <c r="J28" i="9"/>
  <c r="S2" i="8"/>
  <c r="S11" i="8"/>
  <c r="S22" i="8"/>
  <c r="S18" i="8"/>
  <c r="S14" i="8"/>
  <c r="S10" i="8"/>
  <c r="S6" i="8"/>
  <c r="S23" i="8"/>
  <c r="S19" i="8"/>
  <c r="S7" i="8"/>
  <c r="S3" i="8"/>
  <c r="S21" i="8"/>
  <c r="S17" i="8"/>
  <c r="S13" i="8"/>
  <c r="S9" i="8"/>
  <c r="S5" i="8"/>
  <c r="S15" i="8"/>
  <c r="S20" i="8"/>
  <c r="S16" i="8"/>
  <c r="S12" i="8"/>
  <c r="S8" i="8"/>
  <c r="S4" i="8"/>
  <c r="S25" i="8"/>
  <c r="S34" i="8"/>
  <c r="S45" i="8"/>
  <c r="S41" i="8"/>
  <c r="S37" i="8"/>
  <c r="S33" i="8"/>
  <c r="S29" i="8"/>
  <c r="S38" i="8"/>
  <c r="S30" i="8"/>
  <c r="S26" i="8"/>
  <c r="S44" i="8"/>
  <c r="S40" i="8"/>
  <c r="S36" i="8"/>
  <c r="S32" i="8"/>
  <c r="S28" i="8"/>
  <c r="S46" i="8"/>
  <c r="S42" i="8"/>
  <c r="S43" i="8"/>
  <c r="S39" i="8"/>
  <c r="S35" i="8"/>
  <c r="S31" i="8"/>
  <c r="S27" i="8"/>
  <c r="P2" i="11"/>
  <c r="P14" i="11"/>
  <c r="P22" i="11"/>
  <c r="P18" i="11"/>
  <c r="P10" i="11"/>
  <c r="P6" i="11"/>
  <c r="P21" i="11"/>
  <c r="P17" i="11"/>
  <c r="P13" i="11"/>
  <c r="P9" i="11"/>
  <c r="P5" i="11"/>
  <c r="P16" i="11"/>
  <c r="P8" i="11"/>
  <c r="P4" i="11"/>
  <c r="P20" i="11"/>
  <c r="P12" i="11"/>
  <c r="P23" i="11"/>
  <c r="P19" i="11"/>
  <c r="P15" i="11"/>
  <c r="P11" i="11"/>
  <c r="P7" i="11"/>
  <c r="P3" i="11"/>
  <c r="P25" i="11"/>
  <c r="P45" i="11"/>
  <c r="P33" i="11"/>
  <c r="P44" i="11"/>
  <c r="P40" i="11"/>
  <c r="P36" i="11"/>
  <c r="P32" i="11"/>
  <c r="P28" i="11"/>
  <c r="P37" i="11"/>
  <c r="P43" i="11"/>
  <c r="P39" i="11"/>
  <c r="P35" i="11"/>
  <c r="P31" i="11"/>
  <c r="P27" i="11"/>
  <c r="P41" i="11"/>
  <c r="P29" i="11"/>
  <c r="P46" i="11"/>
  <c r="P42" i="11"/>
  <c r="P38" i="11"/>
  <c r="P34" i="11"/>
  <c r="P30" i="11"/>
  <c r="P26" i="11"/>
  <c r="L2" i="10"/>
  <c r="L10" i="10"/>
  <c r="L21" i="10"/>
  <c r="L17" i="10"/>
  <c r="L13" i="10"/>
  <c r="L9" i="10"/>
  <c r="L5" i="10"/>
  <c r="L22" i="10"/>
  <c r="L18" i="10"/>
  <c r="L20" i="10"/>
  <c r="L16" i="10"/>
  <c r="L12" i="10"/>
  <c r="L8" i="10"/>
  <c r="L4" i="10"/>
  <c r="L14" i="10"/>
  <c r="L6" i="10"/>
  <c r="L23" i="10"/>
  <c r="L19" i="10"/>
  <c r="L15" i="10"/>
  <c r="L11" i="10"/>
  <c r="L7" i="10"/>
  <c r="L3" i="10"/>
  <c r="L25" i="10"/>
  <c r="L45" i="10"/>
  <c r="L37" i="10"/>
  <c r="L33" i="10"/>
  <c r="L29" i="10"/>
  <c r="L44" i="10"/>
  <c r="L40" i="10"/>
  <c r="L36" i="10"/>
  <c r="L32" i="10"/>
  <c r="L28" i="10"/>
  <c r="L41" i="10"/>
  <c r="L43" i="10"/>
  <c r="L39" i="10"/>
  <c r="L35" i="10"/>
  <c r="L31" i="10"/>
  <c r="L27" i="10"/>
  <c r="L46" i="10"/>
  <c r="L42" i="10"/>
  <c r="L38" i="10"/>
  <c r="L34" i="10"/>
  <c r="L30" i="10"/>
  <c r="L26" i="10"/>
  <c r="G2" i="9"/>
  <c r="G3" i="9"/>
  <c r="G20" i="9"/>
  <c r="G4" i="9"/>
  <c r="G23" i="9"/>
  <c r="G19" i="9"/>
  <c r="G15" i="9"/>
  <c r="G11" i="9"/>
  <c r="G7" i="9"/>
  <c r="G22" i="9"/>
  <c r="G18" i="9"/>
  <c r="G14" i="9"/>
  <c r="G10" i="9"/>
  <c r="G6" i="9"/>
  <c r="G16" i="9"/>
  <c r="G12" i="9"/>
  <c r="G8" i="9"/>
  <c r="G21" i="9"/>
  <c r="G17" i="9"/>
  <c r="G13" i="9"/>
  <c r="G9" i="9"/>
  <c r="G5" i="9"/>
  <c r="G25" i="9"/>
  <c r="G38" i="9"/>
  <c r="G26" i="9"/>
  <c r="G45" i="9"/>
  <c r="G41" i="9"/>
  <c r="G37" i="9"/>
  <c r="G33" i="9"/>
  <c r="G29" i="9"/>
  <c r="G46" i="9"/>
  <c r="G44" i="9"/>
  <c r="G40" i="9"/>
  <c r="G36" i="9"/>
  <c r="G32" i="9"/>
  <c r="G28" i="9"/>
  <c r="G42" i="9"/>
  <c r="G34" i="9"/>
  <c r="G30" i="9"/>
  <c r="G43" i="9"/>
  <c r="G39" i="9"/>
  <c r="G35" i="9"/>
  <c r="G31" i="9"/>
  <c r="G27" i="9"/>
  <c r="Q2" i="8"/>
  <c r="Q9" i="8"/>
  <c r="Q20" i="8"/>
  <c r="Q16" i="8"/>
  <c r="Q12" i="8"/>
  <c r="Q8" i="8"/>
  <c r="Q4" i="8"/>
  <c r="Q17" i="8"/>
  <c r="Q5" i="8"/>
  <c r="Q23" i="8"/>
  <c r="Q19" i="8"/>
  <c r="Q15" i="8"/>
  <c r="Q11" i="8"/>
  <c r="Q7" i="8"/>
  <c r="Q3" i="8"/>
  <c r="Q21" i="8"/>
  <c r="Q13" i="8"/>
  <c r="Q22" i="8"/>
  <c r="Q18" i="8"/>
  <c r="Q14" i="8"/>
  <c r="Q10" i="8"/>
  <c r="Q6" i="8"/>
  <c r="Q25" i="8"/>
  <c r="Q44" i="8"/>
  <c r="Q43" i="8"/>
  <c r="Q39" i="8"/>
  <c r="Q35" i="8"/>
  <c r="Q31" i="8"/>
  <c r="Q27" i="8"/>
  <c r="Q36" i="8"/>
  <c r="Q46" i="8"/>
  <c r="Q42" i="8"/>
  <c r="Q38" i="8"/>
  <c r="Q34" i="8"/>
  <c r="Q30" i="8"/>
  <c r="Q26" i="8"/>
  <c r="Q40" i="8"/>
  <c r="Q32" i="8"/>
  <c r="Q28" i="8"/>
  <c r="Q45" i="8"/>
  <c r="Q41" i="8"/>
  <c r="Q37" i="8"/>
  <c r="Q33" i="8"/>
  <c r="Q29" i="8"/>
  <c r="Q2" i="11"/>
  <c r="Q17" i="11"/>
  <c r="Q13" i="11"/>
  <c r="Q21" i="11"/>
  <c r="Q9" i="11"/>
  <c r="Q5" i="11"/>
  <c r="Q20" i="11"/>
  <c r="Q16" i="11"/>
  <c r="Q12" i="11"/>
  <c r="Q8" i="11"/>
  <c r="Q4" i="11"/>
  <c r="Q15" i="11"/>
  <c r="Q7" i="11"/>
  <c r="Q3" i="11"/>
  <c r="Q23" i="11"/>
  <c r="Q19" i="11"/>
  <c r="Q11" i="11"/>
  <c r="Q22" i="11"/>
  <c r="Q18" i="11"/>
  <c r="Q14" i="11"/>
  <c r="Q10" i="11"/>
  <c r="Q6" i="11"/>
  <c r="Q25" i="11"/>
  <c r="Q43" i="11"/>
  <c r="Q39" i="11"/>
  <c r="Q35" i="11"/>
  <c r="Q31" i="11"/>
  <c r="Q27" i="11"/>
  <c r="Q36" i="11"/>
  <c r="Q28" i="11"/>
  <c r="Q46" i="11"/>
  <c r="Q42" i="11"/>
  <c r="Q38" i="11"/>
  <c r="Q34" i="11"/>
  <c r="Q30" i="11"/>
  <c r="Q26" i="11"/>
  <c r="Q44" i="11"/>
  <c r="Q40" i="11"/>
  <c r="Q32" i="11"/>
  <c r="Q45" i="11"/>
  <c r="Q41" i="11"/>
  <c r="Q37" i="11"/>
  <c r="Q33" i="11"/>
  <c r="Q29" i="11"/>
  <c r="M2" i="10"/>
  <c r="M17" i="10"/>
  <c r="M20" i="10"/>
  <c r="M16" i="10"/>
  <c r="M12" i="10"/>
  <c r="M8" i="10"/>
  <c r="M4" i="10"/>
  <c r="M9" i="10"/>
  <c r="M5" i="10"/>
  <c r="M23" i="10"/>
  <c r="M19" i="10"/>
  <c r="M15" i="10"/>
  <c r="M11" i="10"/>
  <c r="M7" i="10"/>
  <c r="M3" i="10"/>
  <c r="M21" i="10"/>
  <c r="M13" i="10"/>
  <c r="M22" i="10"/>
  <c r="M18" i="10"/>
  <c r="M14" i="10"/>
  <c r="M10" i="10"/>
  <c r="M6" i="10"/>
  <c r="M25" i="10"/>
  <c r="M43" i="10"/>
  <c r="M39" i="10"/>
  <c r="M35" i="10"/>
  <c r="M31" i="10"/>
  <c r="M27" i="10"/>
  <c r="M36" i="10"/>
  <c r="M32" i="10"/>
  <c r="M46" i="10"/>
  <c r="M42" i="10"/>
  <c r="M38" i="10"/>
  <c r="M34" i="10"/>
  <c r="M30" i="10"/>
  <c r="M26" i="10"/>
  <c r="M44" i="10"/>
  <c r="M40" i="10"/>
  <c r="M28" i="10"/>
  <c r="M45" i="10"/>
  <c r="M41" i="10"/>
  <c r="M37" i="10"/>
  <c r="M33" i="10"/>
  <c r="M29" i="10"/>
  <c r="H2" i="9"/>
  <c r="H3" i="9"/>
  <c r="H23" i="9"/>
  <c r="H19" i="9"/>
  <c r="H22" i="9"/>
  <c r="H18" i="9"/>
  <c r="H14" i="9"/>
  <c r="H10" i="9"/>
  <c r="H6" i="9"/>
  <c r="H11" i="9"/>
  <c r="H21" i="9"/>
  <c r="H17" i="9"/>
  <c r="H13" i="9"/>
  <c r="H9" i="9"/>
  <c r="H5" i="9"/>
  <c r="H15" i="9"/>
  <c r="H7" i="9"/>
  <c r="H20" i="9"/>
  <c r="H16" i="9"/>
  <c r="H12" i="9"/>
  <c r="H8" i="9"/>
  <c r="H4" i="9"/>
  <c r="H25" i="9"/>
  <c r="H45" i="9"/>
  <c r="H41" i="9"/>
  <c r="H33" i="9"/>
  <c r="H29" i="9"/>
  <c r="H44" i="9"/>
  <c r="H40" i="9"/>
  <c r="H36" i="9"/>
  <c r="H32" i="9"/>
  <c r="H28" i="9"/>
  <c r="H37" i="9"/>
  <c r="H43" i="9"/>
  <c r="H39" i="9"/>
  <c r="H35" i="9"/>
  <c r="H31" i="9"/>
  <c r="H27" i="9"/>
  <c r="H46" i="9"/>
  <c r="H42" i="9"/>
  <c r="H38" i="9"/>
  <c r="H34" i="9"/>
  <c r="H30" i="9"/>
  <c r="H26" i="9"/>
  <c r="C2" i="9"/>
  <c r="C3" i="9"/>
  <c r="C23" i="9"/>
  <c r="C7" i="9"/>
  <c r="C22" i="9"/>
  <c r="C18" i="9"/>
  <c r="C14" i="9"/>
  <c r="C10" i="9"/>
  <c r="C6" i="9"/>
  <c r="C19" i="9"/>
  <c r="C11" i="9"/>
  <c r="C21" i="9"/>
  <c r="C17" i="9"/>
  <c r="C13" i="9"/>
  <c r="C9" i="9"/>
  <c r="C5" i="9"/>
  <c r="C15" i="9"/>
  <c r="C20" i="9"/>
  <c r="C16" i="9"/>
  <c r="C12" i="9"/>
  <c r="C8" i="9"/>
  <c r="C4" i="9"/>
  <c r="C25" i="9"/>
  <c r="C26" i="9"/>
  <c r="C42" i="9"/>
  <c r="C30" i="9"/>
  <c r="C45" i="9"/>
  <c r="C41" i="9"/>
  <c r="C37" i="9"/>
  <c r="C33" i="9"/>
  <c r="C29" i="9"/>
  <c r="C38" i="9"/>
  <c r="C44" i="9"/>
  <c r="C40" i="9"/>
  <c r="C36" i="9"/>
  <c r="C32" i="9"/>
  <c r="C28" i="9"/>
  <c r="C46" i="9"/>
  <c r="C34" i="9"/>
  <c r="C43" i="9"/>
  <c r="C39" i="9"/>
  <c r="C35" i="9"/>
  <c r="C31" i="9"/>
  <c r="C27" i="9"/>
  <c r="R2" i="8"/>
  <c r="R20" i="8"/>
  <c r="R16" i="8"/>
  <c r="R4" i="8"/>
  <c r="R23" i="8"/>
  <c r="R19" i="8"/>
  <c r="R15" i="8"/>
  <c r="R11" i="8"/>
  <c r="R7" i="8"/>
  <c r="R3" i="8"/>
  <c r="R12" i="8"/>
  <c r="R22" i="8"/>
  <c r="R18" i="8"/>
  <c r="R14" i="8"/>
  <c r="R10" i="8"/>
  <c r="R6" i="8"/>
  <c r="R8" i="8"/>
  <c r="R21" i="8"/>
  <c r="R17" i="8"/>
  <c r="R13" i="8"/>
  <c r="R9" i="8"/>
  <c r="R5" i="8"/>
  <c r="R25" i="8"/>
  <c r="R39" i="8"/>
  <c r="R31" i="8"/>
  <c r="R27" i="8"/>
  <c r="R46" i="8"/>
  <c r="R42" i="8"/>
  <c r="R38" i="8"/>
  <c r="R34" i="8"/>
  <c r="R30" i="8"/>
  <c r="R26" i="8"/>
  <c r="R43" i="8"/>
  <c r="R45" i="8"/>
  <c r="R41" i="8"/>
  <c r="R37" i="8"/>
  <c r="R33" i="8"/>
  <c r="R29" i="8"/>
  <c r="R35" i="8"/>
  <c r="R44" i="8"/>
  <c r="R40" i="8"/>
  <c r="R36" i="8"/>
  <c r="R32" i="8"/>
  <c r="R28" i="8"/>
  <c r="Q9" i="3"/>
  <c r="Q12" i="3"/>
  <c r="Q5" i="3"/>
  <c r="Q8" i="3"/>
  <c r="Q11" i="3"/>
  <c r="Q4" i="3"/>
  <c r="Q10" i="3"/>
  <c r="Q7" i="3"/>
  <c r="Q3" i="3"/>
  <c r="Q13" i="3"/>
  <c r="Q6" i="3"/>
  <c r="Q35" i="3"/>
  <c r="Q32" i="3"/>
  <c r="Q25" i="3"/>
  <c r="Q31" i="3"/>
  <c r="Q26" i="3"/>
  <c r="Q29" i="3"/>
  <c r="Q30" i="3"/>
  <c r="Q33" i="3"/>
  <c r="Q27" i="3"/>
  <c r="Q36" i="3"/>
  <c r="Q34" i="3"/>
  <c r="Q28" i="3"/>
  <c r="Q21" i="3"/>
  <c r="Q22" i="3"/>
  <c r="Q18" i="3"/>
  <c r="Q14" i="3"/>
  <c r="Q17" i="3"/>
  <c r="Q23" i="3"/>
  <c r="Q19" i="3"/>
  <c r="Q15" i="3"/>
  <c r="Q20" i="3"/>
  <c r="Q16" i="3"/>
  <c r="Q43" i="3"/>
  <c r="Q39" i="3"/>
  <c r="Q40" i="3"/>
  <c r="Q45" i="3"/>
  <c r="Q41" i="3"/>
  <c r="Q37" i="3"/>
  <c r="Q44" i="3"/>
  <c r="Q46" i="3"/>
  <c r="Q42" i="3"/>
  <c r="Q38" i="3"/>
  <c r="F4" i="3"/>
  <c r="F5" i="3"/>
  <c r="F6" i="3"/>
  <c r="F13" i="3"/>
  <c r="F12" i="3"/>
  <c r="F7" i="3"/>
  <c r="F10" i="3"/>
  <c r="F3" i="3"/>
  <c r="F8" i="3"/>
  <c r="F9" i="3"/>
  <c r="F11" i="3"/>
  <c r="F31" i="3"/>
  <c r="F30" i="3"/>
  <c r="F27" i="3"/>
  <c r="F28" i="3"/>
  <c r="F26" i="3"/>
  <c r="F33" i="3"/>
  <c r="F35" i="3"/>
  <c r="F36" i="3"/>
  <c r="F25" i="3"/>
  <c r="F34" i="3"/>
  <c r="F29" i="3"/>
  <c r="F32" i="3"/>
  <c r="F18" i="3"/>
  <c r="F14" i="3"/>
  <c r="F23" i="3"/>
  <c r="F19" i="3"/>
  <c r="F15" i="3"/>
  <c r="F22" i="3"/>
  <c r="F20" i="3"/>
  <c r="F16" i="3"/>
  <c r="F21" i="3"/>
  <c r="F17" i="3"/>
  <c r="F44" i="3"/>
  <c r="F41" i="3"/>
  <c r="F37" i="3"/>
  <c r="F46" i="3"/>
  <c r="F42" i="3"/>
  <c r="F38" i="3"/>
  <c r="F40" i="3"/>
  <c r="F45" i="3"/>
  <c r="F43" i="3"/>
  <c r="F39" i="3"/>
  <c r="D11" i="3"/>
  <c r="D5" i="3"/>
  <c r="D8" i="3"/>
  <c r="D2" i="3"/>
  <c r="D6" i="3"/>
  <c r="D3" i="3"/>
  <c r="D7" i="3"/>
  <c r="D4" i="3"/>
  <c r="D9" i="3"/>
  <c r="D12" i="3"/>
  <c r="D10" i="3"/>
  <c r="D13" i="3"/>
  <c r="D30" i="3"/>
  <c r="D28" i="3"/>
  <c r="D33" i="3"/>
  <c r="D26" i="3"/>
  <c r="D35" i="3"/>
  <c r="D25" i="3"/>
  <c r="D32" i="3"/>
  <c r="D27" i="3"/>
  <c r="D29" i="3"/>
  <c r="D36" i="3"/>
  <c r="D31" i="3"/>
  <c r="D34" i="3"/>
  <c r="D21" i="3"/>
  <c r="D17" i="3"/>
  <c r="D16" i="3"/>
  <c r="D22" i="3"/>
  <c r="D18" i="3"/>
  <c r="D14" i="3"/>
  <c r="D20" i="3"/>
  <c r="D23" i="3"/>
  <c r="D19" i="3"/>
  <c r="D15" i="3"/>
  <c r="D42" i="3"/>
  <c r="D39" i="3"/>
  <c r="D44" i="3"/>
  <c r="D40" i="3"/>
  <c r="D46" i="3"/>
  <c r="D38" i="3"/>
  <c r="D43" i="3"/>
  <c r="D45" i="3"/>
  <c r="D41" i="3"/>
  <c r="D37" i="3"/>
  <c r="J12" i="3"/>
  <c r="J13" i="3"/>
  <c r="J8" i="3"/>
  <c r="J11" i="3"/>
  <c r="J5" i="3"/>
  <c r="J3" i="3"/>
  <c r="J6" i="3"/>
  <c r="J9" i="3"/>
  <c r="J4" i="3"/>
  <c r="J7" i="3"/>
  <c r="J10" i="3"/>
  <c r="J33" i="3"/>
  <c r="J27" i="3"/>
  <c r="J36" i="3"/>
  <c r="J35" i="3"/>
  <c r="J34" i="3"/>
  <c r="J31" i="3"/>
  <c r="J29" i="3"/>
  <c r="J32" i="3"/>
  <c r="J26" i="3"/>
  <c r="J30" i="3"/>
  <c r="J28" i="3"/>
  <c r="J22" i="3"/>
  <c r="J23" i="3"/>
  <c r="J19" i="3"/>
  <c r="J15" i="3"/>
  <c r="J18" i="3"/>
  <c r="J14" i="3"/>
  <c r="J20" i="3"/>
  <c r="J16" i="3"/>
  <c r="J21" i="3"/>
  <c r="J17" i="3"/>
  <c r="J40" i="3"/>
  <c r="J45" i="3"/>
  <c r="J37" i="3"/>
  <c r="J46" i="3"/>
  <c r="J42" i="3"/>
  <c r="J38" i="3"/>
  <c r="J44" i="3"/>
  <c r="J41" i="3"/>
  <c r="J43" i="3"/>
  <c r="J39" i="3"/>
  <c r="F2" i="11"/>
  <c r="F20" i="11"/>
  <c r="F16" i="11"/>
  <c r="F12" i="11"/>
  <c r="F8" i="11"/>
  <c r="F4" i="11"/>
  <c r="F23" i="11"/>
  <c r="F19" i="11"/>
  <c r="F15" i="11"/>
  <c r="F11" i="11"/>
  <c r="F7" i="11"/>
  <c r="F3" i="11"/>
  <c r="F22" i="11"/>
  <c r="F18" i="11"/>
  <c r="F10" i="11"/>
  <c r="F6" i="11"/>
  <c r="F14" i="11"/>
  <c r="F21" i="11"/>
  <c r="F17" i="11"/>
  <c r="F13" i="11"/>
  <c r="F9" i="11"/>
  <c r="F5" i="11"/>
  <c r="F25" i="11"/>
  <c r="F27" i="11"/>
  <c r="F46" i="11"/>
  <c r="F42" i="11"/>
  <c r="F38" i="11"/>
  <c r="F34" i="11"/>
  <c r="F30" i="11"/>
  <c r="F26" i="11"/>
  <c r="F43" i="11"/>
  <c r="F39" i="11"/>
  <c r="F45" i="11"/>
  <c r="F41" i="11"/>
  <c r="F37" i="11"/>
  <c r="F33" i="11"/>
  <c r="F29" i="11"/>
  <c r="F35" i="11"/>
  <c r="F31" i="11"/>
  <c r="F44" i="11"/>
  <c r="F40" i="11"/>
  <c r="F36" i="11"/>
  <c r="F32" i="11"/>
  <c r="F28" i="11"/>
  <c r="C2" i="11"/>
  <c r="C3" i="11"/>
  <c r="C19" i="11"/>
  <c r="C7" i="11"/>
  <c r="C22" i="11"/>
  <c r="C18" i="11"/>
  <c r="C14" i="11"/>
  <c r="C10" i="11"/>
  <c r="C6" i="11"/>
  <c r="C15" i="11"/>
  <c r="C21" i="11"/>
  <c r="C17" i="11"/>
  <c r="C13" i="11"/>
  <c r="C9" i="11"/>
  <c r="C5" i="11"/>
  <c r="C23" i="11"/>
  <c r="C11" i="11"/>
  <c r="C20" i="11"/>
  <c r="C16" i="11"/>
  <c r="C12" i="11"/>
  <c r="C8" i="11"/>
  <c r="C4" i="11"/>
  <c r="C25" i="11"/>
  <c r="C26" i="11"/>
  <c r="C46" i="11"/>
  <c r="C30" i="11"/>
  <c r="C45" i="11"/>
  <c r="C41" i="11"/>
  <c r="C37" i="11"/>
  <c r="C33" i="11"/>
  <c r="C29" i="11"/>
  <c r="C38" i="11"/>
  <c r="C44" i="11"/>
  <c r="C40" i="11"/>
  <c r="C36" i="11"/>
  <c r="C32" i="11"/>
  <c r="C28" i="11"/>
  <c r="C42" i="11"/>
  <c r="C34" i="11"/>
  <c r="C43" i="11"/>
  <c r="C39" i="11"/>
  <c r="C35" i="11"/>
  <c r="C31" i="11"/>
  <c r="C27" i="11"/>
  <c r="R2" i="10"/>
  <c r="R16" i="10"/>
  <c r="R8" i="10"/>
  <c r="R4" i="10"/>
  <c r="R23" i="10"/>
  <c r="R19" i="10"/>
  <c r="R15" i="10"/>
  <c r="R11" i="10"/>
  <c r="R7" i="10"/>
  <c r="R3" i="10"/>
  <c r="R20" i="10"/>
  <c r="R22" i="10"/>
  <c r="R18" i="10"/>
  <c r="R14" i="10"/>
  <c r="R10" i="10"/>
  <c r="R6" i="10"/>
  <c r="R12" i="10"/>
  <c r="R21" i="10"/>
  <c r="R17" i="10"/>
  <c r="R13" i="10"/>
  <c r="R9" i="10"/>
  <c r="R5" i="10"/>
  <c r="R25" i="10"/>
  <c r="R46" i="10"/>
  <c r="R42" i="10"/>
  <c r="R38" i="10"/>
  <c r="R34" i="10"/>
  <c r="R30" i="10"/>
  <c r="R26" i="10"/>
  <c r="R35" i="10"/>
  <c r="R31" i="10"/>
  <c r="R45" i="10"/>
  <c r="R41" i="10"/>
  <c r="R37" i="10"/>
  <c r="R33" i="10"/>
  <c r="R29" i="10"/>
  <c r="R43" i="10"/>
  <c r="R39" i="10"/>
  <c r="R27" i="10"/>
  <c r="R44" i="10"/>
  <c r="R40" i="10"/>
  <c r="R36" i="10"/>
  <c r="R32" i="10"/>
  <c r="R28" i="10"/>
  <c r="M2" i="9"/>
  <c r="M3" i="9"/>
  <c r="M22" i="9"/>
  <c r="M21" i="9"/>
  <c r="M17" i="9"/>
  <c r="M13" i="9"/>
  <c r="M9" i="9"/>
  <c r="M5" i="9"/>
  <c r="M20" i="9"/>
  <c r="M16" i="9"/>
  <c r="M12" i="9"/>
  <c r="M8" i="9"/>
  <c r="M4" i="9"/>
  <c r="M18" i="9"/>
  <c r="M14" i="9"/>
  <c r="M10" i="9"/>
  <c r="M6" i="9"/>
  <c r="M23" i="9"/>
  <c r="M19" i="9"/>
  <c r="M15" i="9"/>
  <c r="M11" i="9"/>
  <c r="M7" i="9"/>
  <c r="M25" i="9"/>
  <c r="M40" i="9"/>
  <c r="M32" i="9"/>
  <c r="M43" i="9"/>
  <c r="M39" i="9"/>
  <c r="M35" i="9"/>
  <c r="M31" i="9"/>
  <c r="M27" i="9"/>
  <c r="M36" i="9"/>
  <c r="M46" i="9"/>
  <c r="M42" i="9"/>
  <c r="M38" i="9"/>
  <c r="M34" i="9"/>
  <c r="M30" i="9"/>
  <c r="M26" i="9"/>
  <c r="M44" i="9"/>
  <c r="M28" i="9"/>
  <c r="M45" i="9"/>
  <c r="M41" i="9"/>
  <c r="M37" i="9"/>
  <c r="M33" i="9"/>
  <c r="M29" i="9"/>
  <c r="G2" i="8"/>
  <c r="G11" i="8"/>
  <c r="G3" i="8"/>
  <c r="G22" i="8"/>
  <c r="G18" i="8"/>
  <c r="G14" i="8"/>
  <c r="G10" i="8"/>
  <c r="G6" i="8"/>
  <c r="G23" i="8"/>
  <c r="G19" i="8"/>
  <c r="G7" i="8"/>
  <c r="G21" i="8"/>
  <c r="G17" i="8"/>
  <c r="G13" i="8"/>
  <c r="G9" i="8"/>
  <c r="G5" i="8"/>
  <c r="G15" i="8"/>
  <c r="G20" i="8"/>
  <c r="G16" i="8"/>
  <c r="G12" i="8"/>
  <c r="G8" i="8"/>
  <c r="G4" i="8"/>
  <c r="G34" i="8"/>
  <c r="G26" i="8"/>
  <c r="G45" i="8"/>
  <c r="G41" i="8"/>
  <c r="G37" i="8"/>
  <c r="G33" i="8"/>
  <c r="G29" i="8"/>
  <c r="G38" i="8"/>
  <c r="G30" i="8"/>
  <c r="G44" i="8"/>
  <c r="G40" i="8"/>
  <c r="G36" i="8"/>
  <c r="G32" i="8"/>
  <c r="G28" i="8"/>
  <c r="G46" i="8"/>
  <c r="G42" i="8"/>
  <c r="G43" i="8"/>
  <c r="G39" i="8"/>
  <c r="G35" i="8"/>
  <c r="G31" i="8"/>
  <c r="G27" i="8"/>
  <c r="G2" i="11"/>
  <c r="G23" i="11"/>
  <c r="G19" i="11"/>
  <c r="G15" i="11"/>
  <c r="G11" i="11"/>
  <c r="G7" i="11"/>
  <c r="G3" i="11"/>
  <c r="G22" i="11"/>
  <c r="G18" i="11"/>
  <c r="G14" i="11"/>
  <c r="G10" i="11"/>
  <c r="G6" i="11"/>
  <c r="G17" i="11"/>
  <c r="G9" i="11"/>
  <c r="G5" i="11"/>
  <c r="G21" i="11"/>
  <c r="G13" i="11"/>
  <c r="G20" i="11"/>
  <c r="G16" i="11"/>
  <c r="G12" i="11"/>
  <c r="G8" i="11"/>
  <c r="G4" i="11"/>
  <c r="G25" i="11"/>
  <c r="G42" i="11"/>
  <c r="G26" i="11"/>
  <c r="G45" i="11"/>
  <c r="G41" i="11"/>
  <c r="G37" i="11"/>
  <c r="G33" i="11"/>
  <c r="G29" i="11"/>
  <c r="G46" i="11"/>
  <c r="G30" i="11"/>
  <c r="G44" i="11"/>
  <c r="G40" i="11"/>
  <c r="G36" i="11"/>
  <c r="G32" i="11"/>
  <c r="G28" i="11"/>
  <c r="G38" i="11"/>
  <c r="G34" i="11"/>
  <c r="G43" i="11"/>
  <c r="G39" i="11"/>
  <c r="G35" i="11"/>
  <c r="G31" i="11"/>
  <c r="G27" i="11"/>
  <c r="S2" i="10"/>
  <c r="S11" i="10"/>
  <c r="S22" i="10"/>
  <c r="S18" i="10"/>
  <c r="S14" i="10"/>
  <c r="S10" i="10"/>
  <c r="S6" i="10"/>
  <c r="S3" i="10"/>
  <c r="S21" i="10"/>
  <c r="S17" i="10"/>
  <c r="S13" i="10"/>
  <c r="S9" i="10"/>
  <c r="S5" i="10"/>
  <c r="S23" i="10"/>
  <c r="S19" i="10"/>
  <c r="S15" i="10"/>
  <c r="S7" i="10"/>
  <c r="S20" i="10"/>
  <c r="S16" i="10"/>
  <c r="S12" i="10"/>
  <c r="S8" i="10"/>
  <c r="S4" i="10"/>
  <c r="S25" i="10"/>
  <c r="S46" i="10"/>
  <c r="S38" i="10"/>
  <c r="S30" i="10"/>
  <c r="S45" i="10"/>
  <c r="S41" i="10"/>
  <c r="S37" i="10"/>
  <c r="S33" i="10"/>
  <c r="S29" i="10"/>
  <c r="S42" i="10"/>
  <c r="S44" i="10"/>
  <c r="S40" i="10"/>
  <c r="S36" i="10"/>
  <c r="S32" i="10"/>
  <c r="S28" i="10"/>
  <c r="S34" i="10"/>
  <c r="S26" i="10"/>
  <c r="S43" i="10"/>
  <c r="S39" i="10"/>
  <c r="S35" i="10"/>
  <c r="S31" i="10"/>
  <c r="S27" i="10"/>
  <c r="N2" i="9"/>
  <c r="N3" i="9"/>
  <c r="N21" i="9"/>
  <c r="N5" i="9"/>
  <c r="N20" i="9"/>
  <c r="N16" i="9"/>
  <c r="N12" i="9"/>
  <c r="N8" i="9"/>
  <c r="N4" i="9"/>
  <c r="N9" i="9"/>
  <c r="N23" i="9"/>
  <c r="N19" i="9"/>
  <c r="N15" i="9"/>
  <c r="N11" i="9"/>
  <c r="N7" i="9"/>
  <c r="N17" i="9"/>
  <c r="N13" i="9"/>
  <c r="N22" i="9"/>
  <c r="N18" i="9"/>
  <c r="N14" i="9"/>
  <c r="N10" i="9"/>
  <c r="N6" i="9"/>
  <c r="N25" i="9"/>
  <c r="N43" i="9"/>
  <c r="N31" i="9"/>
  <c r="N27" i="9"/>
  <c r="N46" i="9"/>
  <c r="N42" i="9"/>
  <c r="N38" i="9"/>
  <c r="N34" i="9"/>
  <c r="N30" i="9"/>
  <c r="N26" i="9"/>
  <c r="N39" i="9"/>
  <c r="N45" i="9"/>
  <c r="N41" i="9"/>
  <c r="N37" i="9"/>
  <c r="N33" i="9"/>
  <c r="N29" i="9"/>
  <c r="N35" i="9"/>
  <c r="N44" i="9"/>
  <c r="N40" i="9"/>
  <c r="N36" i="9"/>
  <c r="N32" i="9"/>
  <c r="N28" i="9"/>
  <c r="H2" i="8"/>
  <c r="H22" i="8"/>
  <c r="H6" i="8"/>
  <c r="H21" i="8"/>
  <c r="H17" i="8"/>
  <c r="H13" i="8"/>
  <c r="H9" i="8"/>
  <c r="H5" i="8"/>
  <c r="H14" i="8"/>
  <c r="H20" i="8"/>
  <c r="H16" i="8"/>
  <c r="H12" i="8"/>
  <c r="H8" i="8"/>
  <c r="H4" i="8"/>
  <c r="H18" i="8"/>
  <c r="H10" i="8"/>
  <c r="H23" i="8"/>
  <c r="H19" i="8"/>
  <c r="H15" i="8"/>
  <c r="H11" i="8"/>
  <c r="H7" i="8"/>
  <c r="H3" i="8"/>
  <c r="H25" i="8"/>
  <c r="H41" i="8"/>
  <c r="H29" i="8"/>
  <c r="H44" i="8"/>
  <c r="H40" i="8"/>
  <c r="H36" i="8"/>
  <c r="H32" i="8"/>
  <c r="H28" i="8"/>
  <c r="H45" i="8"/>
  <c r="H43" i="8"/>
  <c r="H39" i="8"/>
  <c r="H35" i="8"/>
  <c r="H31" i="8"/>
  <c r="H27" i="8"/>
  <c r="H37" i="8"/>
  <c r="H33" i="8"/>
  <c r="H46" i="8"/>
  <c r="H42" i="8"/>
  <c r="H38" i="8"/>
  <c r="H34" i="8"/>
  <c r="H30" i="8"/>
  <c r="H26" i="8"/>
  <c r="T2" i="11"/>
  <c r="U2" i="11"/>
  <c r="T14" i="11"/>
  <c r="T22" i="11"/>
  <c r="T18" i="11"/>
  <c r="T10" i="11"/>
  <c r="T6" i="11"/>
  <c r="T21" i="11"/>
  <c r="T17" i="11"/>
  <c r="T13" i="11"/>
  <c r="T9" i="11"/>
  <c r="T5" i="11"/>
  <c r="T20" i="11"/>
  <c r="T12" i="11"/>
  <c r="T8" i="11"/>
  <c r="T4" i="11"/>
  <c r="T16" i="11"/>
  <c r="T23" i="11"/>
  <c r="T19" i="11"/>
  <c r="T15" i="11"/>
  <c r="T11" i="11"/>
  <c r="T7" i="11"/>
  <c r="T3" i="11"/>
  <c r="U3" i="11"/>
  <c r="U19" i="11"/>
  <c r="U7" i="11"/>
  <c r="U22" i="11"/>
  <c r="U18" i="11"/>
  <c r="U14" i="11"/>
  <c r="U10" i="11"/>
  <c r="U6" i="11"/>
  <c r="U23" i="11"/>
  <c r="U11" i="11"/>
  <c r="U21" i="11"/>
  <c r="U17" i="11"/>
  <c r="U13" i="11"/>
  <c r="U9" i="11"/>
  <c r="U5" i="11"/>
  <c r="U15" i="11"/>
  <c r="U20" i="11"/>
  <c r="U16" i="11"/>
  <c r="U12" i="11"/>
  <c r="U8" i="11"/>
  <c r="U4" i="11"/>
  <c r="T25" i="11"/>
  <c r="U25" i="11"/>
  <c r="T37" i="11"/>
  <c r="T29" i="11"/>
  <c r="T44" i="11"/>
  <c r="T40" i="11"/>
  <c r="T36" i="11"/>
  <c r="T32" i="11"/>
  <c r="T28" i="11"/>
  <c r="T45" i="11"/>
  <c r="T33" i="11"/>
  <c r="T43" i="11"/>
  <c r="T39" i="11"/>
  <c r="T35" i="11"/>
  <c r="T31" i="11"/>
  <c r="T27" i="11"/>
  <c r="T41" i="11"/>
  <c r="T46" i="11"/>
  <c r="T42" i="11"/>
  <c r="T38" i="11"/>
  <c r="T34" i="11"/>
  <c r="T30" i="11"/>
  <c r="T26" i="11"/>
  <c r="U26" i="11"/>
  <c r="U42" i="11"/>
  <c r="U30" i="11"/>
  <c r="U45" i="11"/>
  <c r="U41" i="11"/>
  <c r="U37" i="11"/>
  <c r="U33" i="11"/>
  <c r="U29" i="11"/>
  <c r="U38" i="11"/>
  <c r="U44" i="11"/>
  <c r="U40" i="11"/>
  <c r="U36" i="11"/>
  <c r="U32" i="11"/>
  <c r="U28" i="11"/>
  <c r="U46" i="11"/>
  <c r="U34" i="11"/>
  <c r="U43" i="11"/>
  <c r="U39" i="11"/>
  <c r="U35" i="11"/>
  <c r="U31" i="11"/>
  <c r="U27" i="11"/>
  <c r="D2" i="11"/>
  <c r="D22" i="11"/>
  <c r="D18" i="11"/>
  <c r="D14" i="11"/>
  <c r="D10" i="11"/>
  <c r="D6" i="11"/>
  <c r="D21" i="11"/>
  <c r="D17" i="11"/>
  <c r="D13" i="11"/>
  <c r="D9" i="11"/>
  <c r="D5" i="11"/>
  <c r="D20" i="11"/>
  <c r="D12" i="11"/>
  <c r="D8" i="11"/>
  <c r="D4" i="11"/>
  <c r="D16" i="11"/>
  <c r="D23" i="11"/>
  <c r="D19" i="11"/>
  <c r="D15" i="11"/>
  <c r="D11" i="11"/>
  <c r="D7" i="11"/>
  <c r="D3" i="11"/>
  <c r="D25" i="11"/>
  <c r="D45" i="11"/>
  <c r="D33" i="11"/>
  <c r="D29" i="11"/>
  <c r="D44" i="11"/>
  <c r="D40" i="11"/>
  <c r="D36" i="11"/>
  <c r="D32" i="11"/>
  <c r="D28" i="11"/>
  <c r="D41" i="11"/>
  <c r="D37" i="11"/>
  <c r="D43" i="11"/>
  <c r="D39" i="11"/>
  <c r="D35" i="11"/>
  <c r="D31" i="11"/>
  <c r="D27" i="11"/>
  <c r="D46" i="11"/>
  <c r="D42" i="11"/>
  <c r="D38" i="11"/>
  <c r="D34" i="11"/>
  <c r="D30" i="11"/>
  <c r="D26" i="11"/>
  <c r="P2" i="10"/>
  <c r="P22" i="10"/>
  <c r="P14" i="10"/>
  <c r="P6" i="10"/>
  <c r="P21" i="10"/>
  <c r="P17" i="10"/>
  <c r="P13" i="10"/>
  <c r="P9" i="10"/>
  <c r="P5" i="10"/>
  <c r="P20" i="10"/>
  <c r="P16" i="10"/>
  <c r="P12" i="10"/>
  <c r="P8" i="10"/>
  <c r="P4" i="10"/>
  <c r="P18" i="10"/>
  <c r="P10" i="10"/>
  <c r="P23" i="10"/>
  <c r="P19" i="10"/>
  <c r="P15" i="10"/>
  <c r="P11" i="10"/>
  <c r="P7" i="10"/>
  <c r="P3" i="10"/>
  <c r="P25" i="10"/>
  <c r="P41" i="10"/>
  <c r="P44" i="10"/>
  <c r="P40" i="10"/>
  <c r="P36" i="10"/>
  <c r="P32" i="10"/>
  <c r="P28" i="10"/>
  <c r="P45" i="10"/>
  <c r="P29" i="10"/>
  <c r="P43" i="10"/>
  <c r="P39" i="10"/>
  <c r="P35" i="10"/>
  <c r="P31" i="10"/>
  <c r="P27" i="10"/>
  <c r="P37" i="10"/>
  <c r="P33" i="10"/>
  <c r="P46" i="10"/>
  <c r="P42" i="10"/>
  <c r="P38" i="10"/>
  <c r="P34" i="10"/>
  <c r="P30" i="10"/>
  <c r="P26" i="10"/>
  <c r="K2" i="9"/>
  <c r="K3" i="9"/>
  <c r="K20" i="9"/>
  <c r="K23" i="9"/>
  <c r="K19" i="9"/>
  <c r="K15" i="9"/>
  <c r="K11" i="9"/>
  <c r="K7" i="9"/>
  <c r="K12" i="9"/>
  <c r="K8" i="9"/>
  <c r="K22" i="9"/>
  <c r="K18" i="9"/>
  <c r="K14" i="9"/>
  <c r="K10" i="9"/>
  <c r="K6" i="9"/>
  <c r="K16" i="9"/>
  <c r="K4" i="9"/>
  <c r="K21" i="9"/>
  <c r="K17" i="9"/>
  <c r="K13" i="9"/>
  <c r="K9" i="9"/>
  <c r="K5" i="9"/>
  <c r="K25" i="9"/>
  <c r="K45" i="9"/>
  <c r="K41" i="9"/>
  <c r="K37" i="9"/>
  <c r="K33" i="9"/>
  <c r="K29" i="9"/>
  <c r="K42" i="9"/>
  <c r="K34" i="9"/>
  <c r="K30" i="9"/>
  <c r="K44" i="9"/>
  <c r="K40" i="9"/>
  <c r="K36" i="9"/>
  <c r="K32" i="9"/>
  <c r="K28" i="9"/>
  <c r="K46" i="9"/>
  <c r="K38" i="9"/>
  <c r="K26" i="9"/>
  <c r="K43" i="9"/>
  <c r="K39" i="9"/>
  <c r="K35" i="9"/>
  <c r="K31" i="9"/>
  <c r="K27" i="9"/>
  <c r="E2" i="8"/>
  <c r="E13" i="8"/>
  <c r="E9" i="8"/>
  <c r="E20" i="8"/>
  <c r="E16" i="8"/>
  <c r="E12" i="8"/>
  <c r="E8" i="8"/>
  <c r="E4" i="8"/>
  <c r="E17" i="8"/>
  <c r="E5" i="8"/>
  <c r="E23" i="8"/>
  <c r="E19" i="8"/>
  <c r="E15" i="8"/>
  <c r="E11" i="8"/>
  <c r="E7" i="8"/>
  <c r="E3" i="8"/>
  <c r="E21" i="8"/>
  <c r="E22" i="8"/>
  <c r="E18" i="8"/>
  <c r="E14" i="8"/>
  <c r="E10" i="8"/>
  <c r="E6" i="8"/>
  <c r="E25" i="8"/>
  <c r="E44" i="8"/>
  <c r="E43" i="8"/>
  <c r="E39" i="8"/>
  <c r="E35" i="8"/>
  <c r="E31" i="8"/>
  <c r="E27" i="8"/>
  <c r="E36" i="8"/>
  <c r="E46" i="8"/>
  <c r="E42" i="8"/>
  <c r="E38" i="8"/>
  <c r="E34" i="8"/>
  <c r="E30" i="8"/>
  <c r="E26" i="8"/>
  <c r="E40" i="8"/>
  <c r="E32" i="8"/>
  <c r="E28" i="8"/>
  <c r="E45" i="8"/>
  <c r="E41" i="8"/>
  <c r="E37" i="8"/>
  <c r="E33" i="8"/>
  <c r="E29" i="8"/>
  <c r="E2" i="11"/>
  <c r="E21" i="11"/>
  <c r="E17" i="11"/>
  <c r="E13" i="11"/>
  <c r="E9" i="11"/>
  <c r="E5" i="11"/>
  <c r="E20" i="11"/>
  <c r="E16" i="11"/>
  <c r="E12" i="11"/>
  <c r="E8" i="11"/>
  <c r="E4" i="11"/>
  <c r="E23" i="11"/>
  <c r="E19" i="11"/>
  <c r="E11" i="11"/>
  <c r="E7" i="11"/>
  <c r="E3" i="11"/>
  <c r="E15" i="11"/>
  <c r="E22" i="11"/>
  <c r="E18" i="11"/>
  <c r="E14" i="11"/>
  <c r="E10" i="11"/>
  <c r="E6" i="11"/>
  <c r="E25" i="11"/>
  <c r="E40" i="11"/>
  <c r="E32" i="11"/>
  <c r="E43" i="11"/>
  <c r="E39" i="11"/>
  <c r="E35" i="11"/>
  <c r="E31" i="11"/>
  <c r="E27" i="11"/>
  <c r="E36" i="11"/>
  <c r="E46" i="11"/>
  <c r="E42" i="11"/>
  <c r="E38" i="11"/>
  <c r="E34" i="11"/>
  <c r="E30" i="11"/>
  <c r="E26" i="11"/>
  <c r="E44" i="11"/>
  <c r="E28" i="11"/>
  <c r="E45" i="11"/>
  <c r="E41" i="11"/>
  <c r="E37" i="11"/>
  <c r="E33" i="11"/>
  <c r="E29" i="11"/>
  <c r="Q2" i="10"/>
  <c r="Q9" i="10"/>
  <c r="Q20" i="10"/>
  <c r="Q16" i="10"/>
  <c r="Q12" i="10"/>
  <c r="Q8" i="10"/>
  <c r="Q4" i="10"/>
  <c r="Q21" i="10"/>
  <c r="Q17" i="10"/>
  <c r="Q13" i="10"/>
  <c r="Q23" i="10"/>
  <c r="Q19" i="10"/>
  <c r="Q15" i="10"/>
  <c r="Q11" i="10"/>
  <c r="Q7" i="10"/>
  <c r="Q3" i="10"/>
  <c r="Q5" i="10"/>
  <c r="Q22" i="10"/>
  <c r="Q18" i="10"/>
  <c r="Q14" i="10"/>
  <c r="Q10" i="10"/>
  <c r="Q6" i="10"/>
  <c r="Q25" i="10"/>
  <c r="Q44" i="10"/>
  <c r="Q36" i="10"/>
  <c r="Q28" i="10"/>
  <c r="Q43" i="10"/>
  <c r="Q39" i="10"/>
  <c r="Q35" i="10"/>
  <c r="Q31" i="10"/>
  <c r="Q27" i="10"/>
  <c r="Q40" i="10"/>
  <c r="Q46" i="10"/>
  <c r="Q42" i="10"/>
  <c r="Q38" i="10"/>
  <c r="Q34" i="10"/>
  <c r="Q30" i="10"/>
  <c r="Q26" i="10"/>
  <c r="Q32" i="10"/>
  <c r="Q45" i="10"/>
  <c r="Q41" i="10"/>
  <c r="Q37" i="10"/>
  <c r="Q33" i="10"/>
  <c r="Q29" i="10"/>
  <c r="L2" i="9"/>
  <c r="L3" i="9"/>
  <c r="L23" i="9"/>
  <c r="L19" i="9"/>
  <c r="L22" i="9"/>
  <c r="L18" i="9"/>
  <c r="L14" i="9"/>
  <c r="L10" i="9"/>
  <c r="L6" i="9"/>
  <c r="L7" i="9"/>
  <c r="L21" i="9"/>
  <c r="L17" i="9"/>
  <c r="L13" i="9"/>
  <c r="L9" i="9"/>
  <c r="L5" i="9"/>
  <c r="L15" i="9"/>
  <c r="L11" i="9"/>
  <c r="L20" i="9"/>
  <c r="L16" i="9"/>
  <c r="L12" i="9"/>
  <c r="L8" i="9"/>
  <c r="L4" i="9"/>
  <c r="L25" i="9"/>
  <c r="L37" i="9"/>
  <c r="L44" i="9"/>
  <c r="L40" i="9"/>
  <c r="L36" i="9"/>
  <c r="L32" i="9"/>
  <c r="L28" i="9"/>
  <c r="L45" i="9"/>
  <c r="L29" i="9"/>
  <c r="L43" i="9"/>
  <c r="L39" i="9"/>
  <c r="L35" i="9"/>
  <c r="L31" i="9"/>
  <c r="L27" i="9"/>
  <c r="L41" i="9"/>
  <c r="L33" i="9"/>
  <c r="L46" i="9"/>
  <c r="L42" i="9"/>
  <c r="L38" i="9"/>
  <c r="L34" i="9"/>
  <c r="L30" i="9"/>
  <c r="L26" i="9"/>
  <c r="F2" i="8"/>
  <c r="F20" i="8"/>
  <c r="F16" i="8"/>
  <c r="F4" i="8"/>
  <c r="F23" i="8"/>
  <c r="F19" i="8"/>
  <c r="F15" i="8"/>
  <c r="F11" i="8"/>
  <c r="F7" i="8"/>
  <c r="F3" i="8"/>
  <c r="F12" i="8"/>
  <c r="F22" i="8"/>
  <c r="F18" i="8"/>
  <c r="F14" i="8"/>
  <c r="F10" i="8"/>
  <c r="F6" i="8"/>
  <c r="F8" i="8"/>
  <c r="F21" i="8"/>
  <c r="F17" i="8"/>
  <c r="F13" i="8"/>
  <c r="F9" i="8"/>
  <c r="F5" i="8"/>
  <c r="F25" i="8"/>
  <c r="F39" i="8"/>
  <c r="F31" i="8"/>
  <c r="F27" i="8"/>
  <c r="F46" i="8"/>
  <c r="F42" i="8"/>
  <c r="F38" i="8"/>
  <c r="F34" i="8"/>
  <c r="F30" i="8"/>
  <c r="F26" i="8"/>
  <c r="F43" i="8"/>
  <c r="F45" i="8"/>
  <c r="F41" i="8"/>
  <c r="F37" i="8"/>
  <c r="F33" i="8"/>
  <c r="F29" i="8"/>
  <c r="F35" i="8"/>
  <c r="F44" i="8"/>
  <c r="F40" i="8"/>
  <c r="F36" i="8"/>
  <c r="F32" i="8"/>
  <c r="F28" i="8"/>
  <c r="M9" i="3"/>
  <c r="M10" i="3"/>
  <c r="M12" i="3"/>
  <c r="M5" i="3"/>
  <c r="M8" i="3"/>
  <c r="M11" i="3"/>
  <c r="M13" i="3"/>
  <c r="M6" i="3"/>
  <c r="M3" i="3"/>
  <c r="M4" i="3"/>
  <c r="M7" i="3"/>
  <c r="M34" i="3"/>
  <c r="M35" i="3"/>
  <c r="M30" i="3"/>
  <c r="M33" i="3"/>
  <c r="M32" i="3"/>
  <c r="M31" i="3"/>
  <c r="M36" i="3"/>
  <c r="M28" i="3"/>
  <c r="M26" i="3"/>
  <c r="M29" i="3"/>
  <c r="M27" i="3"/>
  <c r="M17" i="3"/>
  <c r="M22" i="3"/>
  <c r="M18" i="3"/>
  <c r="M14" i="3"/>
  <c r="M21" i="3"/>
  <c r="M23" i="3"/>
  <c r="M19" i="3"/>
  <c r="M15" i="3"/>
  <c r="M20" i="3"/>
  <c r="M16" i="3"/>
  <c r="M39" i="3"/>
  <c r="M44" i="3"/>
  <c r="M45" i="3"/>
  <c r="M41" i="3"/>
  <c r="M37" i="3"/>
  <c r="M43" i="3"/>
  <c r="M40" i="3"/>
  <c r="M46" i="3"/>
  <c r="M42" i="3"/>
  <c r="M38" i="3"/>
  <c r="P3" i="3"/>
  <c r="P6" i="3"/>
  <c r="P9" i="3"/>
  <c r="P12" i="3"/>
  <c r="P13" i="3"/>
  <c r="P5" i="3"/>
  <c r="P8" i="3"/>
  <c r="P11" i="3"/>
  <c r="P10" i="3"/>
  <c r="P7" i="3"/>
  <c r="P4" i="3"/>
  <c r="P31" i="3"/>
  <c r="P32" i="3"/>
  <c r="P27" i="3"/>
  <c r="P30" i="3"/>
  <c r="P36" i="3"/>
  <c r="P33" i="3"/>
  <c r="P25" i="3"/>
  <c r="P29" i="3"/>
  <c r="P28" i="3"/>
  <c r="P26" i="3"/>
  <c r="P34" i="3"/>
  <c r="P35" i="3"/>
  <c r="P21" i="3"/>
  <c r="P17" i="3"/>
  <c r="P16" i="3"/>
  <c r="P22" i="3"/>
  <c r="P18" i="3"/>
  <c r="P14" i="3"/>
  <c r="P20" i="3"/>
  <c r="P23" i="3"/>
  <c r="P19" i="3"/>
  <c r="P15" i="3"/>
  <c r="P46" i="3"/>
  <c r="P43" i="3"/>
  <c r="P44" i="3"/>
  <c r="P40" i="3"/>
  <c r="P42" i="3"/>
  <c r="P38" i="3"/>
  <c r="P39" i="3"/>
  <c r="P45" i="3"/>
  <c r="P41" i="3"/>
  <c r="P37" i="3"/>
  <c r="S13" i="3"/>
  <c r="S6" i="3"/>
  <c r="S8" i="3"/>
  <c r="S9" i="3"/>
  <c r="S10" i="3"/>
  <c r="S4" i="3"/>
  <c r="S5" i="3"/>
  <c r="S7" i="3"/>
  <c r="S3" i="3"/>
  <c r="S11" i="3"/>
  <c r="S12" i="3"/>
  <c r="S28" i="3"/>
  <c r="S26" i="3"/>
  <c r="S29" i="3"/>
  <c r="S27" i="3"/>
  <c r="S25" i="3"/>
  <c r="S33" i="3"/>
  <c r="S31" i="3"/>
  <c r="S36" i="3"/>
  <c r="S30" i="3"/>
  <c r="S34" i="3"/>
  <c r="S32" i="3"/>
  <c r="S35" i="3"/>
  <c r="S20" i="3"/>
  <c r="S16" i="3"/>
  <c r="S19" i="3"/>
  <c r="S21" i="3"/>
  <c r="S17" i="3"/>
  <c r="S23" i="3"/>
  <c r="S15" i="3"/>
  <c r="S22" i="3"/>
  <c r="S18" i="3"/>
  <c r="S14" i="3"/>
  <c r="S45" i="3"/>
  <c r="S37" i="3"/>
  <c r="S46" i="3"/>
  <c r="S42" i="3"/>
  <c r="S43" i="3"/>
  <c r="S39" i="3"/>
  <c r="S41" i="3"/>
  <c r="S38" i="3"/>
  <c r="S44" i="3"/>
  <c r="S40" i="3"/>
  <c r="J2" i="11"/>
  <c r="J20" i="11"/>
  <c r="J16" i="11"/>
  <c r="J12" i="11"/>
  <c r="J8" i="11"/>
  <c r="J4" i="11"/>
  <c r="J23" i="11"/>
  <c r="J19" i="11"/>
  <c r="J15" i="11"/>
  <c r="J11" i="11"/>
  <c r="J7" i="11"/>
  <c r="J3" i="11"/>
  <c r="J14" i="11"/>
  <c r="J6" i="11"/>
  <c r="J22" i="11"/>
  <c r="J18" i="11"/>
  <c r="J10" i="11"/>
  <c r="J21" i="11"/>
  <c r="J17" i="11"/>
  <c r="J13" i="11"/>
  <c r="J9" i="11"/>
  <c r="J5" i="11"/>
  <c r="J25" i="11"/>
  <c r="J39" i="11"/>
  <c r="J31" i="11"/>
  <c r="J46" i="11"/>
  <c r="J42" i="11"/>
  <c r="J38" i="11"/>
  <c r="J34" i="11"/>
  <c r="J30" i="11"/>
  <c r="J26" i="11"/>
  <c r="J35" i="11"/>
  <c r="J45" i="11"/>
  <c r="J41" i="11"/>
  <c r="J37" i="11"/>
  <c r="J33" i="11"/>
  <c r="J29" i="11"/>
  <c r="J43" i="11"/>
  <c r="J27" i="11"/>
  <c r="J44" i="11"/>
  <c r="J40" i="11"/>
  <c r="J36" i="11"/>
  <c r="J32" i="11"/>
  <c r="J28" i="11"/>
  <c r="F2" i="10"/>
  <c r="F16" i="10"/>
  <c r="F8" i="10"/>
  <c r="F23" i="10"/>
  <c r="F19" i="10"/>
  <c r="F15" i="10"/>
  <c r="F11" i="10"/>
  <c r="F7" i="10"/>
  <c r="F3" i="10"/>
  <c r="F20" i="10"/>
  <c r="F22" i="10"/>
  <c r="F18" i="10"/>
  <c r="F14" i="10"/>
  <c r="F10" i="10"/>
  <c r="F6" i="10"/>
  <c r="F12" i="10"/>
  <c r="F4" i="10"/>
  <c r="F21" i="10"/>
  <c r="F17" i="10"/>
  <c r="F13" i="10"/>
  <c r="F9" i="10"/>
  <c r="F5" i="10"/>
  <c r="F25" i="10"/>
  <c r="F43" i="10"/>
  <c r="F27" i="10"/>
  <c r="F46" i="10"/>
  <c r="F42" i="10"/>
  <c r="F38" i="10"/>
  <c r="F34" i="10"/>
  <c r="F30" i="10"/>
  <c r="F26" i="10"/>
  <c r="F35" i="10"/>
  <c r="F31" i="10"/>
  <c r="F45" i="10"/>
  <c r="F41" i="10"/>
  <c r="F37" i="10"/>
  <c r="F33" i="10"/>
  <c r="F29" i="10"/>
  <c r="F39" i="10"/>
  <c r="F44" i="10"/>
  <c r="F40" i="10"/>
  <c r="F36" i="10"/>
  <c r="F32" i="10"/>
  <c r="F28" i="10"/>
  <c r="C2" i="10"/>
  <c r="C3" i="10"/>
  <c r="C23" i="10"/>
  <c r="C15" i="10"/>
  <c r="C7" i="10"/>
  <c r="C22" i="10"/>
  <c r="C14" i="10"/>
  <c r="C6" i="10"/>
  <c r="C21" i="10"/>
  <c r="C17" i="10"/>
  <c r="C13" i="10"/>
  <c r="C9" i="10"/>
  <c r="C5" i="10"/>
  <c r="C19" i="10"/>
  <c r="C11" i="10"/>
  <c r="C18" i="10"/>
  <c r="C10" i="10"/>
  <c r="C20" i="10"/>
  <c r="C16" i="10"/>
  <c r="C12" i="10"/>
  <c r="C8" i="10"/>
  <c r="C4" i="10"/>
  <c r="C25" i="10"/>
  <c r="C26" i="10"/>
  <c r="C46" i="10"/>
  <c r="C30" i="10"/>
  <c r="C45" i="10"/>
  <c r="C41" i="10"/>
  <c r="C37" i="10"/>
  <c r="C33" i="10"/>
  <c r="C29" i="10"/>
  <c r="C42" i="10"/>
  <c r="C34" i="10"/>
  <c r="C44" i="10"/>
  <c r="C40" i="10"/>
  <c r="C36" i="10"/>
  <c r="C32" i="10"/>
  <c r="C28" i="10"/>
  <c r="C38" i="10"/>
  <c r="C43" i="10"/>
  <c r="C39" i="10"/>
  <c r="C35" i="10"/>
  <c r="C31" i="10"/>
  <c r="C27" i="10"/>
  <c r="Q2" i="9"/>
  <c r="Q3" i="9"/>
  <c r="Q22" i="9"/>
  <c r="Q21" i="9"/>
  <c r="Q17" i="9"/>
  <c r="Q13" i="9"/>
  <c r="Q9" i="9"/>
  <c r="Q5" i="9"/>
  <c r="Q10" i="9"/>
  <c r="Q6" i="9"/>
  <c r="Q20" i="9"/>
  <c r="Q16" i="9"/>
  <c r="Q12" i="9"/>
  <c r="Q8" i="9"/>
  <c r="Q4" i="9"/>
  <c r="Q18" i="9"/>
  <c r="Q14" i="9"/>
  <c r="Q23" i="9"/>
  <c r="Q19" i="9"/>
  <c r="Q15" i="9"/>
  <c r="Q11" i="9"/>
  <c r="Q7" i="9"/>
  <c r="Q25" i="9"/>
  <c r="Q36" i="9"/>
  <c r="Q43" i="9"/>
  <c r="Q39" i="9"/>
  <c r="Q35" i="9"/>
  <c r="Q31" i="9"/>
  <c r="Q27" i="9"/>
  <c r="Q44" i="9"/>
  <c r="Q28" i="9"/>
  <c r="Q46" i="9"/>
  <c r="Q42" i="9"/>
  <c r="Q38" i="9"/>
  <c r="Q34" i="9"/>
  <c r="Q30" i="9"/>
  <c r="Q26" i="9"/>
  <c r="Q40" i="9"/>
  <c r="Q32" i="9"/>
  <c r="Q45" i="9"/>
  <c r="Q41" i="9"/>
  <c r="Q37" i="9"/>
  <c r="Q33" i="9"/>
  <c r="Q29" i="9"/>
  <c r="K2" i="8"/>
  <c r="K23" i="8"/>
  <c r="K19" i="8"/>
  <c r="K15" i="8"/>
  <c r="K22" i="8"/>
  <c r="K18" i="8"/>
  <c r="K14" i="8"/>
  <c r="K10" i="8"/>
  <c r="K6" i="8"/>
  <c r="K11" i="8"/>
  <c r="K3" i="8"/>
  <c r="K21" i="8"/>
  <c r="K17" i="8"/>
  <c r="K13" i="8"/>
  <c r="K9" i="8"/>
  <c r="K5" i="8"/>
  <c r="K7" i="8"/>
  <c r="K20" i="8"/>
  <c r="K16" i="8"/>
  <c r="K12" i="8"/>
  <c r="K8" i="8"/>
  <c r="K4" i="8"/>
  <c r="K46" i="8"/>
  <c r="K38" i="8"/>
  <c r="K30" i="8"/>
  <c r="K45" i="8"/>
  <c r="K41" i="8"/>
  <c r="K37" i="8"/>
  <c r="K33" i="8"/>
  <c r="K29" i="8"/>
  <c r="K42" i="8"/>
  <c r="K26" i="8"/>
  <c r="K44" i="8"/>
  <c r="K40" i="8"/>
  <c r="K36" i="8"/>
  <c r="K32" i="8"/>
  <c r="K28" i="8"/>
  <c r="K34" i="8"/>
  <c r="K43" i="8"/>
  <c r="K39" i="8"/>
  <c r="K35" i="8"/>
  <c r="K31" i="8"/>
  <c r="K27" i="8"/>
  <c r="K2" i="11"/>
  <c r="K23" i="11"/>
  <c r="K19" i="11"/>
  <c r="K15" i="11"/>
  <c r="K11" i="11"/>
  <c r="K7" i="11"/>
  <c r="K3" i="11"/>
  <c r="K22" i="11"/>
  <c r="K18" i="11"/>
  <c r="K14" i="11"/>
  <c r="K10" i="11"/>
  <c r="K6" i="11"/>
  <c r="K21" i="11"/>
  <c r="K13" i="11"/>
  <c r="K9" i="11"/>
  <c r="K5" i="11"/>
  <c r="K17" i="11"/>
  <c r="K20" i="11"/>
  <c r="K16" i="11"/>
  <c r="K12" i="11"/>
  <c r="K8" i="11"/>
  <c r="K4" i="11"/>
  <c r="K25" i="11"/>
  <c r="K34" i="11"/>
  <c r="K45" i="11"/>
  <c r="K41" i="11"/>
  <c r="K37" i="11"/>
  <c r="K33" i="11"/>
  <c r="K29" i="11"/>
  <c r="K42" i="11"/>
  <c r="K38" i="11"/>
  <c r="K44" i="11"/>
  <c r="K40" i="11"/>
  <c r="K36" i="11"/>
  <c r="K32" i="11"/>
  <c r="K28" i="11"/>
  <c r="K46" i="11"/>
  <c r="K30" i="11"/>
  <c r="K26" i="11"/>
  <c r="K43" i="11"/>
  <c r="K39" i="11"/>
  <c r="K35" i="11"/>
  <c r="K31" i="11"/>
  <c r="K27" i="11"/>
  <c r="G2" i="10"/>
  <c r="G11" i="10"/>
  <c r="G3" i="10"/>
  <c r="G22" i="10"/>
  <c r="G18" i="10"/>
  <c r="G14" i="10"/>
  <c r="G10" i="10"/>
  <c r="G6" i="10"/>
  <c r="G21" i="10"/>
  <c r="G17" i="10"/>
  <c r="G13" i="10"/>
  <c r="G9" i="10"/>
  <c r="G5" i="10"/>
  <c r="G23" i="10"/>
  <c r="G19" i="10"/>
  <c r="G15" i="10"/>
  <c r="G7" i="10"/>
  <c r="G20" i="10"/>
  <c r="G16" i="10"/>
  <c r="G12" i="10"/>
  <c r="G8" i="10"/>
  <c r="G4" i="10"/>
  <c r="G25" i="10"/>
  <c r="G46" i="10"/>
  <c r="G38" i="10"/>
  <c r="G30" i="10"/>
  <c r="G26" i="10"/>
  <c r="G45" i="10"/>
  <c r="G41" i="10"/>
  <c r="G37" i="10"/>
  <c r="G33" i="10"/>
  <c r="G29" i="10"/>
  <c r="G42" i="10"/>
  <c r="G44" i="10"/>
  <c r="G40" i="10"/>
  <c r="G36" i="10"/>
  <c r="G32" i="10"/>
  <c r="G28" i="10"/>
  <c r="G34" i="10"/>
  <c r="G43" i="10"/>
  <c r="G39" i="10"/>
  <c r="G35" i="10"/>
  <c r="G31" i="10"/>
  <c r="G27" i="10"/>
  <c r="R2" i="9"/>
  <c r="R3" i="9"/>
  <c r="R21" i="9"/>
  <c r="R20" i="9"/>
  <c r="R16" i="9"/>
  <c r="R12" i="9"/>
  <c r="R8" i="9"/>
  <c r="R4" i="9"/>
  <c r="R13" i="9"/>
  <c r="R23" i="9"/>
  <c r="R19" i="9"/>
  <c r="R15" i="9"/>
  <c r="R11" i="9"/>
  <c r="R7" i="9"/>
  <c r="R17" i="9"/>
  <c r="R9" i="9"/>
  <c r="R5" i="9"/>
  <c r="R22" i="9"/>
  <c r="R18" i="9"/>
  <c r="R14" i="9"/>
  <c r="R10" i="9"/>
  <c r="R6" i="9"/>
  <c r="R25" i="9"/>
  <c r="R39" i="9"/>
  <c r="R46" i="9"/>
  <c r="R42" i="9"/>
  <c r="R38" i="9"/>
  <c r="R34" i="9"/>
  <c r="R30" i="9"/>
  <c r="R26" i="9"/>
  <c r="R35" i="9"/>
  <c r="R31" i="9"/>
  <c r="R45" i="9"/>
  <c r="R41" i="9"/>
  <c r="R37" i="9"/>
  <c r="R33" i="9"/>
  <c r="R29" i="9"/>
  <c r="R43" i="9"/>
  <c r="R27" i="9"/>
  <c r="R44" i="9"/>
  <c r="R40" i="9"/>
  <c r="R36" i="9"/>
  <c r="R32" i="9"/>
  <c r="R28" i="9"/>
  <c r="L2" i="8"/>
  <c r="L10" i="8"/>
  <c r="L21" i="8"/>
  <c r="L17" i="8"/>
  <c r="L13" i="8"/>
  <c r="L9" i="8"/>
  <c r="L5" i="8"/>
  <c r="L18" i="8"/>
  <c r="L6" i="8"/>
  <c r="L20" i="8"/>
  <c r="L16" i="8"/>
  <c r="L12" i="8"/>
  <c r="L8" i="8"/>
  <c r="L4" i="8"/>
  <c r="L22" i="8"/>
  <c r="L14" i="8"/>
  <c r="L23" i="8"/>
  <c r="L19" i="8"/>
  <c r="L15" i="8"/>
  <c r="L11" i="8"/>
  <c r="L7" i="8"/>
  <c r="L3" i="8"/>
  <c r="L25" i="8"/>
  <c r="L45" i="8"/>
  <c r="L33" i="8"/>
  <c r="L44" i="8"/>
  <c r="L40" i="8"/>
  <c r="L36" i="8"/>
  <c r="L32" i="8"/>
  <c r="L28" i="8"/>
  <c r="L37" i="8"/>
  <c r="L29" i="8"/>
  <c r="L43" i="8"/>
  <c r="L39" i="8"/>
  <c r="L35" i="8"/>
  <c r="L31" i="8"/>
  <c r="L27" i="8"/>
  <c r="L41" i="8"/>
  <c r="L46" i="8"/>
  <c r="L42" i="8"/>
  <c r="L38" i="8"/>
  <c r="L34" i="8"/>
  <c r="L30" i="8"/>
  <c r="L26" i="8"/>
  <c r="H2" i="11"/>
  <c r="H22" i="11"/>
  <c r="H18" i="11"/>
  <c r="H14" i="11"/>
  <c r="H10" i="11"/>
  <c r="H6" i="11"/>
  <c r="H21" i="11"/>
  <c r="H17" i="11"/>
  <c r="H13" i="11"/>
  <c r="H9" i="11"/>
  <c r="H5" i="11"/>
  <c r="H16" i="11"/>
  <c r="H8" i="11"/>
  <c r="H4" i="11"/>
  <c r="H20" i="11"/>
  <c r="H12" i="11"/>
  <c r="H23" i="11"/>
  <c r="H19" i="11"/>
  <c r="H15" i="11"/>
  <c r="H11" i="11"/>
  <c r="H7" i="11"/>
  <c r="H3" i="11"/>
  <c r="H25" i="11"/>
  <c r="H37" i="11"/>
  <c r="H44" i="11"/>
  <c r="H40" i="11"/>
  <c r="H36" i="11"/>
  <c r="H32" i="11"/>
  <c r="H28" i="11"/>
  <c r="H45" i="11"/>
  <c r="H41" i="11"/>
  <c r="H33" i="11"/>
  <c r="H43" i="11"/>
  <c r="H39" i="11"/>
  <c r="H35" i="11"/>
  <c r="H31" i="11"/>
  <c r="H27" i="11"/>
  <c r="H29" i="11"/>
  <c r="H46" i="11"/>
  <c r="H42" i="11"/>
  <c r="H38" i="11"/>
  <c r="H34" i="11"/>
  <c r="H30" i="11"/>
  <c r="H26" i="11"/>
  <c r="T2" i="10"/>
  <c r="U2" i="10"/>
  <c r="T18" i="10"/>
  <c r="T21" i="10"/>
  <c r="T17" i="10"/>
  <c r="T13" i="10"/>
  <c r="T9" i="10"/>
  <c r="T5" i="10"/>
  <c r="T22" i="10"/>
  <c r="T14" i="10"/>
  <c r="T10" i="10"/>
  <c r="T6" i="10"/>
  <c r="T20" i="10"/>
  <c r="T16" i="10"/>
  <c r="T12" i="10"/>
  <c r="T8" i="10"/>
  <c r="T4" i="10"/>
  <c r="T23" i="10"/>
  <c r="T19" i="10"/>
  <c r="T15" i="10"/>
  <c r="T11" i="10"/>
  <c r="T7" i="10"/>
  <c r="T3" i="10"/>
  <c r="U3" i="10"/>
  <c r="U23" i="10"/>
  <c r="U7" i="10"/>
  <c r="U22" i="10"/>
  <c r="U18" i="10"/>
  <c r="U14" i="10"/>
  <c r="U10" i="10"/>
  <c r="U6" i="10"/>
  <c r="U19" i="10"/>
  <c r="U11" i="10"/>
  <c r="U21" i="10"/>
  <c r="U17" i="10"/>
  <c r="U13" i="10"/>
  <c r="U9" i="10"/>
  <c r="U5" i="10"/>
  <c r="U15" i="10"/>
  <c r="U20" i="10"/>
  <c r="U16" i="10"/>
  <c r="U12" i="10"/>
  <c r="U8" i="10"/>
  <c r="U4" i="10"/>
  <c r="T25" i="10"/>
  <c r="U25" i="10"/>
  <c r="T33" i="10"/>
  <c r="T44" i="10"/>
  <c r="T40" i="10"/>
  <c r="T36" i="10"/>
  <c r="T32" i="10"/>
  <c r="T28" i="10"/>
  <c r="T37" i="10"/>
  <c r="T43" i="10"/>
  <c r="T39" i="10"/>
  <c r="T35" i="10"/>
  <c r="T31" i="10"/>
  <c r="T27" i="10"/>
  <c r="T45" i="10"/>
  <c r="T41" i="10"/>
  <c r="T29" i="10"/>
  <c r="T46" i="10"/>
  <c r="T42" i="10"/>
  <c r="T38" i="10"/>
  <c r="T34" i="10"/>
  <c r="T30" i="10"/>
  <c r="T26" i="10"/>
  <c r="U26" i="10"/>
  <c r="U46" i="10"/>
  <c r="U30" i="10"/>
  <c r="U45" i="10"/>
  <c r="U41" i="10"/>
  <c r="U37" i="10"/>
  <c r="U33" i="10"/>
  <c r="U29" i="10"/>
  <c r="U38" i="10"/>
  <c r="U44" i="10"/>
  <c r="U40" i="10"/>
  <c r="U36" i="10"/>
  <c r="U32" i="10"/>
  <c r="U28" i="10"/>
  <c r="U42" i="10"/>
  <c r="U34" i="10"/>
  <c r="U43" i="10"/>
  <c r="U39" i="10"/>
  <c r="U35" i="10"/>
  <c r="U31" i="10"/>
  <c r="U27" i="10"/>
  <c r="D2" i="10"/>
  <c r="D22" i="10"/>
  <c r="D14" i="10"/>
  <c r="D6" i="10"/>
  <c r="D21" i="10"/>
  <c r="D17" i="10"/>
  <c r="D13" i="10"/>
  <c r="D9" i="10"/>
  <c r="D5" i="10"/>
  <c r="D20" i="10"/>
  <c r="D16" i="10"/>
  <c r="D12" i="10"/>
  <c r="D8" i="10"/>
  <c r="D4" i="10"/>
  <c r="D18" i="10"/>
  <c r="D10" i="10"/>
  <c r="D23" i="10"/>
  <c r="D19" i="10"/>
  <c r="D15" i="10"/>
  <c r="D11" i="10"/>
  <c r="D7" i="10"/>
  <c r="D3" i="10"/>
  <c r="D25" i="10"/>
  <c r="D41" i="10"/>
  <c r="D33" i="10"/>
  <c r="D44" i="10"/>
  <c r="D40" i="10"/>
  <c r="D36" i="10"/>
  <c r="D32" i="10"/>
  <c r="D28" i="10"/>
  <c r="D45" i="10"/>
  <c r="D29" i="10"/>
  <c r="D43" i="10"/>
  <c r="D39" i="10"/>
  <c r="D35" i="10"/>
  <c r="D31" i="10"/>
  <c r="D27" i="10"/>
  <c r="D37" i="10"/>
  <c r="D46" i="10"/>
  <c r="D42" i="10"/>
  <c r="D38" i="10"/>
  <c r="D34" i="10"/>
  <c r="D30" i="10"/>
  <c r="D26" i="10"/>
  <c r="O2" i="9"/>
  <c r="O3" i="9"/>
  <c r="O20" i="9"/>
  <c r="O23" i="9"/>
  <c r="O19" i="9"/>
  <c r="O15" i="9"/>
  <c r="O11" i="9"/>
  <c r="O7" i="9"/>
  <c r="O4" i="9"/>
  <c r="O22" i="9"/>
  <c r="O18" i="9"/>
  <c r="O14" i="9"/>
  <c r="O10" i="9"/>
  <c r="O6" i="9"/>
  <c r="O16" i="9"/>
  <c r="O12" i="9"/>
  <c r="O8" i="9"/>
  <c r="O21" i="9"/>
  <c r="O17" i="9"/>
  <c r="O13" i="9"/>
  <c r="O9" i="9"/>
  <c r="O5" i="9"/>
  <c r="O25" i="9"/>
  <c r="O46" i="9"/>
  <c r="O34" i="9"/>
  <c r="O45" i="9"/>
  <c r="O41" i="9"/>
  <c r="O37" i="9"/>
  <c r="O33" i="9"/>
  <c r="O29" i="9"/>
  <c r="O42" i="9"/>
  <c r="O38" i="9"/>
  <c r="O26" i="9"/>
  <c r="O44" i="9"/>
  <c r="O40" i="9"/>
  <c r="O36" i="9"/>
  <c r="O32" i="9"/>
  <c r="O28" i="9"/>
  <c r="O30" i="9"/>
  <c r="O43" i="9"/>
  <c r="O39" i="9"/>
  <c r="O35" i="9"/>
  <c r="O31" i="9"/>
  <c r="O27" i="9"/>
  <c r="I2" i="8"/>
  <c r="I17" i="8"/>
  <c r="I20" i="8"/>
  <c r="I16" i="8"/>
  <c r="I12" i="8"/>
  <c r="I8" i="8"/>
  <c r="I4" i="8"/>
  <c r="I21" i="8"/>
  <c r="I9" i="8"/>
  <c r="I23" i="8"/>
  <c r="I19" i="8"/>
  <c r="I15" i="8"/>
  <c r="I11" i="8"/>
  <c r="I7" i="8"/>
  <c r="I3" i="8"/>
  <c r="I13" i="8"/>
  <c r="I5" i="8"/>
  <c r="I22" i="8"/>
  <c r="I18" i="8"/>
  <c r="I14" i="8"/>
  <c r="I10" i="8"/>
  <c r="I6" i="8"/>
  <c r="I25" i="8"/>
  <c r="I36" i="8"/>
  <c r="I28" i="8"/>
  <c r="I43" i="8"/>
  <c r="I39" i="8"/>
  <c r="I35" i="8"/>
  <c r="I31" i="8"/>
  <c r="I27" i="8"/>
  <c r="I40" i="8"/>
  <c r="I32" i="8"/>
  <c r="I46" i="8"/>
  <c r="I42" i="8"/>
  <c r="I38" i="8"/>
  <c r="I34" i="8"/>
  <c r="I30" i="8"/>
  <c r="I26" i="8"/>
  <c r="I44" i="8"/>
  <c r="I45" i="8"/>
  <c r="I41" i="8"/>
  <c r="I37" i="8"/>
  <c r="I33" i="8"/>
  <c r="I29" i="8"/>
  <c r="I2" i="11"/>
  <c r="I21" i="11"/>
  <c r="I17" i="11"/>
  <c r="I13" i="11"/>
  <c r="I9" i="11"/>
  <c r="I5" i="11"/>
  <c r="I20" i="11"/>
  <c r="I16" i="11"/>
  <c r="I12" i="11"/>
  <c r="I8" i="11"/>
  <c r="I4" i="11"/>
  <c r="I15" i="11"/>
  <c r="I7" i="11"/>
  <c r="I3" i="11"/>
  <c r="I23" i="11"/>
  <c r="I19" i="11"/>
  <c r="I11" i="11"/>
  <c r="I22" i="11"/>
  <c r="I18" i="11"/>
  <c r="I14" i="11"/>
  <c r="I10" i="11"/>
  <c r="I6" i="11"/>
  <c r="I25" i="11"/>
  <c r="I44" i="11"/>
  <c r="I36" i="11"/>
  <c r="I28" i="11"/>
  <c r="I43" i="11"/>
  <c r="I39" i="11"/>
  <c r="I35" i="11"/>
  <c r="I31" i="11"/>
  <c r="I27" i="11"/>
  <c r="I40" i="11"/>
  <c r="I32" i="11"/>
  <c r="I46" i="11"/>
  <c r="I42" i="11"/>
  <c r="I38" i="11"/>
  <c r="I34" i="11"/>
  <c r="I30" i="11"/>
  <c r="I26" i="11"/>
  <c r="I45" i="11"/>
  <c r="I41" i="11"/>
  <c r="I37" i="11"/>
  <c r="I33" i="11"/>
  <c r="I29" i="11"/>
  <c r="E2" i="10"/>
  <c r="E21" i="10"/>
  <c r="E20" i="10"/>
  <c r="E16" i="10"/>
  <c r="E12" i="10"/>
  <c r="E8" i="10"/>
  <c r="E4" i="10"/>
  <c r="E17" i="10"/>
  <c r="E13" i="10"/>
  <c r="E5" i="10"/>
  <c r="E23" i="10"/>
  <c r="E19" i="10"/>
  <c r="E15" i="10"/>
  <c r="E11" i="10"/>
  <c r="E7" i="10"/>
  <c r="E3" i="10"/>
  <c r="E9" i="10"/>
  <c r="E22" i="10"/>
  <c r="E18" i="10"/>
  <c r="E14" i="10"/>
  <c r="E10" i="10"/>
  <c r="E6" i="10"/>
  <c r="E25" i="10"/>
  <c r="E44" i="10"/>
  <c r="E36" i="10"/>
  <c r="E28" i="10"/>
  <c r="E43" i="10"/>
  <c r="E39" i="10"/>
  <c r="E35" i="10"/>
  <c r="E31" i="10"/>
  <c r="E27" i="10"/>
  <c r="E40" i="10"/>
  <c r="E46" i="10"/>
  <c r="E42" i="10"/>
  <c r="E38" i="10"/>
  <c r="E34" i="10"/>
  <c r="E30" i="10"/>
  <c r="E26" i="10"/>
  <c r="E32" i="10"/>
  <c r="E45" i="10"/>
  <c r="E41" i="10"/>
  <c r="E37" i="10"/>
  <c r="E33" i="10"/>
  <c r="E29" i="10"/>
  <c r="P2" i="9"/>
  <c r="P3" i="9"/>
  <c r="P19" i="9"/>
  <c r="P23" i="9"/>
  <c r="P22" i="9"/>
  <c r="P18" i="9"/>
  <c r="P14" i="9"/>
  <c r="P10" i="9"/>
  <c r="P6" i="9"/>
  <c r="P11" i="9"/>
  <c r="P21" i="9"/>
  <c r="P17" i="9"/>
  <c r="P13" i="9"/>
  <c r="P9" i="9"/>
  <c r="P5" i="9"/>
  <c r="P15" i="9"/>
  <c r="P7" i="9"/>
  <c r="P20" i="9"/>
  <c r="P16" i="9"/>
  <c r="P12" i="9"/>
  <c r="P8" i="9"/>
  <c r="P4" i="9"/>
  <c r="P25" i="9"/>
  <c r="P44" i="9"/>
  <c r="P40" i="9"/>
  <c r="P36" i="9"/>
  <c r="P32" i="9"/>
  <c r="P28" i="9"/>
  <c r="P41" i="9"/>
  <c r="P33" i="9"/>
  <c r="P29" i="9"/>
  <c r="P43" i="9"/>
  <c r="P39" i="9"/>
  <c r="P35" i="9"/>
  <c r="P31" i="9"/>
  <c r="P27" i="9"/>
  <c r="P45" i="9"/>
  <c r="P37" i="9"/>
  <c r="P46" i="9"/>
  <c r="P42" i="9"/>
  <c r="P38" i="9"/>
  <c r="P34" i="9"/>
  <c r="P30" i="9"/>
  <c r="P26" i="9"/>
  <c r="J2" i="8"/>
  <c r="J12" i="8"/>
  <c r="J8" i="8"/>
  <c r="J23" i="8"/>
  <c r="J19" i="8"/>
  <c r="J15" i="8"/>
  <c r="J11" i="8"/>
  <c r="J7" i="8"/>
  <c r="J3" i="8"/>
  <c r="J16" i="8"/>
  <c r="J4" i="8"/>
  <c r="J22" i="8"/>
  <c r="J18" i="8"/>
  <c r="J14" i="8"/>
  <c r="J10" i="8"/>
  <c r="J6" i="8"/>
  <c r="J20" i="8"/>
  <c r="J21" i="8"/>
  <c r="J17" i="8"/>
  <c r="J13" i="8"/>
  <c r="J9" i="8"/>
  <c r="J5" i="8"/>
  <c r="J25" i="8"/>
  <c r="J43" i="8"/>
  <c r="J46" i="8"/>
  <c r="J42" i="8"/>
  <c r="J38" i="8"/>
  <c r="J34" i="8"/>
  <c r="J30" i="8"/>
  <c r="J26" i="8"/>
  <c r="J35" i="8"/>
  <c r="J45" i="8"/>
  <c r="J41" i="8"/>
  <c r="J37" i="8"/>
  <c r="J33" i="8"/>
  <c r="J29" i="8"/>
  <c r="J39" i="8"/>
  <c r="J31" i="8"/>
  <c r="J27" i="8"/>
  <c r="J44" i="8"/>
  <c r="J40" i="8"/>
  <c r="J36" i="8"/>
  <c r="J32" i="8"/>
  <c r="J28" i="8"/>
  <c r="E6" i="3"/>
  <c r="E11" i="3"/>
  <c r="E4" i="3"/>
  <c r="E7" i="3"/>
  <c r="E8" i="3"/>
  <c r="E2" i="3"/>
  <c r="E3" i="3"/>
  <c r="E10" i="3"/>
  <c r="E13" i="3"/>
  <c r="E5" i="3"/>
  <c r="E9" i="3"/>
  <c r="E12" i="3"/>
  <c r="E26" i="3"/>
  <c r="E28" i="3"/>
  <c r="E27" i="3"/>
  <c r="E32" i="3"/>
  <c r="E31" i="3"/>
  <c r="E29" i="3"/>
  <c r="E34" i="3"/>
  <c r="E25" i="3"/>
  <c r="E35" i="3"/>
  <c r="E36" i="3"/>
  <c r="E30" i="3"/>
  <c r="E33" i="3"/>
  <c r="E22" i="3"/>
  <c r="E18" i="3"/>
  <c r="E14" i="3"/>
  <c r="E23" i="3"/>
  <c r="E19" i="3"/>
  <c r="E15" i="3"/>
  <c r="E21" i="3"/>
  <c r="E17" i="3"/>
  <c r="E20" i="3"/>
  <c r="E16" i="3"/>
  <c r="E39" i="3"/>
  <c r="E44" i="3"/>
  <c r="E45" i="3"/>
  <c r="E41" i="3"/>
  <c r="E37" i="3"/>
  <c r="E43" i="3"/>
  <c r="E40" i="3"/>
  <c r="E46" i="3"/>
  <c r="E42" i="3"/>
  <c r="E38" i="3"/>
  <c r="I7" i="3"/>
  <c r="I13" i="3"/>
  <c r="I3" i="3"/>
  <c r="I9" i="3"/>
  <c r="I12" i="3"/>
  <c r="I4" i="3"/>
  <c r="I6" i="3"/>
  <c r="I5" i="3"/>
  <c r="I8" i="3"/>
  <c r="I10" i="3"/>
  <c r="I11" i="3"/>
  <c r="I27" i="3"/>
  <c r="I36" i="3"/>
  <c r="I34" i="3"/>
  <c r="I35" i="3"/>
  <c r="I30" i="3"/>
  <c r="I32" i="3"/>
  <c r="I33" i="3"/>
  <c r="I28" i="3"/>
  <c r="I31" i="3"/>
  <c r="I26" i="3"/>
  <c r="I29" i="3"/>
  <c r="I21" i="3"/>
  <c r="I22" i="3"/>
  <c r="I18" i="3"/>
  <c r="I14" i="3"/>
  <c r="I17" i="3"/>
  <c r="I23" i="3"/>
  <c r="I19" i="3"/>
  <c r="I15" i="3"/>
  <c r="I20" i="3"/>
  <c r="I16" i="3"/>
  <c r="I43" i="3"/>
  <c r="I40" i="3"/>
  <c r="I45" i="3"/>
  <c r="I41" i="3"/>
  <c r="I37" i="3"/>
  <c r="I39" i="3"/>
  <c r="I44" i="3"/>
  <c r="I46" i="3"/>
  <c r="I42" i="3"/>
  <c r="I38" i="3"/>
  <c r="C5" i="3"/>
  <c r="C11" i="3"/>
  <c r="C4" i="3"/>
  <c r="C6" i="3"/>
  <c r="C13" i="3"/>
  <c r="C12" i="3"/>
  <c r="C10" i="3"/>
  <c r="C7" i="3"/>
  <c r="C9" i="3"/>
  <c r="C8" i="3"/>
  <c r="C33" i="3"/>
  <c r="C35" i="3"/>
  <c r="C36" i="3"/>
  <c r="C25" i="3"/>
  <c r="C34" i="3"/>
  <c r="C28" i="3"/>
  <c r="C31" i="3"/>
  <c r="C32" i="3"/>
  <c r="C29" i="3"/>
  <c r="C30" i="3"/>
  <c r="C27" i="3"/>
  <c r="C26" i="3"/>
  <c r="C3" i="3"/>
  <c r="C23" i="3"/>
  <c r="C15" i="3"/>
  <c r="C20" i="3"/>
  <c r="C16" i="3"/>
  <c r="C19" i="3"/>
  <c r="C21" i="3"/>
  <c r="C17" i="3"/>
  <c r="C22" i="3"/>
  <c r="C18" i="3"/>
  <c r="C14" i="3"/>
  <c r="C45" i="3"/>
  <c r="C42" i="3"/>
  <c r="C38" i="3"/>
  <c r="C43" i="3"/>
  <c r="C39" i="3"/>
  <c r="C41" i="3"/>
  <c r="C37" i="3"/>
  <c r="C46" i="3"/>
  <c r="C44" i="3"/>
  <c r="C40" i="3"/>
  <c r="L4" i="3"/>
  <c r="L10" i="3"/>
  <c r="L13" i="3"/>
  <c r="L11" i="3"/>
  <c r="L6" i="3"/>
  <c r="L9" i="3"/>
  <c r="L12" i="3"/>
  <c r="L3" i="3"/>
  <c r="L5" i="3"/>
  <c r="L7" i="3"/>
  <c r="L8" i="3"/>
  <c r="L36" i="3"/>
  <c r="L31" i="3"/>
  <c r="L34" i="3"/>
  <c r="L32" i="3"/>
  <c r="L27" i="3"/>
  <c r="L29" i="3"/>
  <c r="L30" i="3"/>
  <c r="L35" i="3"/>
  <c r="L28" i="3"/>
  <c r="L33" i="3"/>
  <c r="L26" i="3"/>
  <c r="L20" i="3"/>
  <c r="L21" i="3"/>
  <c r="L17" i="3"/>
  <c r="L22" i="3"/>
  <c r="L18" i="3"/>
  <c r="L14" i="3"/>
  <c r="L16" i="3"/>
  <c r="L23" i="3"/>
  <c r="L19" i="3"/>
  <c r="L15" i="3"/>
  <c r="L42" i="3"/>
  <c r="L39" i="3"/>
  <c r="L44" i="3"/>
  <c r="L40" i="3"/>
  <c r="L46" i="3"/>
  <c r="L38" i="3"/>
  <c r="L43" i="3"/>
  <c r="L45" i="3"/>
  <c r="L41" i="3"/>
  <c r="L37" i="3"/>
  <c r="O3" i="3"/>
  <c r="O8" i="3"/>
  <c r="O7" i="3"/>
  <c r="O10" i="3"/>
  <c r="O13" i="3"/>
  <c r="O11" i="3"/>
  <c r="O12" i="3"/>
  <c r="O6" i="3"/>
  <c r="O9" i="3"/>
  <c r="O4" i="3"/>
  <c r="O5" i="3"/>
  <c r="O35" i="3"/>
  <c r="O33" i="3"/>
  <c r="O34" i="3"/>
  <c r="O28" i="3"/>
  <c r="O31" i="3"/>
  <c r="O29" i="3"/>
  <c r="O26" i="3"/>
  <c r="O27" i="3"/>
  <c r="O32" i="3"/>
  <c r="O30" i="3"/>
  <c r="O36" i="3"/>
  <c r="O19" i="3"/>
  <c r="O15" i="3"/>
  <c r="O20" i="3"/>
  <c r="O16" i="3"/>
  <c r="O23" i="3"/>
  <c r="O21" i="3"/>
  <c r="O17" i="3"/>
  <c r="O22" i="3"/>
  <c r="O18" i="3"/>
  <c r="O14" i="3"/>
  <c r="O41" i="3"/>
  <c r="O38" i="3"/>
  <c r="O43" i="3"/>
  <c r="O39" i="3"/>
  <c r="O45" i="3"/>
  <c r="O37" i="3"/>
  <c r="O46" i="3"/>
  <c r="O42" i="3"/>
  <c r="O44" i="3"/>
  <c r="O40" i="3"/>
  <c r="R4" i="3"/>
  <c r="R7" i="3"/>
  <c r="R5" i="3"/>
  <c r="R10" i="3"/>
  <c r="R8" i="3"/>
  <c r="R3" i="3"/>
  <c r="R9" i="3"/>
  <c r="R6" i="3"/>
  <c r="R11" i="3"/>
  <c r="R13" i="3"/>
  <c r="R12" i="3"/>
  <c r="R32" i="3"/>
  <c r="R30" i="3"/>
  <c r="R35" i="3"/>
  <c r="R28" i="3"/>
  <c r="R26" i="3"/>
  <c r="R34" i="3"/>
  <c r="R29" i="3"/>
  <c r="R25" i="3"/>
  <c r="R31" i="3"/>
  <c r="R27" i="3"/>
  <c r="R33" i="3"/>
  <c r="R36" i="3"/>
  <c r="R23" i="3"/>
  <c r="R19" i="3"/>
  <c r="R15" i="3"/>
  <c r="R22" i="3"/>
  <c r="R14" i="3"/>
  <c r="R20" i="3"/>
  <c r="R16" i="3"/>
  <c r="R18" i="3"/>
  <c r="R21" i="3"/>
  <c r="R17" i="3"/>
  <c r="R40" i="3"/>
  <c r="R45" i="3"/>
  <c r="R37" i="3"/>
  <c r="R46" i="3"/>
  <c r="R42" i="3"/>
  <c r="R38" i="3"/>
  <c r="R44" i="3"/>
  <c r="R41" i="3"/>
  <c r="R43" i="3"/>
  <c r="R39" i="3"/>
  <c r="N2" i="11"/>
  <c r="N16" i="11"/>
  <c r="N12" i="11"/>
  <c r="N20" i="11"/>
  <c r="N8" i="11"/>
  <c r="N4" i="11"/>
  <c r="N23" i="11"/>
  <c r="N19" i="11"/>
  <c r="N15" i="11"/>
  <c r="N11" i="11"/>
  <c r="N7" i="11"/>
  <c r="N3" i="11"/>
  <c r="N22" i="11"/>
  <c r="N18" i="11"/>
  <c r="N10" i="11"/>
  <c r="N6" i="11"/>
  <c r="N14" i="11"/>
  <c r="N21" i="11"/>
  <c r="N17" i="11"/>
  <c r="N13" i="11"/>
  <c r="N9" i="11"/>
  <c r="N5" i="11"/>
  <c r="N25" i="11"/>
  <c r="N43" i="11"/>
  <c r="N35" i="11"/>
  <c r="N46" i="11"/>
  <c r="N42" i="11"/>
  <c r="N38" i="11"/>
  <c r="N34" i="11"/>
  <c r="N30" i="11"/>
  <c r="N26" i="11"/>
  <c r="N31" i="11"/>
  <c r="N45" i="11"/>
  <c r="N41" i="11"/>
  <c r="N37" i="11"/>
  <c r="N33" i="11"/>
  <c r="N29" i="11"/>
  <c r="N39" i="11"/>
  <c r="N27" i="11"/>
  <c r="N44" i="11"/>
  <c r="N40" i="11"/>
  <c r="N36" i="11"/>
  <c r="N32" i="11"/>
  <c r="N28" i="11"/>
  <c r="J2" i="10"/>
  <c r="J20" i="10"/>
  <c r="J23" i="10"/>
  <c r="J19" i="10"/>
  <c r="J15" i="10"/>
  <c r="J11" i="10"/>
  <c r="J7" i="10"/>
  <c r="J3" i="10"/>
  <c r="J16" i="10"/>
  <c r="J12" i="10"/>
  <c r="J4" i="10"/>
  <c r="J22" i="10"/>
  <c r="J18" i="10"/>
  <c r="J14" i="10"/>
  <c r="J10" i="10"/>
  <c r="J6" i="10"/>
  <c r="J8" i="10"/>
  <c r="J21" i="10"/>
  <c r="J17" i="10"/>
  <c r="J13" i="10"/>
  <c r="J9" i="10"/>
  <c r="J5" i="10"/>
  <c r="J25" i="10"/>
  <c r="J35" i="10"/>
  <c r="J46" i="10"/>
  <c r="J42" i="10"/>
  <c r="J38" i="10"/>
  <c r="J34" i="10"/>
  <c r="J30" i="10"/>
  <c r="J26" i="10"/>
  <c r="J39" i="10"/>
  <c r="J45" i="10"/>
  <c r="J41" i="10"/>
  <c r="J37" i="10"/>
  <c r="J33" i="10"/>
  <c r="J29" i="10"/>
  <c r="J43" i="10"/>
  <c r="J31" i="10"/>
  <c r="J27" i="10"/>
  <c r="J44" i="10"/>
  <c r="J40" i="10"/>
  <c r="J36" i="10"/>
  <c r="J32" i="10"/>
  <c r="J28" i="10"/>
  <c r="E2" i="9"/>
  <c r="E3" i="9"/>
  <c r="E22" i="9"/>
  <c r="E6" i="9"/>
  <c r="E21" i="9"/>
  <c r="E17" i="9"/>
  <c r="E13" i="9"/>
  <c r="E9" i="9"/>
  <c r="E5" i="9"/>
  <c r="E20" i="9"/>
  <c r="E16" i="9"/>
  <c r="E12" i="9"/>
  <c r="E8" i="9"/>
  <c r="E4" i="9"/>
  <c r="E18" i="9"/>
  <c r="E14" i="9"/>
  <c r="E10" i="9"/>
  <c r="E23" i="9"/>
  <c r="E19" i="9"/>
  <c r="E15" i="9"/>
  <c r="E11" i="9"/>
  <c r="E7" i="9"/>
  <c r="E25" i="9"/>
  <c r="E36" i="9"/>
  <c r="E43" i="9"/>
  <c r="E39" i="9"/>
  <c r="E35" i="9"/>
  <c r="E31" i="9"/>
  <c r="E27" i="9"/>
  <c r="E44" i="9"/>
  <c r="E28" i="9"/>
  <c r="E46" i="9"/>
  <c r="E42" i="9"/>
  <c r="E38" i="9"/>
  <c r="E34" i="9"/>
  <c r="E30" i="9"/>
  <c r="E26" i="9"/>
  <c r="E40" i="9"/>
  <c r="E32" i="9"/>
  <c r="E45" i="9"/>
  <c r="E41" i="9"/>
  <c r="E37" i="9"/>
  <c r="E33" i="9"/>
  <c r="E29" i="9"/>
  <c r="O2" i="8"/>
  <c r="O7" i="8"/>
  <c r="O22" i="8"/>
  <c r="O18" i="8"/>
  <c r="O14" i="8"/>
  <c r="O10" i="8"/>
  <c r="O6" i="8"/>
  <c r="O15" i="8"/>
  <c r="O21" i="8"/>
  <c r="O17" i="8"/>
  <c r="O13" i="8"/>
  <c r="O9" i="8"/>
  <c r="O5" i="8"/>
  <c r="O23" i="8"/>
  <c r="O19" i="8"/>
  <c r="O11" i="8"/>
  <c r="O3" i="8"/>
  <c r="O20" i="8"/>
  <c r="O16" i="8"/>
  <c r="O12" i="8"/>
  <c r="O8" i="8"/>
  <c r="O4" i="8"/>
  <c r="O25" i="8"/>
  <c r="O42" i="8"/>
  <c r="O45" i="8"/>
  <c r="O41" i="8"/>
  <c r="O37" i="8"/>
  <c r="O33" i="8"/>
  <c r="O29" i="8"/>
  <c r="O46" i="8"/>
  <c r="O34" i="8"/>
  <c r="O44" i="8"/>
  <c r="O40" i="8"/>
  <c r="O36" i="8"/>
  <c r="O32" i="8"/>
  <c r="O28" i="8"/>
  <c r="O38" i="8"/>
  <c r="O30" i="8"/>
  <c r="O26" i="8"/>
  <c r="O43" i="8"/>
  <c r="O39" i="8"/>
  <c r="O35" i="8"/>
  <c r="O31" i="8"/>
  <c r="O27" i="8"/>
  <c r="O2" i="11"/>
  <c r="O19" i="11"/>
  <c r="O15" i="11"/>
  <c r="O23" i="11"/>
  <c r="O11" i="11"/>
  <c r="O7" i="11"/>
  <c r="O3" i="11"/>
  <c r="O22" i="11"/>
  <c r="O18" i="11"/>
  <c r="O14" i="11"/>
  <c r="O10" i="11"/>
  <c r="O6" i="11"/>
  <c r="O17" i="11"/>
  <c r="O9" i="11"/>
  <c r="O5" i="11"/>
  <c r="O21" i="11"/>
  <c r="O13" i="11"/>
  <c r="O20" i="11"/>
  <c r="O16" i="11"/>
  <c r="O12" i="11"/>
  <c r="O8" i="11"/>
  <c r="O4" i="11"/>
  <c r="O25" i="11"/>
  <c r="O46" i="11"/>
  <c r="O30" i="11"/>
  <c r="O45" i="11"/>
  <c r="O41" i="11"/>
  <c r="O37" i="11"/>
  <c r="O33" i="11"/>
  <c r="O29" i="11"/>
  <c r="O26" i="11"/>
  <c r="O44" i="11"/>
  <c r="O40" i="11"/>
  <c r="O36" i="11"/>
  <c r="O32" i="11"/>
  <c r="O28" i="11"/>
  <c r="O42" i="11"/>
  <c r="O38" i="11"/>
  <c r="O34" i="11"/>
  <c r="O43" i="11"/>
  <c r="O39" i="11"/>
  <c r="O35" i="11"/>
  <c r="O31" i="11"/>
  <c r="O27" i="11"/>
  <c r="K2" i="10"/>
  <c r="K23" i="10"/>
  <c r="K15" i="10"/>
  <c r="K7" i="10"/>
  <c r="K22" i="10"/>
  <c r="K18" i="10"/>
  <c r="K14" i="10"/>
  <c r="K10" i="10"/>
  <c r="K6" i="10"/>
  <c r="K19" i="10"/>
  <c r="K3" i="10"/>
  <c r="K21" i="10"/>
  <c r="K17" i="10"/>
  <c r="K13" i="10"/>
  <c r="K9" i="10"/>
  <c r="K5" i="10"/>
  <c r="K11" i="10"/>
  <c r="K20" i="10"/>
  <c r="K16" i="10"/>
  <c r="K12" i="10"/>
  <c r="K8" i="10"/>
  <c r="K4" i="10"/>
  <c r="K25" i="10"/>
  <c r="K42" i="10"/>
  <c r="K45" i="10"/>
  <c r="K41" i="10"/>
  <c r="K37" i="10"/>
  <c r="K33" i="10"/>
  <c r="K29" i="10"/>
  <c r="K46" i="10"/>
  <c r="K34" i="10"/>
  <c r="K30" i="10"/>
  <c r="K44" i="10"/>
  <c r="K40" i="10"/>
  <c r="K36" i="10"/>
  <c r="K32" i="10"/>
  <c r="K28" i="10"/>
  <c r="K38" i="10"/>
  <c r="K26" i="10"/>
  <c r="K43" i="10"/>
  <c r="K39" i="10"/>
  <c r="K35" i="10"/>
  <c r="K31" i="10"/>
  <c r="K27" i="10"/>
  <c r="F2" i="9"/>
  <c r="F3" i="9"/>
  <c r="F21" i="9"/>
  <c r="F5" i="9"/>
  <c r="F20" i="9"/>
  <c r="F16" i="9"/>
  <c r="F12" i="9"/>
  <c r="F8" i="9"/>
  <c r="F4" i="9"/>
  <c r="F23" i="9"/>
  <c r="F19" i="9"/>
  <c r="F15" i="9"/>
  <c r="F11" i="9"/>
  <c r="F7" i="9"/>
  <c r="F17" i="9"/>
  <c r="F13" i="9"/>
  <c r="F9" i="9"/>
  <c r="F22" i="9"/>
  <c r="F18" i="9"/>
  <c r="F14" i="9"/>
  <c r="F10" i="9"/>
  <c r="F6" i="9"/>
  <c r="F25" i="9"/>
  <c r="F39" i="9"/>
  <c r="F46" i="9"/>
  <c r="F42" i="9"/>
  <c r="F38" i="9"/>
  <c r="F34" i="9"/>
  <c r="F30" i="9"/>
  <c r="F26" i="9"/>
  <c r="F35" i="9"/>
  <c r="F31" i="9"/>
  <c r="F45" i="9"/>
  <c r="F41" i="9"/>
  <c r="F37" i="9"/>
  <c r="F33" i="9"/>
  <c r="F29" i="9"/>
  <c r="F43" i="9"/>
  <c r="F27" i="9"/>
  <c r="F44" i="9"/>
  <c r="F40" i="9"/>
  <c r="F36" i="9"/>
  <c r="F32" i="9"/>
  <c r="F28" i="9"/>
  <c r="D2" i="8"/>
  <c r="D18" i="8"/>
  <c r="D14" i="8"/>
  <c r="D21" i="8"/>
  <c r="D17" i="8"/>
  <c r="D13" i="8"/>
  <c r="D9" i="8"/>
  <c r="D5" i="8"/>
  <c r="D22" i="8"/>
  <c r="D10" i="8"/>
  <c r="D20" i="8"/>
  <c r="D16" i="8"/>
  <c r="D12" i="8"/>
  <c r="D8" i="8"/>
  <c r="D4" i="8"/>
  <c r="D6" i="8"/>
  <c r="D23" i="8"/>
  <c r="D19" i="8"/>
  <c r="D15" i="8"/>
  <c r="D11" i="8"/>
  <c r="D7" i="8"/>
  <c r="D3" i="8"/>
  <c r="D25" i="8"/>
  <c r="D37" i="8"/>
  <c r="D44" i="8"/>
  <c r="D40" i="8"/>
  <c r="D36" i="8"/>
  <c r="D32" i="8"/>
  <c r="D28" i="8"/>
  <c r="D41" i="8"/>
  <c r="D33" i="8"/>
  <c r="D29" i="8"/>
  <c r="D43" i="8"/>
  <c r="D39" i="8"/>
  <c r="D35" i="8"/>
  <c r="D31" i="8"/>
  <c r="D27" i="8"/>
  <c r="D45" i="8"/>
  <c r="D46" i="8"/>
  <c r="D42" i="8"/>
  <c r="D38" i="8"/>
  <c r="D34" i="8"/>
  <c r="D30" i="8"/>
  <c r="D26" i="8"/>
  <c r="P2" i="8"/>
  <c r="P18" i="8"/>
  <c r="P14" i="8"/>
  <c r="P21" i="8"/>
  <c r="P17" i="8"/>
  <c r="P13" i="8"/>
  <c r="P9" i="8"/>
  <c r="P5" i="8"/>
  <c r="P22" i="8"/>
  <c r="P10" i="8"/>
  <c r="P20" i="8"/>
  <c r="P16" i="8"/>
  <c r="P12" i="8"/>
  <c r="P8" i="8"/>
  <c r="P4" i="8"/>
  <c r="P6" i="8"/>
  <c r="P23" i="8"/>
  <c r="P19" i="8"/>
  <c r="P15" i="8"/>
  <c r="P11" i="8"/>
  <c r="P7" i="8"/>
  <c r="P3" i="8"/>
  <c r="P25" i="8"/>
  <c r="P45" i="8"/>
  <c r="P37" i="8"/>
  <c r="P44" i="8"/>
  <c r="P40" i="8"/>
  <c r="P36" i="8"/>
  <c r="P32" i="8"/>
  <c r="P28" i="8"/>
  <c r="P41" i="8"/>
  <c r="P43" i="8"/>
  <c r="P39" i="8"/>
  <c r="P35" i="8"/>
  <c r="P31" i="8"/>
  <c r="P27" i="8"/>
  <c r="P33" i="8"/>
  <c r="P29" i="8"/>
  <c r="P46" i="8"/>
  <c r="P42" i="8"/>
  <c r="P38" i="8"/>
  <c r="P34" i="8"/>
  <c r="P30" i="8"/>
  <c r="P26" i="8"/>
  <c r="L2" i="11"/>
  <c r="L18" i="11"/>
  <c r="L14" i="11"/>
  <c r="L22" i="11"/>
  <c r="L10" i="11"/>
  <c r="L6" i="11"/>
  <c r="L21" i="11"/>
  <c r="L17" i="11"/>
  <c r="L13" i="11"/>
  <c r="L9" i="11"/>
  <c r="L5" i="11"/>
  <c r="L20" i="11"/>
  <c r="L12" i="11"/>
  <c r="L4" i="11"/>
  <c r="L16" i="11"/>
  <c r="L8" i="11"/>
  <c r="L23" i="11"/>
  <c r="L19" i="11"/>
  <c r="L15" i="11"/>
  <c r="L11" i="11"/>
  <c r="L7" i="11"/>
  <c r="L3" i="11"/>
  <c r="L25" i="11"/>
  <c r="L41" i="11"/>
  <c r="L29" i="11"/>
  <c r="L44" i="11"/>
  <c r="L40" i="11"/>
  <c r="L36" i="11"/>
  <c r="L32" i="11"/>
  <c r="L28" i="11"/>
  <c r="L43" i="11"/>
  <c r="L39" i="11"/>
  <c r="L35" i="11"/>
  <c r="L31" i="11"/>
  <c r="L27" i="11"/>
  <c r="L45" i="11"/>
  <c r="L37" i="11"/>
  <c r="L33" i="11"/>
  <c r="L46" i="11"/>
  <c r="L42" i="11"/>
  <c r="L38" i="11"/>
  <c r="L34" i="11"/>
  <c r="L30" i="11"/>
  <c r="L26" i="11"/>
  <c r="H2" i="10"/>
  <c r="H18" i="10"/>
  <c r="H21" i="10"/>
  <c r="H17" i="10"/>
  <c r="H13" i="10"/>
  <c r="H9" i="10"/>
  <c r="H5" i="10"/>
  <c r="H14" i="10"/>
  <c r="H10" i="10"/>
  <c r="H6" i="10"/>
  <c r="H20" i="10"/>
  <c r="H16" i="10"/>
  <c r="H12" i="10"/>
  <c r="H8" i="10"/>
  <c r="H4" i="10"/>
  <c r="H22" i="10"/>
  <c r="H23" i="10"/>
  <c r="H19" i="10"/>
  <c r="H15" i="10"/>
  <c r="H11" i="10"/>
  <c r="H7" i="10"/>
  <c r="H3" i="10"/>
  <c r="H25" i="10"/>
  <c r="H44" i="10"/>
  <c r="H40" i="10"/>
  <c r="H36" i="10"/>
  <c r="H32" i="10"/>
  <c r="H28" i="10"/>
  <c r="H37" i="10"/>
  <c r="H33" i="10"/>
  <c r="H43" i="10"/>
  <c r="H39" i="10"/>
  <c r="H35" i="10"/>
  <c r="H31" i="10"/>
  <c r="H27" i="10"/>
  <c r="H45" i="10"/>
  <c r="H41" i="10"/>
  <c r="H29" i="10"/>
  <c r="H46" i="10"/>
  <c r="H42" i="10"/>
  <c r="H38" i="10"/>
  <c r="H34" i="10"/>
  <c r="H30" i="10"/>
  <c r="H26" i="10"/>
  <c r="T2" i="9"/>
  <c r="U2" i="9"/>
  <c r="T3" i="9"/>
  <c r="U3" i="9"/>
  <c r="U17" i="9"/>
  <c r="U23" i="9"/>
  <c r="U19" i="9"/>
  <c r="U15" i="9"/>
  <c r="U11" i="9"/>
  <c r="U7" i="9"/>
  <c r="U21" i="9"/>
  <c r="U13" i="9"/>
  <c r="U22" i="9"/>
  <c r="U18" i="9"/>
  <c r="U14" i="9"/>
  <c r="U10" i="9"/>
  <c r="U6" i="9"/>
  <c r="U5" i="9"/>
  <c r="U9" i="9"/>
  <c r="U20" i="9"/>
  <c r="U16" i="9"/>
  <c r="U12" i="9"/>
  <c r="U8" i="9"/>
  <c r="U4" i="9"/>
  <c r="T23" i="9"/>
  <c r="T19" i="9"/>
  <c r="T22" i="9"/>
  <c r="T18" i="9"/>
  <c r="T14" i="9"/>
  <c r="T10" i="9"/>
  <c r="T6" i="9"/>
  <c r="T7" i="9"/>
  <c r="T21" i="9"/>
  <c r="T17" i="9"/>
  <c r="T13" i="9"/>
  <c r="T9" i="9"/>
  <c r="T5" i="9"/>
  <c r="T15" i="9"/>
  <c r="T11" i="9"/>
  <c r="T20" i="9"/>
  <c r="T16" i="9"/>
  <c r="T12" i="9"/>
  <c r="T8" i="9"/>
  <c r="T4" i="9"/>
  <c r="T25" i="9"/>
  <c r="U25" i="9"/>
  <c r="T45" i="9"/>
  <c r="T41" i="9"/>
  <c r="T33" i="9"/>
  <c r="T29" i="9"/>
  <c r="T44" i="9"/>
  <c r="T40" i="9"/>
  <c r="T36" i="9"/>
  <c r="T32" i="9"/>
  <c r="T28" i="9"/>
  <c r="T37" i="9"/>
  <c r="T43" i="9"/>
  <c r="T39" i="9"/>
  <c r="T35" i="9"/>
  <c r="T31" i="9"/>
  <c r="T27" i="9"/>
  <c r="T46" i="9"/>
  <c r="T42" i="9"/>
  <c r="T38" i="9"/>
  <c r="T34" i="9"/>
  <c r="T30" i="9"/>
  <c r="T26" i="9"/>
  <c r="U26" i="9"/>
  <c r="U46" i="9"/>
  <c r="U38" i="9"/>
  <c r="U30" i="9"/>
  <c r="U37" i="9"/>
  <c r="U29" i="9"/>
  <c r="U44" i="9"/>
  <c r="U40" i="9"/>
  <c r="U36" i="9"/>
  <c r="U32" i="9"/>
  <c r="U28" i="9"/>
  <c r="U42" i="9"/>
  <c r="U34" i="9"/>
  <c r="U45" i="9"/>
  <c r="U41" i="9"/>
  <c r="U33" i="9"/>
  <c r="U43" i="9"/>
  <c r="U39" i="9"/>
  <c r="U35" i="9"/>
  <c r="U31" i="9"/>
  <c r="U27" i="9"/>
  <c r="S2" i="9"/>
  <c r="S3" i="9"/>
  <c r="S20" i="9"/>
  <c r="S23" i="9"/>
  <c r="S19" i="9"/>
  <c r="S15" i="9"/>
  <c r="S11" i="9"/>
  <c r="S7" i="9"/>
  <c r="S12" i="9"/>
  <c r="S8" i="9"/>
  <c r="S22" i="9"/>
  <c r="S18" i="9"/>
  <c r="S14" i="9"/>
  <c r="S10" i="9"/>
  <c r="S6" i="9"/>
  <c r="S16" i="9"/>
  <c r="S4" i="9"/>
  <c r="S21" i="9"/>
  <c r="S17" i="9"/>
  <c r="S13" i="9"/>
  <c r="S9" i="9"/>
  <c r="S5" i="9"/>
  <c r="S25" i="9"/>
  <c r="S42" i="9"/>
  <c r="S30" i="9"/>
  <c r="S26" i="9"/>
  <c r="S45" i="9"/>
  <c r="S41" i="9"/>
  <c r="S37" i="9"/>
  <c r="S33" i="9"/>
  <c r="S29" i="9"/>
  <c r="S46" i="9"/>
  <c r="S38" i="9"/>
  <c r="S44" i="9"/>
  <c r="S40" i="9"/>
  <c r="S36" i="9"/>
  <c r="S32" i="9"/>
  <c r="S28" i="9"/>
  <c r="S34" i="9"/>
  <c r="S43" i="9"/>
  <c r="S39" i="9"/>
  <c r="S35" i="9"/>
  <c r="S31" i="9"/>
  <c r="S27" i="9"/>
  <c r="M2" i="8"/>
  <c r="M21" i="8"/>
  <c r="M5" i="8"/>
  <c r="M20" i="8"/>
  <c r="M16" i="8"/>
  <c r="M12" i="8"/>
  <c r="M8" i="8"/>
  <c r="M4" i="8"/>
  <c r="M13" i="8"/>
  <c r="M23" i="8"/>
  <c r="M19" i="8"/>
  <c r="M15" i="8"/>
  <c r="M11" i="8"/>
  <c r="M7" i="8"/>
  <c r="M3" i="8"/>
  <c r="M17" i="8"/>
  <c r="M9" i="8"/>
  <c r="M22" i="8"/>
  <c r="M18" i="8"/>
  <c r="M14" i="8"/>
  <c r="M10" i="8"/>
  <c r="M6" i="8"/>
  <c r="M25" i="8"/>
  <c r="M40" i="8"/>
  <c r="M32" i="8"/>
  <c r="M43" i="8"/>
  <c r="M39" i="8"/>
  <c r="M35" i="8"/>
  <c r="M31" i="8"/>
  <c r="M27" i="8"/>
  <c r="M44" i="8"/>
  <c r="M28" i="8"/>
  <c r="M46" i="8"/>
  <c r="M42" i="8"/>
  <c r="M38" i="8"/>
  <c r="M34" i="8"/>
  <c r="M30" i="8"/>
  <c r="M26" i="8"/>
  <c r="M36" i="8"/>
  <c r="M45" i="8"/>
  <c r="M41" i="8"/>
  <c r="M37" i="8"/>
  <c r="M33" i="8"/>
  <c r="M29" i="8"/>
  <c r="M2" i="11"/>
  <c r="M21" i="11"/>
  <c r="M17" i="11"/>
  <c r="M13" i="11"/>
  <c r="M9" i="11"/>
  <c r="M5" i="11"/>
  <c r="M20" i="11"/>
  <c r="M16" i="11"/>
  <c r="M12" i="11"/>
  <c r="M8" i="11"/>
  <c r="M4" i="11"/>
  <c r="M23" i="11"/>
  <c r="M19" i="11"/>
  <c r="M11" i="11"/>
  <c r="M7" i="11"/>
  <c r="M3" i="11"/>
  <c r="M15" i="11"/>
  <c r="M22" i="11"/>
  <c r="M18" i="11"/>
  <c r="M14" i="11"/>
  <c r="M10" i="11"/>
  <c r="M6" i="11"/>
  <c r="M25" i="11"/>
  <c r="M40" i="11"/>
  <c r="M43" i="11"/>
  <c r="M39" i="11"/>
  <c r="M35" i="11"/>
  <c r="M31" i="11"/>
  <c r="M27" i="11"/>
  <c r="M44" i="11"/>
  <c r="M32" i="11"/>
  <c r="M46" i="11"/>
  <c r="M42" i="11"/>
  <c r="M38" i="11"/>
  <c r="M34" i="11"/>
  <c r="M30" i="11"/>
  <c r="M26" i="11"/>
  <c r="M36" i="11"/>
  <c r="M28" i="11"/>
  <c r="M45" i="11"/>
  <c r="M41" i="11"/>
  <c r="M37" i="11"/>
  <c r="M33" i="11"/>
  <c r="M29" i="11"/>
  <c r="I2" i="10"/>
  <c r="I21" i="10"/>
  <c r="I13" i="10"/>
  <c r="I9" i="10"/>
  <c r="I20" i="10"/>
  <c r="I16" i="10"/>
  <c r="I12" i="10"/>
  <c r="I8" i="10"/>
  <c r="I4" i="10"/>
  <c r="I23" i="10"/>
  <c r="I19" i="10"/>
  <c r="I15" i="10"/>
  <c r="I11" i="10"/>
  <c r="I7" i="10"/>
  <c r="I3" i="10"/>
  <c r="I17" i="10"/>
  <c r="I5" i="10"/>
  <c r="I22" i="10"/>
  <c r="I18" i="10"/>
  <c r="I14" i="10"/>
  <c r="I10" i="10"/>
  <c r="I6" i="10"/>
  <c r="I25" i="10"/>
  <c r="I40" i="10"/>
  <c r="I32" i="10"/>
  <c r="I43" i="10"/>
  <c r="I39" i="10"/>
  <c r="I35" i="10"/>
  <c r="I31" i="10"/>
  <c r="I27" i="10"/>
  <c r="I44" i="10"/>
  <c r="I28" i="10"/>
  <c r="I46" i="10"/>
  <c r="I42" i="10"/>
  <c r="I38" i="10"/>
  <c r="I34" i="10"/>
  <c r="I30" i="10"/>
  <c r="I26" i="10"/>
  <c r="I36" i="10"/>
  <c r="I45" i="10"/>
  <c r="I41" i="10"/>
  <c r="I37" i="10"/>
  <c r="I33" i="10"/>
  <c r="I29" i="10"/>
  <c r="T2" i="8"/>
  <c r="U2" i="8"/>
  <c r="T22" i="8"/>
  <c r="T6" i="8"/>
  <c r="T21" i="8"/>
  <c r="T17" i="8"/>
  <c r="T13" i="8"/>
  <c r="T9" i="8"/>
  <c r="T5" i="8"/>
  <c r="T14" i="8"/>
  <c r="T20" i="8"/>
  <c r="T16" i="8"/>
  <c r="T12" i="8"/>
  <c r="T8" i="8"/>
  <c r="T4" i="8"/>
  <c r="T18" i="8"/>
  <c r="T10" i="8"/>
  <c r="T23" i="8"/>
  <c r="T19" i="8"/>
  <c r="T15" i="8"/>
  <c r="T11" i="8"/>
  <c r="T7" i="8"/>
  <c r="T3" i="8"/>
  <c r="U3" i="8"/>
  <c r="U23" i="8"/>
  <c r="U7" i="8"/>
  <c r="U22" i="8"/>
  <c r="U18" i="8"/>
  <c r="U14" i="8"/>
  <c r="U10" i="8"/>
  <c r="U6" i="8"/>
  <c r="U15" i="8"/>
  <c r="U21" i="8"/>
  <c r="U17" i="8"/>
  <c r="U13" i="8"/>
  <c r="U9" i="8"/>
  <c r="U5" i="8"/>
  <c r="U19" i="8"/>
  <c r="U11" i="8"/>
  <c r="U20" i="8"/>
  <c r="U16" i="8"/>
  <c r="U12" i="8"/>
  <c r="U8" i="8"/>
  <c r="U4" i="8"/>
  <c r="T25" i="8"/>
  <c r="U25" i="8"/>
  <c r="U26" i="8"/>
  <c r="U42" i="8"/>
  <c r="U30" i="8"/>
  <c r="U45" i="8"/>
  <c r="U41" i="8"/>
  <c r="U37" i="8"/>
  <c r="U33" i="8"/>
  <c r="U29" i="8"/>
  <c r="U46" i="8"/>
  <c r="U34" i="8"/>
  <c r="U44" i="8"/>
  <c r="U40" i="8"/>
  <c r="U36" i="8"/>
  <c r="U32" i="8"/>
  <c r="U28" i="8"/>
  <c r="U38" i="8"/>
  <c r="U43" i="8"/>
  <c r="U39" i="8"/>
  <c r="U35" i="8"/>
  <c r="U31" i="8"/>
  <c r="U27" i="8"/>
  <c r="T41" i="8"/>
  <c r="T29" i="8"/>
  <c r="T44" i="8"/>
  <c r="T40" i="8"/>
  <c r="T36" i="8"/>
  <c r="T32" i="8"/>
  <c r="T28" i="8"/>
  <c r="T45" i="8"/>
  <c r="T33" i="8"/>
  <c r="T43" i="8"/>
  <c r="T39" i="8"/>
  <c r="T35" i="8"/>
  <c r="T31" i="8"/>
  <c r="T27" i="8"/>
  <c r="T37" i="8"/>
  <c r="T46" i="8"/>
  <c r="T42" i="8"/>
  <c r="T38" i="8"/>
  <c r="T34" i="8"/>
  <c r="T30" i="8"/>
  <c r="T26" i="8"/>
  <c r="D2" i="9"/>
  <c r="D3" i="9"/>
  <c r="D23" i="9"/>
  <c r="D19" i="9"/>
  <c r="D22" i="9"/>
  <c r="D18" i="9"/>
  <c r="D14" i="9"/>
  <c r="D10" i="9"/>
  <c r="D6" i="9"/>
  <c r="D7" i="9"/>
  <c r="D21" i="9"/>
  <c r="D17" i="9"/>
  <c r="D13" i="9"/>
  <c r="D9" i="9"/>
  <c r="D5" i="9"/>
  <c r="D15" i="9"/>
  <c r="D11" i="9"/>
  <c r="D20" i="9"/>
  <c r="D16" i="9"/>
  <c r="D12" i="9"/>
  <c r="D8" i="9"/>
  <c r="D4" i="9"/>
  <c r="D25" i="9"/>
  <c r="D44" i="9"/>
  <c r="D40" i="9"/>
  <c r="D36" i="9"/>
  <c r="D32" i="9"/>
  <c r="D28" i="9"/>
  <c r="D45" i="9"/>
  <c r="D41" i="9"/>
  <c r="D33" i="9"/>
  <c r="D43" i="9"/>
  <c r="D39" i="9"/>
  <c r="D35" i="9"/>
  <c r="D31" i="9"/>
  <c r="D27" i="9"/>
  <c r="D37" i="9"/>
  <c r="D29" i="9"/>
  <c r="D46" i="9"/>
  <c r="D42" i="9"/>
  <c r="D38" i="9"/>
  <c r="D34" i="9"/>
  <c r="D30" i="9"/>
  <c r="D26" i="9"/>
  <c r="N2" i="8"/>
  <c r="N23" i="8"/>
  <c r="N19" i="8"/>
  <c r="N15" i="8"/>
  <c r="N11" i="8"/>
  <c r="N7" i="8"/>
  <c r="N3" i="8"/>
  <c r="N20" i="8"/>
  <c r="N8" i="8"/>
  <c r="N22" i="8"/>
  <c r="N18" i="8"/>
  <c r="N14" i="8"/>
  <c r="N10" i="8"/>
  <c r="N6" i="8"/>
  <c r="N16" i="8"/>
  <c r="N12" i="8"/>
  <c r="N4" i="8"/>
  <c r="N21" i="8"/>
  <c r="N17" i="8"/>
  <c r="N13" i="8"/>
  <c r="N9" i="8"/>
  <c r="N5" i="8"/>
  <c r="N35" i="8"/>
  <c r="N46" i="8"/>
  <c r="N42" i="8"/>
  <c r="N38" i="8"/>
  <c r="N34" i="8"/>
  <c r="N30" i="8"/>
  <c r="N26" i="8"/>
  <c r="N39" i="8"/>
  <c r="N31" i="8"/>
  <c r="N27" i="8"/>
  <c r="N45" i="8"/>
  <c r="N41" i="8"/>
  <c r="N37" i="8"/>
  <c r="N33" i="8"/>
  <c r="N29" i="8"/>
  <c r="N43" i="8"/>
  <c r="N44" i="8"/>
  <c r="N40" i="8"/>
  <c r="N36" i="8"/>
  <c r="N32" i="8"/>
  <c r="N28" i="8"/>
  <c r="G6" i="3"/>
  <c r="G12" i="3"/>
  <c r="G9" i="3"/>
  <c r="G5" i="3"/>
  <c r="G3" i="3"/>
  <c r="G4" i="3"/>
  <c r="G11" i="3"/>
  <c r="G8" i="3"/>
  <c r="G7" i="3"/>
  <c r="G10" i="3"/>
  <c r="G13" i="3"/>
  <c r="G36" i="3"/>
  <c r="G30" i="3"/>
  <c r="G27" i="3"/>
  <c r="G26" i="3"/>
  <c r="G34" i="3"/>
  <c r="G32" i="3"/>
  <c r="G35" i="3"/>
  <c r="G29" i="3"/>
  <c r="G33" i="3"/>
  <c r="G28" i="3"/>
  <c r="G31" i="3"/>
  <c r="G19" i="3"/>
  <c r="G20" i="3"/>
  <c r="G16" i="3"/>
  <c r="G21" i="3"/>
  <c r="G17" i="3"/>
  <c r="G23" i="3"/>
  <c r="G15" i="3"/>
  <c r="G22" i="3"/>
  <c r="G18" i="3"/>
  <c r="G14" i="3"/>
  <c r="G41" i="3"/>
  <c r="G37" i="3"/>
  <c r="G42" i="3"/>
  <c r="G38" i="3"/>
  <c r="G43" i="3"/>
  <c r="G39" i="3"/>
  <c r="G45" i="3"/>
  <c r="G46" i="3"/>
  <c r="G44" i="3"/>
  <c r="G40" i="3"/>
  <c r="H4" i="3"/>
  <c r="H11" i="3"/>
  <c r="H5" i="3"/>
  <c r="H3" i="3"/>
  <c r="H10" i="3"/>
  <c r="H7" i="3"/>
  <c r="H13" i="3"/>
  <c r="H8" i="3"/>
  <c r="H6" i="3"/>
  <c r="H9" i="3"/>
  <c r="H12" i="3"/>
  <c r="H26" i="3"/>
  <c r="H33" i="3"/>
  <c r="H29" i="3"/>
  <c r="H35" i="3"/>
  <c r="H28" i="3"/>
  <c r="H36" i="3"/>
  <c r="H31" i="3"/>
  <c r="H34" i="3"/>
  <c r="H32" i="3"/>
  <c r="H27" i="3"/>
  <c r="H30" i="3"/>
  <c r="H16" i="3"/>
  <c r="H21" i="3"/>
  <c r="H17" i="3"/>
  <c r="H20" i="3"/>
  <c r="H22" i="3"/>
  <c r="H18" i="3"/>
  <c r="H14" i="3"/>
  <c r="H23" i="3"/>
  <c r="H19" i="3"/>
  <c r="H15" i="3"/>
  <c r="H46" i="3"/>
  <c r="H38" i="3"/>
  <c r="H43" i="3"/>
  <c r="H44" i="3"/>
  <c r="H40" i="3"/>
  <c r="H42" i="3"/>
  <c r="H39" i="3"/>
  <c r="H45" i="3"/>
  <c r="H41" i="3"/>
  <c r="H37" i="3"/>
  <c r="K11" i="3"/>
  <c r="K5" i="3"/>
  <c r="K3" i="3"/>
  <c r="K7" i="3"/>
  <c r="K4" i="3"/>
  <c r="K10" i="3"/>
  <c r="K13" i="3"/>
  <c r="K8" i="3"/>
  <c r="K12" i="3"/>
  <c r="K6" i="3"/>
  <c r="K9" i="3"/>
  <c r="K30" i="3"/>
  <c r="K26" i="3"/>
  <c r="K32" i="3"/>
  <c r="K35" i="3"/>
  <c r="K36" i="3"/>
  <c r="K33" i="3"/>
  <c r="K28" i="3"/>
  <c r="K31" i="3"/>
  <c r="K29" i="3"/>
  <c r="K34" i="3"/>
  <c r="K27" i="3"/>
  <c r="K23" i="3"/>
  <c r="K20" i="3"/>
  <c r="K16" i="3"/>
  <c r="K15" i="3"/>
  <c r="K21" i="3"/>
  <c r="K17" i="3"/>
  <c r="K19" i="3"/>
  <c r="K22" i="3"/>
  <c r="K18" i="3"/>
  <c r="K14" i="3"/>
  <c r="K45" i="3"/>
  <c r="K37" i="3"/>
  <c r="K46" i="3"/>
  <c r="K42" i="3"/>
  <c r="K38" i="3"/>
  <c r="K43" i="3"/>
  <c r="K39" i="3"/>
  <c r="K41" i="3"/>
  <c r="K44" i="3"/>
  <c r="K40" i="3"/>
  <c r="N12" i="3"/>
  <c r="N8" i="3"/>
  <c r="N11" i="3"/>
  <c r="N5" i="3"/>
  <c r="N9" i="3"/>
  <c r="N4" i="3"/>
  <c r="N7" i="3"/>
  <c r="N13" i="3"/>
  <c r="N10" i="3"/>
  <c r="N3" i="3"/>
  <c r="N6" i="3"/>
  <c r="N34" i="3"/>
  <c r="N29" i="3"/>
  <c r="N32" i="3"/>
  <c r="N33" i="3"/>
  <c r="N36" i="3"/>
  <c r="N35" i="3"/>
  <c r="N30" i="3"/>
  <c r="N28" i="3"/>
  <c r="N27" i="3"/>
  <c r="N26" i="3"/>
  <c r="N31" i="3"/>
  <c r="N18" i="3"/>
  <c r="N23" i="3"/>
  <c r="N19" i="3"/>
  <c r="N15" i="3"/>
  <c r="N20" i="3"/>
  <c r="N16" i="3"/>
  <c r="N22" i="3"/>
  <c r="N14" i="3"/>
  <c r="N21" i="3"/>
  <c r="N17" i="3"/>
  <c r="N44" i="3"/>
  <c r="N41" i="3"/>
  <c r="N46" i="3"/>
  <c r="N42" i="3"/>
  <c r="N38" i="3"/>
  <c r="N40" i="3"/>
  <c r="N45" i="3"/>
  <c r="N37" i="3"/>
  <c r="N43" i="3"/>
  <c r="N39" i="3"/>
</calcChain>
</file>

<file path=xl/sharedStrings.xml><?xml version="1.0" encoding="utf-8"?>
<sst xmlns="http://schemas.openxmlformats.org/spreadsheetml/2006/main" count="544" uniqueCount="164">
  <si>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</si>
  <si>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</si>
  <si>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</si>
  <si>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</si>
  <si>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</si>
  <si>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</si>
  <si>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</si>
  <si>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Start Time</t>
  </si>
  <si>
    <t>Completion Time</t>
  </si>
  <si>
    <t>Priority</t>
  </si>
  <si>
    <t>Appoinment</t>
  </si>
  <si>
    <t>Auto Process</t>
  </si>
  <si>
    <t>Job ID</t>
  </si>
  <si>
    <t>Emergency Department Bed 08</t>
  </si>
  <si>
    <t>F4 Surg Oncology (3501)</t>
  </si>
  <si>
    <t>Emergency Department Bed 07</t>
  </si>
  <si>
    <t>ICU Room 43 Bed 01</t>
  </si>
  <si>
    <t>Morgue (2032)</t>
  </si>
  <si>
    <t>Emergency Department Bed 11</t>
  </si>
  <si>
    <t>E2 Orthopedics (3502)</t>
  </si>
  <si>
    <t>E3 Medicine Room 03 Bed 02</t>
  </si>
  <si>
    <t>Nuclear Medicine (2230)</t>
  </si>
  <si>
    <t>E3 Medicine Room 16 Bed 01</t>
  </si>
  <si>
    <t>Echo Lab [MDU] (2586)</t>
  </si>
  <si>
    <t>C3 Oncology Room 23 Bed 01</t>
  </si>
  <si>
    <t>C4 Haematology DWA Bed 01</t>
  </si>
  <si>
    <t>X-Ray Core - B1 (2245)</t>
  </si>
  <si>
    <t>E3 Medicine Room 16 Bed 02</t>
  </si>
  <si>
    <t>Endoscopy (2334)</t>
  </si>
  <si>
    <t>DI Intervention #1 (2274)</t>
  </si>
  <si>
    <t>Emergency Department Bed 10</t>
  </si>
  <si>
    <t>C3 Oncology/GI Medicine Nurse (3395)</t>
  </si>
  <si>
    <t>F4 Surg Oncology Room 03 Bed 01</t>
  </si>
  <si>
    <t>C4 Haematology Room 33 Bed 03</t>
  </si>
  <si>
    <t>E3 Medicine DWA Bed 04</t>
  </si>
  <si>
    <t>E4 Room 15 Bed 04</t>
  </si>
  <si>
    <t>C3 Oncology Room 09 Bed 01</t>
  </si>
  <si>
    <t>Ultrasound (2276)</t>
  </si>
  <si>
    <t>CDU Express Bed 01</t>
  </si>
  <si>
    <t>E4 Room 15 Bed 02</t>
  </si>
  <si>
    <t>MSR Ward 3 Rehab Room 04 Bed 01</t>
  </si>
  <si>
    <t>Fracture - B1 (2292)</t>
  </si>
  <si>
    <t>F3 Medicine Room 11 Bed 02</t>
  </si>
  <si>
    <t>F4 Surg Oncology Room 01 Bed 03</t>
  </si>
  <si>
    <t>C3 Oncology Room 12 Bed 01</t>
  </si>
  <si>
    <t>E4 Room 15 Bed 01</t>
  </si>
  <si>
    <t>E2 Orthopedics Room 06 Bed 04</t>
  </si>
  <si>
    <t>E3 Medicine Room 06 Bed 03</t>
  </si>
  <si>
    <t>CDU Express Bed 04</t>
  </si>
  <si>
    <t>C4 Haematology Room 29 Bed 01</t>
  </si>
  <si>
    <t>CT - B1 (3023)</t>
  </si>
  <si>
    <t>E4 Room 17 Bed 01</t>
  </si>
  <si>
    <t>DI Intervention #2 (2282)</t>
  </si>
  <si>
    <t>Same Day Surgery [SDS] (3592)</t>
  </si>
  <si>
    <t>F3 Medicine Room 05 Bed 03</t>
  </si>
  <si>
    <t>C4 Haematology Room 17 Bed 02</t>
  </si>
  <si>
    <t>F4 Surg Oncology Room 09 Bed 01</t>
  </si>
  <si>
    <t>F3 Medicine Room 14 Bed 02</t>
  </si>
  <si>
    <t>JC Clinic F (3660)</t>
  </si>
  <si>
    <t>Diagnostic Imaging (3009)</t>
  </si>
  <si>
    <t>Emergency Department Bed 02</t>
  </si>
  <si>
    <t>E4 GI Surgery Ward (3901)</t>
  </si>
  <si>
    <t>JC Clinic E (3650)</t>
  </si>
  <si>
    <t>JC Ambulatory Holding (3606)</t>
  </si>
  <si>
    <t>Emergency Department (2285)</t>
  </si>
  <si>
    <t>F4 Surg Oncology Room 12 Bed 03</t>
  </si>
  <si>
    <t>E3 Medicine Room 12 Bed 01</t>
  </si>
  <si>
    <t>MRI (2778)</t>
  </si>
  <si>
    <t>C3 Oncology Room 32 Bed 01</t>
  </si>
  <si>
    <t>F4 Surg Oncology Room 12 Bed 01</t>
  </si>
  <si>
    <t>F3 Medicine (3907)</t>
  </si>
  <si>
    <t>C3 Oncology Room 16 Bed 01</t>
  </si>
  <si>
    <t>C3 Oncology Room 24 Bed 01</t>
  </si>
  <si>
    <t>E2 Orthopedics Room 14 Bed 01</t>
  </si>
  <si>
    <t>C3 Oncology Room 05 Bed 01</t>
  </si>
  <si>
    <t>JC 21I (3752)</t>
  </si>
  <si>
    <t>F4 Surg Oncology Room 11 Bed 01</t>
  </si>
  <si>
    <t>B3 Orthopaedics Room 211 Bed 01</t>
  </si>
  <si>
    <t>E2 Orthopedics Room 09 Bed 01</t>
  </si>
  <si>
    <t>Exercise Lab [MDU] (2218)</t>
  </si>
  <si>
    <t>Ambulatory Care - Medical (2500)</t>
  </si>
  <si>
    <t>C4 Haematology Room 46 Bed 01</t>
  </si>
  <si>
    <t>E3 Medicine Room 12 Bed 02</t>
  </si>
  <si>
    <t>F4 Surg Oncology Room 07 Bed 01</t>
  </si>
  <si>
    <t>F3 Medicine Room 12 Bed 02</t>
  </si>
  <si>
    <t>E3 Medicine Room 18 Bed 02</t>
  </si>
  <si>
    <t>Pulmonary Function [MDU] (2220)</t>
  </si>
  <si>
    <t>JC Chemotherapy (3625)</t>
  </si>
  <si>
    <t>JC 21H (3747)</t>
  </si>
  <si>
    <t>C4 Haematology Room 28 Bed 01</t>
  </si>
  <si>
    <t>E2 Orthopedics Room 16 Bed 01</t>
  </si>
  <si>
    <t>F3 Medicine Room 11 Bed 03</t>
  </si>
  <si>
    <t>C3 Oncology Room 06 Bed 01</t>
  </si>
  <si>
    <t>C4 Haematology Room 10 Bed 01</t>
  </si>
  <si>
    <t>C3 Oncology Room 09 Bed 02</t>
  </si>
  <si>
    <t>C3 Oncology Room 10 Bed 01</t>
  </si>
  <si>
    <t>C4 Haematology Room 08 Bed 01</t>
  </si>
  <si>
    <t>Emergency Department Bed 09</t>
  </si>
  <si>
    <t>E3 Medicine CTU (9300)</t>
  </si>
  <si>
    <t>CDU Express Bed 05</t>
  </si>
  <si>
    <t>C3 Oncology Room 17 Bed 03</t>
  </si>
  <si>
    <t>E4 Room 02 Bed 02</t>
  </si>
  <si>
    <t>F5 ALC Room 04 Bed 04</t>
  </si>
  <si>
    <t>CDU Express Bed 03</t>
  </si>
  <si>
    <t>F4 Surg Oncology Room 01 Bed 01</t>
  </si>
  <si>
    <t>C4 Haematology Room 44 Bed 01</t>
  </si>
  <si>
    <t>E4 Room 16 Bed 01</t>
  </si>
  <si>
    <t>F3 Medicine Room 05 Bed 01</t>
  </si>
  <si>
    <t>ICU Room 40 Bed 01</t>
  </si>
  <si>
    <t>C4 Haematology Nurse (3396)</t>
  </si>
  <si>
    <t>F3 Medicine Room 04 Bed 04</t>
  </si>
  <si>
    <t>JC 21G (3743)</t>
  </si>
  <si>
    <t>F3 Medicine Room 04 Bed 01</t>
  </si>
  <si>
    <t>F5 ALC Nurse Station (3511)</t>
  </si>
  <si>
    <t>F4 Surg Oncology Room 02 Bed 01</t>
  </si>
  <si>
    <t>E4 Room 06 Bed 02</t>
  </si>
  <si>
    <t>C3 Oncology Room 26 Bed 01</t>
  </si>
  <si>
    <t>C3 Oncology Room 17 Bed 01</t>
  </si>
  <si>
    <t>E3 Medicine DWA Bed 02</t>
  </si>
  <si>
    <t>JC 10A (3721)</t>
  </si>
  <si>
    <t>JC Clinic A (3610)</t>
  </si>
  <si>
    <t>C4 Haematology Room 31 Bed 01</t>
  </si>
  <si>
    <t>MSR Ward 3 Rehab Room 09 Bed 01</t>
  </si>
  <si>
    <t>F4 Surg Oncology Room 12 Bed 02</t>
  </si>
  <si>
    <t>E3 Medicine Room 11 Bed 01</t>
  </si>
  <si>
    <t>E2 Orthopedics Room 04 Bed 01</t>
  </si>
  <si>
    <t>F3 Medicine Room 01 Bed 03</t>
  </si>
  <si>
    <t>F4 Surg Oncology Room 15 Bed 01</t>
  </si>
  <si>
    <t>C4 Haematology Room 52 Bed 01</t>
  </si>
  <si>
    <t>Emergency Department - GRIDLOCK (2286)</t>
  </si>
  <si>
    <t>Emergency Department Bed 04</t>
  </si>
  <si>
    <t>E4 Room 08 Bed 01</t>
  </si>
  <si>
    <t>C4 Haematology Room 45 Bed 01</t>
  </si>
  <si>
    <t>PACU (3415)</t>
  </si>
  <si>
    <t>B3 Orthopaedics Room 218 Bed 01</t>
  </si>
  <si>
    <t>Emergency Department Bed 03</t>
  </si>
  <si>
    <t>Day Origin</t>
  </si>
  <si>
    <t>0-6</t>
  </si>
  <si>
    <t>End Time</t>
  </si>
  <si>
    <t>Day 1</t>
  </si>
  <si>
    <t>Completed By Porter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</si>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</sst>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Fill="1" applyBorder="1" applyAlignment="1" applyProtection="1"/>
    <xf numFmtId="22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2" fontId="1" fillId="0" borderId="0" xfId="0" applyNumberFormat="1" applyFont="1" applyFill="1" applyBorder="1" applyAlignment="1" applyProtection="1"/>
    <xf numFmtId="2" fontId="0" fillId="0" borderId="0" xfId="0" applyNumberFormat="1"/>
    <xf numFmtId="0" fontId="3" fillId="0" borderId="0" xfId="0" applyNumberFormat="1" applyFont="1" applyFill="1" applyBorder="1" applyAlignment="1" applyProtection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2" fontId="5" fillId="0" borderId="4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18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30.333333333333332</c:v>
                </c:pt>
                <c:pt idx="14">
                  <c:v>25.666666666666668</c:v>
                </c:pt>
                <c:pt idx="15">
                  <c:v>26.2</c:v>
                </c:pt>
                <c:pt idx="16">
                  <c:v>39</c:v>
                </c:pt>
                <c:pt idx="17">
                  <c:v>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12.5</c:v>
                </c:pt>
                <c:pt idx="11">
                  <c:v>18</c:v>
                </c:pt>
                <c:pt idx="12">
                  <c:v>21.666666666666668</c:v>
                </c:pt>
                <c:pt idx="13">
                  <c:v>15</c:v>
                </c:pt>
                <c:pt idx="14">
                  <c:v>19</c:v>
                </c:pt>
                <c:pt idx="15">
                  <c:v>17.75</c:v>
                </c:pt>
                <c:pt idx="16">
                  <c:v>17.5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19.5</c:v>
                </c:pt>
                <c:pt idx="11">
                  <c:v>11.5</c:v>
                </c:pt>
                <c:pt idx="12">
                  <c:v>33</c:v>
                </c:pt>
                <c:pt idx="13">
                  <c:v>19.333333333333332</c:v>
                </c:pt>
                <c:pt idx="14">
                  <c:v>20.666666666666668</c:v>
                </c:pt>
                <c:pt idx="15">
                  <c:v>34</c:v>
                </c:pt>
                <c:pt idx="16">
                  <c:v>15.5</c:v>
                </c:pt>
                <c:pt idx="17">
                  <c:v>26.5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12</c:v>
                </c:pt>
                <c:pt idx="10">
                  <c:v>28</c:v>
                </c:pt>
                <c:pt idx="11">
                  <c:v>8.5</c:v>
                </c:pt>
                <c:pt idx="12">
                  <c:v>12.8</c:v>
                </c:pt>
                <c:pt idx="13">
                  <c:v>26.25</c:v>
                </c:pt>
                <c:pt idx="14">
                  <c:v>16</c:v>
                </c:pt>
                <c:pt idx="15">
                  <c:v>16.75</c:v>
                </c:pt>
                <c:pt idx="16">
                  <c:v>17.333333333333332</c:v>
                </c:pt>
                <c:pt idx="17">
                  <c:v>18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23</c:v>
                </c:pt>
                <c:pt idx="11">
                  <c:v>7</c:v>
                </c:pt>
                <c:pt idx="12">
                  <c:v>12.75</c:v>
                </c:pt>
                <c:pt idx="13">
                  <c:v>19</c:v>
                </c:pt>
                <c:pt idx="14">
                  <c:v>22.5</c:v>
                </c:pt>
                <c:pt idx="15">
                  <c:v>15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27</c:v>
                </c:pt>
                <c:pt idx="12">
                  <c:v>29.6</c:v>
                </c:pt>
                <c:pt idx="13">
                  <c:v>30.333333333333332</c:v>
                </c:pt>
                <c:pt idx="14">
                  <c:v>26</c:v>
                </c:pt>
                <c:pt idx="15">
                  <c:v>21</c:v>
                </c:pt>
                <c:pt idx="16">
                  <c:v>22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16.5</c:v>
                </c:pt>
                <c:pt idx="11">
                  <c:v>18.5</c:v>
                </c:pt>
                <c:pt idx="12">
                  <c:v>32</c:v>
                </c:pt>
                <c:pt idx="13">
                  <c:v>15.5</c:v>
                </c:pt>
                <c:pt idx="14">
                  <c:v>0</c:v>
                </c:pt>
                <c:pt idx="15">
                  <c:v>30</c:v>
                </c:pt>
                <c:pt idx="16">
                  <c:v>7</c:v>
                </c:pt>
                <c:pt idx="17">
                  <c:v>18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0</c:v>
                </c:pt>
                <c:pt idx="11">
                  <c:v>27</c:v>
                </c:pt>
                <c:pt idx="12">
                  <c:v>9</c:v>
                </c:pt>
                <c:pt idx="13">
                  <c:v>30.8</c:v>
                </c:pt>
                <c:pt idx="14">
                  <c:v>13</c:v>
                </c:pt>
                <c:pt idx="15">
                  <c:v>13.666666666666666</c:v>
                </c:pt>
                <c:pt idx="16">
                  <c:v>25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14.6</c:v>
                </c:pt>
                <c:pt idx="11">
                  <c:v>16</c:v>
                </c:pt>
                <c:pt idx="12">
                  <c:v>22.5</c:v>
                </c:pt>
                <c:pt idx="13">
                  <c:v>37</c:v>
                </c:pt>
                <c:pt idx="14">
                  <c:v>13.666666666666666</c:v>
                </c:pt>
                <c:pt idx="15">
                  <c:v>18.5</c:v>
                </c:pt>
                <c:pt idx="16">
                  <c:v>0</c:v>
                </c:pt>
                <c:pt idx="17">
                  <c:v>34.5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20.5</c:v>
                </c:pt>
                <c:pt idx="11">
                  <c:v>16.333333333333332</c:v>
                </c:pt>
                <c:pt idx="12">
                  <c:v>12</c:v>
                </c:pt>
                <c:pt idx="13">
                  <c:v>39</c:v>
                </c:pt>
                <c:pt idx="14">
                  <c:v>14.5</c:v>
                </c:pt>
                <c:pt idx="15">
                  <c:v>9</c:v>
                </c:pt>
                <c:pt idx="16">
                  <c:v>19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28</c:v>
                </c:pt>
                <c:pt idx="13">
                  <c:v>14.666666666666666</c:v>
                </c:pt>
                <c:pt idx="14">
                  <c:v>12.5</c:v>
                </c:pt>
                <c:pt idx="15">
                  <c:v>28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0069888"/>
        <c:axId val="890063904"/>
      </c:lineChart>
      <c:catAx>
        <c:axId val="8900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063904"/>
        <c:crosses val="autoZero"/>
        <c:auto val="1"/>
        <c:lblAlgn val="ctr"/>
        <c:lblOffset val="100"/>
        <c:noMultiLvlLbl val="0"/>
      </c:catAx>
      <c:valAx>
        <c:axId val="8900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06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53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18.666666666666668</c:v>
                </c:pt>
                <c:pt idx="10">
                  <c:v>17.235294117647058</c:v>
                </c:pt>
                <c:pt idx="11">
                  <c:v>17.34782608695652</c:v>
                </c:pt>
                <c:pt idx="12">
                  <c:v>20.6</c:v>
                </c:pt>
                <c:pt idx="13">
                  <c:v>24.964285714285715</c:v>
                </c:pt>
                <c:pt idx="14">
                  <c:v>18.931034482758619</c:v>
                </c:pt>
                <c:pt idx="15">
                  <c:v>20.76923076923077</c:v>
                </c:pt>
                <c:pt idx="16">
                  <c:v>18.941176470588236</c:v>
                </c:pt>
                <c:pt idx="17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0071520"/>
        <c:axId val="890072064"/>
      </c:lineChart>
      <c:catAx>
        <c:axId val="89007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072064"/>
        <c:crosses val="autoZero"/>
        <c:auto val="1"/>
        <c:lblAlgn val="ctr"/>
        <c:lblOffset val="100"/>
        <c:noMultiLvlLbl val="0"/>
      </c:catAx>
      <c:valAx>
        <c:axId val="89007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07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5680688"/>
        <c:axId val="1075670896"/>
      </c:lineChart>
      <c:catAx>
        <c:axId val="10756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670896"/>
        <c:crosses val="autoZero"/>
        <c:auto val="1"/>
        <c:lblAlgn val="ctr"/>
        <c:lblOffset val="100"/>
        <c:noMultiLvlLbl val="0"/>
      </c:catAx>
      <c:valAx>
        <c:axId val="107567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6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</c:v>
                </c:pt>
                <c:pt idx="9">
                  <c:v>15</c:v>
                </c:pt>
                <c:pt idx="10">
                  <c:v>0</c:v>
                </c:pt>
                <c:pt idx="11">
                  <c:v>10.5</c:v>
                </c:pt>
                <c:pt idx="12">
                  <c:v>0</c:v>
                </c:pt>
                <c:pt idx="13">
                  <c:v>7.333333333333333</c:v>
                </c:pt>
                <c:pt idx="14">
                  <c:v>14.666666666666666</c:v>
                </c:pt>
                <c:pt idx="15">
                  <c:v>0.2</c:v>
                </c:pt>
                <c:pt idx="16">
                  <c:v>22</c:v>
                </c:pt>
                <c:pt idx="17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10.666666666666666</c:v>
                </c:pt>
                <c:pt idx="10">
                  <c:v>12</c:v>
                </c:pt>
                <c:pt idx="11">
                  <c:v>42</c:v>
                </c:pt>
                <c:pt idx="12">
                  <c:v>11.666666666666666</c:v>
                </c:pt>
                <c:pt idx="13">
                  <c:v>18</c:v>
                </c:pt>
                <c:pt idx="14">
                  <c:v>9</c:v>
                </c:pt>
                <c:pt idx="15">
                  <c:v>12</c:v>
                </c:pt>
                <c:pt idx="16">
                  <c:v>9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27.5</c:v>
                </c:pt>
                <c:pt idx="10">
                  <c:v>14.5</c:v>
                </c:pt>
                <c:pt idx="11">
                  <c:v>0.5</c:v>
                </c:pt>
                <c:pt idx="12">
                  <c:v>54</c:v>
                </c:pt>
                <c:pt idx="13">
                  <c:v>6.333333333333333</c:v>
                </c:pt>
                <c:pt idx="14">
                  <c:v>14</c:v>
                </c:pt>
                <c:pt idx="15">
                  <c:v>13</c:v>
                </c:pt>
                <c:pt idx="16">
                  <c:v>0</c:v>
                </c:pt>
                <c:pt idx="17">
                  <c:v>8.5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52</c:v>
                </c:pt>
                <c:pt idx="11">
                  <c:v>10.5</c:v>
                </c:pt>
                <c:pt idx="12">
                  <c:v>6.8</c:v>
                </c:pt>
                <c:pt idx="13">
                  <c:v>4.75</c:v>
                </c:pt>
                <c:pt idx="14">
                  <c:v>13.5</c:v>
                </c:pt>
                <c:pt idx="15">
                  <c:v>8.25</c:v>
                </c:pt>
                <c:pt idx="16">
                  <c:v>18</c:v>
                </c:pt>
                <c:pt idx="17">
                  <c:v>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20.5</c:v>
                </c:pt>
                <c:pt idx="10">
                  <c:v>27.5</c:v>
                </c:pt>
                <c:pt idx="11">
                  <c:v>1</c:v>
                </c:pt>
                <c:pt idx="12">
                  <c:v>7.75</c:v>
                </c:pt>
                <c:pt idx="13">
                  <c:v>9</c:v>
                </c:pt>
                <c:pt idx="14">
                  <c:v>0.75</c:v>
                </c:pt>
                <c:pt idx="15">
                  <c:v>9</c:v>
                </c:pt>
                <c:pt idx="16">
                  <c:v>0</c:v>
                </c:pt>
                <c:pt idx="17">
                  <c:v>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18</c:v>
                </c:pt>
                <c:pt idx="12">
                  <c:v>1</c:v>
                </c:pt>
                <c:pt idx="13">
                  <c:v>2.6666666666666665</c:v>
                </c:pt>
                <c:pt idx="14">
                  <c:v>15.666666666666666</c:v>
                </c:pt>
                <c:pt idx="15">
                  <c:v>28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5.5</c:v>
                </c:pt>
                <c:pt idx="11">
                  <c:v>16.5</c:v>
                </c:pt>
                <c:pt idx="12">
                  <c:v>7</c:v>
                </c:pt>
                <c:pt idx="13">
                  <c:v>13</c:v>
                </c:pt>
                <c:pt idx="14">
                  <c:v>0</c:v>
                </c:pt>
                <c:pt idx="15">
                  <c:v>26</c:v>
                </c:pt>
                <c:pt idx="16">
                  <c:v>1.5</c:v>
                </c:pt>
                <c:pt idx="17">
                  <c:v>11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10.333333333333334</c:v>
                </c:pt>
                <c:pt idx="12">
                  <c:v>13</c:v>
                </c:pt>
                <c:pt idx="13">
                  <c:v>1</c:v>
                </c:pt>
                <c:pt idx="14">
                  <c:v>24</c:v>
                </c:pt>
                <c:pt idx="15">
                  <c:v>16.333333333333332</c:v>
                </c:pt>
                <c:pt idx="16">
                  <c:v>57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</c:v>
                </c:pt>
                <c:pt idx="11">
                  <c:v>8.25</c:v>
                </c:pt>
                <c:pt idx="12">
                  <c:v>9.5</c:v>
                </c:pt>
                <c:pt idx="13">
                  <c:v>14</c:v>
                </c:pt>
                <c:pt idx="14">
                  <c:v>7.333333333333333</c:v>
                </c:pt>
                <c:pt idx="15">
                  <c:v>28</c:v>
                </c:pt>
                <c:pt idx="16">
                  <c:v>0</c:v>
                </c:pt>
                <c:pt idx="17">
                  <c:v>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31</c:v>
                </c:pt>
                <c:pt idx="13">
                  <c:v>44</c:v>
                </c:pt>
                <c:pt idx="14">
                  <c:v>5.5</c:v>
                </c:pt>
                <c:pt idx="15">
                  <c:v>23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11.5</c:v>
                </c:pt>
                <c:pt idx="13">
                  <c:v>14.666666666666666</c:v>
                </c:pt>
                <c:pt idx="14">
                  <c:v>2.5</c:v>
                </c:pt>
                <c:pt idx="15">
                  <c:v>13.666666666666666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5681232"/>
        <c:axId val="1075666544"/>
      </c:lineChart>
      <c:catAx>
        <c:axId val="10756812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666544"/>
        <c:crosses val="autoZero"/>
        <c:auto val="1"/>
        <c:lblAlgn val="ctr"/>
        <c:lblOffset val="100"/>
        <c:noMultiLvlLbl val="0"/>
      </c:catAx>
      <c:valAx>
        <c:axId val="10756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68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5"/>
  <sheetViews>
    <sheetView workbookViewId="0">
      <selection activeCell="C19" sqref="C19"/>
    </sheetView>
  </sheetViews>
  <sheetFormatPr defaultRowHeight="14.4" x14ac:dyDescent="0.3"/>
  <cols>
    <col min="1" max="1" width="15.44140625" style="7" bestFit="1" customWidth="1"/>
    <col min="2" max="2" width="18.6640625" customWidth="1"/>
    <col min="3" max="3" width="16.33203125" style="7" customWidth="1"/>
    <col min="4" max="4" width="20.44140625" customWidth="1"/>
    <col min="5" max="5" width="32.21875" customWidth="1"/>
    <col min="6" max="6" width="16.33203125" style="7" customWidth="1"/>
    <col min="7" max="7" width="22.21875" style="7" customWidth="1"/>
    <col min="14" max="14" width="18.109375" style="9" bestFit="1" customWidth="1"/>
  </cols>
  <sheetData>
    <row r="1" spans="1:14" x14ac:dyDescent="0.3">
      <c r="A1" s="6" t="s">
        <v>0</v>
      </c>
      <c r="B1" s="1" t="s">
        <v>1</v>
      </c>
      <c r="C1" s="6" t="s">
        <v>2</v>
      </c>
      <c r="D1" s="1" t="s">
        <v>3</v>
      </c>
      <c r="E1" s="1" t="s">
        <v>4</v>
      </c>
      <c r="F1" s="6" t="s">
        <v>5</v>
      </c>
      <c r="G1" s="6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8" t="s">
        <v>140</v>
      </c>
    </row>
    <row r="2" spans="1:14" x14ac:dyDescent="0.3">
      <c r="A2" s="7">
        <v>41640.338888888888</v>
      </c>
      <c r="B2">
        <v>3180</v>
      </c>
      <c r="C2" s="7">
        <v>41640.370833333334</v>
      </c>
      <c r="D2" t="s">
        <v>13</v>
      </c>
      <c r="E2" t="s">
        <v>14</v>
      </c>
      <c r="F2" s="7">
        <v>41640.344444444447</v>
      </c>
      <c r="G2" s="7">
        <v>41640.381249999999</v>
      </c>
      <c r="J2">
        <v>0</v>
      </c>
      <c r="K2">
        <v>0</v>
      </c>
      <c r="M2">
        <v>119</v>
      </c>
      <c r="N2" s="9">
        <v>3</v>
      </c>
    </row>
    <row r="3" spans="1:14" x14ac:dyDescent="0.3">
      <c r="A3" s="7">
        <v>41640.34375</v>
      </c>
      <c r="B3">
        <v>900</v>
      </c>
      <c r="C3" s="7">
        <v>41640.345138888886</v>
      </c>
      <c r="D3" t="s">
        <v>15</v>
      </c>
      <c r="E3" t="s">
        <v>14</v>
      </c>
      <c r="F3" s="7">
        <v>41640.345138888886</v>
      </c>
      <c r="G3" s="7">
        <v>41640.355555555558</v>
      </c>
      <c r="J3">
        <v>0</v>
      </c>
      <c r="K3">
        <v>0</v>
      </c>
      <c r="M3">
        <v>178</v>
      </c>
      <c r="N3" s="9">
        <v>3</v>
      </c>
    </row>
    <row r="4" spans="1:14" x14ac:dyDescent="0.3">
      <c r="A4" s="7">
        <v>41640.370138888888</v>
      </c>
      <c r="B4">
        <v>1440</v>
      </c>
      <c r="C4" s="7">
        <v>41640.350694444445</v>
      </c>
      <c r="D4" t="s">
        <v>16</v>
      </c>
      <c r="E4" t="s">
        <v>17</v>
      </c>
      <c r="F4" s="7">
        <v>41640.37222222222</v>
      </c>
      <c r="G4" s="7">
        <v>41640.388888888891</v>
      </c>
      <c r="J4">
        <v>0</v>
      </c>
      <c r="K4">
        <v>0</v>
      </c>
      <c r="M4">
        <v>179</v>
      </c>
      <c r="N4" s="9">
        <v>2</v>
      </c>
    </row>
    <row r="5" spans="1:14" x14ac:dyDescent="0.3">
      <c r="A5" s="7">
        <v>41640.393055555556</v>
      </c>
      <c r="B5">
        <v>360</v>
      </c>
      <c r="C5" s="7">
        <v>41640.368055555555</v>
      </c>
      <c r="D5" t="s">
        <v>18</v>
      </c>
      <c r="E5" t="s">
        <v>19</v>
      </c>
      <c r="F5" s="7">
        <v>41640.395138888889</v>
      </c>
      <c r="G5" s="7">
        <v>41640.399305555555</v>
      </c>
      <c r="J5">
        <v>0</v>
      </c>
      <c r="K5">
        <v>0</v>
      </c>
      <c r="M5">
        <v>118</v>
      </c>
      <c r="N5" s="9">
        <v>5</v>
      </c>
    </row>
    <row r="6" spans="1:14" x14ac:dyDescent="0.3">
      <c r="A6" s="7">
        <v>41640.607638888891</v>
      </c>
      <c r="B6">
        <v>1320</v>
      </c>
      <c r="C6" s="7">
        <v>41640.349305555559</v>
      </c>
      <c r="D6" t="s">
        <v>20</v>
      </c>
      <c r="E6" t="s">
        <v>21</v>
      </c>
      <c r="F6" s="7">
        <v>41640.611111111109</v>
      </c>
      <c r="G6" s="7">
        <v>41640.626388888886</v>
      </c>
      <c r="J6">
        <v>0</v>
      </c>
      <c r="K6">
        <v>0</v>
      </c>
      <c r="M6">
        <v>130</v>
      </c>
      <c r="N6" s="9">
        <v>3</v>
      </c>
    </row>
    <row r="7" spans="1:14" x14ac:dyDescent="0.3">
      <c r="A7" s="7">
        <v>41640.615277777775</v>
      </c>
      <c r="B7">
        <v>660</v>
      </c>
      <c r="C7" s="7">
        <v>41640.345138888886</v>
      </c>
      <c r="D7" t="s">
        <v>22</v>
      </c>
      <c r="E7" t="s">
        <v>23</v>
      </c>
      <c r="F7" s="7">
        <v>41640.616666666669</v>
      </c>
      <c r="G7" s="7">
        <v>41640.624305555553</v>
      </c>
      <c r="J7">
        <v>0</v>
      </c>
      <c r="K7">
        <v>0</v>
      </c>
      <c r="M7">
        <v>56</v>
      </c>
      <c r="N7" s="9">
        <v>3</v>
      </c>
    </row>
    <row r="8" spans="1:14" x14ac:dyDescent="0.3">
      <c r="A8" s="7">
        <v>41640.617361111108</v>
      </c>
      <c r="B8">
        <v>780</v>
      </c>
      <c r="C8" s="7">
        <v>41640.345138888886</v>
      </c>
      <c r="D8" t="s">
        <v>24</v>
      </c>
      <c r="E8" t="s">
        <v>23</v>
      </c>
      <c r="F8" s="7">
        <v>41640.618750000001</v>
      </c>
      <c r="G8" s="7">
        <v>41640.62777777778</v>
      </c>
      <c r="J8">
        <v>0</v>
      </c>
      <c r="K8">
        <v>0</v>
      </c>
      <c r="M8">
        <v>124</v>
      </c>
      <c r="N8" s="9">
        <v>0</v>
      </c>
    </row>
    <row r="9" spans="1:14" x14ac:dyDescent="0.3">
      <c r="A9" s="7">
        <v>41640.618055555555</v>
      </c>
      <c r="B9">
        <v>1200</v>
      </c>
      <c r="C9" s="7">
        <v>41640.349305555559</v>
      </c>
      <c r="D9" t="s">
        <v>25</v>
      </c>
      <c r="E9" t="s">
        <v>26</v>
      </c>
      <c r="F9" s="7">
        <v>41640.62222222222</v>
      </c>
      <c r="G9" s="7">
        <v>41640.636111111111</v>
      </c>
      <c r="J9">
        <v>0</v>
      </c>
      <c r="K9">
        <v>0</v>
      </c>
      <c r="M9">
        <v>114</v>
      </c>
      <c r="N9" s="9">
        <v>0</v>
      </c>
    </row>
    <row r="10" spans="1:14" x14ac:dyDescent="0.3">
      <c r="A10" s="7">
        <v>41640.631944444445</v>
      </c>
      <c r="B10">
        <v>900</v>
      </c>
      <c r="C10" s="7">
        <v>41640.347222222219</v>
      </c>
      <c r="D10" t="s">
        <v>27</v>
      </c>
      <c r="E10" t="s">
        <v>26</v>
      </c>
      <c r="F10" s="7">
        <v>41640.634722222225</v>
      </c>
      <c r="G10" s="7">
        <v>41640.645138888889</v>
      </c>
      <c r="J10">
        <v>0</v>
      </c>
      <c r="K10">
        <v>0</v>
      </c>
      <c r="M10">
        <v>113</v>
      </c>
      <c r="N10" s="9">
        <v>5</v>
      </c>
    </row>
    <row r="11" spans="1:14" x14ac:dyDescent="0.3">
      <c r="A11" s="7">
        <v>41640.637499999997</v>
      </c>
      <c r="B11">
        <v>660</v>
      </c>
      <c r="C11" s="7">
        <v>41640.350694444445</v>
      </c>
      <c r="D11" t="s">
        <v>28</v>
      </c>
      <c r="E11" t="s">
        <v>29</v>
      </c>
      <c r="F11" s="7">
        <v>41640.663888888892</v>
      </c>
      <c r="G11" s="7">
        <v>41640.671527777777</v>
      </c>
      <c r="J11">
        <v>0</v>
      </c>
      <c r="K11">
        <v>0</v>
      </c>
      <c r="M11">
        <v>58</v>
      </c>
      <c r="N11" s="9">
        <v>4</v>
      </c>
    </row>
    <row r="12" spans="1:14" x14ac:dyDescent="0.3">
      <c r="A12" s="7">
        <v>41640.640972222223</v>
      </c>
      <c r="B12">
        <v>660</v>
      </c>
      <c r="C12" s="7">
        <v>41640.341666666667</v>
      </c>
      <c r="D12" t="s">
        <v>26</v>
      </c>
      <c r="E12" t="s">
        <v>25</v>
      </c>
      <c r="F12" s="7">
        <v>41640.676388888889</v>
      </c>
      <c r="G12" s="7">
        <v>41640.684027777781</v>
      </c>
      <c r="J12">
        <v>0</v>
      </c>
      <c r="K12">
        <v>0</v>
      </c>
      <c r="M12">
        <v>86</v>
      </c>
      <c r="N12" s="9">
        <v>5</v>
      </c>
    </row>
    <row r="13" spans="1:14" x14ac:dyDescent="0.3">
      <c r="A13" s="7">
        <v>41640.642361111109</v>
      </c>
      <c r="B13">
        <v>900</v>
      </c>
      <c r="C13" s="7">
        <v>41640.354166666664</v>
      </c>
      <c r="D13" t="s">
        <v>30</v>
      </c>
      <c r="E13" t="s">
        <v>31</v>
      </c>
      <c r="F13" s="7">
        <v>41640.644444444442</v>
      </c>
      <c r="G13" s="7">
        <v>41640.654861111114</v>
      </c>
      <c r="J13">
        <v>0</v>
      </c>
      <c r="K13">
        <v>0</v>
      </c>
      <c r="M13">
        <v>123</v>
      </c>
      <c r="N13" s="9">
        <v>4</v>
      </c>
    </row>
    <row r="14" spans="1:14" x14ac:dyDescent="0.3">
      <c r="A14" s="7">
        <v>41640.643750000003</v>
      </c>
      <c r="B14">
        <v>720</v>
      </c>
      <c r="C14" s="7">
        <v>41640.34375</v>
      </c>
      <c r="D14" t="s">
        <v>28</v>
      </c>
      <c r="E14" t="s">
        <v>29</v>
      </c>
      <c r="F14" s="7">
        <v>41640.646527777775</v>
      </c>
      <c r="G14" s="7">
        <v>41640.654861111114</v>
      </c>
      <c r="J14">
        <v>0</v>
      </c>
      <c r="K14">
        <v>0</v>
      </c>
      <c r="M14">
        <v>134</v>
      </c>
      <c r="N14" s="9">
        <v>0</v>
      </c>
    </row>
    <row r="15" spans="1:14" x14ac:dyDescent="0.3">
      <c r="A15" s="7">
        <v>41640.644444444442</v>
      </c>
      <c r="B15">
        <v>600</v>
      </c>
      <c r="C15" s="7">
        <v>41640.352083333331</v>
      </c>
      <c r="D15" t="s">
        <v>21</v>
      </c>
      <c r="E15" t="s">
        <v>20</v>
      </c>
      <c r="F15" s="7">
        <v>41640.646527777775</v>
      </c>
      <c r="G15" s="7">
        <v>41640.65347222222</v>
      </c>
      <c r="J15">
        <v>0</v>
      </c>
      <c r="K15">
        <v>0</v>
      </c>
      <c r="M15">
        <v>106</v>
      </c>
      <c r="N15" s="9">
        <v>8</v>
      </c>
    </row>
    <row r="16" spans="1:14" x14ac:dyDescent="0.3">
      <c r="A16" s="7">
        <v>41640.645833333336</v>
      </c>
      <c r="B16">
        <v>1260</v>
      </c>
      <c r="C16" s="7">
        <v>41640.347916666666</v>
      </c>
      <c r="D16" t="s">
        <v>32</v>
      </c>
      <c r="E16" t="s">
        <v>26</v>
      </c>
      <c r="F16" s="7">
        <v>41640.649305555555</v>
      </c>
      <c r="G16" s="7">
        <v>41640.663888888892</v>
      </c>
      <c r="J16">
        <v>0</v>
      </c>
      <c r="K16">
        <v>0</v>
      </c>
      <c r="M16">
        <v>88</v>
      </c>
      <c r="N16" s="9">
        <v>6</v>
      </c>
    </row>
    <row r="17" spans="1:14" x14ac:dyDescent="0.3">
      <c r="A17" s="7">
        <v>41640.648611111108</v>
      </c>
      <c r="B17">
        <v>960</v>
      </c>
      <c r="C17" s="7">
        <v>41640.34652777778</v>
      </c>
      <c r="D17" t="s">
        <v>23</v>
      </c>
      <c r="E17" t="s">
        <v>24</v>
      </c>
      <c r="F17" s="7">
        <v>41640.649305555555</v>
      </c>
      <c r="G17" s="7">
        <v>41640.660416666666</v>
      </c>
      <c r="J17">
        <v>0</v>
      </c>
      <c r="K17">
        <v>0</v>
      </c>
      <c r="M17">
        <v>132</v>
      </c>
      <c r="N17" s="9">
        <v>2</v>
      </c>
    </row>
    <row r="18" spans="1:14" x14ac:dyDescent="0.3">
      <c r="A18" s="7">
        <v>41640.649305555555</v>
      </c>
      <c r="B18">
        <v>2040</v>
      </c>
      <c r="C18" s="7">
        <v>41640.356944444444</v>
      </c>
      <c r="D18" t="s">
        <v>33</v>
      </c>
      <c r="E18" t="s">
        <v>23</v>
      </c>
      <c r="F18" s="7">
        <v>41640.661111111112</v>
      </c>
      <c r="G18" s="7">
        <v>41640.68472222222</v>
      </c>
      <c r="J18">
        <v>0</v>
      </c>
      <c r="K18">
        <v>0</v>
      </c>
      <c r="M18">
        <v>82</v>
      </c>
      <c r="N18" s="9">
        <v>2</v>
      </c>
    </row>
    <row r="19" spans="1:14" x14ac:dyDescent="0.3">
      <c r="A19" s="7">
        <v>41640.649305555555</v>
      </c>
      <c r="B19">
        <v>1080</v>
      </c>
      <c r="C19" s="7">
        <v>41640.35</v>
      </c>
      <c r="D19" t="s">
        <v>34</v>
      </c>
      <c r="E19" t="s">
        <v>23</v>
      </c>
      <c r="F19" s="7">
        <v>41640.659722222219</v>
      </c>
      <c r="G19" s="7">
        <v>41640.672222222223</v>
      </c>
      <c r="J19">
        <v>0</v>
      </c>
      <c r="K19">
        <v>0</v>
      </c>
      <c r="M19">
        <v>55</v>
      </c>
      <c r="N19" s="9">
        <v>3</v>
      </c>
    </row>
    <row r="20" spans="1:14" x14ac:dyDescent="0.3">
      <c r="A20" s="7">
        <v>41640.650694444441</v>
      </c>
      <c r="B20">
        <v>2160</v>
      </c>
      <c r="C20" s="7">
        <v>41640.359027777777</v>
      </c>
      <c r="D20" t="s">
        <v>23</v>
      </c>
      <c r="E20" t="s">
        <v>22</v>
      </c>
      <c r="F20" s="7">
        <v>41640.652083333334</v>
      </c>
      <c r="G20" s="7">
        <v>41640.677083333336</v>
      </c>
      <c r="J20">
        <v>0</v>
      </c>
      <c r="K20">
        <v>0</v>
      </c>
      <c r="M20">
        <v>57</v>
      </c>
      <c r="N20" s="9">
        <v>1</v>
      </c>
    </row>
    <row r="21" spans="1:14" x14ac:dyDescent="0.3">
      <c r="A21" s="7">
        <v>41640.659722222219</v>
      </c>
      <c r="B21">
        <v>1500</v>
      </c>
      <c r="C21" s="7">
        <v>41640.359027777777</v>
      </c>
      <c r="D21" t="s">
        <v>35</v>
      </c>
      <c r="E21" t="s">
        <v>26</v>
      </c>
      <c r="F21" s="7">
        <v>41640.669444444444</v>
      </c>
      <c r="G21" s="7">
        <v>41640.686805555553</v>
      </c>
      <c r="J21">
        <v>0</v>
      </c>
      <c r="K21">
        <v>0</v>
      </c>
      <c r="M21">
        <v>126</v>
      </c>
      <c r="N21" s="9">
        <v>2</v>
      </c>
    </row>
    <row r="22" spans="1:14" x14ac:dyDescent="0.3">
      <c r="A22" s="7">
        <v>41640.668055555558</v>
      </c>
      <c r="B22">
        <v>540</v>
      </c>
      <c r="C22" s="7">
        <v>41640.34652777778</v>
      </c>
      <c r="D22" t="s">
        <v>26</v>
      </c>
      <c r="E22" t="s">
        <v>32</v>
      </c>
      <c r="F22" s="7">
        <v>41640.711111111108</v>
      </c>
      <c r="G22" s="7">
        <v>41640.717361111114</v>
      </c>
      <c r="J22">
        <v>0</v>
      </c>
      <c r="K22">
        <v>0</v>
      </c>
      <c r="M22">
        <v>212</v>
      </c>
      <c r="N22" s="9">
        <v>10</v>
      </c>
    </row>
    <row r="23" spans="1:14" x14ac:dyDescent="0.3">
      <c r="A23" s="7">
        <v>41640.672222222223</v>
      </c>
      <c r="B23">
        <v>1020</v>
      </c>
      <c r="C23" s="7">
        <v>41640.345138888886</v>
      </c>
      <c r="D23" t="s">
        <v>26</v>
      </c>
      <c r="E23" t="s">
        <v>27</v>
      </c>
      <c r="F23" s="7">
        <v>41640.677777777775</v>
      </c>
      <c r="G23" s="7">
        <v>41640.689583333333</v>
      </c>
      <c r="J23">
        <v>0</v>
      </c>
      <c r="K23">
        <v>0</v>
      </c>
      <c r="M23">
        <v>87</v>
      </c>
      <c r="N23" s="9">
        <v>6</v>
      </c>
    </row>
    <row r="24" spans="1:14" x14ac:dyDescent="0.3">
      <c r="A24" s="7">
        <v>41640.673611111109</v>
      </c>
      <c r="B24">
        <v>1620</v>
      </c>
      <c r="C24" s="7">
        <v>41640.355555555558</v>
      </c>
      <c r="D24" t="s">
        <v>36</v>
      </c>
      <c r="E24" t="s">
        <v>26</v>
      </c>
      <c r="F24" s="7">
        <v>41640.677083333336</v>
      </c>
      <c r="G24" s="7">
        <v>41640.695833333331</v>
      </c>
      <c r="J24">
        <v>0</v>
      </c>
      <c r="K24">
        <v>0</v>
      </c>
      <c r="M24">
        <v>65</v>
      </c>
      <c r="N24" s="9">
        <v>9</v>
      </c>
    </row>
    <row r="25" spans="1:14" x14ac:dyDescent="0.3">
      <c r="A25" s="7">
        <v>41640.680555555555</v>
      </c>
      <c r="B25">
        <v>780</v>
      </c>
      <c r="C25" s="7">
        <v>41640.350694444445</v>
      </c>
      <c r="D25" t="s">
        <v>27</v>
      </c>
      <c r="E25" t="s">
        <v>37</v>
      </c>
      <c r="F25" s="7">
        <v>41640.681944444441</v>
      </c>
      <c r="G25" s="7">
        <v>41640.690972222219</v>
      </c>
      <c r="J25">
        <v>0</v>
      </c>
      <c r="K25">
        <v>0</v>
      </c>
      <c r="M25">
        <v>209</v>
      </c>
      <c r="N25" s="9">
        <v>2</v>
      </c>
    </row>
    <row r="26" spans="1:14" x14ac:dyDescent="0.3">
      <c r="A26" s="7">
        <v>41640.681944444441</v>
      </c>
      <c r="B26">
        <v>720</v>
      </c>
      <c r="C26" s="7">
        <v>41640.353472222225</v>
      </c>
      <c r="D26" t="s">
        <v>23</v>
      </c>
      <c r="E26" t="s">
        <v>34</v>
      </c>
      <c r="F26" s="7">
        <v>41641.488900462966</v>
      </c>
      <c r="G26" s="7">
        <v>41641.497233796297</v>
      </c>
      <c r="J26">
        <v>0</v>
      </c>
      <c r="K26">
        <v>0</v>
      </c>
      <c r="M26">
        <v>133</v>
      </c>
      <c r="N26" s="9">
        <v>2</v>
      </c>
    </row>
    <row r="27" spans="1:14" x14ac:dyDescent="0.3">
      <c r="A27" s="7">
        <v>41640.682638888888</v>
      </c>
      <c r="B27">
        <v>720</v>
      </c>
      <c r="C27" s="7">
        <v>41640.345138888886</v>
      </c>
      <c r="D27" t="s">
        <v>23</v>
      </c>
      <c r="E27" t="s">
        <v>33</v>
      </c>
      <c r="F27" s="7">
        <v>41641.486805555556</v>
      </c>
      <c r="G27" s="7">
        <v>41641.495138888888</v>
      </c>
      <c r="J27">
        <v>0</v>
      </c>
      <c r="K27">
        <v>0</v>
      </c>
      <c r="M27">
        <v>109</v>
      </c>
      <c r="N27" s="9">
        <v>10</v>
      </c>
    </row>
    <row r="28" spans="1:14" x14ac:dyDescent="0.3">
      <c r="A28" s="7">
        <v>41640.682638888888</v>
      </c>
      <c r="B28">
        <v>780</v>
      </c>
      <c r="C28" s="7">
        <v>41640.345138888886</v>
      </c>
      <c r="D28" t="s">
        <v>38</v>
      </c>
      <c r="E28" t="s">
        <v>23</v>
      </c>
      <c r="F28" s="7">
        <v>41640.68959490741</v>
      </c>
      <c r="G28" s="7">
        <v>41640.698622685188</v>
      </c>
      <c r="J28">
        <v>0</v>
      </c>
      <c r="K28">
        <v>0</v>
      </c>
      <c r="M28">
        <v>97</v>
      </c>
      <c r="N28" s="9">
        <v>5</v>
      </c>
    </row>
    <row r="29" spans="1:14" x14ac:dyDescent="0.3">
      <c r="A29" s="7">
        <v>41640.6875</v>
      </c>
      <c r="B29">
        <v>1200</v>
      </c>
      <c r="C29" s="7">
        <v>41640.351388888892</v>
      </c>
      <c r="D29" t="s">
        <v>39</v>
      </c>
      <c r="E29" t="s">
        <v>26</v>
      </c>
      <c r="F29" s="7">
        <v>41640.692361111112</v>
      </c>
      <c r="G29" s="7">
        <v>41640.706250000003</v>
      </c>
      <c r="J29">
        <v>0</v>
      </c>
      <c r="K29">
        <v>0</v>
      </c>
      <c r="M29">
        <v>165</v>
      </c>
      <c r="N29" s="9">
        <v>10</v>
      </c>
    </row>
    <row r="30" spans="1:14" x14ac:dyDescent="0.3">
      <c r="A30" s="7">
        <v>41640.690972222219</v>
      </c>
      <c r="B30">
        <v>1680</v>
      </c>
      <c r="C30" s="7">
        <v>41640.352777777778</v>
      </c>
      <c r="D30" t="s">
        <v>40</v>
      </c>
      <c r="E30" t="s">
        <v>41</v>
      </c>
      <c r="F30" s="7">
        <v>41641.477106481485</v>
      </c>
      <c r="G30" s="7">
        <v>41641.496550925927</v>
      </c>
      <c r="J30">
        <v>0</v>
      </c>
      <c r="K30">
        <v>0</v>
      </c>
      <c r="M30">
        <v>79</v>
      </c>
      <c r="N30" s="9">
        <v>0</v>
      </c>
    </row>
    <row r="31" spans="1:14" x14ac:dyDescent="0.3">
      <c r="A31" s="7">
        <v>41640.690972222219</v>
      </c>
      <c r="B31">
        <v>900</v>
      </c>
      <c r="C31" s="7">
        <v>41640.347222222219</v>
      </c>
      <c r="D31" t="s">
        <v>42</v>
      </c>
      <c r="E31" t="s">
        <v>23</v>
      </c>
      <c r="F31" s="7">
        <v>41641.475011574075</v>
      </c>
      <c r="G31" s="7">
        <v>41641.48542824074</v>
      </c>
      <c r="J31">
        <v>0</v>
      </c>
      <c r="K31">
        <v>0</v>
      </c>
      <c r="M31">
        <v>54</v>
      </c>
      <c r="N31" s="9">
        <v>10</v>
      </c>
    </row>
    <row r="32" spans="1:14" x14ac:dyDescent="0.3">
      <c r="A32" s="7">
        <v>41640.691666666666</v>
      </c>
      <c r="B32">
        <v>960</v>
      </c>
      <c r="C32" s="7">
        <v>41640.349305555559</v>
      </c>
      <c r="D32" t="s">
        <v>43</v>
      </c>
      <c r="E32" t="s">
        <v>23</v>
      </c>
      <c r="F32" s="7">
        <v>41640.693749999999</v>
      </c>
      <c r="G32" s="7">
        <v>41640.704861111109</v>
      </c>
      <c r="J32">
        <v>0</v>
      </c>
      <c r="K32">
        <v>0</v>
      </c>
      <c r="M32">
        <v>14</v>
      </c>
      <c r="N32" s="9">
        <v>6</v>
      </c>
    </row>
    <row r="33" spans="1:14" x14ac:dyDescent="0.3">
      <c r="A33" s="7">
        <v>41640.693055555559</v>
      </c>
      <c r="B33">
        <v>1560</v>
      </c>
      <c r="C33" s="7">
        <v>41640.352777777778</v>
      </c>
      <c r="D33" t="s">
        <v>26</v>
      </c>
      <c r="E33" t="s">
        <v>35</v>
      </c>
      <c r="F33" s="7">
        <v>41641.477789351855</v>
      </c>
      <c r="G33" s="7">
        <v>41641.495844907404</v>
      </c>
      <c r="J33">
        <v>0</v>
      </c>
      <c r="K33">
        <v>0</v>
      </c>
      <c r="M33">
        <v>112</v>
      </c>
      <c r="N33" s="9">
        <v>4</v>
      </c>
    </row>
    <row r="34" spans="1:14" x14ac:dyDescent="0.3">
      <c r="A34" s="7">
        <v>41640.701388888891</v>
      </c>
      <c r="B34">
        <v>840</v>
      </c>
      <c r="C34" s="7">
        <v>41640.345138888886</v>
      </c>
      <c r="D34" t="s">
        <v>44</v>
      </c>
      <c r="E34" t="s">
        <v>26</v>
      </c>
      <c r="F34" s="7">
        <v>41640.70208333333</v>
      </c>
      <c r="G34" s="7">
        <v>41640.711805555555</v>
      </c>
      <c r="J34">
        <v>0</v>
      </c>
      <c r="K34">
        <v>0</v>
      </c>
      <c r="M34">
        <v>213</v>
      </c>
      <c r="N34" s="9">
        <v>9</v>
      </c>
    </row>
    <row r="35" spans="1:14" x14ac:dyDescent="0.3">
      <c r="A35" s="7">
        <v>41640.701388888891</v>
      </c>
      <c r="B35">
        <v>1560</v>
      </c>
      <c r="C35" s="7">
        <v>41640.368055555555</v>
      </c>
      <c r="D35" t="s">
        <v>45</v>
      </c>
      <c r="E35" t="s">
        <v>29</v>
      </c>
      <c r="F35" s="7">
        <v>41640.714594907404</v>
      </c>
      <c r="G35" s="7">
        <v>41640.73265046296</v>
      </c>
      <c r="J35">
        <v>0</v>
      </c>
      <c r="K35">
        <v>0</v>
      </c>
      <c r="M35">
        <v>164</v>
      </c>
      <c r="N35" s="9">
        <v>5</v>
      </c>
    </row>
    <row r="36" spans="1:14" x14ac:dyDescent="0.3">
      <c r="A36" s="7">
        <v>41640.70208333333</v>
      </c>
      <c r="B36">
        <v>480</v>
      </c>
      <c r="C36" s="7">
        <v>41640.342361111114</v>
      </c>
      <c r="D36" t="s">
        <v>29</v>
      </c>
      <c r="E36" t="s">
        <v>28</v>
      </c>
      <c r="F36" s="7">
        <v>41640.70416666667</v>
      </c>
      <c r="G36" s="7">
        <v>41640.709722222222</v>
      </c>
      <c r="J36">
        <v>0</v>
      </c>
      <c r="K36">
        <v>0</v>
      </c>
      <c r="M36">
        <v>78</v>
      </c>
      <c r="N36" s="9">
        <v>7</v>
      </c>
    </row>
    <row r="37" spans="1:14" x14ac:dyDescent="0.3">
      <c r="A37" s="7">
        <v>41640.705555555556</v>
      </c>
      <c r="B37">
        <v>1200</v>
      </c>
      <c r="C37" s="7">
        <v>41640.353472222225</v>
      </c>
      <c r="D37" t="s">
        <v>46</v>
      </c>
      <c r="E37" t="s">
        <v>37</v>
      </c>
      <c r="F37" s="7">
        <v>41640.709039351852</v>
      </c>
      <c r="G37" s="7">
        <v>41640.722928240742</v>
      </c>
      <c r="J37">
        <v>0</v>
      </c>
      <c r="K37">
        <v>0</v>
      </c>
      <c r="M37">
        <v>29</v>
      </c>
      <c r="N37" s="9">
        <v>4</v>
      </c>
    </row>
    <row r="38" spans="1:14" x14ac:dyDescent="0.3">
      <c r="A38" s="7">
        <v>41640.706250000003</v>
      </c>
      <c r="B38">
        <v>1020</v>
      </c>
      <c r="C38" s="7">
        <v>41640.35</v>
      </c>
      <c r="D38" t="s">
        <v>47</v>
      </c>
      <c r="E38" t="s">
        <v>37</v>
      </c>
      <c r="F38" s="7">
        <v>41640.709722222222</v>
      </c>
      <c r="G38" s="7">
        <v>41640.72152777778</v>
      </c>
      <c r="J38">
        <v>0</v>
      </c>
      <c r="K38">
        <v>0</v>
      </c>
      <c r="M38">
        <v>13</v>
      </c>
      <c r="N38" s="9">
        <v>10</v>
      </c>
    </row>
    <row r="39" spans="1:14" x14ac:dyDescent="0.3">
      <c r="A39" s="7">
        <v>41640.711805555555</v>
      </c>
      <c r="B39">
        <v>960</v>
      </c>
      <c r="C39" s="7">
        <v>41640.345138888886</v>
      </c>
      <c r="D39" t="s">
        <v>48</v>
      </c>
      <c r="E39" t="s">
        <v>37</v>
      </c>
      <c r="F39" s="7">
        <v>41641.472222222219</v>
      </c>
      <c r="G39" s="7">
        <v>41641.48333333333</v>
      </c>
      <c r="J39">
        <v>0</v>
      </c>
      <c r="K39">
        <v>0</v>
      </c>
      <c r="M39">
        <v>181</v>
      </c>
      <c r="N39" s="9">
        <v>6</v>
      </c>
    </row>
    <row r="40" spans="1:14" x14ac:dyDescent="0.3">
      <c r="A40" s="7">
        <v>41640.711805555555</v>
      </c>
      <c r="B40">
        <v>660</v>
      </c>
      <c r="C40" s="7">
        <v>41640.34375</v>
      </c>
      <c r="D40" t="s">
        <v>28</v>
      </c>
      <c r="E40" t="s">
        <v>29</v>
      </c>
      <c r="F40" s="7">
        <v>41641.469456018516</v>
      </c>
      <c r="G40" s="7">
        <v>41641.477094907408</v>
      </c>
      <c r="J40">
        <v>0</v>
      </c>
      <c r="K40">
        <v>0</v>
      </c>
      <c r="M40">
        <v>105</v>
      </c>
      <c r="N40" s="9">
        <v>3</v>
      </c>
    </row>
    <row r="41" spans="1:14" x14ac:dyDescent="0.3">
      <c r="A41" s="7">
        <v>41640.712500000001</v>
      </c>
      <c r="B41">
        <v>1800</v>
      </c>
      <c r="C41" s="7">
        <v>41640.355555555558</v>
      </c>
      <c r="D41" t="s">
        <v>49</v>
      </c>
      <c r="E41" t="s">
        <v>50</v>
      </c>
      <c r="F41" s="7">
        <v>41640.713888888888</v>
      </c>
      <c r="G41" s="7">
        <v>41640.734722222223</v>
      </c>
      <c r="J41">
        <v>0</v>
      </c>
      <c r="K41">
        <v>0</v>
      </c>
      <c r="M41">
        <v>135</v>
      </c>
      <c r="N41" s="9">
        <v>8</v>
      </c>
    </row>
    <row r="42" spans="1:14" x14ac:dyDescent="0.3">
      <c r="A42" s="7">
        <v>41640.713194444441</v>
      </c>
      <c r="B42">
        <v>420</v>
      </c>
      <c r="C42" s="7">
        <v>41640.339583333334</v>
      </c>
      <c r="D42" t="s">
        <v>23</v>
      </c>
      <c r="E42" t="s">
        <v>38</v>
      </c>
      <c r="F42" s="7">
        <v>41641.463900462964</v>
      </c>
      <c r="G42" s="7">
        <v>41641.468761574077</v>
      </c>
      <c r="J42">
        <v>0</v>
      </c>
      <c r="K42">
        <v>0</v>
      </c>
      <c r="M42">
        <v>210</v>
      </c>
      <c r="N42" s="9">
        <v>4</v>
      </c>
    </row>
    <row r="43" spans="1:14" x14ac:dyDescent="0.3">
      <c r="A43" s="7">
        <v>41640.715277777781</v>
      </c>
      <c r="B43">
        <v>600</v>
      </c>
      <c r="C43" s="7">
        <v>41640.353472222225</v>
      </c>
      <c r="D43" t="s">
        <v>37</v>
      </c>
      <c r="E43" t="s">
        <v>27</v>
      </c>
      <c r="F43" s="7">
        <v>41640.726388888892</v>
      </c>
      <c r="G43" s="7">
        <v>41640.73333333333</v>
      </c>
      <c r="J43">
        <v>0</v>
      </c>
      <c r="K43">
        <v>0</v>
      </c>
      <c r="M43">
        <v>99</v>
      </c>
      <c r="N43" s="9">
        <v>0</v>
      </c>
    </row>
    <row r="44" spans="1:14" x14ac:dyDescent="0.3">
      <c r="A44" s="7">
        <v>41640.715277777781</v>
      </c>
      <c r="B44">
        <v>720</v>
      </c>
      <c r="C44" s="7">
        <v>41640.345833333333</v>
      </c>
      <c r="D44" t="s">
        <v>51</v>
      </c>
      <c r="E44" t="s">
        <v>26</v>
      </c>
      <c r="F44" s="7">
        <v>41640.725694444445</v>
      </c>
      <c r="G44" s="7">
        <v>41640.734027777777</v>
      </c>
      <c r="J44">
        <v>0</v>
      </c>
      <c r="K44">
        <v>0</v>
      </c>
      <c r="M44">
        <v>74</v>
      </c>
      <c r="N44" s="9">
        <v>10</v>
      </c>
    </row>
    <row r="45" spans="1:14" x14ac:dyDescent="0.3">
      <c r="A45" s="7">
        <v>41640.71597222222</v>
      </c>
      <c r="B45">
        <v>600</v>
      </c>
      <c r="C45" s="7">
        <v>41640.355555555558</v>
      </c>
      <c r="D45" t="s">
        <v>26</v>
      </c>
      <c r="E45" t="s">
        <v>39</v>
      </c>
      <c r="F45" s="7">
        <v>41640.720138888886</v>
      </c>
      <c r="G45" s="7">
        <v>41640.727083333331</v>
      </c>
      <c r="J45">
        <v>0</v>
      </c>
      <c r="K45">
        <v>0</v>
      </c>
      <c r="M45">
        <v>48</v>
      </c>
      <c r="N45" s="9">
        <v>9</v>
      </c>
    </row>
    <row r="46" spans="1:14" x14ac:dyDescent="0.3">
      <c r="A46" s="7">
        <v>41640.717361111114</v>
      </c>
      <c r="B46">
        <v>420</v>
      </c>
      <c r="C46" s="7">
        <v>41640.342361111114</v>
      </c>
      <c r="D46" t="s">
        <v>52</v>
      </c>
      <c r="E46" t="s">
        <v>53</v>
      </c>
      <c r="F46" s="7">
        <v>41640.720833333333</v>
      </c>
      <c r="G46" s="7">
        <v>41640.725694444445</v>
      </c>
      <c r="J46">
        <v>0</v>
      </c>
      <c r="K46">
        <v>0</v>
      </c>
      <c r="M46">
        <v>208</v>
      </c>
      <c r="N46" s="9">
        <v>0</v>
      </c>
    </row>
    <row r="47" spans="1:14" x14ac:dyDescent="0.3">
      <c r="A47" s="7">
        <v>41640.720833333333</v>
      </c>
      <c r="B47">
        <v>1560</v>
      </c>
      <c r="C47" s="7">
        <v>41640.351388888892</v>
      </c>
      <c r="D47" t="s">
        <v>23</v>
      </c>
      <c r="E47" t="s">
        <v>42</v>
      </c>
      <c r="F47" s="7">
        <v>41640.72152777778</v>
      </c>
      <c r="G47" s="7">
        <v>41640.739583333336</v>
      </c>
      <c r="J47">
        <v>0</v>
      </c>
      <c r="K47">
        <v>0</v>
      </c>
      <c r="M47">
        <v>81</v>
      </c>
      <c r="N47" s="9">
        <v>10</v>
      </c>
    </row>
    <row r="48" spans="1:14" x14ac:dyDescent="0.3">
      <c r="A48" s="7">
        <v>41640.725694444445</v>
      </c>
      <c r="B48">
        <v>1140</v>
      </c>
      <c r="C48" s="7">
        <v>41640.34652777778</v>
      </c>
      <c r="D48" t="s">
        <v>23</v>
      </c>
      <c r="E48" t="s">
        <v>43</v>
      </c>
      <c r="F48" s="7">
        <v>41641.467372685183</v>
      </c>
      <c r="G48" s="7">
        <v>41641.480567129627</v>
      </c>
      <c r="J48">
        <v>0</v>
      </c>
      <c r="K48">
        <v>0</v>
      </c>
      <c r="M48">
        <v>28</v>
      </c>
      <c r="N48" s="9">
        <v>10</v>
      </c>
    </row>
    <row r="49" spans="1:14" x14ac:dyDescent="0.3">
      <c r="A49" s="7">
        <v>41640.727083333331</v>
      </c>
      <c r="B49">
        <v>360</v>
      </c>
      <c r="C49" s="7">
        <v>41640.341666666667</v>
      </c>
      <c r="D49" t="s">
        <v>26</v>
      </c>
      <c r="E49" t="s">
        <v>36</v>
      </c>
      <c r="F49" s="7">
        <v>41641.458333333336</v>
      </c>
      <c r="G49" s="7">
        <v>41641.462500000001</v>
      </c>
      <c r="J49">
        <v>0</v>
      </c>
      <c r="K49">
        <v>0</v>
      </c>
      <c r="M49">
        <v>73</v>
      </c>
      <c r="N49" s="9">
        <v>5</v>
      </c>
    </row>
    <row r="50" spans="1:14" x14ac:dyDescent="0.3">
      <c r="A50" s="7">
        <v>41640.728472222225</v>
      </c>
      <c r="B50">
        <v>420</v>
      </c>
      <c r="C50" s="7">
        <v>41640.340277777781</v>
      </c>
      <c r="D50" t="s">
        <v>29</v>
      </c>
      <c r="E50" t="s">
        <v>28</v>
      </c>
      <c r="F50" s="7">
        <v>41641.456956018519</v>
      </c>
      <c r="G50" s="7">
        <v>41641.461817129632</v>
      </c>
      <c r="J50">
        <v>0</v>
      </c>
      <c r="K50">
        <v>0</v>
      </c>
      <c r="M50">
        <v>204</v>
      </c>
      <c r="N50" s="9">
        <v>10</v>
      </c>
    </row>
    <row r="51" spans="1:14" x14ac:dyDescent="0.3">
      <c r="A51" s="7">
        <v>41640.729166666664</v>
      </c>
      <c r="B51">
        <v>2220</v>
      </c>
      <c r="C51" s="7">
        <v>41640.37222222222</v>
      </c>
      <c r="D51" t="s">
        <v>54</v>
      </c>
      <c r="E51" t="s">
        <v>26</v>
      </c>
      <c r="F51" s="7">
        <v>41640.734722222223</v>
      </c>
      <c r="G51" s="7">
        <v>41640.760416666664</v>
      </c>
      <c r="J51">
        <v>0</v>
      </c>
      <c r="K51">
        <v>0</v>
      </c>
      <c r="M51">
        <v>125</v>
      </c>
      <c r="N51" s="9">
        <v>8</v>
      </c>
    </row>
    <row r="52" spans="1:14" x14ac:dyDescent="0.3">
      <c r="A52" s="7">
        <v>41640.732638888891</v>
      </c>
      <c r="B52">
        <v>1920</v>
      </c>
      <c r="C52" s="7">
        <v>41640.35833333333</v>
      </c>
      <c r="D52" t="s">
        <v>55</v>
      </c>
      <c r="E52" t="s">
        <v>23</v>
      </c>
      <c r="F52" s="7">
        <v>41641.459722222222</v>
      </c>
      <c r="G52" s="7">
        <v>41641.481944444444</v>
      </c>
      <c r="J52">
        <v>0</v>
      </c>
      <c r="K52">
        <v>0</v>
      </c>
      <c r="M52">
        <v>108</v>
      </c>
      <c r="N52" s="9">
        <v>1</v>
      </c>
    </row>
    <row r="53" spans="1:14" x14ac:dyDescent="0.3">
      <c r="A53" s="7">
        <v>41640.732638888891</v>
      </c>
      <c r="B53">
        <v>1020</v>
      </c>
      <c r="C53" s="7">
        <v>41640.359027777777</v>
      </c>
      <c r="D53" t="s">
        <v>26</v>
      </c>
      <c r="E53" t="s">
        <v>44</v>
      </c>
      <c r="F53" s="7">
        <v>41640.752083333333</v>
      </c>
      <c r="G53" s="7">
        <v>41640.763888888891</v>
      </c>
      <c r="J53">
        <v>0</v>
      </c>
      <c r="K53">
        <v>0</v>
      </c>
      <c r="M53">
        <v>64</v>
      </c>
      <c r="N53" s="9">
        <v>5</v>
      </c>
    </row>
    <row r="54" spans="1:14" x14ac:dyDescent="0.3">
      <c r="A54" s="7">
        <v>41640.736111111109</v>
      </c>
      <c r="B54">
        <v>1260</v>
      </c>
      <c r="C54" s="7">
        <v>41640.347916666666</v>
      </c>
      <c r="D54" t="s">
        <v>26</v>
      </c>
      <c r="E54" t="s">
        <v>51</v>
      </c>
      <c r="F54" s="7">
        <v>41641.456944444442</v>
      </c>
      <c r="G54" s="7">
        <v>41641.47152777778</v>
      </c>
      <c r="J54">
        <v>0</v>
      </c>
      <c r="K54">
        <v>0</v>
      </c>
      <c r="M54">
        <v>85</v>
      </c>
      <c r="N54" s="9">
        <v>6</v>
      </c>
    </row>
    <row r="55" spans="1:14" x14ac:dyDescent="0.3">
      <c r="A55" s="7">
        <v>41640.736805555556</v>
      </c>
      <c r="B55">
        <v>660</v>
      </c>
      <c r="C55" s="7">
        <v>41640.342361111114</v>
      </c>
      <c r="D55" t="s">
        <v>37</v>
      </c>
      <c r="E55" t="s">
        <v>48</v>
      </c>
      <c r="F55" s="7">
        <v>41640.743750000001</v>
      </c>
      <c r="G55" s="7">
        <v>41640.751388888886</v>
      </c>
      <c r="J55">
        <v>0</v>
      </c>
      <c r="K55">
        <v>0</v>
      </c>
      <c r="M55">
        <v>185</v>
      </c>
      <c r="N55" s="9">
        <v>3</v>
      </c>
    </row>
    <row r="56" spans="1:14" x14ac:dyDescent="0.3">
      <c r="A56" s="7">
        <v>41640.739583333336</v>
      </c>
      <c r="B56">
        <v>1740</v>
      </c>
      <c r="C56" s="7">
        <v>41640.354166666664</v>
      </c>
      <c r="D56" t="s">
        <v>56</v>
      </c>
      <c r="E56" t="s">
        <v>29</v>
      </c>
      <c r="F56" s="7">
        <v>41641.45208333333</v>
      </c>
      <c r="G56" s="7">
        <v>41641.472222222219</v>
      </c>
      <c r="J56">
        <v>0</v>
      </c>
      <c r="K56">
        <v>0</v>
      </c>
      <c r="M56">
        <v>19</v>
      </c>
      <c r="N56" s="9">
        <v>9</v>
      </c>
    </row>
    <row r="57" spans="1:14" x14ac:dyDescent="0.3">
      <c r="A57" s="7">
        <v>41640.743055555555</v>
      </c>
      <c r="B57">
        <v>1980</v>
      </c>
      <c r="C57" s="7">
        <v>41640.361805555556</v>
      </c>
      <c r="D57" t="s">
        <v>57</v>
      </c>
      <c r="E57" t="s">
        <v>37</v>
      </c>
      <c r="F57" s="7">
        <v>41640.745844907404</v>
      </c>
      <c r="G57" s="7">
        <v>41640.768761574072</v>
      </c>
      <c r="J57">
        <v>0</v>
      </c>
      <c r="K57">
        <v>0</v>
      </c>
      <c r="M57">
        <v>211</v>
      </c>
      <c r="N57" s="9">
        <v>1</v>
      </c>
    </row>
    <row r="58" spans="1:14" x14ac:dyDescent="0.3">
      <c r="A58" s="7">
        <v>41640.745138888888</v>
      </c>
      <c r="B58">
        <v>840</v>
      </c>
      <c r="C58" s="7">
        <v>41640.34375</v>
      </c>
      <c r="D58" t="s">
        <v>58</v>
      </c>
      <c r="E58" t="s">
        <v>59</v>
      </c>
      <c r="F58" s="7">
        <v>41641.442372685182</v>
      </c>
      <c r="G58" s="7">
        <v>41641.452094907407</v>
      </c>
      <c r="J58">
        <v>0</v>
      </c>
      <c r="K58">
        <v>0</v>
      </c>
      <c r="M58">
        <v>184</v>
      </c>
      <c r="N58" s="9">
        <v>8</v>
      </c>
    </row>
    <row r="59" spans="1:14" x14ac:dyDescent="0.3">
      <c r="A59" s="7">
        <v>41640.746527777781</v>
      </c>
      <c r="B59">
        <v>960</v>
      </c>
      <c r="C59" s="7">
        <v>41640.34652777778</v>
      </c>
      <c r="D59" t="s">
        <v>50</v>
      </c>
      <c r="E59" t="s">
        <v>49</v>
      </c>
      <c r="F59" s="7">
        <v>41640.746527777781</v>
      </c>
      <c r="G59" s="7">
        <v>41640.757638888892</v>
      </c>
      <c r="J59">
        <v>0</v>
      </c>
      <c r="K59">
        <v>0</v>
      </c>
      <c r="M59">
        <v>161</v>
      </c>
      <c r="N59" s="9">
        <v>1</v>
      </c>
    </row>
    <row r="60" spans="1:14" x14ac:dyDescent="0.3">
      <c r="A60" s="7">
        <v>41640.747916666667</v>
      </c>
      <c r="B60">
        <v>1080</v>
      </c>
      <c r="C60" s="7">
        <v>41640.366666666669</v>
      </c>
      <c r="D60" t="s">
        <v>60</v>
      </c>
      <c r="E60" t="s">
        <v>61</v>
      </c>
      <c r="F60" s="7">
        <v>41641.443773148145</v>
      </c>
      <c r="G60" s="7">
        <v>41641.456273148149</v>
      </c>
      <c r="J60">
        <v>0</v>
      </c>
      <c r="K60">
        <v>0</v>
      </c>
      <c r="M60">
        <v>26</v>
      </c>
      <c r="N60" s="9">
        <v>2</v>
      </c>
    </row>
    <row r="61" spans="1:14" x14ac:dyDescent="0.3">
      <c r="A61" s="7">
        <v>41640.749305555553</v>
      </c>
      <c r="B61">
        <v>600</v>
      </c>
      <c r="C61" s="7">
        <v>41640.354861111111</v>
      </c>
      <c r="D61" t="s">
        <v>62</v>
      </c>
      <c r="E61" t="s">
        <v>63</v>
      </c>
      <c r="F61" s="7">
        <v>41640.749305555553</v>
      </c>
      <c r="G61" s="7">
        <v>41640.756249999999</v>
      </c>
      <c r="J61">
        <v>0</v>
      </c>
      <c r="K61">
        <v>0</v>
      </c>
      <c r="M61">
        <v>51</v>
      </c>
      <c r="N61" s="9">
        <v>9</v>
      </c>
    </row>
    <row r="62" spans="1:14" x14ac:dyDescent="0.3">
      <c r="A62" s="7">
        <v>41640.75</v>
      </c>
      <c r="B62">
        <v>1080</v>
      </c>
      <c r="C62" s="7">
        <v>41640.345833333333</v>
      </c>
      <c r="D62" t="s">
        <v>53</v>
      </c>
      <c r="E62" t="s">
        <v>26</v>
      </c>
      <c r="F62" s="7">
        <v>41641.436122685183</v>
      </c>
      <c r="G62" s="7">
        <v>41641.448622685188</v>
      </c>
      <c r="J62">
        <v>0</v>
      </c>
      <c r="K62">
        <v>0</v>
      </c>
      <c r="M62">
        <v>83</v>
      </c>
      <c r="N62" s="9">
        <v>2</v>
      </c>
    </row>
    <row r="63" spans="1:14" x14ac:dyDescent="0.3">
      <c r="A63" s="7">
        <v>41640.750694444447</v>
      </c>
      <c r="B63">
        <v>720</v>
      </c>
      <c r="C63" s="7">
        <v>41640.34375</v>
      </c>
      <c r="D63" t="s">
        <v>37</v>
      </c>
      <c r="E63" t="s">
        <v>64</v>
      </c>
      <c r="F63" s="7">
        <v>41641.438888888886</v>
      </c>
      <c r="G63" s="7">
        <v>41641.447222222225</v>
      </c>
      <c r="J63">
        <v>0</v>
      </c>
      <c r="K63">
        <v>0</v>
      </c>
      <c r="M63">
        <v>186</v>
      </c>
      <c r="N63" s="9">
        <v>9</v>
      </c>
    </row>
    <row r="64" spans="1:14" x14ac:dyDescent="0.3">
      <c r="A64" s="7">
        <v>41640.750694444447</v>
      </c>
      <c r="B64">
        <v>540</v>
      </c>
      <c r="C64" s="7">
        <v>41640.34652777778</v>
      </c>
      <c r="D64" t="s">
        <v>29</v>
      </c>
      <c r="E64" t="s">
        <v>53</v>
      </c>
      <c r="F64" s="7">
        <v>41641.436111111114</v>
      </c>
      <c r="G64" s="7">
        <v>41641.442361111112</v>
      </c>
      <c r="J64">
        <v>0</v>
      </c>
      <c r="K64">
        <v>0</v>
      </c>
      <c r="M64">
        <v>5</v>
      </c>
      <c r="N64" s="9">
        <v>8</v>
      </c>
    </row>
    <row r="65" spans="1:14" x14ac:dyDescent="0.3">
      <c r="A65" s="7">
        <v>41640.751388888886</v>
      </c>
      <c r="B65">
        <v>960</v>
      </c>
      <c r="C65" s="7">
        <v>41640.345138888886</v>
      </c>
      <c r="D65" t="s">
        <v>29</v>
      </c>
      <c r="E65" t="s">
        <v>26</v>
      </c>
      <c r="F65" s="7">
        <v>41641.429166666669</v>
      </c>
      <c r="G65" s="7">
        <v>41641.44027777778</v>
      </c>
      <c r="J65">
        <v>0</v>
      </c>
      <c r="K65">
        <v>0</v>
      </c>
      <c r="M65">
        <v>111</v>
      </c>
      <c r="N65" s="9">
        <v>0</v>
      </c>
    </row>
    <row r="66" spans="1:14" x14ac:dyDescent="0.3">
      <c r="A66" s="7">
        <v>41640.75277777778</v>
      </c>
      <c r="B66">
        <v>1920</v>
      </c>
      <c r="C66" s="7">
        <v>41640.361111111109</v>
      </c>
      <c r="D66" t="s">
        <v>65</v>
      </c>
      <c r="E66" t="s">
        <v>26</v>
      </c>
      <c r="F66" s="7">
        <v>41640.757638888892</v>
      </c>
      <c r="G66" s="7">
        <v>41640.779861111114</v>
      </c>
      <c r="J66">
        <v>0</v>
      </c>
      <c r="K66">
        <v>0</v>
      </c>
      <c r="M66">
        <v>38</v>
      </c>
      <c r="N66" s="9">
        <v>6</v>
      </c>
    </row>
    <row r="67" spans="1:14" x14ac:dyDescent="0.3">
      <c r="A67" s="7">
        <v>41640.756249999999</v>
      </c>
      <c r="B67">
        <v>1740</v>
      </c>
      <c r="C67" s="7">
        <v>41640.363194444442</v>
      </c>
      <c r="D67" t="s">
        <v>66</v>
      </c>
      <c r="E67" t="s">
        <v>67</v>
      </c>
      <c r="F67" s="7">
        <v>41640.76458333333</v>
      </c>
      <c r="G67" s="7">
        <v>41640.784722222219</v>
      </c>
      <c r="J67">
        <v>0</v>
      </c>
      <c r="K67">
        <v>0</v>
      </c>
      <c r="M67">
        <v>163</v>
      </c>
      <c r="N67" s="9">
        <v>10</v>
      </c>
    </row>
    <row r="68" spans="1:14" x14ac:dyDescent="0.3">
      <c r="A68" s="7">
        <v>41640.756944444445</v>
      </c>
      <c r="B68">
        <v>960</v>
      </c>
      <c r="C68" s="7">
        <v>41640.355555555558</v>
      </c>
      <c r="D68" t="s">
        <v>41</v>
      </c>
      <c r="E68" t="s">
        <v>40</v>
      </c>
      <c r="F68" s="7">
        <v>41640.761805555558</v>
      </c>
      <c r="G68" s="7">
        <v>41640.772916666669</v>
      </c>
      <c r="J68">
        <v>0</v>
      </c>
      <c r="K68">
        <v>0</v>
      </c>
      <c r="M68">
        <v>182</v>
      </c>
      <c r="N68" s="9">
        <v>10</v>
      </c>
    </row>
    <row r="69" spans="1:14" x14ac:dyDescent="0.3">
      <c r="A69" s="7">
        <v>41640.756944444445</v>
      </c>
      <c r="B69">
        <v>1200</v>
      </c>
      <c r="C69" s="7">
        <v>41640.347916666666</v>
      </c>
      <c r="D69" t="s">
        <v>68</v>
      </c>
      <c r="E69" t="s">
        <v>26</v>
      </c>
      <c r="F69" s="7">
        <v>41640.759027777778</v>
      </c>
      <c r="G69" s="7">
        <v>41640.772916666669</v>
      </c>
      <c r="J69">
        <v>0</v>
      </c>
      <c r="K69">
        <v>0</v>
      </c>
      <c r="M69">
        <v>61</v>
      </c>
      <c r="N69" s="9">
        <v>2</v>
      </c>
    </row>
    <row r="70" spans="1:14" x14ac:dyDescent="0.3">
      <c r="A70" s="7">
        <v>41640.763888888891</v>
      </c>
      <c r="B70">
        <v>1980</v>
      </c>
      <c r="C70" s="7">
        <v>41640.356249999997</v>
      </c>
      <c r="D70" t="s">
        <v>69</v>
      </c>
      <c r="E70" t="s">
        <v>70</v>
      </c>
      <c r="F70" s="7">
        <v>41641.426400462966</v>
      </c>
      <c r="G70" s="7">
        <v>41641.449317129627</v>
      </c>
      <c r="J70">
        <v>0</v>
      </c>
      <c r="K70">
        <v>0</v>
      </c>
      <c r="M70">
        <v>121</v>
      </c>
      <c r="N70" s="9">
        <v>5</v>
      </c>
    </row>
    <row r="71" spans="1:14" x14ac:dyDescent="0.3">
      <c r="A71" s="7">
        <v>41640.763888888891</v>
      </c>
      <c r="B71">
        <v>2280</v>
      </c>
      <c r="C71" s="7">
        <v>41640.359722222223</v>
      </c>
      <c r="D71" t="s">
        <v>71</v>
      </c>
      <c r="E71" t="s">
        <v>37</v>
      </c>
      <c r="F71" s="7">
        <v>41641.422233796293</v>
      </c>
      <c r="G71" s="7">
        <v>41641.448622685188</v>
      </c>
      <c r="J71">
        <v>0</v>
      </c>
      <c r="K71">
        <v>0</v>
      </c>
      <c r="M71">
        <v>80</v>
      </c>
      <c r="N71" s="9">
        <v>8</v>
      </c>
    </row>
    <row r="72" spans="1:14" x14ac:dyDescent="0.3">
      <c r="A72" s="7">
        <v>41640.763888888891</v>
      </c>
      <c r="B72">
        <v>3480</v>
      </c>
      <c r="C72" s="7">
        <v>41640.390277777777</v>
      </c>
      <c r="D72" t="s">
        <v>72</v>
      </c>
      <c r="E72" t="s">
        <v>37</v>
      </c>
      <c r="F72" s="7">
        <v>41640.768761574072</v>
      </c>
      <c r="G72" s="7">
        <v>41640.809039351851</v>
      </c>
      <c r="J72">
        <v>0</v>
      </c>
      <c r="K72">
        <v>0</v>
      </c>
      <c r="M72">
        <v>8</v>
      </c>
      <c r="N72" s="9">
        <v>8</v>
      </c>
    </row>
    <row r="73" spans="1:14" x14ac:dyDescent="0.3">
      <c r="A73" s="7">
        <v>41640.770138888889</v>
      </c>
      <c r="B73">
        <v>960</v>
      </c>
      <c r="C73" s="7">
        <v>41640.34652777778</v>
      </c>
      <c r="D73" t="s">
        <v>63</v>
      </c>
      <c r="E73" t="s">
        <v>26</v>
      </c>
      <c r="F73" s="7">
        <v>41641.417372685188</v>
      </c>
      <c r="G73" s="7">
        <v>41641.428483796299</v>
      </c>
      <c r="J73">
        <v>0</v>
      </c>
      <c r="K73">
        <v>0</v>
      </c>
      <c r="M73">
        <v>49</v>
      </c>
      <c r="N73" s="9">
        <v>4</v>
      </c>
    </row>
    <row r="74" spans="1:14" x14ac:dyDescent="0.3">
      <c r="A74" s="7">
        <v>41640.770833333336</v>
      </c>
      <c r="B74">
        <v>1020</v>
      </c>
      <c r="C74" s="7">
        <v>41640.34652777778</v>
      </c>
      <c r="D74" t="s">
        <v>73</v>
      </c>
      <c r="E74" t="s">
        <v>26</v>
      </c>
      <c r="F74" s="7">
        <v>41640.771527777775</v>
      </c>
      <c r="G74" s="7">
        <v>41640.783333333333</v>
      </c>
      <c r="J74">
        <v>0</v>
      </c>
      <c r="K74">
        <v>0</v>
      </c>
      <c r="M74">
        <v>60</v>
      </c>
      <c r="N74" s="9">
        <v>0</v>
      </c>
    </row>
    <row r="75" spans="1:14" x14ac:dyDescent="0.3">
      <c r="A75" s="7">
        <v>41640.771527777775</v>
      </c>
      <c r="B75">
        <v>1260</v>
      </c>
      <c r="C75" s="7">
        <v>41640.352777777778</v>
      </c>
      <c r="D75" t="s">
        <v>74</v>
      </c>
      <c r="E75" t="s">
        <v>75</v>
      </c>
      <c r="F75" s="7">
        <v>41641.417361111111</v>
      </c>
      <c r="G75" s="7">
        <v>41641.431944444441</v>
      </c>
      <c r="J75">
        <v>0</v>
      </c>
      <c r="K75">
        <v>0</v>
      </c>
      <c r="M75">
        <v>7</v>
      </c>
      <c r="N75" s="9">
        <v>8</v>
      </c>
    </row>
    <row r="76" spans="1:14" x14ac:dyDescent="0.3">
      <c r="A76" s="7">
        <v>41640.772916666669</v>
      </c>
      <c r="B76">
        <v>600</v>
      </c>
      <c r="C76" s="7">
        <v>41640.340277777781</v>
      </c>
      <c r="D76" t="s">
        <v>26</v>
      </c>
      <c r="E76" t="s">
        <v>53</v>
      </c>
      <c r="F76" s="7">
        <v>41641.420844907407</v>
      </c>
      <c r="G76" s="7">
        <v>41641.427789351852</v>
      </c>
      <c r="J76">
        <v>0</v>
      </c>
      <c r="K76">
        <v>0</v>
      </c>
      <c r="M76">
        <v>16</v>
      </c>
      <c r="N76" s="9">
        <v>4</v>
      </c>
    </row>
    <row r="77" spans="1:14" x14ac:dyDescent="0.3">
      <c r="A77" s="7">
        <v>41640.777083333334</v>
      </c>
      <c r="B77">
        <v>2400</v>
      </c>
      <c r="C77" s="7">
        <v>41640.361111111109</v>
      </c>
      <c r="D77" t="s">
        <v>76</v>
      </c>
      <c r="E77" t="s">
        <v>70</v>
      </c>
      <c r="F77" s="7">
        <v>41640.78125</v>
      </c>
      <c r="G77" s="7">
        <v>41640.809027777781</v>
      </c>
      <c r="J77">
        <v>0</v>
      </c>
      <c r="K77">
        <v>0</v>
      </c>
      <c r="M77">
        <v>17</v>
      </c>
      <c r="N77" s="9">
        <v>7</v>
      </c>
    </row>
    <row r="78" spans="1:14" x14ac:dyDescent="0.3">
      <c r="A78" s="7">
        <v>41640.77847222222</v>
      </c>
      <c r="B78">
        <v>540</v>
      </c>
      <c r="C78" s="7">
        <v>41640.345138888886</v>
      </c>
      <c r="D78" t="s">
        <v>23</v>
      </c>
      <c r="E78" t="s">
        <v>55</v>
      </c>
      <c r="F78" s="7">
        <v>41641.412499999999</v>
      </c>
      <c r="G78" s="7">
        <v>41641.418749999997</v>
      </c>
      <c r="J78">
        <v>0</v>
      </c>
      <c r="K78">
        <v>0</v>
      </c>
      <c r="M78">
        <v>180</v>
      </c>
      <c r="N78" s="9">
        <v>1</v>
      </c>
    </row>
    <row r="79" spans="1:14" x14ac:dyDescent="0.3">
      <c r="A79" s="7">
        <v>41640.78125</v>
      </c>
      <c r="B79">
        <v>360</v>
      </c>
      <c r="C79" s="7">
        <v>41640.347916666666</v>
      </c>
      <c r="D79" t="s">
        <v>26</v>
      </c>
      <c r="E79" t="s">
        <v>45</v>
      </c>
      <c r="F79" s="7">
        <v>41641.404861111114</v>
      </c>
      <c r="G79" s="7">
        <v>41641.40902777778</v>
      </c>
      <c r="J79">
        <v>0</v>
      </c>
      <c r="K79">
        <v>0</v>
      </c>
      <c r="M79">
        <v>27</v>
      </c>
      <c r="N79" s="9">
        <v>4</v>
      </c>
    </row>
    <row r="80" spans="1:14" x14ac:dyDescent="0.3">
      <c r="A80" s="7">
        <v>41640.782638888886</v>
      </c>
      <c r="B80">
        <v>720</v>
      </c>
      <c r="C80" s="7">
        <v>41640.345138888886</v>
      </c>
      <c r="D80" t="s">
        <v>29</v>
      </c>
      <c r="E80" t="s">
        <v>28</v>
      </c>
      <c r="F80" s="7">
        <v>41641.399317129632</v>
      </c>
      <c r="G80" s="7">
        <v>41641.407650462963</v>
      </c>
      <c r="J80">
        <v>0</v>
      </c>
      <c r="K80">
        <v>0</v>
      </c>
      <c r="M80">
        <v>39</v>
      </c>
      <c r="N80" s="9">
        <v>0</v>
      </c>
    </row>
    <row r="81" spans="1:14" x14ac:dyDescent="0.3">
      <c r="A81" s="7">
        <v>41640.78402777778</v>
      </c>
      <c r="B81">
        <v>300</v>
      </c>
      <c r="C81" s="7">
        <v>41640.345833333333</v>
      </c>
      <c r="D81" t="s">
        <v>37</v>
      </c>
      <c r="E81" t="s">
        <v>47</v>
      </c>
      <c r="F81" s="7">
        <v>41641.400706018518</v>
      </c>
      <c r="G81" s="7">
        <v>41641.404178240744</v>
      </c>
      <c r="J81">
        <v>0</v>
      </c>
      <c r="K81">
        <v>0</v>
      </c>
      <c r="M81">
        <v>207</v>
      </c>
      <c r="N81" s="9">
        <v>0</v>
      </c>
    </row>
    <row r="82" spans="1:14" x14ac:dyDescent="0.3">
      <c r="A82" s="7">
        <v>41640.78402777778</v>
      </c>
      <c r="B82">
        <v>840</v>
      </c>
      <c r="C82" s="7">
        <v>41640.361111111109</v>
      </c>
      <c r="D82" t="s">
        <v>29</v>
      </c>
      <c r="E82" t="s">
        <v>56</v>
      </c>
      <c r="F82" s="7">
        <v>41641.395833333336</v>
      </c>
      <c r="G82" s="7">
        <v>41641.405555555553</v>
      </c>
      <c r="J82">
        <v>0</v>
      </c>
      <c r="K82">
        <v>0</v>
      </c>
      <c r="M82">
        <v>63</v>
      </c>
      <c r="N82" s="9">
        <v>0</v>
      </c>
    </row>
    <row r="83" spans="1:14" x14ac:dyDescent="0.3">
      <c r="A83" s="7">
        <v>41640.784722222219</v>
      </c>
      <c r="B83">
        <v>1140</v>
      </c>
      <c r="C83" s="7">
        <v>41640.348611111112</v>
      </c>
      <c r="D83" t="s">
        <v>77</v>
      </c>
      <c r="E83" t="s">
        <v>26</v>
      </c>
      <c r="F83" s="7">
        <v>41641.387511574074</v>
      </c>
      <c r="G83" s="7">
        <v>41641.400706018518</v>
      </c>
      <c r="J83">
        <v>0</v>
      </c>
      <c r="K83">
        <v>0</v>
      </c>
      <c r="M83">
        <v>122</v>
      </c>
      <c r="N83" s="9">
        <v>4</v>
      </c>
    </row>
    <row r="84" spans="1:14" x14ac:dyDescent="0.3">
      <c r="A84" s="7">
        <v>41640.784722222219</v>
      </c>
      <c r="B84">
        <v>1320</v>
      </c>
      <c r="C84" s="7">
        <v>41640.351388888892</v>
      </c>
      <c r="D84" t="s">
        <v>55</v>
      </c>
      <c r="E84" t="s">
        <v>37</v>
      </c>
      <c r="F84" s="7">
        <v>41640.793749999997</v>
      </c>
      <c r="G84" s="7">
        <v>41640.809027777781</v>
      </c>
      <c r="J84">
        <v>0</v>
      </c>
      <c r="K84">
        <v>0</v>
      </c>
      <c r="M84">
        <v>53</v>
      </c>
      <c r="N84" s="9">
        <v>8</v>
      </c>
    </row>
    <row r="85" spans="1:14" x14ac:dyDescent="0.3">
      <c r="A85" s="7">
        <v>41640.787499999999</v>
      </c>
      <c r="B85">
        <v>1620</v>
      </c>
      <c r="C85" s="7">
        <v>41640.353472222225</v>
      </c>
      <c r="D85" t="s">
        <v>78</v>
      </c>
      <c r="E85" t="s">
        <v>67</v>
      </c>
      <c r="F85" s="7">
        <v>41640.790277777778</v>
      </c>
      <c r="G85" s="7">
        <v>41640.809027777781</v>
      </c>
      <c r="J85">
        <v>0</v>
      </c>
      <c r="K85">
        <v>0</v>
      </c>
      <c r="M85">
        <v>75</v>
      </c>
      <c r="N85" s="9">
        <v>2</v>
      </c>
    </row>
    <row r="86" spans="1:14" x14ac:dyDescent="0.3">
      <c r="A86" s="7">
        <v>41640.790972222225</v>
      </c>
      <c r="B86">
        <v>960</v>
      </c>
      <c r="C86" s="7">
        <v>41640.35</v>
      </c>
      <c r="D86" t="s">
        <v>26</v>
      </c>
      <c r="E86" t="s">
        <v>46</v>
      </c>
      <c r="F86" s="7">
        <v>41641.427777777775</v>
      </c>
      <c r="G86" s="7">
        <v>41641.438888888886</v>
      </c>
      <c r="J86">
        <v>0</v>
      </c>
      <c r="K86">
        <v>0</v>
      </c>
      <c r="M86">
        <v>131</v>
      </c>
      <c r="N86" s="9">
        <v>7</v>
      </c>
    </row>
    <row r="87" spans="1:14" x14ac:dyDescent="0.3">
      <c r="A87" s="7">
        <v>41640.791666666664</v>
      </c>
      <c r="B87">
        <v>540</v>
      </c>
      <c r="C87" s="7">
        <v>41640.354166666664</v>
      </c>
      <c r="D87" t="s">
        <v>37</v>
      </c>
      <c r="E87" t="s">
        <v>57</v>
      </c>
      <c r="F87" s="7">
        <v>41641.375694444447</v>
      </c>
      <c r="G87" s="7">
        <v>41641.381944444445</v>
      </c>
      <c r="J87">
        <v>0</v>
      </c>
      <c r="K87">
        <v>0</v>
      </c>
      <c r="M87">
        <v>42</v>
      </c>
      <c r="N87" s="9">
        <v>5</v>
      </c>
    </row>
    <row r="88" spans="1:14" x14ac:dyDescent="0.3">
      <c r="A88" s="7">
        <v>41640.792361111111</v>
      </c>
      <c r="B88">
        <v>960</v>
      </c>
      <c r="C88" s="7">
        <v>41640.34652777778</v>
      </c>
      <c r="D88" t="s">
        <v>64</v>
      </c>
      <c r="E88" t="s">
        <v>79</v>
      </c>
      <c r="F88" s="7">
        <v>41640.805567129632</v>
      </c>
      <c r="G88" s="7">
        <v>41640.816678240742</v>
      </c>
      <c r="J88">
        <v>0</v>
      </c>
      <c r="K88">
        <v>0</v>
      </c>
      <c r="M88">
        <v>117</v>
      </c>
      <c r="N88" s="9">
        <v>1</v>
      </c>
    </row>
    <row r="89" spans="1:14" x14ac:dyDescent="0.3">
      <c r="A89" s="7">
        <v>41640.792361111111</v>
      </c>
      <c r="B89">
        <v>1080</v>
      </c>
      <c r="C89" s="7">
        <v>41640.351388888892</v>
      </c>
      <c r="D89" t="s">
        <v>26</v>
      </c>
      <c r="E89" t="s">
        <v>68</v>
      </c>
      <c r="F89" s="7">
        <v>41640.802777777775</v>
      </c>
      <c r="G89" s="7">
        <v>41640.81527777778</v>
      </c>
      <c r="J89">
        <v>0</v>
      </c>
      <c r="K89">
        <v>0</v>
      </c>
      <c r="M89">
        <v>6</v>
      </c>
      <c r="N89" s="9">
        <v>1</v>
      </c>
    </row>
    <row r="90" spans="1:14" x14ac:dyDescent="0.3">
      <c r="A90" s="7">
        <v>41640.794444444444</v>
      </c>
      <c r="B90">
        <v>600</v>
      </c>
      <c r="C90" s="7">
        <v>41640.341666666667</v>
      </c>
      <c r="D90" t="s">
        <v>80</v>
      </c>
      <c r="E90" t="s">
        <v>64</v>
      </c>
      <c r="F90" s="7">
        <v>41640.797222222223</v>
      </c>
      <c r="G90" s="7">
        <v>41640.804166666669</v>
      </c>
      <c r="J90">
        <v>0</v>
      </c>
      <c r="K90">
        <v>0</v>
      </c>
      <c r="M90">
        <v>191</v>
      </c>
      <c r="N90" s="9">
        <v>6</v>
      </c>
    </row>
    <row r="91" spans="1:14" x14ac:dyDescent="0.3">
      <c r="A91" s="7">
        <v>41640.798611111109</v>
      </c>
      <c r="B91">
        <v>960</v>
      </c>
      <c r="C91" s="7">
        <v>41640.345833333333</v>
      </c>
      <c r="D91" t="s">
        <v>81</v>
      </c>
      <c r="E91" t="s">
        <v>26</v>
      </c>
      <c r="F91" s="7">
        <v>41640.801388888889</v>
      </c>
      <c r="G91" s="7">
        <v>41640.8125</v>
      </c>
      <c r="J91">
        <v>0</v>
      </c>
      <c r="K91">
        <v>0</v>
      </c>
      <c r="M91">
        <v>206</v>
      </c>
      <c r="N91" s="9">
        <v>0</v>
      </c>
    </row>
    <row r="92" spans="1:14" x14ac:dyDescent="0.3">
      <c r="A92" s="7">
        <v>41640.800000000003</v>
      </c>
      <c r="B92">
        <v>2160</v>
      </c>
      <c r="C92" s="7">
        <v>41640.369444444441</v>
      </c>
      <c r="D92" t="s">
        <v>26</v>
      </c>
      <c r="E92" t="s">
        <v>65</v>
      </c>
      <c r="F92" s="7">
        <v>41641.37641203704</v>
      </c>
      <c r="G92" s="7">
        <v>41641.401412037034</v>
      </c>
      <c r="J92">
        <v>0</v>
      </c>
      <c r="K92">
        <v>0</v>
      </c>
      <c r="M92">
        <v>160</v>
      </c>
      <c r="N92" s="9">
        <v>8</v>
      </c>
    </row>
    <row r="93" spans="1:14" x14ac:dyDescent="0.3">
      <c r="A93" s="7">
        <v>41640.800694444442</v>
      </c>
      <c r="B93">
        <v>1560</v>
      </c>
      <c r="C93" s="7">
        <v>41640.352083333331</v>
      </c>
      <c r="D93" t="s">
        <v>24</v>
      </c>
      <c r="E93" t="s">
        <v>50</v>
      </c>
      <c r="F93" s="7">
        <v>41641.370833333334</v>
      </c>
      <c r="G93" s="7">
        <v>41641.388888888891</v>
      </c>
      <c r="J93">
        <v>0</v>
      </c>
      <c r="K93">
        <v>0</v>
      </c>
      <c r="M93">
        <v>71</v>
      </c>
      <c r="N93" s="9">
        <v>3</v>
      </c>
    </row>
    <row r="94" spans="1:14" x14ac:dyDescent="0.3">
      <c r="A94" s="7">
        <v>41640.802083333336</v>
      </c>
      <c r="B94">
        <v>1800</v>
      </c>
      <c r="C94" s="7">
        <v>41640.364583333336</v>
      </c>
      <c r="D94" t="s">
        <v>82</v>
      </c>
      <c r="E94" t="s">
        <v>28</v>
      </c>
      <c r="F94" s="7">
        <v>41641.364583333336</v>
      </c>
      <c r="G94" s="7">
        <v>41641.385416666664</v>
      </c>
      <c r="J94">
        <v>0</v>
      </c>
      <c r="K94">
        <v>0</v>
      </c>
      <c r="M94">
        <v>15</v>
      </c>
      <c r="N94" s="9">
        <v>0</v>
      </c>
    </row>
    <row r="95" spans="1:14" x14ac:dyDescent="0.3">
      <c r="A95" s="7">
        <v>41640.805555555555</v>
      </c>
      <c r="B95">
        <v>1620</v>
      </c>
      <c r="C95" s="7">
        <v>41640.356944444444</v>
      </c>
      <c r="D95" t="s">
        <v>34</v>
      </c>
      <c r="E95" t="s">
        <v>50</v>
      </c>
      <c r="F95" s="7">
        <v>41641.356261574074</v>
      </c>
      <c r="G95" s="7">
        <v>41641.375011574077</v>
      </c>
      <c r="J95">
        <v>0</v>
      </c>
      <c r="K95">
        <v>0</v>
      </c>
      <c r="M95">
        <v>110</v>
      </c>
      <c r="N95" s="9">
        <v>5</v>
      </c>
    </row>
    <row r="96" spans="1:14" x14ac:dyDescent="0.3">
      <c r="A96" s="7">
        <v>41640.805555555555</v>
      </c>
      <c r="B96">
        <v>1140</v>
      </c>
      <c r="C96" s="7">
        <v>41640.361805555556</v>
      </c>
      <c r="D96" t="s">
        <v>26</v>
      </c>
      <c r="E96" t="s">
        <v>73</v>
      </c>
      <c r="F96" s="7">
        <v>41641.353483796294</v>
      </c>
      <c r="G96" s="7">
        <v>41641.366678240738</v>
      </c>
      <c r="J96">
        <v>0</v>
      </c>
      <c r="K96">
        <v>0</v>
      </c>
      <c r="M96">
        <v>50</v>
      </c>
      <c r="N96" s="9">
        <v>4</v>
      </c>
    </row>
    <row r="97" spans="1:14" x14ac:dyDescent="0.3">
      <c r="A97" s="7">
        <v>41640.805555555555</v>
      </c>
      <c r="B97">
        <v>1320</v>
      </c>
      <c r="C97" s="7">
        <v>41640.351388888892</v>
      </c>
      <c r="D97" t="s">
        <v>83</v>
      </c>
      <c r="E97" t="s">
        <v>29</v>
      </c>
      <c r="F97" s="7">
        <v>41640.809027777781</v>
      </c>
      <c r="G97" s="7">
        <v>41640.824305555558</v>
      </c>
      <c r="J97">
        <v>0</v>
      </c>
      <c r="K97">
        <v>0</v>
      </c>
      <c r="M97">
        <v>34</v>
      </c>
      <c r="N97" s="9">
        <v>5</v>
      </c>
    </row>
    <row r="98" spans="1:14" x14ac:dyDescent="0.3">
      <c r="A98" s="7">
        <v>41640.811805555553</v>
      </c>
      <c r="B98">
        <v>2280</v>
      </c>
      <c r="C98" s="7">
        <v>41640.364583333336</v>
      </c>
      <c r="D98" t="s">
        <v>75</v>
      </c>
      <c r="E98" t="s">
        <v>74</v>
      </c>
      <c r="F98" s="7">
        <v>41641.365289351852</v>
      </c>
      <c r="G98" s="7">
        <v>41641.39167824074</v>
      </c>
      <c r="J98">
        <v>0</v>
      </c>
      <c r="K98">
        <v>0</v>
      </c>
      <c r="M98">
        <v>137</v>
      </c>
      <c r="N98" s="9">
        <v>1</v>
      </c>
    </row>
    <row r="99" spans="1:14" x14ac:dyDescent="0.3">
      <c r="A99" s="7">
        <v>41640.8125</v>
      </c>
      <c r="B99">
        <v>1140</v>
      </c>
      <c r="C99" s="7">
        <v>41640.35</v>
      </c>
      <c r="D99" t="s">
        <v>37</v>
      </c>
      <c r="E99" t="s">
        <v>55</v>
      </c>
      <c r="F99" s="7">
        <v>41640.818055555559</v>
      </c>
      <c r="G99" s="7">
        <v>41640.831250000003</v>
      </c>
      <c r="J99">
        <v>0</v>
      </c>
      <c r="K99">
        <v>0</v>
      </c>
      <c r="M99">
        <v>199</v>
      </c>
      <c r="N99" s="9">
        <v>8</v>
      </c>
    </row>
    <row r="100" spans="1:14" x14ac:dyDescent="0.3">
      <c r="A100" s="7">
        <v>41640.8125</v>
      </c>
      <c r="B100">
        <v>1140</v>
      </c>
      <c r="C100" s="7">
        <v>41640.350694444445</v>
      </c>
      <c r="D100" t="s">
        <v>84</v>
      </c>
      <c r="E100" t="s">
        <v>26</v>
      </c>
      <c r="F100" s="7">
        <v>41641.330555555556</v>
      </c>
      <c r="G100" s="7">
        <v>41641.34375</v>
      </c>
      <c r="J100">
        <v>0</v>
      </c>
      <c r="K100">
        <v>0</v>
      </c>
      <c r="M100">
        <v>183</v>
      </c>
      <c r="N100" s="9">
        <v>7</v>
      </c>
    </row>
    <row r="101" spans="1:14" x14ac:dyDescent="0.3">
      <c r="A101" s="7">
        <v>41640.8125</v>
      </c>
      <c r="B101">
        <v>2220</v>
      </c>
      <c r="C101" s="7">
        <v>41640.359722222223</v>
      </c>
      <c r="D101" t="s">
        <v>85</v>
      </c>
      <c r="E101" t="s">
        <v>86</v>
      </c>
      <c r="F101" s="7">
        <v>41641.338194444441</v>
      </c>
      <c r="G101" s="7">
        <v>41641.363888888889</v>
      </c>
      <c r="J101">
        <v>0</v>
      </c>
      <c r="K101">
        <v>0</v>
      </c>
      <c r="M101">
        <v>35</v>
      </c>
      <c r="N101" s="9">
        <v>0</v>
      </c>
    </row>
    <row r="102" spans="1:14" x14ac:dyDescent="0.3">
      <c r="A102" s="7">
        <v>41640.813194444447</v>
      </c>
      <c r="B102">
        <v>1560</v>
      </c>
      <c r="C102" s="7">
        <v>41640.351388888892</v>
      </c>
      <c r="D102" t="s">
        <v>87</v>
      </c>
      <c r="E102" t="s">
        <v>88</v>
      </c>
      <c r="F102" s="7">
        <v>41641.333333333336</v>
      </c>
      <c r="G102" s="7">
        <v>41641.351388888892</v>
      </c>
      <c r="J102">
        <v>0</v>
      </c>
      <c r="K102">
        <v>0</v>
      </c>
      <c r="M102">
        <v>89</v>
      </c>
      <c r="N102" s="9">
        <v>2</v>
      </c>
    </row>
    <row r="103" spans="1:14" x14ac:dyDescent="0.3">
      <c r="A103" s="7">
        <v>41640.814583333333</v>
      </c>
      <c r="B103">
        <v>1320</v>
      </c>
      <c r="C103" s="7">
        <v>41640.357638888891</v>
      </c>
      <c r="D103" t="s">
        <v>26</v>
      </c>
      <c r="E103" t="s">
        <v>77</v>
      </c>
      <c r="F103" s="7">
        <v>41640.815972222219</v>
      </c>
      <c r="G103" s="7">
        <v>41640.831250000003</v>
      </c>
      <c r="J103">
        <v>0</v>
      </c>
      <c r="K103">
        <v>0</v>
      </c>
      <c r="M103">
        <v>96</v>
      </c>
      <c r="N103" s="9">
        <v>1</v>
      </c>
    </row>
    <row r="104" spans="1:14" x14ac:dyDescent="0.3">
      <c r="A104" s="7">
        <v>41640.81527777778</v>
      </c>
      <c r="B104">
        <v>780</v>
      </c>
      <c r="C104" s="7">
        <v>41640.345138888886</v>
      </c>
      <c r="D104" t="s">
        <v>29</v>
      </c>
      <c r="E104" t="s">
        <v>28</v>
      </c>
      <c r="F104" s="7">
        <v>41641.327789351853</v>
      </c>
      <c r="G104" s="7">
        <v>41641.336817129632</v>
      </c>
      <c r="J104">
        <v>0</v>
      </c>
      <c r="K104">
        <v>0</v>
      </c>
      <c r="M104">
        <v>77</v>
      </c>
      <c r="N104" s="9">
        <v>7</v>
      </c>
    </row>
    <row r="105" spans="1:14" x14ac:dyDescent="0.3">
      <c r="A105" s="7">
        <v>41640.81527777778</v>
      </c>
      <c r="B105">
        <v>2160</v>
      </c>
      <c r="C105" s="7">
        <v>41640.370833333334</v>
      </c>
      <c r="D105" t="s">
        <v>37</v>
      </c>
      <c r="E105" t="s">
        <v>71</v>
      </c>
      <c r="F105" s="7">
        <v>41641.322233796294</v>
      </c>
      <c r="G105" s="7">
        <v>41641.347233796296</v>
      </c>
      <c r="J105">
        <v>0</v>
      </c>
      <c r="K105">
        <v>0</v>
      </c>
      <c r="M105">
        <v>10</v>
      </c>
      <c r="N105" s="9">
        <v>8</v>
      </c>
    </row>
    <row r="106" spans="1:14" x14ac:dyDescent="0.3">
      <c r="A106" s="7">
        <v>41640.815972222219</v>
      </c>
      <c r="B106">
        <v>1920</v>
      </c>
      <c r="C106" s="7">
        <v>41640.35833333333</v>
      </c>
      <c r="D106" t="s">
        <v>89</v>
      </c>
      <c r="E106" t="s">
        <v>37</v>
      </c>
      <c r="F106" s="7">
        <v>41641.328472222223</v>
      </c>
      <c r="G106" s="7">
        <v>41641.350694444445</v>
      </c>
      <c r="J106">
        <v>0</v>
      </c>
      <c r="K106">
        <v>0</v>
      </c>
      <c r="M106">
        <v>205</v>
      </c>
      <c r="N106" s="9">
        <v>3</v>
      </c>
    </row>
    <row r="107" spans="1:14" x14ac:dyDescent="0.3">
      <c r="A107" s="7">
        <v>41640.815972222219</v>
      </c>
      <c r="B107">
        <v>2220</v>
      </c>
      <c r="C107" s="7">
        <v>41640.363888888889</v>
      </c>
      <c r="D107" t="s">
        <v>90</v>
      </c>
      <c r="E107" t="s">
        <v>23</v>
      </c>
      <c r="F107" s="7">
        <v>41641.325694444444</v>
      </c>
      <c r="G107" s="7">
        <v>41641.351388888892</v>
      </c>
      <c r="J107">
        <v>0</v>
      </c>
      <c r="K107">
        <v>0</v>
      </c>
      <c r="M107">
        <v>76</v>
      </c>
      <c r="N107" s="9">
        <v>10</v>
      </c>
    </row>
    <row r="108" spans="1:14" x14ac:dyDescent="0.3">
      <c r="A108" s="7">
        <v>41640.815972222219</v>
      </c>
      <c r="B108">
        <v>1320</v>
      </c>
      <c r="C108" s="7">
        <v>41640.352777777778</v>
      </c>
      <c r="D108" t="s">
        <v>91</v>
      </c>
      <c r="E108" t="s">
        <v>23</v>
      </c>
      <c r="F108" s="7">
        <v>41641.321539351855</v>
      </c>
      <c r="G108" s="7">
        <v>41641.336817129632</v>
      </c>
      <c r="J108">
        <v>0</v>
      </c>
      <c r="K108">
        <v>0</v>
      </c>
      <c r="M108">
        <v>20</v>
      </c>
      <c r="N108" s="9">
        <v>0</v>
      </c>
    </row>
    <row r="109" spans="1:14" x14ac:dyDescent="0.3">
      <c r="A109" s="7">
        <v>41640.815972222219</v>
      </c>
      <c r="B109">
        <v>1260</v>
      </c>
      <c r="C109" s="7">
        <v>41640.352083333331</v>
      </c>
      <c r="D109" t="s">
        <v>92</v>
      </c>
      <c r="E109" t="s">
        <v>67</v>
      </c>
      <c r="F109" s="7">
        <v>41640.831250000003</v>
      </c>
      <c r="G109" s="7">
        <v>41640.845833333333</v>
      </c>
      <c r="J109">
        <v>0</v>
      </c>
      <c r="K109">
        <v>0</v>
      </c>
      <c r="M109">
        <v>2</v>
      </c>
      <c r="N109" s="9">
        <v>6</v>
      </c>
    </row>
    <row r="110" spans="1:14" x14ac:dyDescent="0.3">
      <c r="A110" s="7">
        <v>41640.826388888891</v>
      </c>
      <c r="B110">
        <v>2340</v>
      </c>
      <c r="C110" s="7">
        <v>41640.363888888889</v>
      </c>
      <c r="D110" t="s">
        <v>93</v>
      </c>
      <c r="E110" t="s">
        <v>50</v>
      </c>
      <c r="F110" s="7">
        <v>41641.315300925926</v>
      </c>
      <c r="G110" s="7">
        <v>41641.34238425926</v>
      </c>
      <c r="J110">
        <v>0</v>
      </c>
      <c r="K110">
        <v>0</v>
      </c>
      <c r="M110">
        <v>24</v>
      </c>
      <c r="N110" s="9">
        <v>9</v>
      </c>
    </row>
    <row r="111" spans="1:14" x14ac:dyDescent="0.3">
      <c r="A111" s="7">
        <v>41640.826388888891</v>
      </c>
      <c r="B111">
        <v>3600</v>
      </c>
      <c r="C111" s="7">
        <v>41640.375</v>
      </c>
      <c r="D111" t="s">
        <v>94</v>
      </c>
      <c r="E111" t="s">
        <v>26</v>
      </c>
      <c r="F111" s="7">
        <v>41640.834722222222</v>
      </c>
      <c r="G111" s="7">
        <v>41640.876388888886</v>
      </c>
      <c r="J111">
        <v>0</v>
      </c>
      <c r="K111">
        <v>0</v>
      </c>
      <c r="M111">
        <v>18</v>
      </c>
      <c r="N111" s="9">
        <v>1</v>
      </c>
    </row>
    <row r="112" spans="1:14" x14ac:dyDescent="0.3">
      <c r="A112" s="7">
        <v>41640.828472222223</v>
      </c>
      <c r="B112">
        <v>240</v>
      </c>
      <c r="C112" s="7">
        <v>41640.356944444444</v>
      </c>
      <c r="D112" t="s">
        <v>26</v>
      </c>
      <c r="E112" t="s">
        <v>54</v>
      </c>
      <c r="F112" s="7">
        <v>41640.833344907405</v>
      </c>
      <c r="G112" s="7">
        <v>41640.836122685185</v>
      </c>
      <c r="J112">
        <v>0</v>
      </c>
      <c r="K112">
        <v>0</v>
      </c>
      <c r="M112">
        <v>107</v>
      </c>
      <c r="N112" s="9">
        <v>2</v>
      </c>
    </row>
    <row r="113" spans="1:14" x14ac:dyDescent="0.3">
      <c r="A113" s="7">
        <v>41640.82916666667</v>
      </c>
      <c r="B113">
        <v>720</v>
      </c>
      <c r="C113" s="7">
        <v>41640.341666666667</v>
      </c>
      <c r="D113" t="s">
        <v>29</v>
      </c>
      <c r="E113" t="s">
        <v>53</v>
      </c>
      <c r="F113" s="7">
        <v>41640.82916666667</v>
      </c>
      <c r="G113" s="7">
        <v>41640.837500000001</v>
      </c>
      <c r="J113">
        <v>0</v>
      </c>
      <c r="K113">
        <v>0</v>
      </c>
      <c r="M113">
        <v>190</v>
      </c>
      <c r="N113" s="9">
        <v>7</v>
      </c>
    </row>
    <row r="114" spans="1:14" x14ac:dyDescent="0.3">
      <c r="A114" s="7">
        <v>41640.831250000003</v>
      </c>
      <c r="B114">
        <v>1980</v>
      </c>
      <c r="C114" s="7">
        <v>41640.356944444444</v>
      </c>
      <c r="D114" t="s">
        <v>95</v>
      </c>
      <c r="E114" t="s">
        <v>28</v>
      </c>
      <c r="F114" s="7">
        <v>41641.305567129632</v>
      </c>
      <c r="G114" s="7">
        <v>41641.328483796293</v>
      </c>
      <c r="J114">
        <v>0</v>
      </c>
      <c r="K114">
        <v>0</v>
      </c>
      <c r="M114">
        <v>91</v>
      </c>
      <c r="N114" s="9">
        <v>3</v>
      </c>
    </row>
    <row r="115" spans="1:14" x14ac:dyDescent="0.3">
      <c r="A115" s="7">
        <v>41640.833333333336</v>
      </c>
      <c r="B115">
        <v>1560</v>
      </c>
      <c r="C115" s="7">
        <v>41640.355555555558</v>
      </c>
      <c r="D115" t="s">
        <v>96</v>
      </c>
      <c r="E115" t="s">
        <v>28</v>
      </c>
      <c r="F115" s="7">
        <v>41640.834722222222</v>
      </c>
      <c r="G115" s="7">
        <v>41640.852777777778</v>
      </c>
      <c r="J115">
        <v>0</v>
      </c>
      <c r="K115">
        <v>0</v>
      </c>
      <c r="M115">
        <v>171</v>
      </c>
      <c r="N115" s="9">
        <v>0</v>
      </c>
    </row>
    <row r="116" spans="1:14" x14ac:dyDescent="0.3">
      <c r="A116" s="7">
        <v>41640.835416666669</v>
      </c>
      <c r="B116">
        <v>1200</v>
      </c>
      <c r="C116" s="7">
        <v>41640.359722222223</v>
      </c>
      <c r="D116" t="s">
        <v>26</v>
      </c>
      <c r="E116" t="s">
        <v>81</v>
      </c>
      <c r="F116" s="7">
        <v>41640.838194444441</v>
      </c>
      <c r="G116" s="7">
        <v>41640.852083333331</v>
      </c>
      <c r="J116">
        <v>0</v>
      </c>
      <c r="K116">
        <v>0</v>
      </c>
      <c r="M116">
        <v>162</v>
      </c>
      <c r="N116" s="9">
        <v>7</v>
      </c>
    </row>
    <row r="117" spans="1:14" x14ac:dyDescent="0.3">
      <c r="A117" s="7">
        <v>41640.837500000001</v>
      </c>
      <c r="B117">
        <v>600</v>
      </c>
      <c r="C117" s="7">
        <v>41640.343055555553</v>
      </c>
      <c r="D117" t="s">
        <v>26</v>
      </c>
      <c r="E117" t="s">
        <v>63</v>
      </c>
      <c r="F117" s="7">
        <v>41641.310416666667</v>
      </c>
      <c r="G117" s="7">
        <v>41641.317361111112</v>
      </c>
      <c r="J117">
        <v>0</v>
      </c>
      <c r="K117">
        <v>0</v>
      </c>
      <c r="M117">
        <v>189</v>
      </c>
      <c r="N117" s="9">
        <v>1</v>
      </c>
    </row>
    <row r="118" spans="1:14" x14ac:dyDescent="0.3">
      <c r="A118" s="7">
        <v>41640.838194444441</v>
      </c>
      <c r="B118">
        <v>420</v>
      </c>
      <c r="C118" s="7">
        <v>41640.355555555558</v>
      </c>
      <c r="D118" t="s">
        <v>67</v>
      </c>
      <c r="E118" t="s">
        <v>66</v>
      </c>
      <c r="F118" s="7">
        <v>41641.301388888889</v>
      </c>
      <c r="G118" s="7">
        <v>41641.306250000001</v>
      </c>
      <c r="J118">
        <v>0</v>
      </c>
      <c r="K118">
        <v>0</v>
      </c>
      <c r="M118">
        <v>200</v>
      </c>
      <c r="N118" s="9">
        <v>10</v>
      </c>
    </row>
    <row r="119" spans="1:14" x14ac:dyDescent="0.3">
      <c r="A119" s="7">
        <v>41640.838194444441</v>
      </c>
      <c r="B119">
        <v>600</v>
      </c>
      <c r="C119" s="7">
        <v>41640.355555555558</v>
      </c>
      <c r="D119" t="s">
        <v>50</v>
      </c>
      <c r="E119" t="s">
        <v>34</v>
      </c>
      <c r="F119" s="7">
        <v>41641.291678240741</v>
      </c>
      <c r="G119" s="7">
        <v>41641.298622685186</v>
      </c>
      <c r="J119">
        <v>0</v>
      </c>
      <c r="K119">
        <v>0</v>
      </c>
      <c r="M119">
        <v>98</v>
      </c>
      <c r="N119" s="9">
        <v>9</v>
      </c>
    </row>
    <row r="120" spans="1:14" x14ac:dyDescent="0.3">
      <c r="A120" s="7">
        <v>41640.838194444441</v>
      </c>
      <c r="B120">
        <v>360</v>
      </c>
      <c r="C120" s="7">
        <v>41640.347222222219</v>
      </c>
      <c r="D120" t="s">
        <v>97</v>
      </c>
      <c r="E120" t="s">
        <v>98</v>
      </c>
      <c r="F120" s="7">
        <v>41641.286805555559</v>
      </c>
      <c r="G120" s="7">
        <v>41641.290972222225</v>
      </c>
      <c r="J120">
        <v>0</v>
      </c>
      <c r="K120">
        <v>0</v>
      </c>
      <c r="M120">
        <v>31</v>
      </c>
      <c r="N120" s="9">
        <v>10</v>
      </c>
    </row>
    <row r="121" spans="1:14" x14ac:dyDescent="0.3">
      <c r="A121" s="7">
        <v>41640.84097222222</v>
      </c>
      <c r="B121">
        <v>720</v>
      </c>
      <c r="C121" s="7">
        <v>41640.347222222219</v>
      </c>
      <c r="D121" t="s">
        <v>29</v>
      </c>
      <c r="E121" t="s">
        <v>53</v>
      </c>
      <c r="F121" s="7">
        <v>41641.288206018522</v>
      </c>
      <c r="G121" s="7">
        <v>41641.296539351853</v>
      </c>
      <c r="J121">
        <v>0</v>
      </c>
      <c r="K121">
        <v>0</v>
      </c>
      <c r="M121">
        <v>72</v>
      </c>
      <c r="N121" s="9">
        <v>5</v>
      </c>
    </row>
    <row r="122" spans="1:14" x14ac:dyDescent="0.3">
      <c r="A122" s="7">
        <v>41640.84097222222</v>
      </c>
      <c r="B122">
        <v>1320</v>
      </c>
      <c r="C122" s="7">
        <v>41640.352083333331</v>
      </c>
      <c r="D122" t="s">
        <v>79</v>
      </c>
      <c r="E122" t="s">
        <v>64</v>
      </c>
      <c r="F122" s="7">
        <v>41640.85</v>
      </c>
      <c r="G122" s="7">
        <v>41640.865277777775</v>
      </c>
      <c r="J122">
        <v>0</v>
      </c>
      <c r="K122">
        <v>0</v>
      </c>
      <c r="M122">
        <v>3</v>
      </c>
      <c r="N122" s="9">
        <v>5</v>
      </c>
    </row>
    <row r="123" spans="1:14" x14ac:dyDescent="0.3">
      <c r="A123" s="7">
        <v>41640.844444444447</v>
      </c>
      <c r="B123">
        <v>1500</v>
      </c>
      <c r="C123" s="7">
        <v>41640.355555555558</v>
      </c>
      <c r="D123" t="s">
        <v>26</v>
      </c>
      <c r="E123" t="s">
        <v>58</v>
      </c>
      <c r="F123" s="7">
        <v>41640.849305555559</v>
      </c>
      <c r="G123" s="7">
        <v>41640.866666666669</v>
      </c>
      <c r="J123">
        <v>0</v>
      </c>
      <c r="K123">
        <v>0</v>
      </c>
      <c r="M123">
        <v>44</v>
      </c>
      <c r="N123" s="9">
        <v>3</v>
      </c>
    </row>
    <row r="124" spans="1:14" x14ac:dyDescent="0.3">
      <c r="A124" s="7">
        <v>41640.847222222219</v>
      </c>
      <c r="B124">
        <v>1680</v>
      </c>
      <c r="C124" s="7">
        <v>41640.354861111111</v>
      </c>
      <c r="D124" t="s">
        <v>99</v>
      </c>
      <c r="E124" t="s">
        <v>23</v>
      </c>
      <c r="F124" s="7">
        <v>41641.28402777778</v>
      </c>
      <c r="G124" s="7">
        <v>41641.303472222222</v>
      </c>
      <c r="J124">
        <v>0</v>
      </c>
      <c r="K124">
        <v>0</v>
      </c>
      <c r="M124">
        <v>192</v>
      </c>
      <c r="N124" s="9">
        <v>10</v>
      </c>
    </row>
    <row r="125" spans="1:14" x14ac:dyDescent="0.3">
      <c r="A125" s="7">
        <v>41640.847222222219</v>
      </c>
      <c r="B125">
        <v>900</v>
      </c>
      <c r="C125" s="7">
        <v>41640.347916666666</v>
      </c>
      <c r="D125" t="s">
        <v>100</v>
      </c>
      <c r="E125" t="s">
        <v>37</v>
      </c>
      <c r="F125" s="7">
        <v>41641.279861111114</v>
      </c>
      <c r="G125" s="7">
        <v>41641.290277777778</v>
      </c>
      <c r="J125">
        <v>0</v>
      </c>
      <c r="K125">
        <v>0</v>
      </c>
      <c r="M125">
        <v>136</v>
      </c>
      <c r="N125" s="9">
        <v>2</v>
      </c>
    </row>
    <row r="126" spans="1:14" x14ac:dyDescent="0.3">
      <c r="A126" s="7">
        <v>41640.847222222219</v>
      </c>
      <c r="B126">
        <v>2040</v>
      </c>
      <c r="C126" s="7">
        <v>41640.356944444444</v>
      </c>
      <c r="D126" t="s">
        <v>26</v>
      </c>
      <c r="E126" t="s">
        <v>84</v>
      </c>
      <c r="F126" s="7">
        <v>41641.268055555556</v>
      </c>
      <c r="G126" s="7">
        <v>41641.291666666664</v>
      </c>
      <c r="J126">
        <v>0</v>
      </c>
      <c r="K126">
        <v>0</v>
      </c>
      <c r="M126">
        <v>84</v>
      </c>
      <c r="N126" s="9">
        <v>8</v>
      </c>
    </row>
    <row r="127" spans="1:14" x14ac:dyDescent="0.3">
      <c r="A127" s="7">
        <v>41640.847916666666</v>
      </c>
      <c r="B127">
        <v>2160</v>
      </c>
      <c r="C127" s="7">
        <v>41640.365277777775</v>
      </c>
      <c r="D127" t="s">
        <v>101</v>
      </c>
      <c r="E127" t="s">
        <v>29</v>
      </c>
      <c r="F127" s="7">
        <v>41640.855555555558</v>
      </c>
      <c r="G127" s="7">
        <v>41640.880555555559</v>
      </c>
      <c r="J127">
        <v>0</v>
      </c>
      <c r="K127">
        <v>0</v>
      </c>
      <c r="M127">
        <v>70</v>
      </c>
      <c r="N127" s="9">
        <v>3</v>
      </c>
    </row>
    <row r="128" spans="1:14" x14ac:dyDescent="0.3">
      <c r="A128" s="7">
        <v>41640.850694444445</v>
      </c>
      <c r="B128">
        <v>1020</v>
      </c>
      <c r="C128" s="7">
        <v>41640.350694444445</v>
      </c>
      <c r="D128" t="s">
        <v>31</v>
      </c>
      <c r="E128" t="s">
        <v>75</v>
      </c>
      <c r="F128" s="7">
        <v>41641.269444444442</v>
      </c>
      <c r="G128" s="7">
        <v>41641.28125</v>
      </c>
      <c r="J128">
        <v>0</v>
      </c>
      <c r="K128">
        <v>0</v>
      </c>
      <c r="M128">
        <v>104</v>
      </c>
      <c r="N128" s="9">
        <v>4</v>
      </c>
    </row>
    <row r="129" spans="1:14" x14ac:dyDescent="0.3">
      <c r="A129" s="7">
        <v>41640.852777777778</v>
      </c>
      <c r="B129">
        <v>2100</v>
      </c>
      <c r="C129" s="7">
        <v>41640.362500000003</v>
      </c>
      <c r="D129" t="s">
        <v>102</v>
      </c>
      <c r="E129" t="s">
        <v>26</v>
      </c>
      <c r="F129" s="7">
        <v>41640.859722222223</v>
      </c>
      <c r="G129" s="7">
        <v>41640.884027777778</v>
      </c>
      <c r="J129">
        <v>0</v>
      </c>
      <c r="K129">
        <v>0</v>
      </c>
      <c r="M129">
        <v>25</v>
      </c>
      <c r="N129" s="9">
        <v>4</v>
      </c>
    </row>
    <row r="130" spans="1:14" x14ac:dyDescent="0.3">
      <c r="A130" s="7">
        <v>41640.857638888891</v>
      </c>
      <c r="B130">
        <v>1680</v>
      </c>
      <c r="C130" s="7">
        <v>41640.355555555558</v>
      </c>
      <c r="D130" t="s">
        <v>103</v>
      </c>
      <c r="E130" t="s">
        <v>28</v>
      </c>
      <c r="F130" s="7">
        <v>41641.263912037037</v>
      </c>
      <c r="G130" s="7">
        <v>41641.283356481479</v>
      </c>
      <c r="J130">
        <v>0</v>
      </c>
      <c r="K130">
        <v>0</v>
      </c>
      <c r="M130">
        <v>129</v>
      </c>
      <c r="N130" s="9">
        <v>5</v>
      </c>
    </row>
    <row r="131" spans="1:14" x14ac:dyDescent="0.3">
      <c r="A131" s="7">
        <v>41640.857638888891</v>
      </c>
      <c r="B131">
        <v>900</v>
      </c>
      <c r="C131" s="7">
        <v>41640.352777777778</v>
      </c>
      <c r="D131" t="s">
        <v>104</v>
      </c>
      <c r="E131" t="s">
        <v>37</v>
      </c>
      <c r="F131" s="7">
        <v>41641.256956018522</v>
      </c>
      <c r="G131" s="7">
        <v>41641.267372685186</v>
      </c>
      <c r="J131">
        <v>0</v>
      </c>
      <c r="K131">
        <v>0</v>
      </c>
      <c r="M131">
        <v>59</v>
      </c>
      <c r="N131" s="9">
        <v>4</v>
      </c>
    </row>
    <row r="132" spans="1:14" x14ac:dyDescent="0.3">
      <c r="A132" s="7">
        <v>41640.85833333333</v>
      </c>
      <c r="B132">
        <v>840</v>
      </c>
      <c r="C132" s="7">
        <v>41640.356944444444</v>
      </c>
      <c r="D132" t="s">
        <v>86</v>
      </c>
      <c r="E132" t="s">
        <v>85</v>
      </c>
      <c r="F132" s="7">
        <v>41640.861817129633</v>
      </c>
      <c r="G132" s="7">
        <v>41640.871539351851</v>
      </c>
      <c r="J132">
        <v>0</v>
      </c>
      <c r="K132">
        <v>0</v>
      </c>
      <c r="M132">
        <v>4</v>
      </c>
      <c r="N132" s="9">
        <v>2</v>
      </c>
    </row>
    <row r="133" spans="1:14" x14ac:dyDescent="0.3">
      <c r="A133" s="7">
        <v>41640.86041666667</v>
      </c>
      <c r="B133">
        <v>960</v>
      </c>
      <c r="C133" s="7">
        <v>41640.345138888886</v>
      </c>
      <c r="D133" t="s">
        <v>28</v>
      </c>
      <c r="E133" t="s">
        <v>82</v>
      </c>
      <c r="F133" s="7">
        <v>41641.253472222219</v>
      </c>
      <c r="G133" s="7">
        <v>41641.26458333333</v>
      </c>
      <c r="J133">
        <v>0</v>
      </c>
      <c r="K133">
        <v>0</v>
      </c>
      <c r="M133">
        <v>172</v>
      </c>
      <c r="N133" s="9">
        <v>3</v>
      </c>
    </row>
    <row r="134" spans="1:14" x14ac:dyDescent="0.3">
      <c r="A134" s="7">
        <v>41640.862500000003</v>
      </c>
      <c r="B134">
        <v>1380</v>
      </c>
      <c r="C134" s="7">
        <v>41640.352777777778</v>
      </c>
      <c r="D134" t="s">
        <v>23</v>
      </c>
      <c r="E134" t="s">
        <v>91</v>
      </c>
      <c r="F134" s="7">
        <v>41641.247916666667</v>
      </c>
      <c r="G134" s="7">
        <v>41641.263888888891</v>
      </c>
      <c r="J134">
        <v>0</v>
      </c>
      <c r="K134">
        <v>0</v>
      </c>
      <c r="M134">
        <v>52</v>
      </c>
      <c r="N134" s="9">
        <v>4</v>
      </c>
    </row>
    <row r="135" spans="1:14" x14ac:dyDescent="0.3">
      <c r="A135" s="7">
        <v>41640.864583333336</v>
      </c>
      <c r="B135">
        <v>300</v>
      </c>
      <c r="C135" s="7">
        <v>41640.350694444445</v>
      </c>
      <c r="D135" t="s">
        <v>23</v>
      </c>
      <c r="E135" t="s">
        <v>90</v>
      </c>
      <c r="F135" s="7">
        <v>41640.865277777775</v>
      </c>
      <c r="G135" s="7">
        <v>41640.868750000001</v>
      </c>
      <c r="J135">
        <v>0</v>
      </c>
      <c r="K135">
        <v>0</v>
      </c>
      <c r="M135">
        <v>202</v>
      </c>
      <c r="N135" s="9">
        <v>7</v>
      </c>
    </row>
    <row r="136" spans="1:14" x14ac:dyDescent="0.3">
      <c r="A136" s="7">
        <v>41640.865277777775</v>
      </c>
      <c r="B136">
        <v>1140</v>
      </c>
      <c r="C136" s="7">
        <v>41640.347916666666</v>
      </c>
      <c r="D136" t="s">
        <v>50</v>
      </c>
      <c r="E136" t="s">
        <v>24</v>
      </c>
      <c r="F136" s="7">
        <v>41641.294456018521</v>
      </c>
      <c r="G136" s="7">
        <v>41641.307650462964</v>
      </c>
      <c r="J136">
        <v>0</v>
      </c>
      <c r="K136">
        <v>0</v>
      </c>
      <c r="M136">
        <v>43</v>
      </c>
      <c r="N136" s="9">
        <v>9</v>
      </c>
    </row>
    <row r="137" spans="1:14" x14ac:dyDescent="0.3">
      <c r="A137" s="7">
        <v>41640.865972222222</v>
      </c>
      <c r="B137">
        <v>300</v>
      </c>
      <c r="C137" s="7">
        <v>41640.361111111109</v>
      </c>
      <c r="D137" t="s">
        <v>105</v>
      </c>
      <c r="E137" t="s">
        <v>50</v>
      </c>
      <c r="F137" s="7">
        <v>41640.866678240738</v>
      </c>
      <c r="G137" s="7">
        <v>41640.870150462964</v>
      </c>
      <c r="J137">
        <v>0</v>
      </c>
      <c r="K137">
        <v>0</v>
      </c>
      <c r="M137">
        <v>9</v>
      </c>
      <c r="N137" s="9">
        <v>8</v>
      </c>
    </row>
    <row r="138" spans="1:14" x14ac:dyDescent="0.3">
      <c r="A138" s="7">
        <v>41640.866666666669</v>
      </c>
      <c r="B138">
        <v>540</v>
      </c>
      <c r="C138" s="7">
        <v>41640.34375</v>
      </c>
      <c r="D138" t="s">
        <v>67</v>
      </c>
      <c r="E138" t="s">
        <v>92</v>
      </c>
      <c r="F138" s="7">
        <v>41641.245162037034</v>
      </c>
      <c r="G138" s="7">
        <v>41641.25141203704</v>
      </c>
      <c r="J138">
        <v>0</v>
      </c>
      <c r="K138">
        <v>0</v>
      </c>
      <c r="M138">
        <v>188</v>
      </c>
      <c r="N138" s="9">
        <v>0</v>
      </c>
    </row>
    <row r="139" spans="1:14" x14ac:dyDescent="0.3">
      <c r="A139" s="7">
        <v>41640.868055555555</v>
      </c>
      <c r="B139">
        <v>1680</v>
      </c>
      <c r="C139" s="7">
        <v>41640.356944444444</v>
      </c>
      <c r="D139" t="s">
        <v>106</v>
      </c>
      <c r="E139" t="s">
        <v>26</v>
      </c>
      <c r="F139" s="7">
        <v>41641.242361111108</v>
      </c>
      <c r="G139" s="7">
        <v>41641.261805555558</v>
      </c>
      <c r="J139">
        <v>0</v>
      </c>
      <c r="K139">
        <v>0</v>
      </c>
      <c r="M139">
        <v>95</v>
      </c>
      <c r="N139" s="9">
        <v>2</v>
      </c>
    </row>
    <row r="140" spans="1:14" x14ac:dyDescent="0.3">
      <c r="A140" s="7">
        <v>41640.868055555555</v>
      </c>
      <c r="B140">
        <v>2340</v>
      </c>
      <c r="C140" s="7">
        <v>41640.36041666667</v>
      </c>
      <c r="D140" t="s">
        <v>107</v>
      </c>
      <c r="E140" t="s">
        <v>37</v>
      </c>
      <c r="F140" s="7">
        <v>41641.229166666664</v>
      </c>
      <c r="G140" s="7">
        <v>41641.256249999999</v>
      </c>
      <c r="J140">
        <v>0</v>
      </c>
      <c r="K140">
        <v>0</v>
      </c>
      <c r="M140">
        <v>90</v>
      </c>
      <c r="N140" s="9">
        <v>8</v>
      </c>
    </row>
    <row r="141" spans="1:14" x14ac:dyDescent="0.3">
      <c r="A141" s="7">
        <v>41640.87222222222</v>
      </c>
      <c r="B141">
        <v>960</v>
      </c>
      <c r="C141" s="7">
        <v>41640.357638888891</v>
      </c>
      <c r="D141" t="s">
        <v>108</v>
      </c>
      <c r="E141" t="s">
        <v>109</v>
      </c>
      <c r="F141" s="7">
        <v>41641.224305555559</v>
      </c>
      <c r="G141" s="7">
        <v>41641.23541666667</v>
      </c>
      <c r="J141">
        <v>0</v>
      </c>
      <c r="K141">
        <v>0</v>
      </c>
      <c r="M141">
        <v>187</v>
      </c>
      <c r="N141" s="9">
        <v>1</v>
      </c>
    </row>
    <row r="142" spans="1:14" x14ac:dyDescent="0.3">
      <c r="A142" s="7">
        <v>41640.87222222222</v>
      </c>
      <c r="B142">
        <v>720</v>
      </c>
      <c r="C142" s="7">
        <v>41640.345138888886</v>
      </c>
      <c r="D142" t="s">
        <v>110</v>
      </c>
      <c r="E142" t="s">
        <v>37</v>
      </c>
      <c r="F142" s="7">
        <v>41641.218761574077</v>
      </c>
      <c r="G142" s="7">
        <v>41641.227094907408</v>
      </c>
      <c r="J142">
        <v>0</v>
      </c>
      <c r="K142">
        <v>0</v>
      </c>
      <c r="M142">
        <v>173</v>
      </c>
      <c r="N142" s="9">
        <v>0</v>
      </c>
    </row>
    <row r="143" spans="1:14" x14ac:dyDescent="0.3">
      <c r="A143" s="7">
        <v>41640.872916666667</v>
      </c>
      <c r="B143">
        <v>1020</v>
      </c>
      <c r="C143" s="7">
        <v>41640.348611111112</v>
      </c>
      <c r="D143" t="s">
        <v>26</v>
      </c>
      <c r="E143" t="s">
        <v>111</v>
      </c>
      <c r="F143" s="7">
        <v>41640.892361111109</v>
      </c>
      <c r="G143" s="7">
        <v>41640.904166666667</v>
      </c>
      <c r="J143">
        <v>0</v>
      </c>
      <c r="K143">
        <v>0</v>
      </c>
      <c r="M143">
        <v>62</v>
      </c>
      <c r="N143" s="9">
        <v>0</v>
      </c>
    </row>
    <row r="144" spans="1:14" x14ac:dyDescent="0.3">
      <c r="A144" s="7">
        <v>41640.875694444447</v>
      </c>
      <c r="B144">
        <v>600</v>
      </c>
      <c r="C144" s="7">
        <v>41640.35</v>
      </c>
      <c r="D144" t="s">
        <v>50</v>
      </c>
      <c r="E144" t="s">
        <v>93</v>
      </c>
      <c r="F144" s="7">
        <v>41641.214606481481</v>
      </c>
      <c r="G144" s="7">
        <v>41641.221550925926</v>
      </c>
      <c r="J144">
        <v>0</v>
      </c>
      <c r="K144">
        <v>0</v>
      </c>
      <c r="M144">
        <v>128</v>
      </c>
      <c r="N144" s="9">
        <v>2</v>
      </c>
    </row>
    <row r="145" spans="1:14" x14ac:dyDescent="0.3">
      <c r="A145" s="7">
        <v>41640.875694444447</v>
      </c>
      <c r="B145">
        <v>1920</v>
      </c>
      <c r="C145" s="7">
        <v>41640.35833333333</v>
      </c>
      <c r="D145" t="s">
        <v>112</v>
      </c>
      <c r="E145" t="s">
        <v>113</v>
      </c>
      <c r="F145" s="7">
        <v>41641.217361111114</v>
      </c>
      <c r="G145" s="7">
        <v>41641.239583333336</v>
      </c>
      <c r="J145">
        <v>0</v>
      </c>
      <c r="K145">
        <v>0</v>
      </c>
      <c r="M145">
        <v>116</v>
      </c>
      <c r="N145" s="9">
        <v>2</v>
      </c>
    </row>
    <row r="146" spans="1:14" x14ac:dyDescent="0.3">
      <c r="A146" s="7">
        <v>41640.876388888886</v>
      </c>
      <c r="B146">
        <v>1440</v>
      </c>
      <c r="C146" s="7">
        <v>41640.361805555556</v>
      </c>
      <c r="D146" t="s">
        <v>114</v>
      </c>
      <c r="E146" t="s">
        <v>19</v>
      </c>
      <c r="F146" s="7">
        <v>41640.895138888889</v>
      </c>
      <c r="G146" s="7">
        <v>41640.911805555559</v>
      </c>
      <c r="J146">
        <v>0</v>
      </c>
      <c r="K146">
        <v>0</v>
      </c>
      <c r="M146">
        <v>196</v>
      </c>
      <c r="N146" s="9">
        <v>10</v>
      </c>
    </row>
    <row r="147" spans="1:14" x14ac:dyDescent="0.3">
      <c r="A147" s="7">
        <v>41640.876388888886</v>
      </c>
      <c r="B147">
        <v>2340</v>
      </c>
      <c r="C147" s="7">
        <v>41640.365972222222</v>
      </c>
      <c r="D147" t="s">
        <v>115</v>
      </c>
      <c r="E147" t="s">
        <v>26</v>
      </c>
      <c r="F147" s="7">
        <v>41640.89166666667</v>
      </c>
      <c r="G147" s="7">
        <v>41640.918749999997</v>
      </c>
      <c r="J147">
        <v>0</v>
      </c>
      <c r="K147">
        <v>0</v>
      </c>
      <c r="M147">
        <v>21</v>
      </c>
      <c r="N147" s="9">
        <v>7</v>
      </c>
    </row>
    <row r="148" spans="1:14" x14ac:dyDescent="0.3">
      <c r="A148" s="7">
        <v>41640.878472222219</v>
      </c>
      <c r="B148">
        <v>1440</v>
      </c>
      <c r="C148" s="7">
        <v>41640.353472222225</v>
      </c>
      <c r="D148" t="s">
        <v>29</v>
      </c>
      <c r="E148" t="s">
        <v>83</v>
      </c>
      <c r="F148" s="7">
        <v>41640.883333333331</v>
      </c>
      <c r="G148" s="7">
        <v>41640.9</v>
      </c>
      <c r="J148">
        <v>0</v>
      </c>
      <c r="K148">
        <v>0</v>
      </c>
      <c r="M148">
        <v>67</v>
      </c>
      <c r="N148" s="9">
        <v>7</v>
      </c>
    </row>
    <row r="149" spans="1:14" x14ac:dyDescent="0.3">
      <c r="A149" s="7">
        <v>41640.879861111112</v>
      </c>
      <c r="B149">
        <v>1380</v>
      </c>
      <c r="C149" s="7">
        <v>41640.352777777778</v>
      </c>
      <c r="D149" t="s">
        <v>116</v>
      </c>
      <c r="E149" t="s">
        <v>28</v>
      </c>
      <c r="F149" s="7">
        <v>41640.884722222225</v>
      </c>
      <c r="G149" s="7">
        <v>41640.900694444441</v>
      </c>
      <c r="J149">
        <v>0</v>
      </c>
      <c r="K149">
        <v>0</v>
      </c>
      <c r="M149">
        <v>41</v>
      </c>
      <c r="N149" s="9">
        <v>3</v>
      </c>
    </row>
    <row r="150" spans="1:14" x14ac:dyDescent="0.3">
      <c r="A150" s="7">
        <v>41640.890277777777</v>
      </c>
      <c r="B150">
        <v>1620</v>
      </c>
      <c r="C150" s="7">
        <v>41640.356249999997</v>
      </c>
      <c r="D150" t="s">
        <v>28</v>
      </c>
      <c r="E150" t="s">
        <v>29</v>
      </c>
      <c r="F150" s="7">
        <v>41641.212511574071</v>
      </c>
      <c r="G150" s="7">
        <v>41641.231261574074</v>
      </c>
      <c r="J150">
        <v>0</v>
      </c>
      <c r="K150">
        <v>0</v>
      </c>
      <c r="M150">
        <v>46</v>
      </c>
      <c r="N150" s="9">
        <v>0</v>
      </c>
    </row>
    <row r="151" spans="1:14" x14ac:dyDescent="0.3">
      <c r="A151" s="7">
        <v>41640.890277777777</v>
      </c>
      <c r="B151">
        <v>1260</v>
      </c>
      <c r="C151" s="7">
        <v>41640.347916666666</v>
      </c>
      <c r="D151" t="s">
        <v>75</v>
      </c>
      <c r="E151" t="s">
        <v>117</v>
      </c>
      <c r="F151" s="7">
        <v>41641.201388888891</v>
      </c>
      <c r="G151" s="7">
        <v>41641.21597222222</v>
      </c>
      <c r="J151">
        <v>0</v>
      </c>
      <c r="K151">
        <v>0</v>
      </c>
      <c r="M151">
        <v>12</v>
      </c>
      <c r="N151" s="9">
        <v>8</v>
      </c>
    </row>
    <row r="152" spans="1:14" x14ac:dyDescent="0.3">
      <c r="A152" s="7">
        <v>41640.89166666667</v>
      </c>
      <c r="B152">
        <v>1140</v>
      </c>
      <c r="C152" s="7">
        <v>41640.353472222225</v>
      </c>
      <c r="D152" t="s">
        <v>28</v>
      </c>
      <c r="E152" t="s">
        <v>95</v>
      </c>
      <c r="F152" s="7">
        <v>41641.192361111112</v>
      </c>
      <c r="G152" s="7">
        <v>41641.205555555556</v>
      </c>
      <c r="J152">
        <v>0</v>
      </c>
      <c r="K152">
        <v>0</v>
      </c>
      <c r="M152">
        <v>166</v>
      </c>
      <c r="N152" s="9">
        <v>0</v>
      </c>
    </row>
    <row r="153" spans="1:14" x14ac:dyDescent="0.3">
      <c r="A153" s="7">
        <v>41640.893750000003</v>
      </c>
      <c r="B153">
        <v>720</v>
      </c>
      <c r="C153" s="7">
        <v>41640.349305555559</v>
      </c>
      <c r="D153" t="s">
        <v>26</v>
      </c>
      <c r="E153" t="s">
        <v>102</v>
      </c>
      <c r="F153" s="7">
        <v>41641.19027777778</v>
      </c>
      <c r="G153" s="7">
        <v>41641.198611111111</v>
      </c>
      <c r="J153">
        <v>0</v>
      </c>
      <c r="K153">
        <v>0</v>
      </c>
      <c r="M153">
        <v>174</v>
      </c>
      <c r="N153" s="9">
        <v>1</v>
      </c>
    </row>
    <row r="154" spans="1:14" x14ac:dyDescent="0.3">
      <c r="A154" s="7">
        <v>41640.893750000003</v>
      </c>
      <c r="B154">
        <v>2880</v>
      </c>
      <c r="C154" s="7">
        <v>41640.366666666669</v>
      </c>
      <c r="D154" t="s">
        <v>111</v>
      </c>
      <c r="E154" t="s">
        <v>94</v>
      </c>
      <c r="F154" s="7">
        <v>41641.171527777777</v>
      </c>
      <c r="G154" s="7">
        <v>41641.204861111109</v>
      </c>
      <c r="J154">
        <v>0</v>
      </c>
      <c r="K154">
        <v>0</v>
      </c>
      <c r="M154">
        <v>11</v>
      </c>
      <c r="N154" s="9">
        <v>3</v>
      </c>
    </row>
    <row r="155" spans="1:14" x14ac:dyDescent="0.3">
      <c r="A155" s="7">
        <v>41640.893750000003</v>
      </c>
      <c r="B155">
        <v>1800</v>
      </c>
      <c r="C155" s="7">
        <v>41640.361111111109</v>
      </c>
      <c r="D155" t="s">
        <v>118</v>
      </c>
      <c r="E155" t="s">
        <v>26</v>
      </c>
      <c r="F155" s="7">
        <v>41641.161805555559</v>
      </c>
      <c r="G155" s="7">
        <v>41641.182638888888</v>
      </c>
      <c r="J155">
        <v>0</v>
      </c>
      <c r="K155">
        <v>0</v>
      </c>
      <c r="M155">
        <v>0</v>
      </c>
      <c r="N155" s="9">
        <v>6</v>
      </c>
    </row>
    <row r="156" spans="1:14" x14ac:dyDescent="0.3">
      <c r="A156" s="7">
        <v>41640.894444444442</v>
      </c>
      <c r="B156">
        <v>780</v>
      </c>
      <c r="C156" s="7">
        <v>41640.342361111114</v>
      </c>
      <c r="D156" t="s">
        <v>23</v>
      </c>
      <c r="E156" t="s">
        <v>99</v>
      </c>
      <c r="F156" s="7">
        <v>41640.895150462966</v>
      </c>
      <c r="G156" s="7">
        <v>41640.904178240744</v>
      </c>
      <c r="J156">
        <v>0</v>
      </c>
      <c r="K156">
        <v>0</v>
      </c>
      <c r="M156">
        <v>33</v>
      </c>
      <c r="N156" s="9">
        <v>0</v>
      </c>
    </row>
    <row r="157" spans="1:14" x14ac:dyDescent="0.3">
      <c r="A157" s="7">
        <v>41640.896527777775</v>
      </c>
      <c r="B157">
        <v>780</v>
      </c>
      <c r="C157" s="7">
        <v>41640.352777777778</v>
      </c>
      <c r="D157" t="s">
        <v>26</v>
      </c>
      <c r="E157" t="s">
        <v>106</v>
      </c>
      <c r="F157" s="7">
        <v>41641.119444444441</v>
      </c>
      <c r="G157" s="7">
        <v>41641.128472222219</v>
      </c>
      <c r="J157">
        <v>0</v>
      </c>
      <c r="K157">
        <v>0</v>
      </c>
      <c r="M157">
        <v>32</v>
      </c>
      <c r="N157" s="9">
        <v>2</v>
      </c>
    </row>
    <row r="158" spans="1:14" x14ac:dyDescent="0.3">
      <c r="A158" s="7">
        <v>41640.897222222222</v>
      </c>
      <c r="B158">
        <v>840</v>
      </c>
      <c r="C158" s="7">
        <v>41640.350694444445</v>
      </c>
      <c r="D158" t="s">
        <v>119</v>
      </c>
      <c r="E158" t="s">
        <v>63</v>
      </c>
      <c r="F158" s="7">
        <v>41640.915983796294</v>
      </c>
      <c r="G158" s="7">
        <v>41640.925706018519</v>
      </c>
      <c r="J158">
        <v>0</v>
      </c>
      <c r="K158">
        <v>0</v>
      </c>
      <c r="M158">
        <v>40</v>
      </c>
      <c r="N158" s="9">
        <v>1</v>
      </c>
    </row>
    <row r="159" spans="1:14" x14ac:dyDescent="0.3">
      <c r="A159" s="7">
        <v>41640.900694444441</v>
      </c>
      <c r="B159">
        <v>1020</v>
      </c>
      <c r="C159" s="7">
        <v>41640.34652777778</v>
      </c>
      <c r="D159" t="s">
        <v>62</v>
      </c>
      <c r="E159" t="s">
        <v>120</v>
      </c>
      <c r="F159" s="7">
        <v>41641.109027777777</v>
      </c>
      <c r="G159" s="7">
        <v>41641.120833333334</v>
      </c>
      <c r="J159">
        <v>0</v>
      </c>
      <c r="K159">
        <v>0</v>
      </c>
      <c r="M159">
        <v>115</v>
      </c>
      <c r="N159" s="9">
        <v>3</v>
      </c>
    </row>
    <row r="160" spans="1:14" x14ac:dyDescent="0.3">
      <c r="A160" s="7">
        <v>41640.902083333334</v>
      </c>
      <c r="B160">
        <v>780</v>
      </c>
      <c r="C160" s="7">
        <v>41640.344444444447</v>
      </c>
      <c r="D160" t="s">
        <v>121</v>
      </c>
      <c r="E160" t="s">
        <v>26</v>
      </c>
      <c r="F160" s="7">
        <v>41641.088888888888</v>
      </c>
      <c r="G160" s="7">
        <v>41641.097916666666</v>
      </c>
      <c r="J160">
        <v>0</v>
      </c>
      <c r="K160">
        <v>0</v>
      </c>
      <c r="M160">
        <v>127</v>
      </c>
      <c r="N160" s="9">
        <v>10</v>
      </c>
    </row>
    <row r="161" spans="1:14" x14ac:dyDescent="0.3">
      <c r="A161" s="7">
        <v>41640.902083333334</v>
      </c>
      <c r="B161">
        <v>900</v>
      </c>
      <c r="C161" s="7">
        <v>41640.357638888891</v>
      </c>
      <c r="D161" t="s">
        <v>67</v>
      </c>
      <c r="E161" t="s">
        <v>78</v>
      </c>
      <c r="F161" s="7">
        <v>41641.07917824074</v>
      </c>
      <c r="G161" s="7">
        <v>41641.089594907404</v>
      </c>
      <c r="J161">
        <v>0</v>
      </c>
      <c r="K161">
        <v>0</v>
      </c>
      <c r="M161">
        <v>22</v>
      </c>
      <c r="N161" s="9">
        <v>1</v>
      </c>
    </row>
    <row r="162" spans="1:14" x14ac:dyDescent="0.3">
      <c r="A162" s="7">
        <v>41640.90347222222</v>
      </c>
      <c r="B162">
        <v>1380</v>
      </c>
      <c r="C162" s="7">
        <v>41640.365972222222</v>
      </c>
      <c r="D162" t="s">
        <v>60</v>
      </c>
      <c r="E162" t="s">
        <v>31</v>
      </c>
      <c r="F162" s="7">
        <v>41641.070138888892</v>
      </c>
      <c r="G162" s="7">
        <v>41641.086111111108</v>
      </c>
      <c r="J162">
        <v>0</v>
      </c>
      <c r="K162">
        <v>0</v>
      </c>
      <c r="M162">
        <v>169</v>
      </c>
      <c r="N162" s="9">
        <v>3</v>
      </c>
    </row>
    <row r="163" spans="1:14" x14ac:dyDescent="0.3">
      <c r="A163" s="7">
        <v>41640.904861111114</v>
      </c>
      <c r="B163">
        <v>1200</v>
      </c>
      <c r="C163" s="7">
        <v>41640.362500000003</v>
      </c>
      <c r="D163" t="s">
        <v>29</v>
      </c>
      <c r="E163" t="s">
        <v>35</v>
      </c>
      <c r="F163" s="7">
        <v>41640.914594907408</v>
      </c>
      <c r="G163" s="7">
        <v>41640.928483796299</v>
      </c>
      <c r="J163">
        <v>0</v>
      </c>
      <c r="K163">
        <v>0</v>
      </c>
      <c r="M163">
        <v>168</v>
      </c>
      <c r="N163" s="9">
        <v>3</v>
      </c>
    </row>
    <row r="164" spans="1:14" x14ac:dyDescent="0.3">
      <c r="A164" s="7">
        <v>41640.905555555553</v>
      </c>
      <c r="B164">
        <v>1260</v>
      </c>
      <c r="C164" s="7">
        <v>41640.348611111112</v>
      </c>
      <c r="D164" t="s">
        <v>37</v>
      </c>
      <c r="E164" t="s">
        <v>110</v>
      </c>
      <c r="F164" s="7">
        <v>41640.913888888892</v>
      </c>
      <c r="G164" s="7">
        <v>41640.928472222222</v>
      </c>
      <c r="J164">
        <v>0</v>
      </c>
      <c r="K164">
        <v>0</v>
      </c>
      <c r="M164">
        <v>92</v>
      </c>
      <c r="N164" s="9">
        <v>7</v>
      </c>
    </row>
    <row r="165" spans="1:14" x14ac:dyDescent="0.3">
      <c r="A165" s="7">
        <v>41640.909722222219</v>
      </c>
      <c r="B165">
        <v>2040</v>
      </c>
      <c r="C165" s="7">
        <v>41640.362500000003</v>
      </c>
      <c r="D165" t="s">
        <v>122</v>
      </c>
      <c r="E165" t="s">
        <v>37</v>
      </c>
      <c r="F165" s="7">
        <v>41640.918749999997</v>
      </c>
      <c r="G165" s="7">
        <v>41640.942361111112</v>
      </c>
      <c r="J165">
        <v>0</v>
      </c>
      <c r="K165">
        <v>0</v>
      </c>
      <c r="M165">
        <v>37</v>
      </c>
      <c r="N165" s="9">
        <v>5</v>
      </c>
    </row>
    <row r="166" spans="1:14" x14ac:dyDescent="0.3">
      <c r="A166" s="7">
        <v>41640.913888888892</v>
      </c>
      <c r="B166">
        <v>480</v>
      </c>
      <c r="C166" s="7">
        <v>41640.352777777778</v>
      </c>
      <c r="D166" t="s">
        <v>26</v>
      </c>
      <c r="E166" t="s">
        <v>115</v>
      </c>
      <c r="F166" s="7">
        <v>41641.063194444447</v>
      </c>
      <c r="G166" s="7">
        <v>41641.068749999999</v>
      </c>
      <c r="J166">
        <v>0</v>
      </c>
      <c r="K166">
        <v>0</v>
      </c>
      <c r="M166">
        <v>94</v>
      </c>
      <c r="N166" s="9">
        <v>0</v>
      </c>
    </row>
    <row r="167" spans="1:14" x14ac:dyDescent="0.3">
      <c r="A167" s="7">
        <v>41640.915277777778</v>
      </c>
      <c r="B167">
        <v>540</v>
      </c>
      <c r="C167" s="7">
        <v>41640.347222222219</v>
      </c>
      <c r="D167" t="s">
        <v>37</v>
      </c>
      <c r="E167" t="s">
        <v>89</v>
      </c>
      <c r="F167" s="7">
        <v>41641.056261574071</v>
      </c>
      <c r="G167" s="7">
        <v>41641.062511574077</v>
      </c>
      <c r="J167">
        <v>0</v>
      </c>
      <c r="K167">
        <v>0</v>
      </c>
      <c r="M167">
        <v>194</v>
      </c>
      <c r="N167" s="9">
        <v>9</v>
      </c>
    </row>
    <row r="168" spans="1:14" x14ac:dyDescent="0.3">
      <c r="A168" s="7">
        <v>41640.915972222225</v>
      </c>
      <c r="B168">
        <v>960</v>
      </c>
      <c r="C168" s="7">
        <v>41640.344444444447</v>
      </c>
      <c r="D168" t="s">
        <v>26</v>
      </c>
      <c r="E168" t="s">
        <v>121</v>
      </c>
      <c r="F168" s="7">
        <v>41640.920844907407</v>
      </c>
      <c r="G168" s="7">
        <v>41640.931956018518</v>
      </c>
      <c r="J168">
        <v>0</v>
      </c>
      <c r="K168">
        <v>0</v>
      </c>
      <c r="M168">
        <v>69</v>
      </c>
      <c r="N168" s="9">
        <v>2</v>
      </c>
    </row>
    <row r="169" spans="1:14" x14ac:dyDescent="0.3">
      <c r="A169" s="7">
        <v>41640.915972222225</v>
      </c>
      <c r="B169">
        <v>900</v>
      </c>
      <c r="C169" s="7">
        <v>41640.345833333333</v>
      </c>
      <c r="D169" t="s">
        <v>37</v>
      </c>
      <c r="E169" t="s">
        <v>100</v>
      </c>
      <c r="F169" s="7">
        <v>41640.922222222223</v>
      </c>
      <c r="G169" s="7">
        <v>41640.932638888888</v>
      </c>
      <c r="J169">
        <v>0</v>
      </c>
      <c r="K169">
        <v>0</v>
      </c>
      <c r="M169">
        <v>45</v>
      </c>
      <c r="N169" s="9">
        <v>4</v>
      </c>
    </row>
    <row r="170" spans="1:14" x14ac:dyDescent="0.3">
      <c r="A170" s="7">
        <v>41640.916666666664</v>
      </c>
      <c r="B170">
        <v>1260</v>
      </c>
      <c r="C170" s="7">
        <v>41640.347916666666</v>
      </c>
      <c r="D170" t="s">
        <v>123</v>
      </c>
      <c r="E170" t="s">
        <v>119</v>
      </c>
      <c r="F170" s="7">
        <v>41640.920138888891</v>
      </c>
      <c r="G170" s="7">
        <v>41640.93472222222</v>
      </c>
      <c r="J170">
        <v>0</v>
      </c>
      <c r="K170">
        <v>0</v>
      </c>
      <c r="M170">
        <v>154</v>
      </c>
      <c r="N170" s="9">
        <v>2</v>
      </c>
    </row>
    <row r="171" spans="1:14" x14ac:dyDescent="0.3">
      <c r="A171" s="7">
        <v>41640.918749999997</v>
      </c>
      <c r="B171">
        <v>1680</v>
      </c>
      <c r="C171" s="7">
        <v>41640.353472222225</v>
      </c>
      <c r="D171" t="s">
        <v>50</v>
      </c>
      <c r="E171" t="s">
        <v>105</v>
      </c>
      <c r="F171" s="7">
        <v>41640.974999999999</v>
      </c>
      <c r="G171" s="7">
        <v>41640.994444444441</v>
      </c>
      <c r="J171">
        <v>0</v>
      </c>
      <c r="K171">
        <v>0</v>
      </c>
      <c r="M171">
        <v>93</v>
      </c>
      <c r="N171" s="9">
        <v>8</v>
      </c>
    </row>
    <row r="172" spans="1:14" x14ac:dyDescent="0.3">
      <c r="A172" s="7">
        <v>41640.921527777777</v>
      </c>
      <c r="B172">
        <v>600</v>
      </c>
      <c r="C172" s="7">
        <v>41640.35</v>
      </c>
      <c r="D172" t="s">
        <v>28</v>
      </c>
      <c r="E172" t="s">
        <v>96</v>
      </c>
      <c r="F172" s="7">
        <v>41641.04724537037</v>
      </c>
      <c r="G172" s="7">
        <v>41641.054189814815</v>
      </c>
      <c r="J172">
        <v>0</v>
      </c>
      <c r="K172">
        <v>0</v>
      </c>
      <c r="M172">
        <v>201</v>
      </c>
      <c r="N172" s="9">
        <v>6</v>
      </c>
    </row>
    <row r="173" spans="1:14" x14ac:dyDescent="0.3">
      <c r="A173" s="7">
        <v>41640.921527777777</v>
      </c>
      <c r="B173">
        <v>2340</v>
      </c>
      <c r="C173" s="7">
        <v>41640.361805555556</v>
      </c>
      <c r="D173" t="s">
        <v>26</v>
      </c>
      <c r="E173" t="s">
        <v>118</v>
      </c>
      <c r="F173" s="7">
        <v>41641.020138888889</v>
      </c>
      <c r="G173" s="7">
        <v>41641.047222222223</v>
      </c>
      <c r="J173">
        <v>0</v>
      </c>
      <c r="K173">
        <v>0</v>
      </c>
      <c r="M173">
        <v>47</v>
      </c>
      <c r="N173" s="9">
        <v>3</v>
      </c>
    </row>
    <row r="174" spans="1:14" x14ac:dyDescent="0.3">
      <c r="A174" s="7">
        <v>41640.921527777777</v>
      </c>
      <c r="B174">
        <v>1500</v>
      </c>
      <c r="C174" s="7">
        <v>41640.359722222223</v>
      </c>
      <c r="D174" t="s">
        <v>30</v>
      </c>
      <c r="E174" t="s">
        <v>14</v>
      </c>
      <c r="F174" s="7">
        <v>41641.002800925926</v>
      </c>
      <c r="G174" s="7">
        <v>41641.020162037035</v>
      </c>
      <c r="J174">
        <v>0</v>
      </c>
      <c r="K174">
        <v>0</v>
      </c>
      <c r="M174">
        <v>1</v>
      </c>
      <c r="N174" s="9">
        <v>1</v>
      </c>
    </row>
    <row r="175" spans="1:14" x14ac:dyDescent="0.3">
      <c r="A175" s="7">
        <v>41640.922222222223</v>
      </c>
      <c r="B175">
        <v>1500</v>
      </c>
      <c r="C175" s="7">
        <v>41640.351388888892</v>
      </c>
      <c r="D175" t="s">
        <v>31</v>
      </c>
      <c r="E175" t="s">
        <v>37</v>
      </c>
      <c r="F175" s="7">
        <v>41641.004861111112</v>
      </c>
      <c r="G175" s="7">
        <v>41641.022222222222</v>
      </c>
      <c r="J175">
        <v>0</v>
      </c>
      <c r="K175">
        <v>0</v>
      </c>
      <c r="M175">
        <v>68</v>
      </c>
      <c r="N175" s="9">
        <v>9</v>
      </c>
    </row>
    <row r="176" spans="1:14" x14ac:dyDescent="0.3">
      <c r="A176" s="7">
        <v>41640.929166666669</v>
      </c>
      <c r="B176">
        <v>1980</v>
      </c>
      <c r="C176" s="7">
        <v>41640.357638888891</v>
      </c>
      <c r="D176" t="s">
        <v>124</v>
      </c>
      <c r="E176" t="s">
        <v>28</v>
      </c>
      <c r="F176" s="7">
        <v>41640.995833333334</v>
      </c>
      <c r="G176" s="7">
        <v>41641.018750000003</v>
      </c>
      <c r="J176">
        <v>0</v>
      </c>
      <c r="K176">
        <v>0</v>
      </c>
      <c r="M176">
        <v>195</v>
      </c>
      <c r="N176" s="9">
        <v>0</v>
      </c>
    </row>
    <row r="177" spans="1:14" x14ac:dyDescent="0.3">
      <c r="A177" s="7">
        <v>41640.93472222222</v>
      </c>
      <c r="B177">
        <v>1020</v>
      </c>
      <c r="C177" s="7">
        <v>41640.345138888886</v>
      </c>
      <c r="D177" t="s">
        <v>28</v>
      </c>
      <c r="E177" t="s">
        <v>103</v>
      </c>
      <c r="F177" s="7">
        <v>41640.97152777778</v>
      </c>
      <c r="G177" s="7">
        <v>41640.98333333333</v>
      </c>
      <c r="J177">
        <v>0</v>
      </c>
      <c r="K177">
        <v>0</v>
      </c>
      <c r="M177">
        <v>159</v>
      </c>
      <c r="N177" s="9">
        <v>8</v>
      </c>
    </row>
    <row r="178" spans="1:14" x14ac:dyDescent="0.3">
      <c r="A178" s="7">
        <v>41640.936111111114</v>
      </c>
      <c r="B178">
        <v>960</v>
      </c>
      <c r="C178" s="7">
        <v>41640.347222222219</v>
      </c>
      <c r="D178" t="s">
        <v>125</v>
      </c>
      <c r="E178" t="s">
        <v>26</v>
      </c>
      <c r="F178" s="7">
        <v>41640.943749999999</v>
      </c>
      <c r="G178" s="7">
        <v>41640.954861111109</v>
      </c>
      <c r="J178">
        <v>0</v>
      </c>
      <c r="K178">
        <v>0</v>
      </c>
      <c r="M178">
        <v>170</v>
      </c>
      <c r="N178" s="9">
        <v>0</v>
      </c>
    </row>
    <row r="179" spans="1:14" x14ac:dyDescent="0.3">
      <c r="A179" s="7">
        <v>41640.936111111114</v>
      </c>
      <c r="B179">
        <v>840</v>
      </c>
      <c r="C179" s="7">
        <v>41640.347222222219</v>
      </c>
      <c r="D179" t="s">
        <v>126</v>
      </c>
      <c r="E179" t="s">
        <v>26</v>
      </c>
      <c r="F179" s="7">
        <v>41640.945162037038</v>
      </c>
      <c r="G179" s="7">
        <v>41640.954884259256</v>
      </c>
      <c r="J179">
        <v>0</v>
      </c>
      <c r="K179">
        <v>0</v>
      </c>
      <c r="M179">
        <v>23</v>
      </c>
      <c r="N179" s="9">
        <v>2</v>
      </c>
    </row>
    <row r="180" spans="1:14" x14ac:dyDescent="0.3">
      <c r="A180" s="7">
        <v>41640.9375</v>
      </c>
      <c r="B180">
        <v>780</v>
      </c>
      <c r="C180" s="7">
        <v>41640.356944444444</v>
      </c>
      <c r="D180" t="s">
        <v>37</v>
      </c>
      <c r="E180" t="s">
        <v>104</v>
      </c>
      <c r="F180" s="7">
        <v>41640.943761574075</v>
      </c>
      <c r="G180" s="7">
        <v>41640.952789351853</v>
      </c>
      <c r="J180">
        <v>0</v>
      </c>
      <c r="K180">
        <v>0</v>
      </c>
      <c r="M180">
        <v>167</v>
      </c>
      <c r="N180" s="9">
        <v>9</v>
      </c>
    </row>
    <row r="181" spans="1:14" x14ac:dyDescent="0.3">
      <c r="A181" s="7">
        <v>41640.939583333333</v>
      </c>
      <c r="B181">
        <v>240</v>
      </c>
      <c r="C181" s="7">
        <v>41640.34375</v>
      </c>
      <c r="D181" t="s">
        <v>37</v>
      </c>
      <c r="E181" t="s">
        <v>107</v>
      </c>
      <c r="F181" s="7">
        <v>41640.940972222219</v>
      </c>
      <c r="G181" s="7">
        <v>41640.943749999999</v>
      </c>
      <c r="J181">
        <v>0</v>
      </c>
      <c r="K181">
        <v>0</v>
      </c>
      <c r="M181">
        <v>198</v>
      </c>
      <c r="N181" s="9">
        <v>6</v>
      </c>
    </row>
    <row r="182" spans="1:14" x14ac:dyDescent="0.3">
      <c r="A182" s="7">
        <v>41640.946527777778</v>
      </c>
      <c r="B182">
        <v>660</v>
      </c>
      <c r="C182" s="7">
        <v>41640.341666666667</v>
      </c>
      <c r="D182" t="s">
        <v>37</v>
      </c>
      <c r="E182" t="s">
        <v>72</v>
      </c>
      <c r="F182" s="7">
        <v>41640.97152777778</v>
      </c>
      <c r="G182" s="7">
        <v>41640.979166666664</v>
      </c>
      <c r="J182">
        <v>0</v>
      </c>
      <c r="K182">
        <v>0</v>
      </c>
      <c r="M182">
        <v>157</v>
      </c>
      <c r="N182" s="9">
        <v>5</v>
      </c>
    </row>
    <row r="183" spans="1:14" x14ac:dyDescent="0.3">
      <c r="A183" s="7">
        <v>41640.946527777778</v>
      </c>
      <c r="B183">
        <v>1200</v>
      </c>
      <c r="C183" s="7">
        <v>41640.347222222219</v>
      </c>
      <c r="D183" t="s">
        <v>33</v>
      </c>
      <c r="E183" t="s">
        <v>29</v>
      </c>
      <c r="F183" s="7">
        <v>41640.963194444441</v>
      </c>
      <c r="G183" s="7">
        <v>41640.977083333331</v>
      </c>
      <c r="J183">
        <v>0</v>
      </c>
      <c r="K183">
        <v>0</v>
      </c>
      <c r="M183">
        <v>36</v>
      </c>
      <c r="N183" s="9">
        <v>5</v>
      </c>
    </row>
    <row r="184" spans="1:14" x14ac:dyDescent="0.3">
      <c r="A184" s="7">
        <v>41640.949305555558</v>
      </c>
      <c r="B184">
        <v>840</v>
      </c>
      <c r="C184" s="7">
        <v>41640.354166666664</v>
      </c>
      <c r="D184" t="s">
        <v>127</v>
      </c>
      <c r="E184" t="s">
        <v>31</v>
      </c>
      <c r="F184" s="7">
        <v>41640.949999999997</v>
      </c>
      <c r="G184" s="7">
        <v>41640.959722222222</v>
      </c>
      <c r="J184">
        <v>0</v>
      </c>
      <c r="K184">
        <v>0</v>
      </c>
      <c r="M184">
        <v>197</v>
      </c>
      <c r="N184" s="9">
        <v>8</v>
      </c>
    </row>
    <row r="185" spans="1:14" x14ac:dyDescent="0.3">
      <c r="A185" s="7">
        <v>41640.953472222223</v>
      </c>
      <c r="B185">
        <v>180</v>
      </c>
      <c r="C185" s="7">
        <v>41640.34097222222</v>
      </c>
      <c r="D185" t="s">
        <v>26</v>
      </c>
      <c r="E185" t="s">
        <v>126</v>
      </c>
      <c r="F185" s="7">
        <v>41640.958344907405</v>
      </c>
      <c r="G185" s="7">
        <v>41640.960428240738</v>
      </c>
      <c r="J185">
        <v>0</v>
      </c>
      <c r="K185">
        <v>0</v>
      </c>
      <c r="M185">
        <v>193</v>
      </c>
      <c r="N185" s="9">
        <v>0</v>
      </c>
    </row>
    <row r="186" spans="1:14" x14ac:dyDescent="0.3">
      <c r="A186" s="7">
        <v>41640.95416666667</v>
      </c>
      <c r="B186">
        <v>1740</v>
      </c>
      <c r="C186" s="7">
        <v>41640.354861111111</v>
      </c>
      <c r="D186" t="s">
        <v>26</v>
      </c>
      <c r="E186" t="s">
        <v>125</v>
      </c>
      <c r="F186" s="7">
        <v>41640.957638888889</v>
      </c>
      <c r="G186" s="7">
        <v>41640.977777777778</v>
      </c>
      <c r="J186">
        <v>0</v>
      </c>
      <c r="K186">
        <v>0</v>
      </c>
      <c r="M186">
        <v>158</v>
      </c>
      <c r="N186" s="9">
        <v>8</v>
      </c>
    </row>
    <row r="187" spans="1:14" x14ac:dyDescent="0.3">
      <c r="A187" s="7">
        <v>41640.960416666669</v>
      </c>
      <c r="B187">
        <v>1200</v>
      </c>
      <c r="C187" s="7">
        <v>41640.35</v>
      </c>
      <c r="D187" t="s">
        <v>128</v>
      </c>
      <c r="E187" t="s">
        <v>26</v>
      </c>
      <c r="F187" s="7">
        <v>41640.97016203704</v>
      </c>
      <c r="G187" s="7">
        <v>41640.984050925923</v>
      </c>
      <c r="J187">
        <v>0</v>
      </c>
      <c r="K187">
        <v>0</v>
      </c>
      <c r="M187">
        <v>144</v>
      </c>
      <c r="N187" s="9">
        <v>10</v>
      </c>
    </row>
    <row r="188" spans="1:14" x14ac:dyDescent="0.3">
      <c r="A188" s="7">
        <v>41640.961805555555</v>
      </c>
      <c r="B188">
        <v>1080</v>
      </c>
      <c r="C188" s="7">
        <v>41640.345833333333</v>
      </c>
      <c r="D188" t="s">
        <v>28</v>
      </c>
      <c r="E188" t="s">
        <v>116</v>
      </c>
      <c r="F188" s="7">
        <v>41640.969444444447</v>
      </c>
      <c r="G188" s="7">
        <v>41640.981944444444</v>
      </c>
      <c r="J188">
        <v>0</v>
      </c>
      <c r="K188">
        <v>0</v>
      </c>
      <c r="M188">
        <v>66</v>
      </c>
      <c r="N188" s="9">
        <v>0</v>
      </c>
    </row>
    <row r="189" spans="1:14" x14ac:dyDescent="0.3">
      <c r="A189" s="7">
        <v>41640.965277777781</v>
      </c>
      <c r="B189">
        <v>600</v>
      </c>
      <c r="C189" s="7">
        <v>41640.34375</v>
      </c>
      <c r="D189" t="s">
        <v>29</v>
      </c>
      <c r="E189" t="s">
        <v>53</v>
      </c>
      <c r="F189" s="7">
        <v>41640.975011574075</v>
      </c>
      <c r="G189" s="7">
        <v>41640.981956018521</v>
      </c>
      <c r="J189">
        <v>0</v>
      </c>
      <c r="K189">
        <v>0</v>
      </c>
      <c r="M189">
        <v>100</v>
      </c>
      <c r="N189" s="9">
        <v>5</v>
      </c>
    </row>
    <row r="190" spans="1:14" x14ac:dyDescent="0.3">
      <c r="A190" s="7">
        <v>41640.973611111112</v>
      </c>
      <c r="B190">
        <v>1080</v>
      </c>
      <c r="C190" s="7">
        <v>41640.349305555559</v>
      </c>
      <c r="D190" t="s">
        <v>37</v>
      </c>
      <c r="E190" t="s">
        <v>122</v>
      </c>
      <c r="F190" s="7">
        <v>41640.981249999997</v>
      </c>
      <c r="G190" s="7">
        <v>41640.993750000001</v>
      </c>
      <c r="J190">
        <v>0</v>
      </c>
      <c r="K190">
        <v>0</v>
      </c>
      <c r="M190">
        <v>149</v>
      </c>
      <c r="N190" s="9">
        <v>6</v>
      </c>
    </row>
    <row r="191" spans="1:14" x14ac:dyDescent="0.3">
      <c r="A191" s="7">
        <v>41640.974305555559</v>
      </c>
      <c r="B191">
        <v>2940</v>
      </c>
      <c r="C191" s="7">
        <v>41640.372916666667</v>
      </c>
      <c r="D191" t="s">
        <v>28</v>
      </c>
      <c r="E191" t="s">
        <v>124</v>
      </c>
      <c r="F191" s="7">
        <v>41640.977094907408</v>
      </c>
      <c r="G191" s="7">
        <v>41641.011122685188</v>
      </c>
      <c r="J191">
        <v>0</v>
      </c>
      <c r="K191">
        <v>0</v>
      </c>
      <c r="M191">
        <v>140</v>
      </c>
      <c r="N191" s="9">
        <v>10</v>
      </c>
    </row>
    <row r="192" spans="1:14" x14ac:dyDescent="0.3">
      <c r="A192" s="7">
        <v>41640.98541666667</v>
      </c>
      <c r="B192">
        <v>1080</v>
      </c>
      <c r="C192" s="7">
        <v>41640.359027777777</v>
      </c>
      <c r="D192" t="s">
        <v>129</v>
      </c>
      <c r="E192" t="s">
        <v>70</v>
      </c>
      <c r="F192" s="7">
        <v>41640.993761574071</v>
      </c>
      <c r="G192" s="7">
        <v>41641.006261574075</v>
      </c>
      <c r="J192">
        <v>0</v>
      </c>
      <c r="K192">
        <v>0</v>
      </c>
      <c r="M192">
        <v>203</v>
      </c>
      <c r="N192" s="9">
        <v>4</v>
      </c>
    </row>
    <row r="193" spans="1:14" x14ac:dyDescent="0.3">
      <c r="A193" s="7">
        <v>41640.986111111109</v>
      </c>
      <c r="B193">
        <v>1080</v>
      </c>
      <c r="C193" s="7">
        <v>41640.356944444444</v>
      </c>
      <c r="D193" t="s">
        <v>69</v>
      </c>
      <c r="E193" t="s">
        <v>50</v>
      </c>
      <c r="F193" s="7">
        <v>41640.994444444441</v>
      </c>
      <c r="G193" s="7">
        <v>41641.006944444445</v>
      </c>
      <c r="J193">
        <v>0</v>
      </c>
      <c r="K193">
        <v>0</v>
      </c>
      <c r="M193">
        <v>147</v>
      </c>
      <c r="N193" s="9">
        <v>4</v>
      </c>
    </row>
    <row r="194" spans="1:14" x14ac:dyDescent="0.3">
      <c r="A194" s="7">
        <v>41640.986805555556</v>
      </c>
      <c r="B194">
        <v>1860</v>
      </c>
      <c r="C194" s="7">
        <v>41640.354861111111</v>
      </c>
      <c r="D194" t="s">
        <v>129</v>
      </c>
      <c r="E194" t="s">
        <v>14</v>
      </c>
      <c r="F194" s="7">
        <v>41640.988888888889</v>
      </c>
      <c r="G194" s="7">
        <v>41641.010416666664</v>
      </c>
      <c r="J194">
        <v>0</v>
      </c>
      <c r="K194">
        <v>0</v>
      </c>
      <c r="M194">
        <v>30</v>
      </c>
      <c r="N194" s="9">
        <v>3</v>
      </c>
    </row>
    <row r="195" spans="1:14" x14ac:dyDescent="0.3">
      <c r="A195" s="7">
        <v>41640.993055555555</v>
      </c>
      <c r="B195">
        <v>2580</v>
      </c>
      <c r="C195" s="7">
        <v>41640.368055555555</v>
      </c>
      <c r="D195" t="s">
        <v>26</v>
      </c>
      <c r="E195" t="s">
        <v>128</v>
      </c>
      <c r="F195" s="7">
        <v>41640.995138888888</v>
      </c>
      <c r="G195" s="7">
        <v>41641.025000000001</v>
      </c>
      <c r="J195">
        <v>0</v>
      </c>
      <c r="K195">
        <v>0</v>
      </c>
      <c r="M195">
        <v>145</v>
      </c>
      <c r="N195" s="9">
        <v>5</v>
      </c>
    </row>
    <row r="196" spans="1:14" x14ac:dyDescent="0.3">
      <c r="A196" s="7">
        <v>41641.00277777778</v>
      </c>
      <c r="B196">
        <v>1500</v>
      </c>
      <c r="C196" s="7">
        <v>41640.365277777775</v>
      </c>
      <c r="D196" t="s">
        <v>130</v>
      </c>
      <c r="E196" t="s">
        <v>98</v>
      </c>
      <c r="F196" s="7">
        <v>41641.01458333333</v>
      </c>
      <c r="G196" s="7">
        <v>41641.031944444447</v>
      </c>
      <c r="J196">
        <v>0</v>
      </c>
      <c r="K196">
        <v>0</v>
      </c>
      <c r="M196">
        <v>141</v>
      </c>
      <c r="N196" s="9">
        <v>3</v>
      </c>
    </row>
    <row r="197" spans="1:14" x14ac:dyDescent="0.3">
      <c r="A197" s="7">
        <v>41641.017361111109</v>
      </c>
      <c r="B197">
        <v>2040</v>
      </c>
      <c r="C197" s="7">
        <v>41640.377083333333</v>
      </c>
      <c r="D197" t="s">
        <v>119</v>
      </c>
      <c r="E197" t="s">
        <v>123</v>
      </c>
      <c r="F197" s="7">
        <v>41641.061111111114</v>
      </c>
      <c r="G197" s="7">
        <v>41641.084722222222</v>
      </c>
      <c r="J197">
        <v>0</v>
      </c>
      <c r="K197">
        <v>0</v>
      </c>
      <c r="M197">
        <v>138</v>
      </c>
      <c r="N197" s="9">
        <v>3</v>
      </c>
    </row>
    <row r="198" spans="1:14" x14ac:dyDescent="0.3">
      <c r="A198" s="7">
        <v>41641.019444444442</v>
      </c>
      <c r="B198">
        <v>4440</v>
      </c>
      <c r="C198" s="7">
        <v>41640.392361111109</v>
      </c>
      <c r="D198" t="s">
        <v>26</v>
      </c>
      <c r="E198" t="s">
        <v>33</v>
      </c>
      <c r="F198" s="7">
        <v>41641.034039351849</v>
      </c>
      <c r="G198" s="7">
        <v>41641.085428240738</v>
      </c>
      <c r="J198">
        <v>0</v>
      </c>
      <c r="K198">
        <v>0</v>
      </c>
      <c r="M198">
        <v>151</v>
      </c>
      <c r="N198" s="9">
        <v>10</v>
      </c>
    </row>
    <row r="199" spans="1:14" x14ac:dyDescent="0.3">
      <c r="A199" s="7">
        <v>41641.020138888889</v>
      </c>
      <c r="B199">
        <v>3720</v>
      </c>
      <c r="C199" s="7">
        <v>41640.37777777778</v>
      </c>
      <c r="D199" t="s">
        <v>96</v>
      </c>
      <c r="E199" t="s">
        <v>26</v>
      </c>
      <c r="F199" s="7">
        <v>41641.056250000001</v>
      </c>
      <c r="G199" s="7">
        <v>41641.099305555559</v>
      </c>
      <c r="J199">
        <v>0</v>
      </c>
      <c r="K199">
        <v>0</v>
      </c>
      <c r="M199">
        <v>152</v>
      </c>
      <c r="N199" s="9">
        <v>4</v>
      </c>
    </row>
    <row r="200" spans="1:14" x14ac:dyDescent="0.3">
      <c r="A200" s="7">
        <v>41641.022916666669</v>
      </c>
      <c r="B200">
        <v>6900</v>
      </c>
      <c r="C200" s="7">
        <v>41640.415277777778</v>
      </c>
      <c r="D200" t="s">
        <v>50</v>
      </c>
      <c r="E200" t="s">
        <v>69</v>
      </c>
      <c r="F200" s="7">
        <v>41641.086111111108</v>
      </c>
      <c r="G200" s="7">
        <v>41641.165972222225</v>
      </c>
      <c r="J200">
        <v>0</v>
      </c>
      <c r="K200">
        <v>0</v>
      </c>
      <c r="M200">
        <v>148</v>
      </c>
      <c r="N200" s="9">
        <v>2</v>
      </c>
    </row>
    <row r="201" spans="1:14" x14ac:dyDescent="0.3">
      <c r="A201" s="7">
        <v>41641.036805555559</v>
      </c>
      <c r="B201">
        <v>4500</v>
      </c>
      <c r="C201" s="7">
        <v>41640.404166666667</v>
      </c>
      <c r="D201" t="s">
        <v>131</v>
      </c>
      <c r="E201" t="s">
        <v>19</v>
      </c>
      <c r="F201" s="7">
        <v>41641.07708333333</v>
      </c>
      <c r="G201" s="7">
        <v>41641.129166666666</v>
      </c>
      <c r="J201">
        <v>0</v>
      </c>
      <c r="K201">
        <v>0</v>
      </c>
      <c r="M201">
        <v>139</v>
      </c>
      <c r="N201" s="9">
        <v>8</v>
      </c>
    </row>
    <row r="202" spans="1:14" x14ac:dyDescent="0.3">
      <c r="A202" s="7">
        <v>41641.068749999999</v>
      </c>
      <c r="B202">
        <v>3240</v>
      </c>
      <c r="C202" s="7">
        <v>41640.376388888886</v>
      </c>
      <c r="D202" t="s">
        <v>26</v>
      </c>
      <c r="E202" t="s">
        <v>96</v>
      </c>
      <c r="F202" s="7">
        <v>41641.07916666667</v>
      </c>
      <c r="G202" s="7">
        <v>41641.116666666669</v>
      </c>
      <c r="J202">
        <v>0</v>
      </c>
      <c r="K202">
        <v>0</v>
      </c>
      <c r="M202">
        <v>177</v>
      </c>
      <c r="N202" s="9">
        <v>1</v>
      </c>
    </row>
    <row r="203" spans="1:14" x14ac:dyDescent="0.3">
      <c r="A203" s="7">
        <v>41641.069444444445</v>
      </c>
      <c r="B203">
        <v>4380</v>
      </c>
      <c r="C203" s="7">
        <v>41640.390972222223</v>
      </c>
      <c r="D203" t="s">
        <v>97</v>
      </c>
      <c r="E203" t="s">
        <v>14</v>
      </c>
      <c r="F203" s="7">
        <v>41641.106273148151</v>
      </c>
      <c r="G203" s="7">
        <v>41641.156967592593</v>
      </c>
      <c r="J203">
        <v>0</v>
      </c>
      <c r="K203">
        <v>0</v>
      </c>
      <c r="M203">
        <v>150</v>
      </c>
      <c r="N203" s="9">
        <v>4</v>
      </c>
    </row>
    <row r="204" spans="1:14" x14ac:dyDescent="0.3">
      <c r="A204" s="7">
        <v>41641.111805555556</v>
      </c>
      <c r="B204">
        <v>1680</v>
      </c>
      <c r="C204" s="7">
        <v>41640.352777777778</v>
      </c>
      <c r="D204" t="s">
        <v>132</v>
      </c>
      <c r="E204" t="s">
        <v>26</v>
      </c>
      <c r="F204" s="7">
        <v>41641.115289351852</v>
      </c>
      <c r="G204" s="7">
        <v>41641.134733796294</v>
      </c>
      <c r="J204">
        <v>0</v>
      </c>
      <c r="K204">
        <v>0</v>
      </c>
      <c r="M204">
        <v>156</v>
      </c>
      <c r="N204" s="9">
        <v>8</v>
      </c>
    </row>
    <row r="205" spans="1:14" x14ac:dyDescent="0.3">
      <c r="A205" s="7">
        <v>41641.124305555553</v>
      </c>
      <c r="B205">
        <v>1020</v>
      </c>
      <c r="C205" s="7">
        <v>41640.347222222219</v>
      </c>
      <c r="D205" t="s">
        <v>105</v>
      </c>
      <c r="E205" t="s">
        <v>26</v>
      </c>
      <c r="F205" s="7">
        <v>41641.130555555559</v>
      </c>
      <c r="G205" s="7">
        <v>41641.142361111109</v>
      </c>
      <c r="J205">
        <v>0</v>
      </c>
      <c r="K205">
        <v>0</v>
      </c>
      <c r="M205">
        <v>176</v>
      </c>
      <c r="N205" s="9">
        <v>3</v>
      </c>
    </row>
    <row r="206" spans="1:14" x14ac:dyDescent="0.3">
      <c r="A206" s="7">
        <v>41641.131944444445</v>
      </c>
      <c r="B206">
        <v>960</v>
      </c>
      <c r="C206" s="7">
        <v>41640.354861111111</v>
      </c>
      <c r="D206" t="s">
        <v>26</v>
      </c>
      <c r="E206" t="s">
        <v>132</v>
      </c>
      <c r="F206" s="7">
        <v>41641.148611111108</v>
      </c>
      <c r="G206" s="7">
        <v>41641.159722222219</v>
      </c>
      <c r="J206">
        <v>0</v>
      </c>
      <c r="K206">
        <v>0</v>
      </c>
      <c r="M206">
        <v>143</v>
      </c>
      <c r="N206" s="9">
        <v>6</v>
      </c>
    </row>
    <row r="207" spans="1:14" x14ac:dyDescent="0.3">
      <c r="A207" s="7">
        <v>41641.132638888892</v>
      </c>
      <c r="B207">
        <v>1980</v>
      </c>
      <c r="C207" s="7">
        <v>41640.361805555556</v>
      </c>
      <c r="D207" t="s">
        <v>13</v>
      </c>
      <c r="E207" t="s">
        <v>61</v>
      </c>
      <c r="F207" s="7">
        <v>41641.135416666664</v>
      </c>
      <c r="G207" s="7">
        <v>41641.158333333333</v>
      </c>
      <c r="J207">
        <v>0</v>
      </c>
      <c r="K207">
        <v>0</v>
      </c>
      <c r="M207">
        <v>175</v>
      </c>
      <c r="N207" s="9">
        <v>1</v>
      </c>
    </row>
    <row r="208" spans="1:14" x14ac:dyDescent="0.3">
      <c r="A208" s="7">
        <v>41641.140277777777</v>
      </c>
      <c r="B208">
        <v>2640</v>
      </c>
      <c r="C208" s="7">
        <v>41640.366666666669</v>
      </c>
      <c r="D208" t="s">
        <v>64</v>
      </c>
      <c r="E208" t="s">
        <v>14</v>
      </c>
      <c r="F208" s="7">
        <v>41641.152789351851</v>
      </c>
      <c r="G208" s="7">
        <v>41641.183344907404</v>
      </c>
      <c r="J208">
        <v>0</v>
      </c>
      <c r="K208">
        <v>0</v>
      </c>
      <c r="M208">
        <v>155</v>
      </c>
      <c r="N208" s="9">
        <v>1</v>
      </c>
    </row>
    <row r="209" spans="1:14" x14ac:dyDescent="0.3">
      <c r="A209" s="7">
        <v>41641.140277777777</v>
      </c>
      <c r="B209">
        <v>1800</v>
      </c>
      <c r="C209" s="7">
        <v>41640.359027777777</v>
      </c>
      <c r="D209" t="s">
        <v>26</v>
      </c>
      <c r="E209" t="s">
        <v>105</v>
      </c>
      <c r="F209" s="7">
        <v>41641.144444444442</v>
      </c>
      <c r="G209" s="7">
        <v>41641.165277777778</v>
      </c>
      <c r="J209">
        <v>0</v>
      </c>
      <c r="K209">
        <v>0</v>
      </c>
      <c r="M209">
        <v>153</v>
      </c>
      <c r="N209" s="9">
        <v>7</v>
      </c>
    </row>
    <row r="210" spans="1:14" x14ac:dyDescent="0.3">
      <c r="A210" s="7">
        <v>41641.149305555555</v>
      </c>
      <c r="B210">
        <v>660</v>
      </c>
      <c r="C210" s="7">
        <v>41640.351388888892</v>
      </c>
      <c r="D210" t="s">
        <v>133</v>
      </c>
      <c r="E210" t="s">
        <v>39</v>
      </c>
      <c r="F210" s="7">
        <v>41641.159039351849</v>
      </c>
      <c r="G210" s="7">
        <v>41641.166678240741</v>
      </c>
      <c r="J210">
        <v>0</v>
      </c>
      <c r="K210">
        <v>0</v>
      </c>
      <c r="M210">
        <v>142</v>
      </c>
      <c r="N210" s="9">
        <v>3</v>
      </c>
    </row>
    <row r="211" spans="1:14" x14ac:dyDescent="0.3">
      <c r="A211" s="7">
        <v>41641.165277777778</v>
      </c>
      <c r="B211">
        <v>1440</v>
      </c>
      <c r="C211" s="7">
        <v>41640.35</v>
      </c>
      <c r="D211" t="s">
        <v>130</v>
      </c>
      <c r="E211" t="s">
        <v>61</v>
      </c>
      <c r="F211" s="7">
        <v>41641.186111111114</v>
      </c>
      <c r="G211" s="7">
        <v>41641.202777777777</v>
      </c>
      <c r="J211">
        <v>0</v>
      </c>
      <c r="K211">
        <v>0</v>
      </c>
      <c r="M211">
        <v>101</v>
      </c>
      <c r="N211" s="9">
        <v>9</v>
      </c>
    </row>
    <row r="212" spans="1:14" x14ac:dyDescent="0.3">
      <c r="A212" s="7">
        <v>41641.183333333334</v>
      </c>
      <c r="B212">
        <v>660</v>
      </c>
      <c r="C212" s="7">
        <v>41640.347916666666</v>
      </c>
      <c r="D212" t="s">
        <v>133</v>
      </c>
      <c r="E212" t="s">
        <v>14</v>
      </c>
      <c r="F212" s="7">
        <v>41641.18959490741</v>
      </c>
      <c r="G212" s="7">
        <v>41641.197233796294</v>
      </c>
      <c r="J212">
        <v>0</v>
      </c>
      <c r="K212">
        <v>0</v>
      </c>
      <c r="M212">
        <v>102</v>
      </c>
      <c r="N212" s="9">
        <v>10</v>
      </c>
    </row>
    <row r="213" spans="1:14" x14ac:dyDescent="0.3">
      <c r="A213" s="7">
        <v>41641.201388888891</v>
      </c>
      <c r="B213">
        <v>1440</v>
      </c>
      <c r="C213" s="7">
        <v>41640.352083333331</v>
      </c>
      <c r="D213" t="s">
        <v>134</v>
      </c>
      <c r="E213" t="s">
        <v>50</v>
      </c>
      <c r="F213" s="7">
        <v>41641.217361111114</v>
      </c>
      <c r="G213" s="7">
        <v>41641.234027777777</v>
      </c>
      <c r="J213">
        <v>0</v>
      </c>
      <c r="K213">
        <v>0</v>
      </c>
      <c r="M213">
        <v>103</v>
      </c>
      <c r="N213" s="9">
        <v>3</v>
      </c>
    </row>
    <row r="214" spans="1:14" x14ac:dyDescent="0.3">
      <c r="A214" s="7">
        <v>41641.227777777778</v>
      </c>
      <c r="B214">
        <v>1260</v>
      </c>
      <c r="C214" s="7">
        <v>41640.351388888892</v>
      </c>
      <c r="D214" t="s">
        <v>26</v>
      </c>
      <c r="E214" t="s">
        <v>134</v>
      </c>
      <c r="F214" s="7">
        <v>41641.231249999997</v>
      </c>
      <c r="G214" s="7">
        <v>41641.245833333334</v>
      </c>
      <c r="J214">
        <v>0</v>
      </c>
      <c r="K214">
        <v>0</v>
      </c>
      <c r="M214">
        <v>146</v>
      </c>
      <c r="N214" s="9">
        <v>3</v>
      </c>
    </row>
    <row r="215" spans="1:14" x14ac:dyDescent="0.3">
      <c r="A215" s="7">
        <v>41641.256944444445</v>
      </c>
      <c r="B215">
        <v>2220</v>
      </c>
      <c r="C215" s="7">
        <v>41640.359027777777</v>
      </c>
      <c r="D215" t="s">
        <v>135</v>
      </c>
      <c r="E215" t="s">
        <v>31</v>
      </c>
      <c r="F215" s="7">
        <v>41641.262499999997</v>
      </c>
      <c r="G215" s="7">
        <v>41641.288194444445</v>
      </c>
      <c r="J215">
        <v>0</v>
      </c>
      <c r="K215">
        <v>0</v>
      </c>
      <c r="M215">
        <v>120</v>
      </c>
      <c r="N215" s="9">
        <v>8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C32" sqref="C3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136</v>
      </c>
      <c r="B1" s="3">
        <f>DATE(YEAR(Sheet1!A2),MONTH(Sheet1!A2),DAY(Sheet1!A2))</f>
        <v>41640</v>
      </c>
    </row>
    <row r="3" spans="1:20" x14ac:dyDescent="0.3">
      <c r="C3" s="4" t="s">
        <v>137</v>
      </c>
      <c r="D3" s="5">
        <v>7</v>
      </c>
      <c r="E3" s="5">
        <v>8</v>
      </c>
      <c r="F3" s="5">
        <v>9</v>
      </c>
      <c r="G3" s="5">
        <v>10</v>
      </c>
      <c r="H3" s="5">
        <v>11</v>
      </c>
      <c r="I3" s="5">
        <v>12</v>
      </c>
      <c r="J3" s="5">
        <v>13</v>
      </c>
      <c r="K3" s="5">
        <v>14</v>
      </c>
      <c r="L3" s="5">
        <v>15</v>
      </c>
      <c r="M3" s="5">
        <v>16</v>
      </c>
      <c r="N3" s="5">
        <v>17</v>
      </c>
      <c r="O3" s="5">
        <v>18</v>
      </c>
      <c r="P3" s="5">
        <v>19</v>
      </c>
      <c r="Q3" s="5">
        <v>20</v>
      </c>
      <c r="R3" s="5">
        <v>21</v>
      </c>
      <c r="S3" s="5">
        <v>22</v>
      </c>
      <c r="T3" s="5">
        <v>23</v>
      </c>
    </row>
    <row r="4" spans="1:20" x14ac:dyDescent="0.3">
      <c r="A4" s="13" t="s">
        <v>139</v>
      </c>
      <c r="B4" t="s">
        <v>7</v>
      </c>
      <c r="C4" s="2">
        <f>$B$1+TIME(HOUR($B$1) + 0,MINUTE($B$1) + 0,SECOND($B$1) + 0)</f>
        <v>41640</v>
      </c>
      <c r="D4" s="2">
        <f t="shared" ref="D4:T4" si="0">$B$1+TIME(HOUR($B$1) + D3,MINUTE($B$1) + 0,SECOND($B$1) + 0)</f>
        <v>41640.291666666664</v>
      </c>
      <c r="E4" s="2">
        <f t="shared" si="0"/>
        <v>41640.333333333336</v>
      </c>
      <c r="F4" s="2">
        <f t="shared" si="0"/>
        <v>41640.375</v>
      </c>
      <c r="G4" s="2">
        <f t="shared" si="0"/>
        <v>41640.416666666664</v>
      </c>
      <c r="H4" s="2">
        <f t="shared" si="0"/>
        <v>41640.458333333336</v>
      </c>
      <c r="I4" s="2">
        <f t="shared" si="0"/>
        <v>41640.5</v>
      </c>
      <c r="J4" s="2">
        <f t="shared" si="0"/>
        <v>41640.541666666664</v>
      </c>
      <c r="K4" s="2">
        <f t="shared" si="0"/>
        <v>41640.583333333336</v>
      </c>
      <c r="L4" s="2">
        <f t="shared" si="0"/>
        <v>41640.625</v>
      </c>
      <c r="M4" s="2">
        <f t="shared" si="0"/>
        <v>41640.666666666664</v>
      </c>
      <c r="N4" s="2">
        <f t="shared" si="0"/>
        <v>41640.708333333336</v>
      </c>
      <c r="O4" s="2">
        <f t="shared" si="0"/>
        <v>41640.75</v>
      </c>
      <c r="P4" s="2">
        <f t="shared" si="0"/>
        <v>41640.791666666664</v>
      </c>
      <c r="Q4" s="2">
        <f t="shared" si="0"/>
        <v>41640.833333333336</v>
      </c>
      <c r="R4" s="2">
        <f t="shared" si="0"/>
        <v>41640.875</v>
      </c>
      <c r="S4" s="2">
        <f t="shared" si="0"/>
        <v>41640.916666666664</v>
      </c>
      <c r="T4" s="2">
        <f t="shared" si="0"/>
        <v>41640.958333333336</v>
      </c>
    </row>
    <row r="5" spans="1:20" x14ac:dyDescent="0.3">
      <c r="A5" s="13"/>
      <c r="B5" t="s">
        <v>138</v>
      </c>
      <c r="C5" s="2">
        <f>$B$1+TIME(HOUR($B$1) + 6,MINUTE($B$1) + 0,SECOND($B$1) + 0)</f>
        <v>41640.25</v>
      </c>
      <c r="D5" s="2">
        <f t="shared" ref="D5:S5" si="1">$B$1+TIME(HOUR($B$1) + E3,MINUTE($B$1) + 0,SECOND($B$1) + 0)</f>
        <v>41640.333333333336</v>
      </c>
      <c r="E5" s="2">
        <f t="shared" si="1"/>
        <v>41640.375</v>
      </c>
      <c r="F5" s="2">
        <f t="shared" si="1"/>
        <v>41640.416666666664</v>
      </c>
      <c r="G5" s="2">
        <f t="shared" si="1"/>
        <v>41640.458333333336</v>
      </c>
      <c r="H5" s="2">
        <f t="shared" si="1"/>
        <v>41640.5</v>
      </c>
      <c r="I5" s="2">
        <f t="shared" si="1"/>
        <v>41640.541666666664</v>
      </c>
      <c r="J5" s="2">
        <f t="shared" si="1"/>
        <v>41640.583333333336</v>
      </c>
      <c r="K5" s="2">
        <f t="shared" si="1"/>
        <v>41640.625</v>
      </c>
      <c r="L5" s="2">
        <f t="shared" si="1"/>
        <v>41640.666666666664</v>
      </c>
      <c r="M5" s="2">
        <f t="shared" si="1"/>
        <v>41640.708333333336</v>
      </c>
      <c r="N5" s="2">
        <f t="shared" si="1"/>
        <v>41640.75</v>
      </c>
      <c r="O5" s="2">
        <f t="shared" si="1"/>
        <v>41640.791666666664</v>
      </c>
      <c r="P5" s="2">
        <f t="shared" si="1"/>
        <v>41640.833333333336</v>
      </c>
      <c r="Q5" s="2">
        <f t="shared" si="1"/>
        <v>41640.875</v>
      </c>
      <c r="R5" s="2">
        <f t="shared" si="1"/>
        <v>41640.916666666664</v>
      </c>
      <c r="S5" s="2">
        <f t="shared" si="1"/>
        <v>41640.958333333336</v>
      </c>
      <c r="T5" s="2">
        <f>$B$1+TIME(HOUR($B$1) + 23,MINUTE($B$1) + 59,SECOND($B$1) + 59)</f>
        <v>41640.999988425923</v>
      </c>
    </row>
    <row r="6" spans="1:20" x14ac:dyDescent="0.3">
      <c r="A6" s="13" t="s">
        <v>143</v>
      </c>
      <c r="B6" t="s">
        <v>7</v>
      </c>
      <c r="C6" s="2">
        <f>DATE(YEAR($B$1),MONTH($B$1),DAY($B$1)+1) + TIME(HOUR($B$1) + 0,MINUTE($B$1) + 0,SECOND($B$1) + 0)</f>
        <v>41641</v>
      </c>
      <c r="D6" s="2">
        <f>DATE(YEAR($B$1),MONTH($B$1),DAY($B$1)+1) + TIME(HOUR($B$1) + D$3,MINUTE($B$1) + 0,SECOND($B$1) + 0)</f>
        <v>41641.291666666664</v>
      </c>
      <c r="E6" s="2">
        <f t="shared" ref="E6:T6" si="2">DATE(YEAR($B$1),MONTH($B$1),DAY($B$1)+1) + TIME(HOUR($B$1) + E3,MINUTE($B$1) + 0,SECOND($B$1) + 0)</f>
        <v>41641.333333333336</v>
      </c>
      <c r="F6" s="2">
        <f t="shared" si="2"/>
        <v>41641.375</v>
      </c>
      <c r="G6" s="2">
        <f t="shared" si="2"/>
        <v>41641.416666666664</v>
      </c>
      <c r="H6" s="2">
        <f t="shared" si="2"/>
        <v>41641.458333333336</v>
      </c>
      <c r="I6" s="2">
        <f t="shared" si="2"/>
        <v>41641.5</v>
      </c>
      <c r="J6" s="2">
        <f t="shared" si="2"/>
        <v>41641.541666666664</v>
      </c>
      <c r="K6" s="2">
        <f t="shared" si="2"/>
        <v>41641.583333333336</v>
      </c>
      <c r="L6" s="2">
        <f t="shared" si="2"/>
        <v>41641.625</v>
      </c>
      <c r="M6" s="2">
        <f t="shared" si="2"/>
        <v>41641.666666666664</v>
      </c>
      <c r="N6" s="2">
        <f t="shared" si="2"/>
        <v>41641.708333333336</v>
      </c>
      <c r="O6" s="2">
        <f t="shared" si="2"/>
        <v>41641.75</v>
      </c>
      <c r="P6" s="2">
        <f t="shared" si="2"/>
        <v>41641.791666666664</v>
      </c>
      <c r="Q6" s="2">
        <f t="shared" si="2"/>
        <v>41641.833333333336</v>
      </c>
      <c r="R6" s="2">
        <f t="shared" si="2"/>
        <v>41641.875</v>
      </c>
      <c r="S6" s="2">
        <f t="shared" si="2"/>
        <v>41641.916666666664</v>
      </c>
      <c r="T6" s="2">
        <f t="shared" si="2"/>
        <v>41641.958333333336</v>
      </c>
    </row>
    <row r="7" spans="1:20" x14ac:dyDescent="0.3">
      <c r="A7" s="13"/>
      <c r="B7" t="s">
        <v>138</v>
      </c>
      <c r="C7" s="2">
        <f>DATE(YEAR($B$1),MONTH($B$1),DAY($B$1)+1) + TIME(HOUR($B$1) + 6,MINUTE($B$1) + 0,SECOND($B$1) + 0)</f>
        <v>41641.25</v>
      </c>
      <c r="D7" s="2">
        <f>DATE(YEAR($B$1),MONTH($B$1),DAY($B$1)+1) + TIME(HOUR($B$1) + E$3,MINUTE($B$1) + 0,SECOND($B$1) + 0)</f>
        <v>41641.333333333336</v>
      </c>
      <c r="E7" s="2">
        <f t="shared" ref="E7:S7" si="3">DATE(YEAR($B$1),MONTH($B$1),DAY($B$1)+1) + TIME(HOUR($B$1) + F3,MINUTE($B$1) + 0,SECOND($B$1) + 0)</f>
        <v>41641.375</v>
      </c>
      <c r="F7" s="2">
        <f t="shared" si="3"/>
        <v>41641.416666666664</v>
      </c>
      <c r="G7" s="2">
        <f t="shared" si="3"/>
        <v>41641.458333333336</v>
      </c>
      <c r="H7" s="2">
        <f t="shared" si="3"/>
        <v>41641.5</v>
      </c>
      <c r="I7" s="2">
        <f t="shared" si="3"/>
        <v>41641.541666666664</v>
      </c>
      <c r="J7" s="2">
        <f t="shared" si="3"/>
        <v>41641.583333333336</v>
      </c>
      <c r="K7" s="2">
        <f t="shared" si="3"/>
        <v>41641.625</v>
      </c>
      <c r="L7" s="2">
        <f t="shared" si="3"/>
        <v>41641.666666666664</v>
      </c>
      <c r="M7" s="2">
        <f t="shared" si="3"/>
        <v>41641.708333333336</v>
      </c>
      <c r="N7" s="2">
        <f t="shared" si="3"/>
        <v>41641.75</v>
      </c>
      <c r="O7" s="2">
        <f t="shared" si="3"/>
        <v>41641.791666666664</v>
      </c>
      <c r="P7" s="2">
        <f t="shared" si="3"/>
        <v>41641.833333333336</v>
      </c>
      <c r="Q7" s="2">
        <f t="shared" si="3"/>
        <v>41641.875</v>
      </c>
      <c r="R7" s="2">
        <f t="shared" si="3"/>
        <v>41641.916666666664</v>
      </c>
      <c r="S7" s="2">
        <f t="shared" si="3"/>
        <v>41641.958333333336</v>
      </c>
      <c r="T7" s="2">
        <f>DATE(YEAR($B$1),MONTH($B$1),DAY($B$1)+1) + TIME(HOUR($B$1) + 23,MINUTE($B$1) + 59,SECOND($B$1) + 59)</f>
        <v>41641.999988425923</v>
      </c>
    </row>
    <row r="8" spans="1:20" x14ac:dyDescent="0.3">
      <c r="A8" s="13" t="s">
        <v>144</v>
      </c>
      <c r="B8" t="s">
        <v>7</v>
      </c>
      <c r="C8" s="2">
        <f>DATE(YEAR($B$1),MONTH($B$1),DAY($B$1)+2) + TIME(HOUR($B$1) + 0,MINUTE($B$1) + 0,SECOND($B$1) + 0)</f>
        <v>41642</v>
      </c>
      <c r="D8" s="2">
        <f>DATE(YEAR($B$1),MONTH($B$1),DAY($B$1)+2) + TIME(HOUR($B$1) + D$3,MINUTE($B$1) + 0,SECOND($B$1) + 0)</f>
        <v>41642.291666666664</v>
      </c>
      <c r="E8" s="2">
        <f t="shared" ref="E8:T8" si="4">DATE(YEAR($B$1),MONTH($B$1),DAY($B$1)+2) + TIME(HOUR($B$1) + E$3,MINUTE($B$1) + 0,SECOND($B$1) + 0)</f>
        <v>41642.333333333336</v>
      </c>
      <c r="F8" s="2">
        <f t="shared" si="4"/>
        <v>41642.375</v>
      </c>
      <c r="G8" s="2">
        <f t="shared" si="4"/>
        <v>41642.416666666664</v>
      </c>
      <c r="H8" s="2">
        <f t="shared" si="4"/>
        <v>41642.458333333336</v>
      </c>
      <c r="I8" s="2">
        <f t="shared" si="4"/>
        <v>41642.5</v>
      </c>
      <c r="J8" s="2">
        <f t="shared" si="4"/>
        <v>41642.541666666664</v>
      </c>
      <c r="K8" s="2">
        <f t="shared" si="4"/>
        <v>41642.583333333336</v>
      </c>
      <c r="L8" s="2">
        <f t="shared" si="4"/>
        <v>41642.625</v>
      </c>
      <c r="M8" s="2">
        <f t="shared" si="4"/>
        <v>41642.666666666664</v>
      </c>
      <c r="N8" s="2">
        <f t="shared" si="4"/>
        <v>41642.708333333336</v>
      </c>
      <c r="O8" s="2">
        <f t="shared" si="4"/>
        <v>41642.75</v>
      </c>
      <c r="P8" s="2">
        <f t="shared" si="4"/>
        <v>41642.791666666664</v>
      </c>
      <c r="Q8" s="2">
        <f t="shared" si="4"/>
        <v>41642.833333333336</v>
      </c>
      <c r="R8" s="2">
        <f t="shared" si="4"/>
        <v>41642.875</v>
      </c>
      <c r="S8" s="2">
        <f t="shared" si="4"/>
        <v>41642.916666666664</v>
      </c>
      <c r="T8" s="2">
        <f t="shared" si="4"/>
        <v>41642.958333333336</v>
      </c>
    </row>
    <row r="9" spans="1:20" x14ac:dyDescent="0.3">
      <c r="A9" s="13"/>
      <c r="B9" t="s">
        <v>138</v>
      </c>
      <c r="C9" s="2">
        <f>DATE(YEAR($B$1),MONTH($B$1),DAY($B$1)+2) + TIME(HOUR($B$1) + 6,MINUTE($B$1) + 0,SECOND($B$1) + 0)</f>
        <v>41642.25</v>
      </c>
      <c r="D9" s="2">
        <f>DATE(YEAR($B$1),MONTH($B$1),DAY($B$1)+2) + TIME(HOUR($B$1) + E$3,MINUTE($B$1) + 0,SECOND($B$1) + 0)</f>
        <v>41642.333333333336</v>
      </c>
      <c r="E9" s="2">
        <f t="shared" ref="E9:S9" si="5">DATE(YEAR($B$1),MONTH($B$1),DAY($B$1)+2) + TIME(HOUR($B$1) + F$3,MINUTE($B$1) + 0,SECOND($B$1) + 0)</f>
        <v>41642.375</v>
      </c>
      <c r="F9" s="2">
        <f t="shared" si="5"/>
        <v>41642.416666666664</v>
      </c>
      <c r="G9" s="2">
        <f t="shared" si="5"/>
        <v>41642.458333333336</v>
      </c>
      <c r="H9" s="2">
        <f t="shared" si="5"/>
        <v>41642.5</v>
      </c>
      <c r="I9" s="2">
        <f t="shared" si="5"/>
        <v>41642.541666666664</v>
      </c>
      <c r="J9" s="2">
        <f t="shared" si="5"/>
        <v>41642.583333333336</v>
      </c>
      <c r="K9" s="2">
        <f t="shared" si="5"/>
        <v>41642.625</v>
      </c>
      <c r="L9" s="2">
        <f t="shared" si="5"/>
        <v>41642.666666666664</v>
      </c>
      <c r="M9" s="2">
        <f t="shared" si="5"/>
        <v>41642.708333333336</v>
      </c>
      <c r="N9" s="2">
        <f t="shared" si="5"/>
        <v>41642.75</v>
      </c>
      <c r="O9" s="2">
        <f t="shared" si="5"/>
        <v>41642.791666666664</v>
      </c>
      <c r="P9" s="2">
        <f t="shared" si="5"/>
        <v>41642.833333333336</v>
      </c>
      <c r="Q9" s="2">
        <f t="shared" si="5"/>
        <v>41642.875</v>
      </c>
      <c r="R9" s="2">
        <f t="shared" si="5"/>
        <v>41642.916666666664</v>
      </c>
      <c r="S9" s="2">
        <f t="shared" si="5"/>
        <v>41642.958333333336</v>
      </c>
      <c r="T9" s="2">
        <f>DATE(YEAR($B$1),MONTH($B$1),DAY($B$1)+2) + TIME(HOUR($B$1) + 23,MINUTE($B$1) + 59,SECOND($B$1) + 59)</f>
        <v>41642.999988425923</v>
      </c>
    </row>
    <row r="10" spans="1:20" x14ac:dyDescent="0.3">
      <c r="A10" s="13" t="s">
        <v>145</v>
      </c>
      <c r="B10" t="s">
        <v>7</v>
      </c>
      <c r="C10" s="2">
        <f>DATE(YEAR($B$1),MONTH($B$1),DAY($B$1)+3) + TIME(HOUR($B$1) + 0,MINUTE($B$1) + 0,SECOND($B$1) + 0)</f>
        <v>41643</v>
      </c>
      <c r="D10" s="2">
        <f>DATE(YEAR($B$1),MONTH($B$1),DAY($B$1)+3) + TIME(HOUR($B$1) + D$3,MINUTE($B$1) + 0,SECOND($B$1) + 0)</f>
        <v>41643.291666666664</v>
      </c>
      <c r="E10" s="2">
        <f t="shared" ref="E10:T10" si="6">DATE(YEAR($B$1),MONTH($B$1),DAY($B$1)+3) + TIME(HOUR($B$1) + E$3,MINUTE($B$1) + 0,SECOND($B$1) + 0)</f>
        <v>41643.333333333336</v>
      </c>
      <c r="F10" s="2">
        <f t="shared" si="6"/>
        <v>41643.375</v>
      </c>
      <c r="G10" s="2">
        <f t="shared" si="6"/>
        <v>41643.416666666664</v>
      </c>
      <c r="H10" s="2">
        <f t="shared" si="6"/>
        <v>41643.458333333336</v>
      </c>
      <c r="I10" s="2">
        <f t="shared" si="6"/>
        <v>41643.5</v>
      </c>
      <c r="J10" s="2">
        <f t="shared" si="6"/>
        <v>41643.541666666664</v>
      </c>
      <c r="K10" s="2">
        <f t="shared" si="6"/>
        <v>41643.583333333336</v>
      </c>
      <c r="L10" s="2">
        <f t="shared" si="6"/>
        <v>41643.625</v>
      </c>
      <c r="M10" s="2">
        <f t="shared" si="6"/>
        <v>41643.666666666664</v>
      </c>
      <c r="N10" s="2">
        <f t="shared" si="6"/>
        <v>41643.708333333336</v>
      </c>
      <c r="O10" s="2">
        <f t="shared" si="6"/>
        <v>41643.75</v>
      </c>
      <c r="P10" s="2">
        <f t="shared" si="6"/>
        <v>41643.791666666664</v>
      </c>
      <c r="Q10" s="2">
        <f t="shared" si="6"/>
        <v>41643.833333333336</v>
      </c>
      <c r="R10" s="2">
        <f t="shared" si="6"/>
        <v>41643.875</v>
      </c>
      <c r="S10" s="2">
        <f t="shared" si="6"/>
        <v>41643.916666666664</v>
      </c>
      <c r="T10" s="2">
        <f t="shared" si="6"/>
        <v>41643.958333333336</v>
      </c>
    </row>
    <row r="11" spans="1:20" x14ac:dyDescent="0.3">
      <c r="A11" s="13"/>
      <c r="B11" t="s">
        <v>138</v>
      </c>
      <c r="C11" s="2">
        <f>DATE(YEAR($B$1),MONTH($B$1),DAY($B$1)+3) + TIME(HOUR($B$1) + 6,MINUTE($B$1) + 0,SECOND($B$1) + 0)</f>
        <v>41643.25</v>
      </c>
      <c r="D11" s="2">
        <f>DATE(YEAR($B$1),MONTH($B$1),DAY($B$1)+3) + TIME(HOUR($B$1) + E$3,MINUTE($B$1) + 0,SECOND($B$1) + 0)</f>
        <v>41643.333333333336</v>
      </c>
      <c r="E11" s="2">
        <f t="shared" ref="E11:S11" si="7">DATE(YEAR($B$1),MONTH($B$1),DAY($B$1)+3) + TIME(HOUR($B$1) + F$3,MINUTE($B$1) + 0,SECOND($B$1) + 0)</f>
        <v>41643.375</v>
      </c>
      <c r="F11" s="2">
        <f t="shared" si="7"/>
        <v>41643.416666666664</v>
      </c>
      <c r="G11" s="2">
        <f t="shared" si="7"/>
        <v>41643.458333333336</v>
      </c>
      <c r="H11" s="2">
        <f t="shared" si="7"/>
        <v>41643.5</v>
      </c>
      <c r="I11" s="2">
        <f t="shared" si="7"/>
        <v>41643.541666666664</v>
      </c>
      <c r="J11" s="2">
        <f t="shared" si="7"/>
        <v>41643.583333333336</v>
      </c>
      <c r="K11" s="2">
        <f t="shared" si="7"/>
        <v>41643.625</v>
      </c>
      <c r="L11" s="2">
        <f t="shared" si="7"/>
        <v>41643.666666666664</v>
      </c>
      <c r="M11" s="2">
        <f t="shared" si="7"/>
        <v>41643.708333333336</v>
      </c>
      <c r="N11" s="2">
        <f t="shared" si="7"/>
        <v>41643.75</v>
      </c>
      <c r="O11" s="2">
        <f t="shared" si="7"/>
        <v>41643.791666666664</v>
      </c>
      <c r="P11" s="2">
        <f t="shared" si="7"/>
        <v>41643.833333333336</v>
      </c>
      <c r="Q11" s="2">
        <f t="shared" si="7"/>
        <v>41643.875</v>
      </c>
      <c r="R11" s="2">
        <f t="shared" si="7"/>
        <v>41643.916666666664</v>
      </c>
      <c r="S11" s="2">
        <f t="shared" si="7"/>
        <v>41643.958333333336</v>
      </c>
      <c r="T11" s="2">
        <f>DATE(YEAR($B$1),MONTH($B$1),DAY($B$1)+3) + TIME(HOUR($B$1) + 23,MINUTE($B$1) + 59,SECOND($B$1) + 59)</f>
        <v>41643.999988425923</v>
      </c>
    </row>
    <row r="12" spans="1:20" x14ac:dyDescent="0.3">
      <c r="A12" s="13" t="s">
        <v>146</v>
      </c>
      <c r="B12" t="s">
        <v>7</v>
      </c>
      <c r="C12" s="2">
        <f>DATE(YEAR($B$1),MONTH($B$1),DAY($B$1)+4) + TIME(HOUR($B$1) + 0,MINUTE($B$1) + 0,SECOND($B$1) + 0)</f>
        <v>41644</v>
      </c>
      <c r="D12" s="2">
        <f>DATE(YEAR($B$1),MONTH($B$1),DAY($B$1)+4) + TIME(HOUR($B$1) + D$3,MINUTE($B$1) + 0,SECOND($B$1) + 0)</f>
        <v>41644.291666666664</v>
      </c>
      <c r="E12" s="2">
        <f t="shared" ref="E12:T12" si="8">DATE(YEAR($B$1),MONTH($B$1),DAY($B$1)+4) + TIME(HOUR($B$1) + E$3,MINUTE($B$1) + 0,SECOND($B$1) + 0)</f>
        <v>41644.333333333336</v>
      </c>
      <c r="F12" s="2">
        <f t="shared" si="8"/>
        <v>41644.375</v>
      </c>
      <c r="G12" s="2">
        <f t="shared" si="8"/>
        <v>41644.416666666664</v>
      </c>
      <c r="H12" s="2">
        <f t="shared" si="8"/>
        <v>41644.458333333336</v>
      </c>
      <c r="I12" s="2">
        <f t="shared" si="8"/>
        <v>41644.5</v>
      </c>
      <c r="J12" s="2">
        <f t="shared" si="8"/>
        <v>41644.541666666664</v>
      </c>
      <c r="K12" s="2">
        <f t="shared" si="8"/>
        <v>41644.583333333336</v>
      </c>
      <c r="L12" s="2">
        <f t="shared" si="8"/>
        <v>41644.625</v>
      </c>
      <c r="M12" s="2">
        <f t="shared" si="8"/>
        <v>41644.666666666664</v>
      </c>
      <c r="N12" s="2">
        <f t="shared" si="8"/>
        <v>41644.708333333336</v>
      </c>
      <c r="O12" s="2">
        <f t="shared" si="8"/>
        <v>41644.75</v>
      </c>
      <c r="P12" s="2">
        <f t="shared" si="8"/>
        <v>41644.791666666664</v>
      </c>
      <c r="Q12" s="2">
        <f t="shared" si="8"/>
        <v>41644.833333333336</v>
      </c>
      <c r="R12" s="2">
        <f t="shared" si="8"/>
        <v>41644.875</v>
      </c>
      <c r="S12" s="2">
        <f t="shared" si="8"/>
        <v>41644.916666666664</v>
      </c>
      <c r="T12" s="2">
        <f t="shared" si="8"/>
        <v>41644.958333333336</v>
      </c>
    </row>
    <row r="13" spans="1:20" x14ac:dyDescent="0.3">
      <c r="A13" s="13"/>
      <c r="B13" t="s">
        <v>138</v>
      </c>
      <c r="C13" s="2">
        <f>DATE(YEAR($B$1),MONTH($B$1),DAY($B$1)+4) + TIME(HOUR($B$1) + 6,MINUTE($B$1) + 0,SECOND($B$1) + 0)</f>
        <v>41644.25</v>
      </c>
      <c r="D13" s="2">
        <f>DATE(YEAR($B$1),MONTH($B$1),DAY($B$1)+4) + TIME(HOUR($B$1) + E$3,MINUTE($B$1) + 0,SECOND($B$1) + 0)</f>
        <v>41644.333333333336</v>
      </c>
      <c r="E13" s="2">
        <f t="shared" ref="E13:S13" si="9">DATE(YEAR($B$1),MONTH($B$1),DAY($B$1)+4) + TIME(HOUR($B$1) + F$3,MINUTE($B$1) + 0,SECOND($B$1) + 0)</f>
        <v>41644.375</v>
      </c>
      <c r="F13" s="2">
        <f t="shared" si="9"/>
        <v>41644.416666666664</v>
      </c>
      <c r="G13" s="2">
        <f t="shared" si="9"/>
        <v>41644.458333333336</v>
      </c>
      <c r="H13" s="2">
        <f t="shared" si="9"/>
        <v>41644.5</v>
      </c>
      <c r="I13" s="2">
        <f t="shared" si="9"/>
        <v>41644.541666666664</v>
      </c>
      <c r="J13" s="2">
        <f t="shared" si="9"/>
        <v>41644.583333333336</v>
      </c>
      <c r="K13" s="2">
        <f t="shared" si="9"/>
        <v>41644.625</v>
      </c>
      <c r="L13" s="2">
        <f t="shared" si="9"/>
        <v>41644.666666666664</v>
      </c>
      <c r="M13" s="2">
        <f t="shared" si="9"/>
        <v>41644.708333333336</v>
      </c>
      <c r="N13" s="2">
        <f t="shared" si="9"/>
        <v>41644.75</v>
      </c>
      <c r="O13" s="2">
        <f t="shared" si="9"/>
        <v>41644.791666666664</v>
      </c>
      <c r="P13" s="2">
        <f t="shared" si="9"/>
        <v>41644.833333333336</v>
      </c>
      <c r="Q13" s="2">
        <f t="shared" si="9"/>
        <v>41644.875</v>
      </c>
      <c r="R13" s="2">
        <f t="shared" si="9"/>
        <v>41644.916666666664</v>
      </c>
      <c r="S13" s="2">
        <f t="shared" si="9"/>
        <v>41644.958333333336</v>
      </c>
      <c r="T13" s="2">
        <f>DATE(YEAR($B$1),MONTH($B$1),DAY($B$1)+3) + TIME(HOUR($B$1) + 23,MINUTE($B$1) + 59,SECOND($B$1) + 59)</f>
        <v>41643.999988425923</v>
      </c>
    </row>
    <row r="14" spans="1:20" x14ac:dyDescent="0.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zoomScale="80" zoomScaleNormal="80" workbookViewId="0">
      <selection activeCell="H33" sqref="H33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averageCompletionTime(Dates!C4,Dates!C5)</f>
        <v>0</v>
      </c>
      <c r="D2" s="7">
        <f>averageCompletionTime(Dates!D4,Dates!D5)</f>
        <v>0</v>
      </c>
      <c r="E2" s="7">
        <f>averageCompletionTime(Dates!E4,Dates!E5)</f>
        <v>53</v>
      </c>
      <c r="F2" s="7">
        <f>averageCompletionTime(Dates!F4,Dates!F5)</f>
        <v>6</v>
      </c>
      <c r="G2" s="7">
        <f>averageCompletionTime(Dates!G4,Dates!G5)</f>
        <v>0</v>
      </c>
      <c r="H2" s="7">
        <f>averageCompletionTime(Dates!H4,Dates!H5)</f>
        <v>0</v>
      </c>
      <c r="I2" s="7">
        <f>averageCompletionTime(Dates!I4,Dates!I5)</f>
        <v>0</v>
      </c>
      <c r="J2" s="7">
        <f>averageCompletionTime(Dates!J4,Dates!J5)</f>
        <v>0</v>
      </c>
      <c r="K2" s="7">
        <f>averageCompletionTime(Dates!K4,Dates!K5)</f>
        <v>16.5</v>
      </c>
      <c r="L2" s="7">
        <f>averageCompletionTime(Dates!L4,Dates!L5)</f>
        <v>18.666666666666668</v>
      </c>
      <c r="M2" s="7">
        <f>averageCompletionTime(Dates!M4,Dates!M5)</f>
        <v>17.235294117647058</v>
      </c>
      <c r="N2" s="7">
        <f>averageCompletionTime(Dates!N4,Dates!N5)</f>
        <v>17.34782608695652</v>
      </c>
      <c r="O2" s="7">
        <f>averageCompletionTime(Dates!O4,Dates!O5)</f>
        <v>20.6</v>
      </c>
      <c r="P2" s="7">
        <f>averageCompletionTime(Dates!P4,Dates!P5)</f>
        <v>24.964285714285715</v>
      </c>
      <c r="Q2" s="7">
        <f>averageCompletionTime(Dates!Q4,Dates!Q5)</f>
        <v>18.931034482758619</v>
      </c>
      <c r="R2" s="7">
        <f>averageCompletionTime(Dates!R4,Dates!R5)</f>
        <v>20.76923076923077</v>
      </c>
      <c r="S2" s="7">
        <f>averageCompletionTime(Dates!S4,Dates!S5)</f>
        <v>18.941176470588236</v>
      </c>
      <c r="T2" s="7">
        <f>averageCompletionTime(Dates!T4,Dates!T5)</f>
        <v>25</v>
      </c>
      <c r="U2" s="7">
        <f>averageCompletionTime(Dates!C4,Dates!T5)</f>
        <v>53</v>
      </c>
    </row>
    <row r="3" spans="1:21" x14ac:dyDescent="0.3">
      <c r="A3" s="10" t="s">
        <v>141</v>
      </c>
      <c r="B3" s="12">
        <v>3</v>
      </c>
      <c r="C3" s="7">
        <f>averageCompletionTimePorter(Dates!C$4,Dates!C$5,'Day1'!$B3)</f>
        <v>0</v>
      </c>
      <c r="D3" s="7">
        <f>averageCompletionTimePorter(Dates!D$4,Dates!D$5,'Day1'!$B3)</f>
        <v>0</v>
      </c>
      <c r="E3" s="7">
        <f>averageCompletionTimePorter(Dates!E$4,Dates!E$5,'Day1'!$B3)</f>
        <v>34</v>
      </c>
      <c r="F3" s="7">
        <f>averageCompletionTimePorter(Dates!F$4,Dates!F$5,'Day1'!$B3)</f>
        <v>0</v>
      </c>
      <c r="G3" s="7">
        <f>averageCompletionTimePorter(Dates!G$4,Dates!G$5,'Day1'!$B3)</f>
        <v>0</v>
      </c>
      <c r="H3" s="7">
        <f>averageCompletionTimePorter(Dates!H$4,Dates!H$5,'Day1'!$B3)</f>
        <v>0</v>
      </c>
      <c r="I3" s="7">
        <f>averageCompletionTimePorter(Dates!I$4,Dates!I$5,'Day1'!$B3)</f>
        <v>0</v>
      </c>
      <c r="J3" s="7">
        <f>averageCompletionTimePorter(Dates!J$4,Dates!J$5,'Day1'!$B3)</f>
        <v>0</v>
      </c>
      <c r="K3" s="7">
        <f>averageCompletionTimePorter(Dates!K$4,Dates!K$5,'Day1'!$B3)</f>
        <v>16.5</v>
      </c>
      <c r="L3" s="7">
        <f>averageCompletionTimePorter(Dates!L$4,Dates!L$5,'Day1'!$B3)</f>
        <v>18</v>
      </c>
      <c r="M3" s="7">
        <f>averageCompletionTimePorter(Dates!M$4,Dates!M$5,'Day1'!$B3)</f>
        <v>0</v>
      </c>
      <c r="N3" s="7">
        <f>averageCompletionTimePorter(Dates!N$4,Dates!N$5,'Day1'!$B3)</f>
        <v>11</v>
      </c>
      <c r="O3" s="7">
        <f>averageCompletionTimePorter(Dates!O$4,Dates!O$5,'Day1'!$B3)</f>
        <v>0</v>
      </c>
      <c r="P3" s="7">
        <f>averageCompletionTimePorter(Dates!P$4,Dates!P$5,'Day1'!$B3)</f>
        <v>30.333333333333332</v>
      </c>
      <c r="Q3" s="7">
        <f>averageCompletionTimePorter(Dates!Q$4,Dates!Q$5,'Day1'!$B3)</f>
        <v>25.666666666666668</v>
      </c>
      <c r="R3" s="7">
        <f>averageCompletionTimePorter(Dates!R$4,Dates!R$5,'Day1'!$B3)</f>
        <v>26.2</v>
      </c>
      <c r="S3" s="7">
        <f>averageCompletionTimePorter(Dates!S$4,Dates!S$5,'Day1'!$B3)</f>
        <v>39</v>
      </c>
      <c r="T3" s="7">
        <f>averageCompletionTimePorter(Dates!T$4,Dates!T$5,'Day1'!$B3)</f>
        <v>31</v>
      </c>
      <c r="U3" s="7">
        <f>averageCompletionTimePorter(Dates!$C$4,Dates!$T$5,'Day1'!$B3)</f>
        <v>25.5</v>
      </c>
    </row>
    <row r="4" spans="1:21" x14ac:dyDescent="0.3">
      <c r="A4" s="10"/>
      <c r="B4" s="12">
        <v>2</v>
      </c>
      <c r="C4" s="7">
        <f>averageCompletionTimePorter(Dates!C$4,Dates!C$5,'Day1'!$B4)</f>
        <v>0</v>
      </c>
      <c r="D4" s="7">
        <f>averageCompletionTimePorter(Dates!D$4,Dates!D$5,'Day1'!$B4)</f>
        <v>0</v>
      </c>
      <c r="E4" s="7">
        <f>averageCompletionTimePorter(Dates!E$4,Dates!E$5,'Day1'!$B4)</f>
        <v>24</v>
      </c>
      <c r="F4" s="7">
        <f>averageCompletionTimePorter(Dates!F$4,Dates!F$5,'Day1'!$B4)</f>
        <v>0</v>
      </c>
      <c r="G4" s="7">
        <f>averageCompletionTimePorter(Dates!G$4,Dates!G$5,'Day1'!$B4)</f>
        <v>0</v>
      </c>
      <c r="H4" s="7">
        <f>averageCompletionTimePorter(Dates!H$4,Dates!H$5,'Day1'!$B4)</f>
        <v>0</v>
      </c>
      <c r="I4" s="7">
        <f>averageCompletionTimePorter(Dates!I$4,Dates!I$5,'Day1'!$B4)</f>
        <v>0</v>
      </c>
      <c r="J4" s="7">
        <f>averageCompletionTimePorter(Dates!J$4,Dates!J$5,'Day1'!$B4)</f>
        <v>0</v>
      </c>
      <c r="K4" s="7">
        <f>averageCompletionTimePorter(Dates!K$4,Dates!K$5,'Day1'!$B4)</f>
        <v>0</v>
      </c>
      <c r="L4" s="7">
        <f>averageCompletionTimePorter(Dates!L$4,Dates!L$5,'Day1'!$B4)</f>
        <v>25</v>
      </c>
      <c r="M4" s="7">
        <f>averageCompletionTimePorter(Dates!M$4,Dates!M$5,'Day1'!$B4)</f>
        <v>12.5</v>
      </c>
      <c r="N4" s="7">
        <f>averageCompletionTimePorter(Dates!N$4,Dates!N$5,'Day1'!$B4)</f>
        <v>18</v>
      </c>
      <c r="O4" s="7">
        <f>averageCompletionTimePorter(Dates!O$4,Dates!O$5,'Day1'!$B4)</f>
        <v>21.666666666666668</v>
      </c>
      <c r="P4" s="7">
        <f>averageCompletionTimePorter(Dates!P$4,Dates!P$5,'Day1'!$B4)</f>
        <v>15</v>
      </c>
      <c r="Q4" s="7">
        <f>averageCompletionTimePorter(Dates!Q$4,Dates!Q$5,'Day1'!$B4)</f>
        <v>19</v>
      </c>
      <c r="R4" s="7">
        <f>averageCompletionTimePorter(Dates!R$4,Dates!R$5,'Day1'!$B4)</f>
        <v>17.75</v>
      </c>
      <c r="S4" s="7">
        <f>averageCompletionTimePorter(Dates!S$4,Dates!S$5,'Day1'!$B4)</f>
        <v>17.5</v>
      </c>
      <c r="T4" s="7">
        <f>averageCompletionTimePorter(Dates!T$4,Dates!T$5,'Day1'!$B4)</f>
        <v>0</v>
      </c>
      <c r="U4" s="7">
        <f>averageCompletionTimePorter(Dates!$C$4,Dates!$T$5,'Day1'!$B4)</f>
        <v>19.047619047619047</v>
      </c>
    </row>
    <row r="5" spans="1:21" x14ac:dyDescent="0.3">
      <c r="A5" s="10"/>
      <c r="B5" s="12">
        <v>5</v>
      </c>
      <c r="C5" s="7">
        <f>averageCompletionTimePorter(Dates!C$4,Dates!C$5,'Day1'!$B5)</f>
        <v>0</v>
      </c>
      <c r="D5" s="7">
        <f>averageCompletionTimePorter(Dates!D$4,Dates!D$5,'Day1'!$B5)</f>
        <v>0</v>
      </c>
      <c r="E5" s="7">
        <f>averageCompletionTimePorter(Dates!E$4,Dates!E$5,'Day1'!$B5)</f>
        <v>0</v>
      </c>
      <c r="F5" s="7">
        <f>averageCompletionTimePorter(Dates!F$4,Dates!F$5,'Day1'!$B5)</f>
        <v>6</v>
      </c>
      <c r="G5" s="7">
        <f>averageCompletionTimePorter(Dates!G$4,Dates!G$5,'Day1'!$B5)</f>
        <v>0</v>
      </c>
      <c r="H5" s="7">
        <f>averageCompletionTimePorter(Dates!H$4,Dates!H$5,'Day1'!$B5)</f>
        <v>0</v>
      </c>
      <c r="I5" s="7">
        <f>averageCompletionTimePorter(Dates!I$4,Dates!I$5,'Day1'!$B5)</f>
        <v>0</v>
      </c>
      <c r="J5" s="7">
        <f>averageCompletionTimePorter(Dates!J$4,Dates!J$5,'Day1'!$B5)</f>
        <v>0</v>
      </c>
      <c r="K5" s="7">
        <f>averageCompletionTimePorter(Dates!K$4,Dates!K$5,'Day1'!$B5)</f>
        <v>0</v>
      </c>
      <c r="L5" s="7">
        <f>averageCompletionTimePorter(Dates!L$4,Dates!L$5,'Day1'!$B5)</f>
        <v>13</v>
      </c>
      <c r="M5" s="7">
        <f>averageCompletionTimePorter(Dates!M$4,Dates!M$5,'Day1'!$B5)</f>
        <v>19.5</v>
      </c>
      <c r="N5" s="7">
        <f>averageCompletionTimePorter(Dates!N$4,Dates!N$5,'Day1'!$B5)</f>
        <v>11.5</v>
      </c>
      <c r="O5" s="7">
        <f>averageCompletionTimePorter(Dates!O$4,Dates!O$5,'Day1'!$B5)</f>
        <v>33</v>
      </c>
      <c r="P5" s="7">
        <f>averageCompletionTimePorter(Dates!P$4,Dates!P$5,'Day1'!$B5)</f>
        <v>19.333333333333332</v>
      </c>
      <c r="Q5" s="7">
        <f>averageCompletionTimePorter(Dates!Q$4,Dates!Q$5,'Day1'!$B5)</f>
        <v>20.666666666666668</v>
      </c>
      <c r="R5" s="7">
        <f>averageCompletionTimePorter(Dates!R$4,Dates!R$5,'Day1'!$B5)</f>
        <v>34</v>
      </c>
      <c r="S5" s="7">
        <f>averageCompletionTimePorter(Dates!S$4,Dates!S$5,'Day1'!$B5)</f>
        <v>15.5</v>
      </c>
      <c r="T5" s="7">
        <f>averageCompletionTimePorter(Dates!T$4,Dates!T$5,'Day1'!$B5)</f>
        <v>26.5</v>
      </c>
      <c r="U5" s="7">
        <f>averageCompletionTimePorter(Dates!$C$4,Dates!$T$5,'Day1'!$B5)</f>
        <v>19.210526315789473</v>
      </c>
    </row>
    <row r="6" spans="1:21" x14ac:dyDescent="0.3">
      <c r="A6" s="10"/>
      <c r="B6" s="12">
        <v>0</v>
      </c>
      <c r="C6" s="7">
        <f>averageCompletionTimePorter(Dates!C$4,Dates!C$5,'Day1'!$B6)</f>
        <v>0</v>
      </c>
      <c r="D6" s="7">
        <f>averageCompletionTimePorter(Dates!D$4,Dates!D$5,'Day1'!$B6)</f>
        <v>0</v>
      </c>
      <c r="E6" s="7">
        <f>averageCompletionTimePorter(Dates!E$4,Dates!E$5,'Day1'!$B6)</f>
        <v>0</v>
      </c>
      <c r="F6" s="7">
        <f>averageCompletionTimePorter(Dates!F$4,Dates!F$5,'Day1'!$B6)</f>
        <v>0</v>
      </c>
      <c r="G6" s="7">
        <f>averageCompletionTimePorter(Dates!G$4,Dates!G$5,'Day1'!$B6)</f>
        <v>0</v>
      </c>
      <c r="H6" s="7">
        <f>averageCompletionTimePorter(Dates!H$4,Dates!H$5,'Day1'!$B6)</f>
        <v>0</v>
      </c>
      <c r="I6" s="7">
        <f>averageCompletionTimePorter(Dates!I$4,Dates!I$5,'Day1'!$B6)</f>
        <v>0</v>
      </c>
      <c r="J6" s="7">
        <f>averageCompletionTimePorter(Dates!J$4,Dates!J$5,'Day1'!$B6)</f>
        <v>0</v>
      </c>
      <c r="K6" s="7">
        <f>averageCompletionTimePorter(Dates!K$4,Dates!K$5,'Day1'!$B6)</f>
        <v>16.5</v>
      </c>
      <c r="L6" s="7">
        <f>averageCompletionTimePorter(Dates!L$4,Dates!L$5,'Day1'!$B6)</f>
        <v>12</v>
      </c>
      <c r="M6" s="7">
        <f>averageCompletionTimePorter(Dates!M$4,Dates!M$5,'Day1'!$B6)</f>
        <v>28</v>
      </c>
      <c r="N6" s="7">
        <f>averageCompletionTimePorter(Dates!N$4,Dates!N$5,'Day1'!$B6)</f>
        <v>8.5</v>
      </c>
      <c r="O6" s="7">
        <f>averageCompletionTimePorter(Dates!O$4,Dates!O$5,'Day1'!$B6)</f>
        <v>12.8</v>
      </c>
      <c r="P6" s="7">
        <f>averageCompletionTimePorter(Dates!P$4,Dates!P$5,'Day1'!$B6)</f>
        <v>26.25</v>
      </c>
      <c r="Q6" s="7">
        <f>averageCompletionTimePorter(Dates!Q$4,Dates!Q$5,'Day1'!$B6)</f>
        <v>16</v>
      </c>
      <c r="R6" s="7">
        <f>averageCompletionTimePorter(Dates!R$4,Dates!R$5,'Day1'!$B6)</f>
        <v>16.75</v>
      </c>
      <c r="S6" s="7">
        <f>averageCompletionTimePorter(Dates!S$4,Dates!S$5,'Day1'!$B6)</f>
        <v>17.333333333333332</v>
      </c>
      <c r="T6" s="7">
        <f>averageCompletionTimePorter(Dates!T$4,Dates!T$5,'Day1'!$B6)</f>
        <v>18</v>
      </c>
      <c r="U6" s="7">
        <f>averageCompletionTimePorter(Dates!$C$4,Dates!$T$5,'Day1'!$B6)</f>
        <v>17.037037037037035</v>
      </c>
    </row>
    <row r="7" spans="1:21" x14ac:dyDescent="0.3">
      <c r="A7" s="10"/>
      <c r="B7" s="12">
        <v>4</v>
      </c>
      <c r="C7" s="7">
        <f>averageCompletionTimePorter(Dates!C$4,Dates!C$5,'Day1'!$B7)</f>
        <v>0</v>
      </c>
      <c r="D7" s="7">
        <f>averageCompletionTimePorter(Dates!D$4,Dates!D$5,'Day1'!$B7)</f>
        <v>0</v>
      </c>
      <c r="E7" s="7">
        <f>averageCompletionTimePorter(Dates!E$4,Dates!E$5,'Day1'!$B7)</f>
        <v>0</v>
      </c>
      <c r="F7" s="7">
        <f>averageCompletionTimePorter(Dates!F$4,Dates!F$5,'Day1'!$B7)</f>
        <v>0</v>
      </c>
      <c r="G7" s="7">
        <f>averageCompletionTimePorter(Dates!G$4,Dates!G$5,'Day1'!$B7)</f>
        <v>0</v>
      </c>
      <c r="H7" s="7">
        <f>averageCompletionTimePorter(Dates!H$4,Dates!H$5,'Day1'!$B7)</f>
        <v>0</v>
      </c>
      <c r="I7" s="7">
        <f>averageCompletionTimePorter(Dates!I$4,Dates!I$5,'Day1'!$B7)</f>
        <v>0</v>
      </c>
      <c r="J7" s="7">
        <f>averageCompletionTimePorter(Dates!J$4,Dates!J$5,'Day1'!$B7)</f>
        <v>0</v>
      </c>
      <c r="K7" s="7">
        <f>averageCompletionTimePorter(Dates!K$4,Dates!K$5,'Day1'!$B7)</f>
        <v>0</v>
      </c>
      <c r="L7" s="7">
        <f>averageCompletionTimePorter(Dates!L$4,Dates!L$5,'Day1'!$B7)</f>
        <v>13</v>
      </c>
      <c r="M7" s="7">
        <f>averageCompletionTimePorter(Dates!M$4,Dates!M$5,'Day1'!$B7)</f>
        <v>23</v>
      </c>
      <c r="N7" s="7">
        <f>averageCompletionTimePorter(Dates!N$4,Dates!N$5,'Day1'!$B7)</f>
        <v>7</v>
      </c>
      <c r="O7" s="7">
        <f>averageCompletionTimePorter(Dates!O$4,Dates!O$5,'Day1'!$B7)</f>
        <v>12.75</v>
      </c>
      <c r="P7" s="7">
        <f>averageCompletionTimePorter(Dates!P$4,Dates!P$5,'Day1'!$B7)</f>
        <v>19</v>
      </c>
      <c r="Q7" s="7">
        <f>averageCompletionTimePorter(Dates!Q$4,Dates!Q$5,'Day1'!$B7)</f>
        <v>22.5</v>
      </c>
      <c r="R7" s="7">
        <f>averageCompletionTimePorter(Dates!R$4,Dates!R$5,'Day1'!$B7)</f>
        <v>15</v>
      </c>
      <c r="S7" s="7">
        <f>averageCompletionTimePorter(Dates!S$4,Dates!S$5,'Day1'!$B7)</f>
        <v>0</v>
      </c>
      <c r="T7" s="7">
        <f>averageCompletionTimePorter(Dates!T$4,Dates!T$5,'Day1'!$B7)</f>
        <v>18</v>
      </c>
      <c r="U7" s="7">
        <f>averageCompletionTimePorter(Dates!$C$4,Dates!$T$5,'Day1'!$B7)</f>
        <v>17.058823529411764</v>
      </c>
    </row>
    <row r="8" spans="1:21" x14ac:dyDescent="0.3">
      <c r="A8" s="10"/>
      <c r="B8" s="12">
        <v>8</v>
      </c>
      <c r="C8" s="7">
        <f>averageCompletionTimePorter(Dates!C$4,Dates!C$5,'Day1'!$B8)</f>
        <v>0</v>
      </c>
      <c r="D8" s="7">
        <f>averageCompletionTimePorter(Dates!D$4,Dates!D$5,'Day1'!$B8)</f>
        <v>0</v>
      </c>
      <c r="E8" s="7">
        <f>averageCompletionTimePorter(Dates!E$4,Dates!E$5,'Day1'!$B8)</f>
        <v>0</v>
      </c>
      <c r="F8" s="7">
        <f>averageCompletionTimePorter(Dates!F$4,Dates!F$5,'Day1'!$B8)</f>
        <v>0</v>
      </c>
      <c r="G8" s="7">
        <f>averageCompletionTimePorter(Dates!G$4,Dates!G$5,'Day1'!$B8)</f>
        <v>0</v>
      </c>
      <c r="H8" s="7">
        <f>averageCompletionTimePorter(Dates!H$4,Dates!H$5,'Day1'!$B8)</f>
        <v>0</v>
      </c>
      <c r="I8" s="7">
        <f>averageCompletionTimePorter(Dates!I$4,Dates!I$5,'Day1'!$B8)</f>
        <v>0</v>
      </c>
      <c r="J8" s="7">
        <f>averageCompletionTimePorter(Dates!J$4,Dates!J$5,'Day1'!$B8)</f>
        <v>0</v>
      </c>
      <c r="K8" s="7">
        <f>averageCompletionTimePorter(Dates!K$4,Dates!K$5,'Day1'!$B8)</f>
        <v>0</v>
      </c>
      <c r="L8" s="7">
        <f>averageCompletionTimePorter(Dates!L$4,Dates!L$5,'Day1'!$B8)</f>
        <v>10</v>
      </c>
      <c r="M8" s="7">
        <f>averageCompletionTimePorter(Dates!M$4,Dates!M$5,'Day1'!$B8)</f>
        <v>0</v>
      </c>
      <c r="N8" s="7">
        <f>averageCompletionTimePorter(Dates!N$4,Dates!N$5,'Day1'!$B8)</f>
        <v>27</v>
      </c>
      <c r="O8" s="7">
        <f>averageCompletionTimePorter(Dates!O$4,Dates!O$5,'Day1'!$B8)</f>
        <v>29.6</v>
      </c>
      <c r="P8" s="7">
        <f>averageCompletionTimePorter(Dates!P$4,Dates!P$5,'Day1'!$B8)</f>
        <v>30.333333333333332</v>
      </c>
      <c r="Q8" s="7">
        <f>averageCompletionTimePorter(Dates!Q$4,Dates!Q$5,'Day1'!$B8)</f>
        <v>26</v>
      </c>
      <c r="R8" s="7">
        <f>averageCompletionTimePorter(Dates!R$4,Dates!R$5,'Day1'!$B8)</f>
        <v>21</v>
      </c>
      <c r="S8" s="7">
        <f>averageCompletionTimePorter(Dates!S$4,Dates!S$5,'Day1'!$B8)</f>
        <v>22</v>
      </c>
      <c r="T8" s="7">
        <f>averageCompletionTimePorter(Dates!T$4,Dates!T$5,'Day1'!$B8)</f>
        <v>0</v>
      </c>
      <c r="U8" s="7">
        <f>averageCompletionTimePorter(Dates!$C$4,Dates!$T$5,'Day1'!$B8)</f>
        <v>25.85</v>
      </c>
    </row>
    <row r="9" spans="1:21" x14ac:dyDescent="0.3">
      <c r="A9" s="10"/>
      <c r="B9" s="12">
        <v>6</v>
      </c>
      <c r="C9" s="7">
        <f>averageCompletionTimePorter(Dates!C$4,Dates!C$5,'Day1'!$B9)</f>
        <v>0</v>
      </c>
      <c r="D9" s="7">
        <f>averageCompletionTimePorter(Dates!D$4,Dates!D$5,'Day1'!$B9)</f>
        <v>0</v>
      </c>
      <c r="E9" s="7">
        <f>averageCompletionTimePorter(Dates!E$4,Dates!E$5,'Day1'!$B9)</f>
        <v>0</v>
      </c>
      <c r="F9" s="7">
        <f>averageCompletionTimePorter(Dates!F$4,Dates!F$5,'Day1'!$B9)</f>
        <v>0</v>
      </c>
      <c r="G9" s="7">
        <f>averageCompletionTimePorter(Dates!G$4,Dates!G$5,'Day1'!$B9)</f>
        <v>0</v>
      </c>
      <c r="H9" s="7">
        <f>averageCompletionTimePorter(Dates!H$4,Dates!H$5,'Day1'!$B9)</f>
        <v>0</v>
      </c>
      <c r="I9" s="7">
        <f>averageCompletionTimePorter(Dates!I$4,Dates!I$5,'Day1'!$B9)</f>
        <v>0</v>
      </c>
      <c r="J9" s="7">
        <f>averageCompletionTimePorter(Dates!J$4,Dates!J$5,'Day1'!$B9)</f>
        <v>0</v>
      </c>
      <c r="K9" s="7">
        <f>averageCompletionTimePorter(Dates!K$4,Dates!K$5,'Day1'!$B9)</f>
        <v>0</v>
      </c>
      <c r="L9" s="7">
        <f>averageCompletionTimePorter(Dates!L$4,Dates!L$5,'Day1'!$B9)</f>
        <v>21</v>
      </c>
      <c r="M9" s="7">
        <f>averageCompletionTimePorter(Dates!M$4,Dates!M$5,'Day1'!$B9)</f>
        <v>16.5</v>
      </c>
      <c r="N9" s="7">
        <f>averageCompletionTimePorter(Dates!N$4,Dates!N$5,'Day1'!$B9)</f>
        <v>18.5</v>
      </c>
      <c r="O9" s="7">
        <f>averageCompletionTimePorter(Dates!O$4,Dates!O$5,'Day1'!$B9)</f>
        <v>32</v>
      </c>
      <c r="P9" s="7">
        <f>averageCompletionTimePorter(Dates!P$4,Dates!P$5,'Day1'!$B9)</f>
        <v>15.5</v>
      </c>
      <c r="Q9" s="7">
        <f>averageCompletionTimePorter(Dates!Q$4,Dates!Q$5,'Day1'!$B9)</f>
        <v>0</v>
      </c>
      <c r="R9" s="7">
        <f>averageCompletionTimePorter(Dates!R$4,Dates!R$5,'Day1'!$B9)</f>
        <v>30</v>
      </c>
      <c r="S9" s="7">
        <f>averageCompletionTimePorter(Dates!S$4,Dates!S$5,'Day1'!$B9)</f>
        <v>7</v>
      </c>
      <c r="T9" s="7">
        <f>averageCompletionTimePorter(Dates!T$4,Dates!T$5,'Day1'!$B9)</f>
        <v>18</v>
      </c>
      <c r="U9" s="7">
        <f>averageCompletionTimePorter(Dates!$C$4,Dates!$T$5,'Day1'!$B9)</f>
        <v>18</v>
      </c>
    </row>
    <row r="10" spans="1:21" x14ac:dyDescent="0.3">
      <c r="A10" s="10"/>
      <c r="B10" s="12">
        <v>1</v>
      </c>
      <c r="C10" s="7">
        <f>averageCompletionTimePorter(Dates!C$4,Dates!C$5,'Day1'!$B10)</f>
        <v>0</v>
      </c>
      <c r="D10" s="7">
        <f>averageCompletionTimePorter(Dates!D$4,Dates!D$5,'Day1'!$B10)</f>
        <v>0</v>
      </c>
      <c r="E10" s="7">
        <f>averageCompletionTimePorter(Dates!E$4,Dates!E$5,'Day1'!$B10)</f>
        <v>0</v>
      </c>
      <c r="F10" s="7">
        <f>averageCompletionTimePorter(Dates!F$4,Dates!F$5,'Day1'!$B10)</f>
        <v>0</v>
      </c>
      <c r="G10" s="7">
        <f>averageCompletionTimePorter(Dates!G$4,Dates!G$5,'Day1'!$B10)</f>
        <v>0</v>
      </c>
      <c r="H10" s="7">
        <f>averageCompletionTimePorter(Dates!H$4,Dates!H$5,'Day1'!$B10)</f>
        <v>0</v>
      </c>
      <c r="I10" s="7">
        <f>averageCompletionTimePorter(Dates!I$4,Dates!I$5,'Day1'!$B10)</f>
        <v>0</v>
      </c>
      <c r="J10" s="7">
        <f>averageCompletionTimePorter(Dates!J$4,Dates!J$5,'Day1'!$B10)</f>
        <v>0</v>
      </c>
      <c r="K10" s="7">
        <f>averageCompletionTimePorter(Dates!K$4,Dates!K$5,'Day1'!$B10)</f>
        <v>0</v>
      </c>
      <c r="L10" s="7">
        <f>averageCompletionTimePorter(Dates!L$4,Dates!L$5,'Day1'!$B10)</f>
        <v>36</v>
      </c>
      <c r="M10" s="7">
        <f>averageCompletionTimePorter(Dates!M$4,Dates!M$5,'Day1'!$B10)</f>
        <v>0</v>
      </c>
      <c r="N10" s="7">
        <f>averageCompletionTimePorter(Dates!N$4,Dates!N$5,'Day1'!$B10)</f>
        <v>27</v>
      </c>
      <c r="O10" s="7">
        <f>averageCompletionTimePorter(Dates!O$4,Dates!O$5,'Day1'!$B10)</f>
        <v>9</v>
      </c>
      <c r="P10" s="7">
        <f>averageCompletionTimePorter(Dates!P$4,Dates!P$5,'Day1'!$B10)</f>
        <v>30.8</v>
      </c>
      <c r="Q10" s="7">
        <f>averageCompletionTimePorter(Dates!Q$4,Dates!Q$5,'Day1'!$B10)</f>
        <v>13</v>
      </c>
      <c r="R10" s="7">
        <f>averageCompletionTimePorter(Dates!R$4,Dates!R$5,'Day1'!$B10)</f>
        <v>13.666666666666666</v>
      </c>
      <c r="S10" s="7">
        <f>averageCompletionTimePorter(Dates!S$4,Dates!S$5,'Day1'!$B10)</f>
        <v>25</v>
      </c>
      <c r="T10" s="7">
        <f>averageCompletionTimePorter(Dates!T$4,Dates!T$5,'Day1'!$B10)</f>
        <v>0</v>
      </c>
      <c r="U10" s="7">
        <f>averageCompletionTimePorter(Dates!$C$4,Dates!$T$5,'Day1'!$B10)</f>
        <v>23.25</v>
      </c>
    </row>
    <row r="11" spans="1:21" x14ac:dyDescent="0.3">
      <c r="A11" s="10"/>
      <c r="B11" s="12">
        <v>10</v>
      </c>
      <c r="C11" s="7">
        <f>averageCompletionTimePorter(Dates!C$4,Dates!C$5,'Day1'!$B11)</f>
        <v>0</v>
      </c>
      <c r="D11" s="7">
        <f>averageCompletionTimePorter(Dates!D$4,Dates!D$5,'Day1'!$B11)</f>
        <v>0</v>
      </c>
      <c r="E11" s="7">
        <f>averageCompletionTimePorter(Dates!E$4,Dates!E$5,'Day1'!$B11)</f>
        <v>0</v>
      </c>
      <c r="F11" s="7">
        <f>averageCompletionTimePorter(Dates!F$4,Dates!F$5,'Day1'!$B11)</f>
        <v>0</v>
      </c>
      <c r="G11" s="7">
        <f>averageCompletionTimePorter(Dates!G$4,Dates!G$5,'Day1'!$B11)</f>
        <v>0</v>
      </c>
      <c r="H11" s="7">
        <f>averageCompletionTimePorter(Dates!H$4,Dates!H$5,'Day1'!$B11)</f>
        <v>0</v>
      </c>
      <c r="I11" s="7">
        <f>averageCompletionTimePorter(Dates!I$4,Dates!I$5,'Day1'!$B11)</f>
        <v>0</v>
      </c>
      <c r="J11" s="7">
        <f>averageCompletionTimePorter(Dates!J$4,Dates!J$5,'Day1'!$B11)</f>
        <v>0</v>
      </c>
      <c r="K11" s="7">
        <f>averageCompletionTimePorter(Dates!K$4,Dates!K$5,'Day1'!$B11)</f>
        <v>0</v>
      </c>
      <c r="L11" s="7">
        <f>averageCompletionTimePorter(Dates!L$4,Dates!L$5,'Day1'!$B11)</f>
        <v>0</v>
      </c>
      <c r="M11" s="7">
        <f>averageCompletionTimePorter(Dates!M$4,Dates!M$5,'Day1'!$B11)</f>
        <v>14.6</v>
      </c>
      <c r="N11" s="7">
        <f>averageCompletionTimePorter(Dates!N$4,Dates!N$5,'Day1'!$B11)</f>
        <v>16</v>
      </c>
      <c r="O11" s="7">
        <f>averageCompletionTimePorter(Dates!O$4,Dates!O$5,'Day1'!$B11)</f>
        <v>22.5</v>
      </c>
      <c r="P11" s="7">
        <f>averageCompletionTimePorter(Dates!P$4,Dates!P$5,'Day1'!$B11)</f>
        <v>37</v>
      </c>
      <c r="Q11" s="7">
        <f>averageCompletionTimePorter(Dates!Q$4,Dates!Q$5,'Day1'!$B11)</f>
        <v>13.666666666666666</v>
      </c>
      <c r="R11" s="7">
        <f>averageCompletionTimePorter(Dates!R$4,Dates!R$5,'Day1'!$B11)</f>
        <v>18.5</v>
      </c>
      <c r="S11" s="7">
        <f>averageCompletionTimePorter(Dates!S$4,Dates!S$5,'Day1'!$B11)</f>
        <v>0</v>
      </c>
      <c r="T11" s="7">
        <f>averageCompletionTimePorter(Dates!T$4,Dates!T$5,'Day1'!$B11)</f>
        <v>34.5</v>
      </c>
      <c r="U11" s="7">
        <f>averageCompletionTimePorter(Dates!$C$4,Dates!$T$5,'Day1'!$B11)</f>
        <v>19.263157894736842</v>
      </c>
    </row>
    <row r="12" spans="1:21" x14ac:dyDescent="0.3">
      <c r="A12" s="10"/>
      <c r="B12" s="12">
        <v>9</v>
      </c>
      <c r="C12" s="7">
        <f>averageCompletionTimePorter(Dates!C$4,Dates!C$5,'Day1'!$B12)</f>
        <v>0</v>
      </c>
      <c r="D12" s="7">
        <f>averageCompletionTimePorter(Dates!D$4,Dates!D$5,'Day1'!$B12)</f>
        <v>0</v>
      </c>
      <c r="E12" s="7">
        <f>averageCompletionTimePorter(Dates!E$4,Dates!E$5,'Day1'!$B12)</f>
        <v>0</v>
      </c>
      <c r="F12" s="7">
        <f>averageCompletionTimePorter(Dates!F$4,Dates!F$5,'Day1'!$B12)</f>
        <v>0</v>
      </c>
      <c r="G12" s="7">
        <f>averageCompletionTimePorter(Dates!G$4,Dates!G$5,'Day1'!$B12)</f>
        <v>0</v>
      </c>
      <c r="H12" s="7">
        <f>averageCompletionTimePorter(Dates!H$4,Dates!H$5,'Day1'!$B12)</f>
        <v>0</v>
      </c>
      <c r="I12" s="7">
        <f>averageCompletionTimePorter(Dates!I$4,Dates!I$5,'Day1'!$B12)</f>
        <v>0</v>
      </c>
      <c r="J12" s="7">
        <f>averageCompletionTimePorter(Dates!J$4,Dates!J$5,'Day1'!$B12)</f>
        <v>0</v>
      </c>
      <c r="K12" s="7">
        <f>averageCompletionTimePorter(Dates!K$4,Dates!K$5,'Day1'!$B12)</f>
        <v>0</v>
      </c>
      <c r="L12" s="7">
        <f>averageCompletionTimePorter(Dates!L$4,Dates!L$5,'Day1'!$B12)</f>
        <v>0</v>
      </c>
      <c r="M12" s="7">
        <f>averageCompletionTimePorter(Dates!M$4,Dates!M$5,'Day1'!$B12)</f>
        <v>20.5</v>
      </c>
      <c r="N12" s="7">
        <f>averageCompletionTimePorter(Dates!N$4,Dates!N$5,'Day1'!$B12)</f>
        <v>16.333333333333332</v>
      </c>
      <c r="O12" s="7">
        <f>averageCompletionTimePorter(Dates!O$4,Dates!O$5,'Day1'!$B12)</f>
        <v>12</v>
      </c>
      <c r="P12" s="7">
        <f>averageCompletionTimePorter(Dates!P$4,Dates!P$5,'Day1'!$B12)</f>
        <v>39</v>
      </c>
      <c r="Q12" s="7">
        <f>averageCompletionTimePorter(Dates!Q$4,Dates!Q$5,'Day1'!$B12)</f>
        <v>14.5</v>
      </c>
      <c r="R12" s="7">
        <f>averageCompletionTimePorter(Dates!R$4,Dates!R$5,'Day1'!$B12)</f>
        <v>9</v>
      </c>
      <c r="S12" s="7">
        <f>averageCompletionTimePorter(Dates!S$4,Dates!S$5,'Day1'!$B12)</f>
        <v>19</v>
      </c>
      <c r="T12" s="7">
        <f>averageCompletionTimePorter(Dates!T$4,Dates!T$5,'Day1'!$B12)</f>
        <v>0</v>
      </c>
      <c r="U12" s="7">
        <f>averageCompletionTimePorter(Dates!$C$4,Dates!$T$5,'Day1'!$B12)</f>
        <v>18.083333333333332</v>
      </c>
    </row>
    <row r="13" spans="1:21" x14ac:dyDescent="0.3">
      <c r="A13" s="10"/>
      <c r="B13" s="12">
        <v>7</v>
      </c>
      <c r="C13" s="7">
        <f>averageCompletionTimePorter(Dates!C$4,Dates!C$5,'Day1'!$B13)</f>
        <v>0</v>
      </c>
      <c r="D13" s="7">
        <f>averageCompletionTimePorter(Dates!D$4,Dates!D$5,'Day1'!$B13)</f>
        <v>0</v>
      </c>
      <c r="E13" s="7">
        <f>averageCompletionTimePorter(Dates!E$4,Dates!E$5,'Day1'!$B13)</f>
        <v>0</v>
      </c>
      <c r="F13" s="7">
        <f>averageCompletionTimePorter(Dates!F$4,Dates!F$5,'Day1'!$B13)</f>
        <v>0</v>
      </c>
      <c r="G13" s="7">
        <f>averageCompletionTimePorter(Dates!G$4,Dates!G$5,'Day1'!$B13)</f>
        <v>0</v>
      </c>
      <c r="H13" s="7">
        <f>averageCompletionTimePorter(Dates!H$4,Dates!H$5,'Day1'!$B13)</f>
        <v>0</v>
      </c>
      <c r="I13" s="7">
        <f>averageCompletionTimePorter(Dates!I$4,Dates!I$5,'Day1'!$B13)</f>
        <v>0</v>
      </c>
      <c r="J13" s="7">
        <f>averageCompletionTimePorter(Dates!J$4,Dates!J$5,'Day1'!$B13)</f>
        <v>0</v>
      </c>
      <c r="K13" s="7">
        <f>averageCompletionTimePorter(Dates!K$4,Dates!K$5,'Day1'!$B13)</f>
        <v>0</v>
      </c>
      <c r="L13" s="7">
        <f>averageCompletionTimePorter(Dates!L$4,Dates!L$5,'Day1'!$B13)</f>
        <v>0</v>
      </c>
      <c r="M13" s="7">
        <f>averageCompletionTimePorter(Dates!M$4,Dates!M$5,'Day1'!$B13)</f>
        <v>8</v>
      </c>
      <c r="N13" s="7">
        <f>averageCompletionTimePorter(Dates!N$4,Dates!N$5,'Day1'!$B13)</f>
        <v>0</v>
      </c>
      <c r="O13" s="7">
        <f>averageCompletionTimePorter(Dates!O$4,Dates!O$5,'Day1'!$B13)</f>
        <v>28</v>
      </c>
      <c r="P13" s="7">
        <f>averageCompletionTimePorter(Dates!P$4,Dates!P$5,'Day1'!$B13)</f>
        <v>14.666666666666666</v>
      </c>
      <c r="Q13" s="7">
        <f>averageCompletionTimePorter(Dates!Q$4,Dates!Q$5,'Day1'!$B13)</f>
        <v>12.5</v>
      </c>
      <c r="R13" s="7">
        <f>averageCompletionTimePorter(Dates!R$4,Dates!R$5,'Day1'!$B13)</f>
        <v>28</v>
      </c>
      <c r="S13" s="7">
        <f>averageCompletionTimePorter(Dates!S$4,Dates!S$5,'Day1'!$B13)</f>
        <v>0</v>
      </c>
      <c r="T13" s="7">
        <f>averageCompletionTimePorter(Dates!T$4,Dates!T$5,'Day1'!$B13)</f>
        <v>0</v>
      </c>
      <c r="U13" s="7">
        <f>averageCompletionTimePorter(Dates!$C$4,Dates!$T$5,'Day1'!$B13)</f>
        <v>19.72727272727273</v>
      </c>
    </row>
    <row r="14" spans="1:21" x14ac:dyDescent="0.3">
      <c r="B14" s="12" t="s">
        <v>149</v>
      </c>
      <c r="C14" s="7">
        <f>averageCompletionTimePorter(Dates!C$4,Dates!C$5,'Day1'!$B14)</f>
        <v>0</v>
      </c>
      <c r="D14" s="7">
        <f>averageCompletionTimePorter(Dates!D$4,Dates!D$5,'Day1'!$B14)</f>
        <v>0</v>
      </c>
      <c r="E14" s="7">
        <f>averageCompletionTimePorter(Dates!E$4,Dates!E$5,'Day1'!$B14)</f>
        <v>0</v>
      </c>
      <c r="F14" s="7">
        <f>averageCompletionTimePorter(Dates!F$4,Dates!F$5,'Day1'!$B14)</f>
        <v>0</v>
      </c>
      <c r="G14" s="7">
        <f>averageCompletionTimePorter(Dates!G$4,Dates!G$5,'Day1'!$B14)</f>
        <v>0</v>
      </c>
      <c r="H14" s="7">
        <f>averageCompletionTimePorter(Dates!H$4,Dates!H$5,'Day1'!$B14)</f>
        <v>0</v>
      </c>
      <c r="I14" s="7">
        <f>averageCompletionTimePorter(Dates!I$4,Dates!I$5,'Day1'!$B14)</f>
        <v>0</v>
      </c>
      <c r="J14" s="7">
        <f>averageCompletionTimePorter(Dates!J$4,Dates!J$5,'Day1'!$B14)</f>
        <v>0</v>
      </c>
      <c r="K14" s="7">
        <f>averageCompletionTimePorter(Dates!K$4,Dates!K$5,'Day1'!$B14)</f>
        <v>0</v>
      </c>
      <c r="L14" s="7">
        <f>averageCompletionTimePorter(Dates!L$4,Dates!L$5,'Day1'!$B14)</f>
        <v>0</v>
      </c>
      <c r="M14" s="7">
        <f>averageCompletionTimePorter(Dates!M$4,Dates!M$5,'Day1'!$B14)</f>
        <v>0</v>
      </c>
      <c r="N14" s="7">
        <f>averageCompletionTimePorter(Dates!N$4,Dates!N$5,'Day1'!$B14)</f>
        <v>0</v>
      </c>
      <c r="O14" s="7">
        <f>averageCompletionTimePorter(Dates!O$4,Dates!O$5,'Day1'!$B14)</f>
        <v>0</v>
      </c>
      <c r="P14" s="7">
        <f>averageCompletionTimePorter(Dates!P$4,Dates!P$5,'Day1'!$B14)</f>
        <v>0</v>
      </c>
      <c r="Q14" s="7">
        <f>averageCompletionTimePorter(Dates!Q$4,Dates!Q$5,'Day1'!$B14)</f>
        <v>0</v>
      </c>
      <c r="R14" s="7">
        <f>averageCompletionTimePorter(Dates!R$4,Dates!R$5,'Day1'!$B14)</f>
        <v>0</v>
      </c>
      <c r="S14" s="7">
        <f>averageCompletionTimePorter(Dates!S$4,Dates!S$5,'Day1'!$B14)</f>
        <v>0</v>
      </c>
      <c r="T14" s="7">
        <f>averageCompletionTimePorter(Dates!T$4,Dates!T$5,'Day1'!$B14)</f>
        <v>0</v>
      </c>
      <c r="U14" s="7">
        <f>averageCompletionTimePorter(Dates!$C$4,Dates!$T$5,'Day1'!$B14)</f>
        <v>0</v>
      </c>
    </row>
    <row r="15" spans="1:21" x14ac:dyDescent="0.3">
      <c r="B15" s="12" t="s">
        <v>150</v>
      </c>
      <c r="C15" s="7">
        <f>averageCompletionTimePorter(Dates!C$4,Dates!C$5,'Day1'!$B15)</f>
        <v>0</v>
      </c>
      <c r="D15" s="7">
        <f>averageCompletionTimePorter(Dates!D$4,Dates!D$5,'Day1'!$B15)</f>
        <v>0</v>
      </c>
      <c r="E15" s="7">
        <f>averageCompletionTimePorter(Dates!E$4,Dates!E$5,'Day1'!$B15)</f>
        <v>0</v>
      </c>
      <c r="F15" s="7">
        <f>averageCompletionTimePorter(Dates!F$4,Dates!F$5,'Day1'!$B15)</f>
        <v>0</v>
      </c>
      <c r="G15" s="7">
        <f>averageCompletionTimePorter(Dates!G$4,Dates!G$5,'Day1'!$B15)</f>
        <v>0</v>
      </c>
      <c r="H15" s="7">
        <f>averageCompletionTimePorter(Dates!H$4,Dates!H$5,'Day1'!$B15)</f>
        <v>0</v>
      </c>
      <c r="I15" s="7">
        <f>averageCompletionTimePorter(Dates!I$4,Dates!I$5,'Day1'!$B15)</f>
        <v>0</v>
      </c>
      <c r="J15" s="7">
        <f>averageCompletionTimePorter(Dates!J$4,Dates!J$5,'Day1'!$B15)</f>
        <v>0</v>
      </c>
      <c r="K15" s="7">
        <f>averageCompletionTimePorter(Dates!K$4,Dates!K$5,'Day1'!$B15)</f>
        <v>0</v>
      </c>
      <c r="L15" s="7">
        <f>averageCompletionTimePorter(Dates!L$4,Dates!L$5,'Day1'!$B15)</f>
        <v>0</v>
      </c>
      <c r="M15" s="7">
        <f>averageCompletionTimePorter(Dates!M$4,Dates!M$5,'Day1'!$B15)</f>
        <v>0</v>
      </c>
      <c r="N15" s="7">
        <f>averageCompletionTimePorter(Dates!N$4,Dates!N$5,'Day1'!$B15)</f>
        <v>0</v>
      </c>
      <c r="O15" s="7">
        <f>averageCompletionTimePorter(Dates!O$4,Dates!O$5,'Day1'!$B15)</f>
        <v>0</v>
      </c>
      <c r="P15" s="7">
        <f>averageCompletionTimePorter(Dates!P$4,Dates!P$5,'Day1'!$B15)</f>
        <v>0</v>
      </c>
      <c r="Q15" s="7">
        <f>averageCompletionTimePorter(Dates!Q$4,Dates!Q$5,'Day1'!$B15)</f>
        <v>0</v>
      </c>
      <c r="R15" s="7">
        <f>averageCompletionTimePorter(Dates!R$4,Dates!R$5,'Day1'!$B15)</f>
        <v>0</v>
      </c>
      <c r="S15" s="7">
        <f>averageCompletionTimePorter(Dates!S$4,Dates!S$5,'Day1'!$B15)</f>
        <v>0</v>
      </c>
      <c r="T15" s="7">
        <f>averageCompletionTimePorter(Dates!T$4,Dates!T$5,'Day1'!$B15)</f>
        <v>0</v>
      </c>
      <c r="U15" s="7">
        <f>averageCompletionTimePorter(Dates!$C$4,Dates!$T$5,'Day1'!$B15)</f>
        <v>0</v>
      </c>
    </row>
    <row r="16" spans="1:21" x14ac:dyDescent="0.3">
      <c r="B16" s="12" t="s">
        <v>151</v>
      </c>
      <c r="C16" s="7">
        <f>averageCompletionTimePorter(Dates!C$4,Dates!C$5,'Day1'!$B16)</f>
        <v>0</v>
      </c>
      <c r="D16" s="7">
        <f>averageCompletionTimePorter(Dates!D$4,Dates!D$5,'Day1'!$B16)</f>
        <v>0</v>
      </c>
      <c r="E16" s="7">
        <f>averageCompletionTimePorter(Dates!E$4,Dates!E$5,'Day1'!$B16)</f>
        <v>0</v>
      </c>
      <c r="F16" s="7">
        <f>averageCompletionTimePorter(Dates!F$4,Dates!F$5,'Day1'!$B16)</f>
        <v>0</v>
      </c>
      <c r="G16" s="7">
        <f>averageCompletionTimePorter(Dates!G$4,Dates!G$5,'Day1'!$B16)</f>
        <v>0</v>
      </c>
      <c r="H16" s="7">
        <f>averageCompletionTimePorter(Dates!H$4,Dates!H$5,'Day1'!$B16)</f>
        <v>0</v>
      </c>
      <c r="I16" s="7">
        <f>averageCompletionTimePorter(Dates!I$4,Dates!I$5,'Day1'!$B16)</f>
        <v>0</v>
      </c>
      <c r="J16" s="7">
        <f>averageCompletionTimePorter(Dates!J$4,Dates!J$5,'Day1'!$B16)</f>
        <v>0</v>
      </c>
      <c r="K16" s="7">
        <f>averageCompletionTimePorter(Dates!K$4,Dates!K$5,'Day1'!$B16)</f>
        <v>0</v>
      </c>
      <c r="L16" s="7">
        <f>averageCompletionTimePorter(Dates!L$4,Dates!L$5,'Day1'!$B16)</f>
        <v>0</v>
      </c>
      <c r="M16" s="7">
        <f>averageCompletionTimePorter(Dates!M$4,Dates!M$5,'Day1'!$B16)</f>
        <v>0</v>
      </c>
      <c r="N16" s="7">
        <f>averageCompletionTimePorter(Dates!N$4,Dates!N$5,'Day1'!$B16)</f>
        <v>0</v>
      </c>
      <c r="O16" s="7">
        <f>averageCompletionTimePorter(Dates!O$4,Dates!O$5,'Day1'!$B16)</f>
        <v>0</v>
      </c>
      <c r="P16" s="7">
        <f>averageCompletionTimePorter(Dates!P$4,Dates!P$5,'Day1'!$B16)</f>
        <v>0</v>
      </c>
      <c r="Q16" s="7">
        <f>averageCompletionTimePorter(Dates!Q$4,Dates!Q$5,'Day1'!$B16)</f>
        <v>0</v>
      </c>
      <c r="R16" s="7">
        <f>averageCompletionTimePorter(Dates!R$4,Dates!R$5,'Day1'!$B16)</f>
        <v>0</v>
      </c>
      <c r="S16" s="7">
        <f>averageCompletionTimePorter(Dates!S$4,Dates!S$5,'Day1'!$B16)</f>
        <v>0</v>
      </c>
      <c r="T16" s="7">
        <f>averageCompletionTimePorter(Dates!T$4,Dates!T$5,'Day1'!$B16)</f>
        <v>0</v>
      </c>
      <c r="U16" s="7">
        <f>averageCompletionTimePorter(Dates!$C$4,Dates!$T$5,'Day1'!$B16)</f>
        <v>0</v>
      </c>
    </row>
    <row r="17" spans="2:21" x14ac:dyDescent="0.3">
      <c r="B17" s="12" t="s">
        <v>152</v>
      </c>
      <c r="C17" s="7">
        <f>averageCompletionTimePorter(Dates!C$4,Dates!C$5,'Day1'!$B17)</f>
        <v>0</v>
      </c>
      <c r="D17" s="7">
        <f>averageCompletionTimePorter(Dates!D$4,Dates!D$5,'Day1'!$B17)</f>
        <v>0</v>
      </c>
      <c r="E17" s="7">
        <f>averageCompletionTimePorter(Dates!E$4,Dates!E$5,'Day1'!$B17)</f>
        <v>0</v>
      </c>
      <c r="F17" s="7">
        <f>averageCompletionTimePorter(Dates!F$4,Dates!F$5,'Day1'!$B17)</f>
        <v>0</v>
      </c>
      <c r="G17" s="7">
        <f>averageCompletionTimePorter(Dates!G$4,Dates!G$5,'Day1'!$B17)</f>
        <v>0</v>
      </c>
      <c r="H17" s="7">
        <f>averageCompletionTimePorter(Dates!H$4,Dates!H$5,'Day1'!$B17)</f>
        <v>0</v>
      </c>
      <c r="I17" s="7">
        <f>averageCompletionTimePorter(Dates!I$4,Dates!I$5,'Day1'!$B17)</f>
        <v>0</v>
      </c>
      <c r="J17" s="7">
        <f>averageCompletionTimePorter(Dates!J$4,Dates!J$5,'Day1'!$B17)</f>
        <v>0</v>
      </c>
      <c r="K17" s="7">
        <f>averageCompletionTimePorter(Dates!K$4,Dates!K$5,'Day1'!$B17)</f>
        <v>0</v>
      </c>
      <c r="L17" s="7">
        <f>averageCompletionTimePorter(Dates!L$4,Dates!L$5,'Day1'!$B17)</f>
        <v>0</v>
      </c>
      <c r="M17" s="7">
        <f>averageCompletionTimePorter(Dates!M$4,Dates!M$5,'Day1'!$B17)</f>
        <v>0</v>
      </c>
      <c r="N17" s="7">
        <f>averageCompletionTimePorter(Dates!N$4,Dates!N$5,'Day1'!$B17)</f>
        <v>0</v>
      </c>
      <c r="O17" s="7">
        <f>averageCompletionTimePorter(Dates!O$4,Dates!O$5,'Day1'!$B17)</f>
        <v>0</v>
      </c>
      <c r="P17" s="7">
        <f>averageCompletionTimePorter(Dates!P$4,Dates!P$5,'Day1'!$B17)</f>
        <v>0</v>
      </c>
      <c r="Q17" s="7">
        <f>averageCompletionTimePorter(Dates!Q$4,Dates!Q$5,'Day1'!$B17)</f>
        <v>0</v>
      </c>
      <c r="R17" s="7">
        <f>averageCompletionTimePorter(Dates!R$4,Dates!R$5,'Day1'!$B17)</f>
        <v>0</v>
      </c>
      <c r="S17" s="7">
        <f>averageCompletionTimePorter(Dates!S$4,Dates!S$5,'Day1'!$B17)</f>
        <v>0</v>
      </c>
      <c r="T17" s="7">
        <f>averageCompletionTimePorter(Dates!T$4,Dates!T$5,'Day1'!$B17)</f>
        <v>0</v>
      </c>
      <c r="U17" s="7">
        <f>averageCompletionTimePorter(Dates!$C$4,Dates!$T$5,'Day1'!$B17)</f>
        <v>0</v>
      </c>
    </row>
    <row r="18" spans="2:21" x14ac:dyDescent="0.3">
      <c r="B18" s="12" t="s">
        <v>153</v>
      </c>
      <c r="C18" s="7">
        <f>averageCompletionTimePorter(Dates!C$4,Dates!C$5,'Day1'!$B18)</f>
        <v>0</v>
      </c>
      <c r="D18" s="7">
        <f>averageCompletionTimePorter(Dates!D$4,Dates!D$5,'Day1'!$B18)</f>
        <v>0</v>
      </c>
      <c r="E18" s="7">
        <f>averageCompletionTimePorter(Dates!E$4,Dates!E$5,'Day1'!$B18)</f>
        <v>0</v>
      </c>
      <c r="F18" s="7">
        <f>averageCompletionTimePorter(Dates!F$4,Dates!F$5,'Day1'!$B18)</f>
        <v>0</v>
      </c>
      <c r="G18" s="7">
        <f>averageCompletionTimePorter(Dates!G$4,Dates!G$5,'Day1'!$B18)</f>
        <v>0</v>
      </c>
      <c r="H18" s="7">
        <f>averageCompletionTimePorter(Dates!H$4,Dates!H$5,'Day1'!$B18)</f>
        <v>0</v>
      </c>
      <c r="I18" s="7">
        <f>averageCompletionTimePorter(Dates!I$4,Dates!I$5,'Day1'!$B18)</f>
        <v>0</v>
      </c>
      <c r="J18" s="7">
        <f>averageCompletionTimePorter(Dates!J$4,Dates!J$5,'Day1'!$B18)</f>
        <v>0</v>
      </c>
      <c r="K18" s="7">
        <f>averageCompletionTimePorter(Dates!K$4,Dates!K$5,'Day1'!$B18)</f>
        <v>0</v>
      </c>
      <c r="L18" s="7">
        <f>averageCompletionTimePorter(Dates!L$4,Dates!L$5,'Day1'!$B18)</f>
        <v>0</v>
      </c>
      <c r="M18" s="7">
        <f>averageCompletionTimePorter(Dates!M$4,Dates!M$5,'Day1'!$B18)</f>
        <v>0</v>
      </c>
      <c r="N18" s="7">
        <f>averageCompletionTimePorter(Dates!N$4,Dates!N$5,'Day1'!$B18)</f>
        <v>0</v>
      </c>
      <c r="O18" s="7">
        <f>averageCompletionTimePorter(Dates!O$4,Dates!O$5,'Day1'!$B18)</f>
        <v>0</v>
      </c>
      <c r="P18" s="7">
        <f>averageCompletionTimePorter(Dates!P$4,Dates!P$5,'Day1'!$B18)</f>
        <v>0</v>
      </c>
      <c r="Q18" s="7">
        <f>averageCompletionTimePorter(Dates!Q$4,Dates!Q$5,'Day1'!$B18)</f>
        <v>0</v>
      </c>
      <c r="R18" s="7">
        <f>averageCompletionTimePorter(Dates!R$4,Dates!R$5,'Day1'!$B18)</f>
        <v>0</v>
      </c>
      <c r="S18" s="7">
        <f>averageCompletionTimePorter(Dates!S$4,Dates!S$5,'Day1'!$B18)</f>
        <v>0</v>
      </c>
      <c r="T18" s="7">
        <f>averageCompletionTimePorter(Dates!T$4,Dates!T$5,'Day1'!$B18)</f>
        <v>0</v>
      </c>
      <c r="U18" s="7">
        <f>averageCompletionTimePorter(Dates!$C$4,Dates!$T$5,'Day1'!$B18)</f>
        <v>0</v>
      </c>
    </row>
    <row r="19" spans="2:21" x14ac:dyDescent="0.3">
      <c r="B19" s="12" t="s">
        <v>154</v>
      </c>
      <c r="C19" s="7">
        <f>averageCompletionTimePorter(Dates!C$4,Dates!C$5,'Day1'!$B19)</f>
        <v>0</v>
      </c>
      <c r="D19" s="7">
        <f>averageCompletionTimePorter(Dates!D$4,Dates!D$5,'Day1'!$B19)</f>
        <v>0</v>
      </c>
      <c r="E19" s="7">
        <f>averageCompletionTimePorter(Dates!E$4,Dates!E$5,'Day1'!$B19)</f>
        <v>0</v>
      </c>
      <c r="F19" s="7">
        <f>averageCompletionTimePorter(Dates!F$4,Dates!F$5,'Day1'!$B19)</f>
        <v>0</v>
      </c>
      <c r="G19" s="7">
        <f>averageCompletionTimePorter(Dates!G$4,Dates!G$5,'Day1'!$B19)</f>
        <v>0</v>
      </c>
      <c r="H19" s="7">
        <f>averageCompletionTimePorter(Dates!H$4,Dates!H$5,'Day1'!$B19)</f>
        <v>0</v>
      </c>
      <c r="I19" s="7">
        <f>averageCompletionTimePorter(Dates!I$4,Dates!I$5,'Day1'!$B19)</f>
        <v>0</v>
      </c>
      <c r="J19" s="7">
        <f>averageCompletionTimePorter(Dates!J$4,Dates!J$5,'Day1'!$B19)</f>
        <v>0</v>
      </c>
      <c r="K19" s="7">
        <f>averageCompletionTimePorter(Dates!K$4,Dates!K$5,'Day1'!$B19)</f>
        <v>0</v>
      </c>
      <c r="L19" s="7">
        <f>averageCompletionTimePorter(Dates!L$4,Dates!L$5,'Day1'!$B19)</f>
        <v>0</v>
      </c>
      <c r="M19" s="7">
        <f>averageCompletionTimePorter(Dates!M$4,Dates!M$5,'Day1'!$B19)</f>
        <v>0</v>
      </c>
      <c r="N19" s="7">
        <f>averageCompletionTimePorter(Dates!N$4,Dates!N$5,'Day1'!$B19)</f>
        <v>0</v>
      </c>
      <c r="O19" s="7">
        <f>averageCompletionTimePorter(Dates!O$4,Dates!O$5,'Day1'!$B19)</f>
        <v>0</v>
      </c>
      <c r="P19" s="7">
        <f>averageCompletionTimePorter(Dates!P$4,Dates!P$5,'Day1'!$B19)</f>
        <v>0</v>
      </c>
      <c r="Q19" s="7">
        <f>averageCompletionTimePorter(Dates!Q$4,Dates!Q$5,'Day1'!$B19)</f>
        <v>0</v>
      </c>
      <c r="R19" s="7">
        <f>averageCompletionTimePorter(Dates!R$4,Dates!R$5,'Day1'!$B19)</f>
        <v>0</v>
      </c>
      <c r="S19" s="7">
        <f>averageCompletionTimePorter(Dates!S$4,Dates!S$5,'Day1'!$B19)</f>
        <v>0</v>
      </c>
      <c r="T19" s="7">
        <f>averageCompletionTimePorter(Dates!T$4,Dates!T$5,'Day1'!$B19)</f>
        <v>0</v>
      </c>
      <c r="U19" s="7">
        <f>averageCompletionTimePorter(Dates!$C$4,Dates!$T$5,'Day1'!$B19)</f>
        <v>0</v>
      </c>
    </row>
    <row r="20" spans="2:21" x14ac:dyDescent="0.3">
      <c r="B20" s="12" t="s">
        <v>155</v>
      </c>
      <c r="C20" s="7">
        <f>averageCompletionTimePorter(Dates!C$4,Dates!C$5,'Day1'!$B20)</f>
        <v>0</v>
      </c>
      <c r="D20" s="7">
        <f>averageCompletionTimePorter(Dates!D$4,Dates!D$5,'Day1'!$B20)</f>
        <v>0</v>
      </c>
      <c r="E20" s="7">
        <f>averageCompletionTimePorter(Dates!E$4,Dates!E$5,'Day1'!$B20)</f>
        <v>0</v>
      </c>
      <c r="F20" s="7">
        <f>averageCompletionTimePorter(Dates!F$4,Dates!F$5,'Day1'!$B20)</f>
        <v>0</v>
      </c>
      <c r="G20" s="7">
        <f>averageCompletionTimePorter(Dates!G$4,Dates!G$5,'Day1'!$B20)</f>
        <v>0</v>
      </c>
      <c r="H20" s="7">
        <f>averageCompletionTimePorter(Dates!H$4,Dates!H$5,'Day1'!$B20)</f>
        <v>0</v>
      </c>
      <c r="I20" s="7">
        <f>averageCompletionTimePorter(Dates!I$4,Dates!I$5,'Day1'!$B20)</f>
        <v>0</v>
      </c>
      <c r="J20" s="7">
        <f>averageCompletionTimePorter(Dates!J$4,Dates!J$5,'Day1'!$B20)</f>
        <v>0</v>
      </c>
      <c r="K20" s="7">
        <f>averageCompletionTimePorter(Dates!K$4,Dates!K$5,'Day1'!$B20)</f>
        <v>0</v>
      </c>
      <c r="L20" s="7">
        <f>averageCompletionTimePorter(Dates!L$4,Dates!L$5,'Day1'!$B20)</f>
        <v>0</v>
      </c>
      <c r="M20" s="7">
        <f>averageCompletionTimePorter(Dates!M$4,Dates!M$5,'Day1'!$B20)</f>
        <v>0</v>
      </c>
      <c r="N20" s="7">
        <f>averageCompletionTimePorter(Dates!N$4,Dates!N$5,'Day1'!$B20)</f>
        <v>0</v>
      </c>
      <c r="O20" s="7">
        <f>averageCompletionTimePorter(Dates!O$4,Dates!O$5,'Day1'!$B20)</f>
        <v>0</v>
      </c>
      <c r="P20" s="7">
        <f>averageCompletionTimePorter(Dates!P$4,Dates!P$5,'Day1'!$B20)</f>
        <v>0</v>
      </c>
      <c r="Q20" s="7">
        <f>averageCompletionTimePorter(Dates!Q$4,Dates!Q$5,'Day1'!$B20)</f>
        <v>0</v>
      </c>
      <c r="R20" s="7">
        <f>averageCompletionTimePorter(Dates!R$4,Dates!R$5,'Day1'!$B20)</f>
        <v>0</v>
      </c>
      <c r="S20" s="7">
        <f>averageCompletionTimePorter(Dates!S$4,Dates!S$5,'Day1'!$B20)</f>
        <v>0</v>
      </c>
      <c r="T20" s="7">
        <f>averageCompletionTimePorter(Dates!T$4,Dates!T$5,'Day1'!$B20)</f>
        <v>0</v>
      </c>
      <c r="U20" s="7">
        <f>averageCompletionTimePorter(Dates!$C$4,Dates!$T$5,'Day1'!$B20)</f>
        <v>0</v>
      </c>
    </row>
    <row r="21" spans="2:21" x14ac:dyDescent="0.3">
      <c r="B21" s="12" t="s">
        <v>156</v>
      </c>
      <c r="C21" s="7">
        <f>averageCompletionTimePorter(Dates!C$4,Dates!C$5,'Day1'!$B21)</f>
        <v>0</v>
      </c>
      <c r="D21" s="7">
        <f>averageCompletionTimePorter(Dates!D$4,Dates!D$5,'Day1'!$B21)</f>
        <v>0</v>
      </c>
      <c r="E21" s="7">
        <f>averageCompletionTimePorter(Dates!E$4,Dates!E$5,'Day1'!$B21)</f>
        <v>0</v>
      </c>
      <c r="F21" s="7">
        <f>averageCompletionTimePorter(Dates!F$4,Dates!F$5,'Day1'!$B21)</f>
        <v>0</v>
      </c>
      <c r="G21" s="7">
        <f>averageCompletionTimePorter(Dates!G$4,Dates!G$5,'Day1'!$B21)</f>
        <v>0</v>
      </c>
      <c r="H21" s="7">
        <f>averageCompletionTimePorter(Dates!H$4,Dates!H$5,'Day1'!$B21)</f>
        <v>0</v>
      </c>
      <c r="I21" s="7">
        <f>averageCompletionTimePorter(Dates!I$4,Dates!I$5,'Day1'!$B21)</f>
        <v>0</v>
      </c>
      <c r="J21" s="7">
        <f>averageCompletionTimePorter(Dates!J$4,Dates!J$5,'Day1'!$B21)</f>
        <v>0</v>
      </c>
      <c r="K21" s="7">
        <f>averageCompletionTimePorter(Dates!K$4,Dates!K$5,'Day1'!$B21)</f>
        <v>0</v>
      </c>
      <c r="L21" s="7">
        <f>averageCompletionTimePorter(Dates!L$4,Dates!L$5,'Day1'!$B21)</f>
        <v>0</v>
      </c>
      <c r="M21" s="7">
        <f>averageCompletionTimePorter(Dates!M$4,Dates!M$5,'Day1'!$B21)</f>
        <v>0</v>
      </c>
      <c r="N21" s="7">
        <f>averageCompletionTimePorter(Dates!N$4,Dates!N$5,'Day1'!$B21)</f>
        <v>0</v>
      </c>
      <c r="O21" s="7">
        <f>averageCompletionTimePorter(Dates!O$4,Dates!O$5,'Day1'!$B21)</f>
        <v>0</v>
      </c>
      <c r="P21" s="7">
        <f>averageCompletionTimePorter(Dates!P$4,Dates!P$5,'Day1'!$B21)</f>
        <v>0</v>
      </c>
      <c r="Q21" s="7">
        <f>averageCompletionTimePorter(Dates!Q$4,Dates!Q$5,'Day1'!$B21)</f>
        <v>0</v>
      </c>
      <c r="R21" s="7">
        <f>averageCompletionTimePorter(Dates!R$4,Dates!R$5,'Day1'!$B21)</f>
        <v>0</v>
      </c>
      <c r="S21" s="7">
        <f>averageCompletionTimePorter(Dates!S$4,Dates!S$5,'Day1'!$B21)</f>
        <v>0</v>
      </c>
      <c r="T21" s="7">
        <f>averageCompletionTimePorter(Dates!T$4,Dates!T$5,'Day1'!$B21)</f>
        <v>0</v>
      </c>
      <c r="U21" s="7">
        <f>averageCompletionTimePorter(Dates!$C$4,Dates!$T$5,'Day1'!$B21)</f>
        <v>0</v>
      </c>
    </row>
    <row r="22" spans="2:21" x14ac:dyDescent="0.3">
      <c r="B22" s="12" t="s">
        <v>157</v>
      </c>
      <c r="C22" s="7">
        <f>averageCompletionTimePorter(Dates!C$4,Dates!C$5,'Day1'!$B22)</f>
        <v>0</v>
      </c>
      <c r="D22" s="7">
        <f>averageCompletionTimePorter(Dates!D$4,Dates!D$5,'Day1'!$B22)</f>
        <v>0</v>
      </c>
      <c r="E22" s="7">
        <f>averageCompletionTimePorter(Dates!E$4,Dates!E$5,'Day1'!$B22)</f>
        <v>0</v>
      </c>
      <c r="F22" s="7">
        <f>averageCompletionTimePorter(Dates!F$4,Dates!F$5,'Day1'!$B22)</f>
        <v>0</v>
      </c>
      <c r="G22" s="7">
        <f>averageCompletionTimePorter(Dates!G$4,Dates!G$5,'Day1'!$B22)</f>
        <v>0</v>
      </c>
      <c r="H22" s="7">
        <f>averageCompletionTimePorter(Dates!H$4,Dates!H$5,'Day1'!$B22)</f>
        <v>0</v>
      </c>
      <c r="I22" s="7">
        <f>averageCompletionTimePorter(Dates!I$4,Dates!I$5,'Day1'!$B22)</f>
        <v>0</v>
      </c>
      <c r="J22" s="7">
        <f>averageCompletionTimePorter(Dates!J$4,Dates!J$5,'Day1'!$B22)</f>
        <v>0</v>
      </c>
      <c r="K22" s="7">
        <f>averageCompletionTimePorter(Dates!K$4,Dates!K$5,'Day1'!$B22)</f>
        <v>0</v>
      </c>
      <c r="L22" s="7">
        <f>averageCompletionTimePorter(Dates!L$4,Dates!L$5,'Day1'!$B22)</f>
        <v>0</v>
      </c>
      <c r="M22" s="7">
        <f>averageCompletionTimePorter(Dates!M$4,Dates!M$5,'Day1'!$B22)</f>
        <v>0</v>
      </c>
      <c r="N22" s="7">
        <f>averageCompletionTimePorter(Dates!N$4,Dates!N$5,'Day1'!$B22)</f>
        <v>0</v>
      </c>
      <c r="O22" s="7">
        <f>averageCompletionTimePorter(Dates!O$4,Dates!O$5,'Day1'!$B22)</f>
        <v>0</v>
      </c>
      <c r="P22" s="7">
        <f>averageCompletionTimePorter(Dates!P$4,Dates!P$5,'Day1'!$B22)</f>
        <v>0</v>
      </c>
      <c r="Q22" s="7">
        <f>averageCompletionTimePorter(Dates!Q$4,Dates!Q$5,'Day1'!$B22)</f>
        <v>0</v>
      </c>
      <c r="R22" s="7">
        <f>averageCompletionTimePorter(Dates!R$4,Dates!R$5,'Day1'!$B22)</f>
        <v>0</v>
      </c>
      <c r="S22" s="7">
        <f>averageCompletionTimePorter(Dates!S$4,Dates!S$5,'Day1'!$B22)</f>
        <v>0</v>
      </c>
      <c r="T22" s="7">
        <f>averageCompletionTimePorter(Dates!T$4,Dates!T$5,'Day1'!$B22)</f>
        <v>0</v>
      </c>
      <c r="U22" s="7">
        <f>averageCompletionTimePorter(Dates!$C$4,Dates!$T$5,'Day1'!$B22)</f>
        <v>0</v>
      </c>
    </row>
    <row r="23" spans="2:21" x14ac:dyDescent="0.3">
      <c r="B23" s="12" t="s">
        <v>158</v>
      </c>
      <c r="C23" s="7">
        <f>averageCompletionTimePorter(Dates!C$4,Dates!C$5,'Day1'!$B23)</f>
        <v>0</v>
      </c>
      <c r="D23" s="7">
        <f>averageCompletionTimePorter(Dates!D$4,Dates!D$5,'Day1'!$B23)</f>
        <v>0</v>
      </c>
      <c r="E23" s="7">
        <f>averageCompletionTimePorter(Dates!E$4,Dates!E$5,'Day1'!$B23)</f>
        <v>0</v>
      </c>
      <c r="F23" s="7">
        <f>averageCompletionTimePorter(Dates!F$4,Dates!F$5,'Day1'!$B23)</f>
        <v>0</v>
      </c>
      <c r="G23" s="7">
        <f>averageCompletionTimePorter(Dates!G$4,Dates!G$5,'Day1'!$B23)</f>
        <v>0</v>
      </c>
      <c r="H23" s="7">
        <f>averageCompletionTimePorter(Dates!H$4,Dates!H$5,'Day1'!$B23)</f>
        <v>0</v>
      </c>
      <c r="I23" s="7">
        <f>averageCompletionTimePorter(Dates!I$4,Dates!I$5,'Day1'!$B23)</f>
        <v>0</v>
      </c>
      <c r="J23" s="7">
        <f>averageCompletionTimePorter(Dates!J$4,Dates!J$5,'Day1'!$B23)</f>
        <v>0</v>
      </c>
      <c r="K23" s="7">
        <f>averageCompletionTimePorter(Dates!K$4,Dates!K$5,'Day1'!$B23)</f>
        <v>0</v>
      </c>
      <c r="L23" s="7">
        <f>averageCompletionTimePorter(Dates!L$4,Dates!L$5,'Day1'!$B23)</f>
        <v>0</v>
      </c>
      <c r="M23" s="7">
        <f>averageCompletionTimePorter(Dates!M$4,Dates!M$5,'Day1'!$B23)</f>
        <v>0</v>
      </c>
      <c r="N23" s="7">
        <f>averageCompletionTimePorter(Dates!N$4,Dates!N$5,'Day1'!$B23)</f>
        <v>0</v>
      </c>
      <c r="O23" s="7">
        <f>averageCompletionTimePorter(Dates!O$4,Dates!O$5,'Day1'!$B23)</f>
        <v>0</v>
      </c>
      <c r="P23" s="7">
        <f>averageCompletionTimePorter(Dates!P$4,Dates!P$5,'Day1'!$B23)</f>
        <v>0</v>
      </c>
      <c r="Q23" s="7">
        <f>averageCompletionTimePorter(Dates!Q$4,Dates!Q$5,'Day1'!$B23)</f>
        <v>0</v>
      </c>
      <c r="R23" s="7">
        <f>averageCompletionTimePorter(Dates!R$4,Dates!R$5,'Day1'!$B23)</f>
        <v>0</v>
      </c>
      <c r="S23" s="7">
        <f>averageCompletionTimePorter(Dates!S$4,Dates!S$5,'Day1'!$B23)</f>
        <v>0</v>
      </c>
      <c r="T23" s="7">
        <f>averageCompletionTimePorter(Dates!T$4,Dates!T$5,'Day1'!$B23)</f>
        <v>0</v>
      </c>
      <c r="U23" s="7">
        <f>averageCompletionTimePorter(Dates!$C$4,Dates!$T$5,'Day1'!$B23)</f>
        <v>0</v>
      </c>
    </row>
    <row r="25" spans="2:21" x14ac:dyDescent="0.3">
      <c r="B25" s="11" t="s">
        <v>148</v>
      </c>
      <c r="C25" s="7">
        <f>averageResponseTime(Dates!C4,Dates!C5)</f>
        <v>0</v>
      </c>
      <c r="D25" s="7">
        <f>averageResponseTime(Dates!D4,Dates!D5)</f>
        <v>0</v>
      </c>
      <c r="E25" s="7">
        <f>averageResponseTime(Dates!E4,Dates!E5)</f>
        <v>8</v>
      </c>
      <c r="F25" s="7">
        <f>averageResponseTime(Dates!F4,Dates!F5)</f>
        <v>0</v>
      </c>
      <c r="G25" s="7">
        <f>averageResponseTime(Dates!G4,Dates!G5)</f>
        <v>0</v>
      </c>
      <c r="H25" s="7">
        <f>averageResponseTime(Dates!H4,Dates!H5)</f>
        <v>0</v>
      </c>
      <c r="I25" s="7">
        <f>averageResponseTime(Dates!I4,Dates!I5)</f>
        <v>0</v>
      </c>
      <c r="J25" s="7">
        <f>averageResponseTime(Dates!J4,Dates!J5)</f>
        <v>0</v>
      </c>
      <c r="K25" s="7">
        <f>averageResponseTime(Dates!K4,Dates!K5)</f>
        <v>3.75</v>
      </c>
      <c r="L25" s="7">
        <f>averageResponseTime(Dates!L4,Dates!L5)</f>
        <v>3.0833333333333335</v>
      </c>
      <c r="M25" s="7">
        <f>averageResponseTime(Dates!M4,Dates!M5)</f>
        <v>1.2352941176470589</v>
      </c>
      <c r="N25" s="7">
        <f>averageResponseTime(Dates!N4,Dates!N5)</f>
        <v>0.39130434782608697</v>
      </c>
      <c r="O25" s="7">
        <f>averageResponseTime(Dates!O4,Dates!O5)</f>
        <v>0.48</v>
      </c>
      <c r="P25" s="7">
        <f>averageResponseTime(Dates!P4,Dates!P5)</f>
        <v>0</v>
      </c>
      <c r="Q25" s="7">
        <f>averageResponseTime(Dates!Q4,Dates!Q5)</f>
        <v>0</v>
      </c>
      <c r="R25" s="7">
        <f>averageResponseTime(Dates!R4,Dates!R5)</f>
        <v>0</v>
      </c>
      <c r="S25" s="7">
        <f>averageResponseTime(Dates!S4,Dates!S5)</f>
        <v>0</v>
      </c>
      <c r="T25" s="7">
        <f>averageResponseTime(Dates!T4,Dates!T5)</f>
        <v>0</v>
      </c>
      <c r="U25" s="7">
        <f>averageResponseTime(Dates!C4,Dates!T5)</f>
        <v>8</v>
      </c>
    </row>
    <row r="26" spans="2:21" x14ac:dyDescent="0.3">
      <c r="B26" s="11">
        <f t="shared" ref="B26:B36" si="0">B3</f>
        <v>3</v>
      </c>
      <c r="C26" s="7">
        <f>averageResponseTimePorter(Dates!C$4,Dates!C$5,'Day1'!$B26)</f>
        <v>0</v>
      </c>
      <c r="D26" s="7">
        <f>averageResponseTimePorter(Dates!D$4,Dates!D$5,'Day1'!$B26)</f>
        <v>0</v>
      </c>
      <c r="E26" s="7">
        <f>averageResponseTimePorter(Dates!E$4,Dates!E$5,'Day1'!$B26)</f>
        <v>5</v>
      </c>
      <c r="F26" s="7">
        <f>averageResponseTimePorter(Dates!F$4,Dates!F$5,'Day1'!$B26)</f>
        <v>0</v>
      </c>
      <c r="G26" s="7">
        <f>averageResponseTimePorter(Dates!G$4,Dates!G$5,'Day1'!$B26)</f>
        <v>0</v>
      </c>
      <c r="H26" s="7">
        <f>averageResponseTimePorter(Dates!H$4,Dates!H$5,'Day1'!$B26)</f>
        <v>0</v>
      </c>
      <c r="I26" s="7">
        <f>averageResponseTimePorter(Dates!I$4,Dates!I$5,'Day1'!$B26)</f>
        <v>0</v>
      </c>
      <c r="J26" s="7">
        <f>averageResponseTimePorter(Dates!J$4,Dates!J$5,'Day1'!$B26)</f>
        <v>0</v>
      </c>
      <c r="K26" s="7">
        <f>averageResponseTimePorter(Dates!K$4,Dates!K$5,'Day1'!$B26)</f>
        <v>3.5</v>
      </c>
      <c r="L26" s="7">
        <f>averageResponseTimePorter(Dates!L$4,Dates!L$5,'Day1'!$B26)</f>
        <v>15</v>
      </c>
      <c r="M26" s="7">
        <f>averageResponseTimePorter(Dates!M$4,Dates!M$5,'Day1'!$B26)</f>
        <v>0</v>
      </c>
      <c r="N26" s="7">
        <f>averageResponseTimePorter(Dates!N$4,Dates!N$5,'Day1'!$B26)</f>
        <v>10.5</v>
      </c>
      <c r="O26" s="7">
        <f>averageResponseTimePorter(Dates!O$4,Dates!O$5,'Day1'!$B26)</f>
        <v>0</v>
      </c>
      <c r="P26" s="7">
        <f>averageResponseTimePorter(Dates!P$4,Dates!P$5,'Day1'!$B26)</f>
        <v>7.333333333333333</v>
      </c>
      <c r="Q26" s="7">
        <f>averageResponseTimePorter(Dates!Q$4,Dates!Q$5,'Day1'!$B26)</f>
        <v>14.666666666666666</v>
      </c>
      <c r="R26" s="7">
        <f>averageResponseTimePorter(Dates!R$4,Dates!R$5,'Day1'!$B26)</f>
        <v>0.2</v>
      </c>
      <c r="S26" s="7">
        <f>averageResponseTimePorter(Dates!S$4,Dates!S$5,'Day1'!$B26)</f>
        <v>22</v>
      </c>
      <c r="T26" s="7">
        <f>averageResponseTimePorter(Dates!T$4,Dates!T$5,'Day1'!$B26)</f>
        <v>3</v>
      </c>
      <c r="U26" s="7">
        <f>averageResponseTimePorter(Dates!$C$4,Dates!$T$5,'Day1'!$B3)</f>
        <v>1.25</v>
      </c>
    </row>
    <row r="27" spans="2:21" x14ac:dyDescent="0.3">
      <c r="B27" s="11">
        <f t="shared" si="0"/>
        <v>2</v>
      </c>
      <c r="C27" s="7">
        <f>averageResponseTimePorter(Dates!C$4,Dates!C$5,'Day1'!$B27)</f>
        <v>0</v>
      </c>
      <c r="D27" s="7">
        <f>averageResponseTimePorter(Dates!D$4,Dates!D$5,'Day1'!$B27)</f>
        <v>0</v>
      </c>
      <c r="E27" s="7">
        <f>averageResponseTimePorter(Dates!E$4,Dates!E$5,'Day1'!$B27)</f>
        <v>3</v>
      </c>
      <c r="F27" s="7">
        <f>averageResponseTimePorter(Dates!F$4,Dates!F$5,'Day1'!$B27)</f>
        <v>0</v>
      </c>
      <c r="G27" s="7">
        <f>averageResponseTimePorter(Dates!G$4,Dates!G$5,'Day1'!$B27)</f>
        <v>0</v>
      </c>
      <c r="H27" s="7">
        <f>averageResponseTimePorter(Dates!H$4,Dates!H$5,'Day1'!$B27)</f>
        <v>0</v>
      </c>
      <c r="I27" s="7">
        <f>averageResponseTimePorter(Dates!I$4,Dates!I$5,'Day1'!$B27)</f>
        <v>0</v>
      </c>
      <c r="J27" s="7">
        <f>averageResponseTimePorter(Dates!J$4,Dates!J$5,'Day1'!$B27)</f>
        <v>0</v>
      </c>
      <c r="K27" s="7">
        <f>averageResponseTimePorter(Dates!K$4,Dates!K$5,'Day1'!$B27)</f>
        <v>0</v>
      </c>
      <c r="L27" s="7">
        <f>averageResponseTimePorter(Dates!L$4,Dates!L$5,'Day1'!$B27)</f>
        <v>10.666666666666666</v>
      </c>
      <c r="M27" s="7">
        <f>averageResponseTimePorter(Dates!M$4,Dates!M$5,'Day1'!$B27)</f>
        <v>12</v>
      </c>
      <c r="N27" s="7">
        <f>averageResponseTimePorter(Dates!N$4,Dates!N$5,'Day1'!$B27)</f>
        <v>42</v>
      </c>
      <c r="O27" s="7">
        <f>averageResponseTimePorter(Dates!O$4,Dates!O$5,'Day1'!$B27)</f>
        <v>11.666666666666666</v>
      </c>
      <c r="P27" s="7">
        <f>averageResponseTimePorter(Dates!P$4,Dates!P$5,'Day1'!$B27)</f>
        <v>18</v>
      </c>
      <c r="Q27" s="7">
        <f>averageResponseTimePorter(Dates!Q$4,Dates!Q$5,'Day1'!$B27)</f>
        <v>9</v>
      </c>
      <c r="R27" s="7">
        <f>averageResponseTimePorter(Dates!R$4,Dates!R$5,'Day1'!$B27)</f>
        <v>12</v>
      </c>
      <c r="S27" s="7">
        <f>averageResponseTimePorter(Dates!S$4,Dates!S$5,'Day1'!$B27)</f>
        <v>9</v>
      </c>
      <c r="T27" s="7">
        <f>averageResponseTimePorter(Dates!T$4,Dates!T$5,'Day1'!$B27)</f>
        <v>0</v>
      </c>
      <c r="U27" s="7">
        <f>averageResponseTimePorter(Dates!$C$4,Dates!$T$5,'Day1'!$B4)</f>
        <v>1.1904761904761905</v>
      </c>
    </row>
    <row r="28" spans="2:21" x14ac:dyDescent="0.3">
      <c r="B28" s="11">
        <f t="shared" si="0"/>
        <v>5</v>
      </c>
      <c r="C28" s="7">
        <f>averageResponseTimePorter(Dates!C$4,Dates!C$5,'Day1'!$B28)</f>
        <v>0</v>
      </c>
      <c r="D28" s="7">
        <f>averageResponseTimePorter(Dates!D$4,Dates!D$5,'Day1'!$B28)</f>
        <v>0</v>
      </c>
      <c r="E28" s="7">
        <f>averageResponseTimePorter(Dates!E$4,Dates!E$5,'Day1'!$B28)</f>
        <v>0</v>
      </c>
      <c r="F28" s="7">
        <f>averageResponseTimePorter(Dates!F$4,Dates!F$5,'Day1'!$B28)</f>
        <v>3</v>
      </c>
      <c r="G28" s="7">
        <f>averageResponseTimePorter(Dates!G$4,Dates!G$5,'Day1'!$B28)</f>
        <v>0</v>
      </c>
      <c r="H28" s="7">
        <f>averageResponseTimePorter(Dates!H$4,Dates!H$5,'Day1'!$B28)</f>
        <v>0</v>
      </c>
      <c r="I28" s="7">
        <f>averageResponseTimePorter(Dates!I$4,Dates!I$5,'Day1'!$B28)</f>
        <v>0</v>
      </c>
      <c r="J28" s="7">
        <f>averageResponseTimePorter(Dates!J$4,Dates!J$5,'Day1'!$B28)</f>
        <v>0</v>
      </c>
      <c r="K28" s="7">
        <f>averageResponseTimePorter(Dates!K$4,Dates!K$5,'Day1'!$B28)</f>
        <v>0</v>
      </c>
      <c r="L28" s="7">
        <f>averageResponseTimePorter(Dates!L$4,Dates!L$5,'Day1'!$B28)</f>
        <v>27.5</v>
      </c>
      <c r="M28" s="7">
        <f>averageResponseTimePorter(Dates!M$4,Dates!M$5,'Day1'!$B28)</f>
        <v>14.5</v>
      </c>
      <c r="N28" s="7">
        <f>averageResponseTimePorter(Dates!N$4,Dates!N$5,'Day1'!$B28)</f>
        <v>0.5</v>
      </c>
      <c r="O28" s="7">
        <f>averageResponseTimePorter(Dates!O$4,Dates!O$5,'Day1'!$B28)</f>
        <v>54</v>
      </c>
      <c r="P28" s="7">
        <f>averageResponseTimePorter(Dates!P$4,Dates!P$5,'Day1'!$B28)</f>
        <v>6.333333333333333</v>
      </c>
      <c r="Q28" s="7">
        <f>averageResponseTimePorter(Dates!Q$4,Dates!Q$5,'Day1'!$B28)</f>
        <v>14</v>
      </c>
      <c r="R28" s="7">
        <f>averageResponseTimePorter(Dates!R$4,Dates!R$5,'Day1'!$B28)</f>
        <v>13</v>
      </c>
      <c r="S28" s="7">
        <f>averageResponseTimePorter(Dates!S$4,Dates!S$5,'Day1'!$B28)</f>
        <v>0</v>
      </c>
      <c r="T28" s="7">
        <f>averageResponseTimePorter(Dates!T$4,Dates!T$5,'Day1'!$B28)</f>
        <v>8.5</v>
      </c>
      <c r="U28" s="7">
        <f>averageResponseTimePorter(Dates!$C$4,Dates!$T$5,'Day1'!$B5)</f>
        <v>2.7894736842105261</v>
      </c>
    </row>
    <row r="29" spans="2:21" x14ac:dyDescent="0.3">
      <c r="B29" s="11">
        <f t="shared" si="0"/>
        <v>0</v>
      </c>
      <c r="C29" s="7">
        <f>averageResponseTimePorter(Dates!C$4,Dates!C$5,'Day1'!$B29)</f>
        <v>0</v>
      </c>
      <c r="D29" s="7">
        <f>averageResponseTimePorter(Dates!D$4,Dates!D$5,'Day1'!$B29)</f>
        <v>0</v>
      </c>
      <c r="E29" s="7">
        <f>averageResponseTimePorter(Dates!E$4,Dates!E$5,'Day1'!$B29)</f>
        <v>0</v>
      </c>
      <c r="F29" s="7">
        <f>averageResponseTimePorter(Dates!F$4,Dates!F$5,'Day1'!$B29)</f>
        <v>0</v>
      </c>
      <c r="G29" s="7">
        <f>averageResponseTimePorter(Dates!G$4,Dates!G$5,'Day1'!$B29)</f>
        <v>0</v>
      </c>
      <c r="H29" s="7">
        <f>averageResponseTimePorter(Dates!H$4,Dates!H$5,'Day1'!$B29)</f>
        <v>0</v>
      </c>
      <c r="I29" s="7">
        <f>averageResponseTimePorter(Dates!I$4,Dates!I$5,'Day1'!$B29)</f>
        <v>0</v>
      </c>
      <c r="J29" s="7">
        <f>averageResponseTimePorter(Dates!J$4,Dates!J$5,'Day1'!$B29)</f>
        <v>0</v>
      </c>
      <c r="K29" s="7">
        <f>averageResponseTimePorter(Dates!K$4,Dates!K$5,'Day1'!$B29)</f>
        <v>4</v>
      </c>
      <c r="L29" s="7">
        <f>averageResponseTimePorter(Dates!L$4,Dates!L$5,'Day1'!$B29)</f>
        <v>4</v>
      </c>
      <c r="M29" s="7">
        <f>averageResponseTimePorter(Dates!M$4,Dates!M$5,'Day1'!$B29)</f>
        <v>52</v>
      </c>
      <c r="N29" s="7">
        <f>averageResponseTimePorter(Dates!N$4,Dates!N$5,'Day1'!$B29)</f>
        <v>10.5</v>
      </c>
      <c r="O29" s="7">
        <f>averageResponseTimePorter(Dates!O$4,Dates!O$5,'Day1'!$B29)</f>
        <v>6.8</v>
      </c>
      <c r="P29" s="7">
        <f>averageResponseTimePorter(Dates!P$4,Dates!P$5,'Day1'!$B29)</f>
        <v>4.75</v>
      </c>
      <c r="Q29" s="7">
        <f>averageResponseTimePorter(Dates!Q$4,Dates!Q$5,'Day1'!$B29)</f>
        <v>13.5</v>
      </c>
      <c r="R29" s="7">
        <f>averageResponseTimePorter(Dates!R$4,Dates!R$5,'Day1'!$B29)</f>
        <v>8.25</v>
      </c>
      <c r="S29" s="7">
        <f>averageResponseTimePorter(Dates!S$4,Dates!S$5,'Day1'!$B29)</f>
        <v>18</v>
      </c>
      <c r="T29" s="7">
        <f>averageResponseTimePorter(Dates!T$4,Dates!T$5,'Day1'!$B29)</f>
        <v>11</v>
      </c>
      <c r="U29" s="7">
        <f>averageResponseTimePorter(Dates!$C$4,Dates!$T$5,'Day1'!$B6)</f>
        <v>1.8518518518518519</v>
      </c>
    </row>
    <row r="30" spans="2:21" x14ac:dyDescent="0.3">
      <c r="B30" s="11">
        <f t="shared" si="0"/>
        <v>4</v>
      </c>
      <c r="C30" s="7">
        <f>averageResponseTimePorter(Dates!C$4,Dates!C$5,'Day1'!$B30)</f>
        <v>0</v>
      </c>
      <c r="D30" s="7">
        <f>averageResponseTimePorter(Dates!D$4,Dates!D$5,'Day1'!$B30)</f>
        <v>0</v>
      </c>
      <c r="E30" s="7">
        <f>averageResponseTimePorter(Dates!E$4,Dates!E$5,'Day1'!$B30)</f>
        <v>0</v>
      </c>
      <c r="F30" s="7">
        <f>averageResponseTimePorter(Dates!F$4,Dates!F$5,'Day1'!$B30)</f>
        <v>0</v>
      </c>
      <c r="G30" s="7">
        <f>averageResponseTimePorter(Dates!G$4,Dates!G$5,'Day1'!$B30)</f>
        <v>0</v>
      </c>
      <c r="H30" s="7">
        <f>averageResponseTimePorter(Dates!H$4,Dates!H$5,'Day1'!$B30)</f>
        <v>0</v>
      </c>
      <c r="I30" s="7">
        <f>averageResponseTimePorter(Dates!I$4,Dates!I$5,'Day1'!$B30)</f>
        <v>0</v>
      </c>
      <c r="J30" s="7">
        <f>averageResponseTimePorter(Dates!J$4,Dates!J$5,'Day1'!$B30)</f>
        <v>0</v>
      </c>
      <c r="K30" s="7">
        <f>averageResponseTimePorter(Dates!K$4,Dates!K$5,'Day1'!$B30)</f>
        <v>0</v>
      </c>
      <c r="L30" s="7">
        <f>averageResponseTimePorter(Dates!L$4,Dates!L$5,'Day1'!$B30)</f>
        <v>20.5</v>
      </c>
      <c r="M30" s="7">
        <f>averageResponseTimePorter(Dates!M$4,Dates!M$5,'Day1'!$B30)</f>
        <v>27.5</v>
      </c>
      <c r="N30" s="7">
        <f>averageResponseTimePorter(Dates!N$4,Dates!N$5,'Day1'!$B30)</f>
        <v>1</v>
      </c>
      <c r="O30" s="7">
        <f>averageResponseTimePorter(Dates!O$4,Dates!O$5,'Day1'!$B30)</f>
        <v>7.75</v>
      </c>
      <c r="P30" s="7">
        <f>averageResponseTimePorter(Dates!P$4,Dates!P$5,'Day1'!$B30)</f>
        <v>9</v>
      </c>
      <c r="Q30" s="7">
        <f>averageResponseTimePorter(Dates!Q$4,Dates!Q$5,'Day1'!$B30)</f>
        <v>0.75</v>
      </c>
      <c r="R30" s="7">
        <f>averageResponseTimePorter(Dates!R$4,Dates!R$5,'Day1'!$B30)</f>
        <v>9</v>
      </c>
      <c r="S30" s="7">
        <f>averageResponseTimePorter(Dates!S$4,Dates!S$5,'Day1'!$B30)</f>
        <v>0</v>
      </c>
      <c r="T30" s="7">
        <f>averageResponseTimePorter(Dates!T$4,Dates!T$5,'Day1'!$B30)</f>
        <v>12</v>
      </c>
      <c r="U30" s="7">
        <f>averageResponseTimePorter(Dates!$C$4,Dates!$T$5,'Day1'!$B7)</f>
        <v>3.1176470588235294</v>
      </c>
    </row>
    <row r="31" spans="2:21" x14ac:dyDescent="0.3">
      <c r="B31" s="11">
        <f t="shared" si="0"/>
        <v>8</v>
      </c>
      <c r="C31" s="7">
        <f>averageResponseTimePorter(Dates!C$4,Dates!C$5,'Day1'!$B31)</f>
        <v>0</v>
      </c>
      <c r="D31" s="7">
        <f>averageResponseTimePorter(Dates!D$4,Dates!D$5,'Day1'!$B31)</f>
        <v>0</v>
      </c>
      <c r="E31" s="7">
        <f>averageResponseTimePorter(Dates!E$4,Dates!E$5,'Day1'!$B31)</f>
        <v>0</v>
      </c>
      <c r="F31" s="7">
        <f>averageResponseTimePorter(Dates!F$4,Dates!F$5,'Day1'!$B31)</f>
        <v>0</v>
      </c>
      <c r="G31" s="7">
        <f>averageResponseTimePorter(Dates!G$4,Dates!G$5,'Day1'!$B31)</f>
        <v>0</v>
      </c>
      <c r="H31" s="7">
        <f>averageResponseTimePorter(Dates!H$4,Dates!H$5,'Day1'!$B31)</f>
        <v>0</v>
      </c>
      <c r="I31" s="7">
        <f>averageResponseTimePorter(Dates!I$4,Dates!I$5,'Day1'!$B31)</f>
        <v>0</v>
      </c>
      <c r="J31" s="7">
        <f>averageResponseTimePorter(Dates!J$4,Dates!J$5,'Day1'!$B31)</f>
        <v>0</v>
      </c>
      <c r="K31" s="7">
        <f>averageResponseTimePorter(Dates!K$4,Dates!K$5,'Day1'!$B31)</f>
        <v>0</v>
      </c>
      <c r="L31" s="7">
        <f>averageResponseTimePorter(Dates!L$4,Dates!L$5,'Day1'!$B31)</f>
        <v>3</v>
      </c>
      <c r="M31" s="7">
        <f>averageResponseTimePorter(Dates!M$4,Dates!M$5,'Day1'!$B31)</f>
        <v>0</v>
      </c>
      <c r="N31" s="7">
        <f>averageResponseTimePorter(Dates!N$4,Dates!N$5,'Day1'!$B31)</f>
        <v>18</v>
      </c>
      <c r="O31" s="7">
        <f>averageResponseTimePorter(Dates!O$4,Dates!O$5,'Day1'!$B31)</f>
        <v>1</v>
      </c>
      <c r="P31" s="7">
        <f>averageResponseTimePorter(Dates!P$4,Dates!P$5,'Day1'!$B31)</f>
        <v>2.6666666666666665</v>
      </c>
      <c r="Q31" s="7">
        <f>averageResponseTimePorter(Dates!Q$4,Dates!Q$5,'Day1'!$B31)</f>
        <v>15.666666666666666</v>
      </c>
      <c r="R31" s="7">
        <f>averageResponseTimePorter(Dates!R$4,Dates!R$5,'Day1'!$B31)</f>
        <v>28</v>
      </c>
      <c r="S31" s="7">
        <f>averageResponseTimePorter(Dates!S$4,Dates!S$5,'Day1'!$B31)</f>
        <v>5</v>
      </c>
      <c r="T31" s="7">
        <f>averageResponseTimePorter(Dates!T$4,Dates!T$5,'Day1'!$B31)</f>
        <v>0</v>
      </c>
      <c r="U31" s="7">
        <f>averageResponseTimePorter(Dates!$C$4,Dates!$T$5,'Day1'!$B8)</f>
        <v>2.25</v>
      </c>
    </row>
    <row r="32" spans="2:21" x14ac:dyDescent="0.3">
      <c r="B32" s="11">
        <f t="shared" si="0"/>
        <v>6</v>
      </c>
      <c r="C32" s="7">
        <f>averageResponseTimePorter(Dates!C$4,Dates!C$5,'Day1'!$B32)</f>
        <v>0</v>
      </c>
      <c r="D32" s="7">
        <f>averageResponseTimePorter(Dates!D$4,Dates!D$5,'Day1'!$B32)</f>
        <v>0</v>
      </c>
      <c r="E32" s="7">
        <f>averageResponseTimePorter(Dates!E$4,Dates!E$5,'Day1'!$B32)</f>
        <v>0</v>
      </c>
      <c r="F32" s="7">
        <f>averageResponseTimePorter(Dates!F$4,Dates!F$5,'Day1'!$B32)</f>
        <v>0</v>
      </c>
      <c r="G32" s="7">
        <f>averageResponseTimePorter(Dates!G$4,Dates!G$5,'Day1'!$B32)</f>
        <v>0</v>
      </c>
      <c r="H32" s="7">
        <f>averageResponseTimePorter(Dates!H$4,Dates!H$5,'Day1'!$B32)</f>
        <v>0</v>
      </c>
      <c r="I32" s="7">
        <f>averageResponseTimePorter(Dates!I$4,Dates!I$5,'Day1'!$B32)</f>
        <v>0</v>
      </c>
      <c r="J32" s="7">
        <f>averageResponseTimePorter(Dates!J$4,Dates!J$5,'Day1'!$B32)</f>
        <v>0</v>
      </c>
      <c r="K32" s="7">
        <f>averageResponseTimePorter(Dates!K$4,Dates!K$5,'Day1'!$B32)</f>
        <v>0</v>
      </c>
      <c r="L32" s="7">
        <f>averageResponseTimePorter(Dates!L$4,Dates!L$5,'Day1'!$B32)</f>
        <v>5</v>
      </c>
      <c r="M32" s="7">
        <f>averageResponseTimePorter(Dates!M$4,Dates!M$5,'Day1'!$B32)</f>
        <v>5.5</v>
      </c>
      <c r="N32" s="7">
        <f>averageResponseTimePorter(Dates!N$4,Dates!N$5,'Day1'!$B32)</f>
        <v>16.5</v>
      </c>
      <c r="O32" s="7">
        <f>averageResponseTimePorter(Dates!O$4,Dates!O$5,'Day1'!$B32)</f>
        <v>7</v>
      </c>
      <c r="P32" s="7">
        <f>averageResponseTimePorter(Dates!P$4,Dates!P$5,'Day1'!$B32)</f>
        <v>13</v>
      </c>
      <c r="Q32" s="7">
        <f>averageResponseTimePorter(Dates!Q$4,Dates!Q$5,'Day1'!$B32)</f>
        <v>0</v>
      </c>
      <c r="R32" s="7">
        <f>averageResponseTimePorter(Dates!R$4,Dates!R$5,'Day1'!$B32)</f>
        <v>26</v>
      </c>
      <c r="S32" s="7">
        <f>averageResponseTimePorter(Dates!S$4,Dates!S$5,'Day1'!$B32)</f>
        <v>1.5</v>
      </c>
      <c r="T32" s="7">
        <f>averageResponseTimePorter(Dates!T$4,Dates!T$5,'Day1'!$B32)</f>
        <v>11</v>
      </c>
      <c r="U32" s="7">
        <f>averageResponseTimePorter(Dates!$C$4,Dates!$T$5,'Day1'!$B9)</f>
        <v>0.16666666666666666</v>
      </c>
    </row>
    <row r="33" spans="2:21" x14ac:dyDescent="0.3">
      <c r="B33" s="11">
        <f t="shared" si="0"/>
        <v>1</v>
      </c>
      <c r="C33" s="7">
        <f>averageResponseTimePorter(Dates!C$4,Dates!C$5,'Day1'!$B33)</f>
        <v>0</v>
      </c>
      <c r="D33" s="7">
        <f>averageResponseTimePorter(Dates!D$4,Dates!D$5,'Day1'!$B33)</f>
        <v>0</v>
      </c>
      <c r="E33" s="7">
        <f>averageResponseTimePorter(Dates!E$4,Dates!E$5,'Day1'!$B33)</f>
        <v>0</v>
      </c>
      <c r="F33" s="7">
        <f>averageResponseTimePorter(Dates!F$4,Dates!F$5,'Day1'!$B33)</f>
        <v>0</v>
      </c>
      <c r="G33" s="7">
        <f>averageResponseTimePorter(Dates!G$4,Dates!G$5,'Day1'!$B33)</f>
        <v>0</v>
      </c>
      <c r="H33" s="7">
        <f>averageResponseTimePorter(Dates!H$4,Dates!H$5,'Day1'!$B33)</f>
        <v>0</v>
      </c>
      <c r="I33" s="7">
        <f>averageResponseTimePorter(Dates!I$4,Dates!I$5,'Day1'!$B33)</f>
        <v>0</v>
      </c>
      <c r="J33" s="7">
        <f>averageResponseTimePorter(Dates!J$4,Dates!J$5,'Day1'!$B33)</f>
        <v>0</v>
      </c>
      <c r="K33" s="7">
        <f>averageResponseTimePorter(Dates!K$4,Dates!K$5,'Day1'!$B33)</f>
        <v>0</v>
      </c>
      <c r="L33" s="7">
        <f>averageResponseTimePorter(Dates!L$4,Dates!L$5,'Day1'!$B33)</f>
        <v>2</v>
      </c>
      <c r="M33" s="7">
        <f>averageResponseTimePorter(Dates!M$4,Dates!M$5,'Day1'!$B33)</f>
        <v>0</v>
      </c>
      <c r="N33" s="7">
        <f>averageResponseTimePorter(Dates!N$4,Dates!N$5,'Day1'!$B33)</f>
        <v>10.333333333333334</v>
      </c>
      <c r="O33" s="7">
        <f>averageResponseTimePorter(Dates!O$4,Dates!O$5,'Day1'!$B33)</f>
        <v>13</v>
      </c>
      <c r="P33" s="7">
        <f>averageResponseTimePorter(Dates!P$4,Dates!P$5,'Day1'!$B33)</f>
        <v>1</v>
      </c>
      <c r="Q33" s="7">
        <f>averageResponseTimePorter(Dates!Q$4,Dates!Q$5,'Day1'!$B33)</f>
        <v>24</v>
      </c>
      <c r="R33" s="7">
        <f>averageResponseTimePorter(Dates!R$4,Dates!R$5,'Day1'!$B33)</f>
        <v>16.333333333333332</v>
      </c>
      <c r="S33" s="7">
        <f>averageResponseTimePorter(Dates!S$4,Dates!S$5,'Day1'!$B33)</f>
        <v>57</v>
      </c>
      <c r="T33" s="7">
        <f>averageResponseTimePorter(Dates!T$4,Dates!T$5,'Day1'!$B33)</f>
        <v>0</v>
      </c>
      <c r="U33" s="7">
        <f>averageResponseTimePorter(Dates!$C$4,Dates!$T$5,'Day1'!$B10)</f>
        <v>1.5625</v>
      </c>
    </row>
    <row r="34" spans="2:21" x14ac:dyDescent="0.3">
      <c r="B34" s="11">
        <f t="shared" si="0"/>
        <v>10</v>
      </c>
      <c r="C34" s="7">
        <f>averageResponseTimePorter(Dates!C$4,Dates!C$5,'Day1'!$B34)</f>
        <v>0</v>
      </c>
      <c r="D34" s="7">
        <f>averageResponseTimePorter(Dates!D$4,Dates!D$5,'Day1'!$B34)</f>
        <v>0</v>
      </c>
      <c r="E34" s="7">
        <f>averageResponseTimePorter(Dates!E$4,Dates!E$5,'Day1'!$B34)</f>
        <v>0</v>
      </c>
      <c r="F34" s="7">
        <f>averageResponseTimePorter(Dates!F$4,Dates!F$5,'Day1'!$B34)</f>
        <v>0</v>
      </c>
      <c r="G34" s="7">
        <f>averageResponseTimePorter(Dates!G$4,Dates!G$5,'Day1'!$B34)</f>
        <v>0</v>
      </c>
      <c r="H34" s="7">
        <f>averageResponseTimePorter(Dates!H$4,Dates!H$5,'Day1'!$B34)</f>
        <v>0</v>
      </c>
      <c r="I34" s="7">
        <f>averageResponseTimePorter(Dates!I$4,Dates!I$5,'Day1'!$B34)</f>
        <v>0</v>
      </c>
      <c r="J34" s="7">
        <f>averageResponseTimePorter(Dates!J$4,Dates!J$5,'Day1'!$B34)</f>
        <v>0</v>
      </c>
      <c r="K34" s="7">
        <f>averageResponseTimePorter(Dates!K$4,Dates!K$5,'Day1'!$B34)</f>
        <v>0</v>
      </c>
      <c r="L34" s="7">
        <f>averageResponseTimePorter(Dates!L$4,Dates!L$5,'Day1'!$B34)</f>
        <v>0</v>
      </c>
      <c r="M34" s="7">
        <f>averageResponseTimePorter(Dates!M$4,Dates!M$5,'Day1'!$B34)</f>
        <v>4.2</v>
      </c>
      <c r="N34" s="7">
        <f>averageResponseTimePorter(Dates!N$4,Dates!N$5,'Day1'!$B34)</f>
        <v>8.25</v>
      </c>
      <c r="O34" s="7">
        <f>averageResponseTimePorter(Dates!O$4,Dates!O$5,'Day1'!$B34)</f>
        <v>9.5</v>
      </c>
      <c r="P34" s="7">
        <f>averageResponseTimePorter(Dates!P$4,Dates!P$5,'Day1'!$B34)</f>
        <v>14</v>
      </c>
      <c r="Q34" s="7">
        <f>averageResponseTimePorter(Dates!Q$4,Dates!Q$5,'Day1'!$B34)</f>
        <v>7.333333333333333</v>
      </c>
      <c r="R34" s="7">
        <f>averageResponseTimePorter(Dates!R$4,Dates!R$5,'Day1'!$B34)</f>
        <v>28</v>
      </c>
      <c r="S34" s="7">
        <f>averageResponseTimePorter(Dates!S$4,Dates!S$5,'Day1'!$B34)</f>
        <v>0</v>
      </c>
      <c r="T34" s="7">
        <f>averageResponseTimePorter(Dates!T$4,Dates!T$5,'Day1'!$B34)</f>
        <v>9</v>
      </c>
      <c r="U34" s="7">
        <f>averageResponseTimePorter(Dates!$C$4,Dates!$T$5,'Day1'!$B11)</f>
        <v>0.15789473684210525</v>
      </c>
    </row>
    <row r="35" spans="2:21" x14ac:dyDescent="0.3">
      <c r="B35" s="11">
        <f t="shared" si="0"/>
        <v>9</v>
      </c>
      <c r="C35" s="7">
        <f>averageResponseTimePorter(Dates!C$4,Dates!C$5,'Day1'!$B35)</f>
        <v>0</v>
      </c>
      <c r="D35" s="7">
        <f>averageResponseTimePorter(Dates!D$4,Dates!D$5,'Day1'!$B35)</f>
        <v>0</v>
      </c>
      <c r="E35" s="7">
        <f>averageResponseTimePorter(Dates!E$4,Dates!E$5,'Day1'!$B35)</f>
        <v>0</v>
      </c>
      <c r="F35" s="7">
        <f>averageResponseTimePorter(Dates!F$4,Dates!F$5,'Day1'!$B35)</f>
        <v>0</v>
      </c>
      <c r="G35" s="7">
        <f>averageResponseTimePorter(Dates!G$4,Dates!G$5,'Day1'!$B35)</f>
        <v>0</v>
      </c>
      <c r="H35" s="7">
        <f>averageResponseTimePorter(Dates!H$4,Dates!H$5,'Day1'!$B35)</f>
        <v>0</v>
      </c>
      <c r="I35" s="7">
        <f>averageResponseTimePorter(Dates!I$4,Dates!I$5,'Day1'!$B35)</f>
        <v>0</v>
      </c>
      <c r="J35" s="7">
        <f>averageResponseTimePorter(Dates!J$4,Dates!J$5,'Day1'!$B35)</f>
        <v>0</v>
      </c>
      <c r="K35" s="7">
        <f>averageResponseTimePorter(Dates!K$4,Dates!K$5,'Day1'!$B35)</f>
        <v>0</v>
      </c>
      <c r="L35" s="7">
        <f>averageResponseTimePorter(Dates!L$4,Dates!L$5,'Day1'!$B35)</f>
        <v>0</v>
      </c>
      <c r="M35" s="7">
        <f>averageResponseTimePorter(Dates!M$4,Dates!M$5,'Day1'!$B35)</f>
        <v>3</v>
      </c>
      <c r="N35" s="7">
        <f>averageResponseTimePorter(Dates!N$4,Dates!N$5,'Day1'!$B35)</f>
        <v>4</v>
      </c>
      <c r="O35" s="7">
        <f>averageResponseTimePorter(Dates!O$4,Dates!O$5,'Day1'!$B35)</f>
        <v>31</v>
      </c>
      <c r="P35" s="7">
        <f>averageResponseTimePorter(Dates!P$4,Dates!P$5,'Day1'!$B35)</f>
        <v>44</v>
      </c>
      <c r="Q35" s="7">
        <f>averageResponseTimePorter(Dates!Q$4,Dates!Q$5,'Day1'!$B35)</f>
        <v>5.5</v>
      </c>
      <c r="R35" s="7">
        <f>averageResponseTimePorter(Dates!R$4,Dates!R$5,'Day1'!$B35)</f>
        <v>23</v>
      </c>
      <c r="S35" s="7">
        <f>averageResponseTimePorter(Dates!S$4,Dates!S$5,'Day1'!$B35)</f>
        <v>4</v>
      </c>
      <c r="T35" s="7">
        <f>averageResponseTimePorter(Dates!T$4,Dates!T$5,'Day1'!$B35)</f>
        <v>0</v>
      </c>
      <c r="U35" s="7">
        <f>averageResponseTimePorter(Dates!$C$4,Dates!$T$5,'Day1'!$B12)</f>
        <v>1.25</v>
      </c>
    </row>
    <row r="36" spans="2:21" x14ac:dyDescent="0.3">
      <c r="B36" s="11">
        <f t="shared" si="0"/>
        <v>7</v>
      </c>
      <c r="C36" s="7">
        <f>averageResponseTimePorter(Dates!C$4,Dates!C$5,'Day1'!$B36)</f>
        <v>0</v>
      </c>
      <c r="D36" s="7">
        <f>averageResponseTimePorter(Dates!D$4,Dates!D$5,'Day1'!$B36)</f>
        <v>0</v>
      </c>
      <c r="E36" s="7">
        <f>averageResponseTimePorter(Dates!E$4,Dates!E$5,'Day1'!$B36)</f>
        <v>0</v>
      </c>
      <c r="F36" s="7">
        <f>averageResponseTimePorter(Dates!F$4,Dates!F$5,'Day1'!$B36)</f>
        <v>0</v>
      </c>
      <c r="G36" s="7">
        <f>averageResponseTimePorter(Dates!G$4,Dates!G$5,'Day1'!$B36)</f>
        <v>0</v>
      </c>
      <c r="H36" s="7">
        <f>averageResponseTimePorter(Dates!H$4,Dates!H$5,'Day1'!$B36)</f>
        <v>0</v>
      </c>
      <c r="I36" s="7">
        <f>averageResponseTimePorter(Dates!I$4,Dates!I$5,'Day1'!$B36)</f>
        <v>0</v>
      </c>
      <c r="J36" s="7">
        <f>averageResponseTimePorter(Dates!J$4,Dates!J$5,'Day1'!$B36)</f>
        <v>0</v>
      </c>
      <c r="K36" s="7">
        <f>averageResponseTimePorter(Dates!K$4,Dates!K$5,'Day1'!$B36)</f>
        <v>0</v>
      </c>
      <c r="L36" s="7">
        <f>averageResponseTimePorter(Dates!L$4,Dates!L$5,'Day1'!$B36)</f>
        <v>0</v>
      </c>
      <c r="M36" s="7">
        <f>averageResponseTimePorter(Dates!M$4,Dates!M$5,'Day1'!$B36)</f>
        <v>3</v>
      </c>
      <c r="N36" s="7">
        <f>averageResponseTimePorter(Dates!N$4,Dates!N$5,'Day1'!$B36)</f>
        <v>0</v>
      </c>
      <c r="O36" s="7">
        <f>averageResponseTimePorter(Dates!O$4,Dates!O$5,'Day1'!$B36)</f>
        <v>11.5</v>
      </c>
      <c r="P36" s="7">
        <f>averageResponseTimePorter(Dates!P$4,Dates!P$5,'Day1'!$B36)</f>
        <v>14.666666666666666</v>
      </c>
      <c r="Q36" s="7">
        <f>averageResponseTimePorter(Dates!Q$4,Dates!Q$5,'Day1'!$B36)</f>
        <v>2.5</v>
      </c>
      <c r="R36" s="7">
        <f>averageResponseTimePorter(Dates!R$4,Dates!R$5,'Day1'!$B36)</f>
        <v>13.666666666666666</v>
      </c>
      <c r="S36" s="7">
        <f>averageResponseTimePorter(Dates!S$4,Dates!S$5,'Day1'!$B36)</f>
        <v>0</v>
      </c>
      <c r="T36" s="7">
        <f>averageResponseTimePorter(Dates!T$4,Dates!T$5,'Day1'!$B36)</f>
        <v>0</v>
      </c>
      <c r="U36" s="7">
        <f>averageResponseTimePorter(Dates!$C$4,Dates!$T$5,'Day1'!$B13)</f>
        <v>5.0909090909090908</v>
      </c>
    </row>
    <row r="37" spans="2:21" x14ac:dyDescent="0.3">
      <c r="B37" s="11" t="str">
        <f t="shared" ref="B37:B46" si="1">B14</f>
        <v>NA14</v>
      </c>
      <c r="C37" s="7">
        <f>averageResponseTimePorter(Dates!C$4,Dates!C$5,'Day1'!$B37)</f>
        <v>0</v>
      </c>
      <c r="D37" s="7">
        <f>averageResponseTimePorter(Dates!D$4,Dates!D$5,'Day1'!$B37)</f>
        <v>0</v>
      </c>
      <c r="E37" s="7">
        <f>averageResponseTimePorter(Dates!E$4,Dates!E$5,'Day1'!$B37)</f>
        <v>0</v>
      </c>
      <c r="F37" s="7">
        <f>averageResponseTimePorter(Dates!F$4,Dates!F$5,'Day1'!$B37)</f>
        <v>0</v>
      </c>
      <c r="G37" s="7">
        <f>averageResponseTimePorter(Dates!G$4,Dates!G$5,'Day1'!$B37)</f>
        <v>0</v>
      </c>
      <c r="H37" s="7">
        <f>averageResponseTimePorter(Dates!H$4,Dates!H$5,'Day1'!$B37)</f>
        <v>0</v>
      </c>
      <c r="I37" s="7">
        <f>averageResponseTimePorter(Dates!I$4,Dates!I$5,'Day1'!$B37)</f>
        <v>0</v>
      </c>
      <c r="J37" s="7">
        <f>averageResponseTimePorter(Dates!J$4,Dates!J$5,'Day1'!$B37)</f>
        <v>0</v>
      </c>
      <c r="K37" s="7">
        <f>averageResponseTimePorter(Dates!K$4,Dates!K$5,'Day1'!$B37)</f>
        <v>0</v>
      </c>
      <c r="L37" s="7">
        <f>averageResponseTimePorter(Dates!L$4,Dates!L$5,'Day1'!$B37)</f>
        <v>0</v>
      </c>
      <c r="M37" s="7">
        <f>averageResponseTimePorter(Dates!M$4,Dates!M$5,'Day1'!$B37)</f>
        <v>0</v>
      </c>
      <c r="N37" s="7">
        <f>averageResponseTimePorter(Dates!N$4,Dates!N$5,'Day1'!$B37)</f>
        <v>0</v>
      </c>
      <c r="O37" s="7">
        <f>averageResponseTimePorter(Dates!O$4,Dates!O$5,'Day1'!$B37)</f>
        <v>0</v>
      </c>
      <c r="P37" s="7">
        <f>averageResponseTimePorter(Dates!P$4,Dates!P$5,'Day1'!$B37)</f>
        <v>0</v>
      </c>
      <c r="Q37" s="7">
        <f>averageResponseTimePorter(Dates!Q$4,Dates!Q$5,'Day1'!$B37)</f>
        <v>0</v>
      </c>
      <c r="R37" s="7">
        <f>averageResponseTimePorter(Dates!R$4,Dates!R$5,'Day1'!$B37)</f>
        <v>0</v>
      </c>
      <c r="S37" s="7">
        <f>averageResponseTimePorter(Dates!S$4,Dates!S$5,'Day1'!$B37)</f>
        <v>0</v>
      </c>
      <c r="T37" s="7">
        <f>averageResponseTimePorter(Dates!T$4,Dates!T$5,'Day1'!$B37)</f>
        <v>0</v>
      </c>
      <c r="U37" s="7">
        <f>averageResponseTimePorter(Dates!$C$4,Dates!$T$5,'Day1'!$B14)</f>
        <v>0</v>
      </c>
    </row>
    <row r="38" spans="2:21" x14ac:dyDescent="0.3">
      <c r="B38" s="11" t="str">
        <f t="shared" si="1"/>
        <v>NA15</v>
      </c>
      <c r="C38" s="7">
        <f>averageResponseTimePorter(Dates!C$4,Dates!C$5,'Day1'!$B38)</f>
        <v>0</v>
      </c>
      <c r="D38" s="7">
        <f>averageResponseTimePorter(Dates!D$4,Dates!D$5,'Day1'!$B38)</f>
        <v>0</v>
      </c>
      <c r="E38" s="7">
        <f>averageResponseTimePorter(Dates!E$4,Dates!E$5,'Day1'!$B38)</f>
        <v>0</v>
      </c>
      <c r="F38" s="7">
        <f>averageResponseTimePorter(Dates!F$4,Dates!F$5,'Day1'!$B38)</f>
        <v>0</v>
      </c>
      <c r="G38" s="7">
        <f>averageResponseTimePorter(Dates!G$4,Dates!G$5,'Day1'!$B38)</f>
        <v>0</v>
      </c>
      <c r="H38" s="7">
        <f>averageResponseTimePorter(Dates!H$4,Dates!H$5,'Day1'!$B38)</f>
        <v>0</v>
      </c>
      <c r="I38" s="7">
        <f>averageResponseTimePorter(Dates!I$4,Dates!I$5,'Day1'!$B38)</f>
        <v>0</v>
      </c>
      <c r="J38" s="7">
        <f>averageResponseTimePorter(Dates!J$4,Dates!J$5,'Day1'!$B38)</f>
        <v>0</v>
      </c>
      <c r="K38" s="7">
        <f>averageResponseTimePorter(Dates!K$4,Dates!K$5,'Day1'!$B38)</f>
        <v>0</v>
      </c>
      <c r="L38" s="7">
        <f>averageResponseTimePorter(Dates!L$4,Dates!L$5,'Day1'!$B38)</f>
        <v>0</v>
      </c>
      <c r="M38" s="7">
        <f>averageResponseTimePorter(Dates!M$4,Dates!M$5,'Day1'!$B38)</f>
        <v>0</v>
      </c>
      <c r="N38" s="7">
        <f>averageResponseTimePorter(Dates!N$4,Dates!N$5,'Day1'!$B38)</f>
        <v>0</v>
      </c>
      <c r="O38" s="7">
        <f>averageResponseTimePorter(Dates!O$4,Dates!O$5,'Day1'!$B38)</f>
        <v>0</v>
      </c>
      <c r="P38" s="7">
        <f>averageResponseTimePorter(Dates!P$4,Dates!P$5,'Day1'!$B38)</f>
        <v>0</v>
      </c>
      <c r="Q38" s="7">
        <f>averageResponseTimePorter(Dates!Q$4,Dates!Q$5,'Day1'!$B38)</f>
        <v>0</v>
      </c>
      <c r="R38" s="7">
        <f>averageResponseTimePorter(Dates!R$4,Dates!R$5,'Day1'!$B38)</f>
        <v>0</v>
      </c>
      <c r="S38" s="7">
        <f>averageResponseTimePorter(Dates!S$4,Dates!S$5,'Day1'!$B38)</f>
        <v>0</v>
      </c>
      <c r="T38" s="7">
        <f>averageResponseTimePorter(Dates!T$4,Dates!T$5,'Day1'!$B38)</f>
        <v>0</v>
      </c>
      <c r="U38" s="7">
        <f>averageResponseTimePorter(Dates!$C$4,Dates!$T$5,'Day1'!$B15)</f>
        <v>0</v>
      </c>
    </row>
    <row r="39" spans="2:21" x14ac:dyDescent="0.3">
      <c r="B39" s="11" t="str">
        <f t="shared" si="1"/>
        <v>NA16</v>
      </c>
      <c r="C39" s="7">
        <f>averageResponseTimePorter(Dates!C$4,Dates!C$5,'Day1'!$B39)</f>
        <v>0</v>
      </c>
      <c r="D39" s="7">
        <f>averageResponseTimePorter(Dates!D$4,Dates!D$5,'Day1'!$B39)</f>
        <v>0</v>
      </c>
      <c r="E39" s="7">
        <f>averageResponseTimePorter(Dates!E$4,Dates!E$5,'Day1'!$B39)</f>
        <v>0</v>
      </c>
      <c r="F39" s="7">
        <f>averageResponseTimePorter(Dates!F$4,Dates!F$5,'Day1'!$B39)</f>
        <v>0</v>
      </c>
      <c r="G39" s="7">
        <f>averageResponseTimePorter(Dates!G$4,Dates!G$5,'Day1'!$B39)</f>
        <v>0</v>
      </c>
      <c r="H39" s="7">
        <f>averageResponseTimePorter(Dates!H$4,Dates!H$5,'Day1'!$B39)</f>
        <v>0</v>
      </c>
      <c r="I39" s="7">
        <f>averageResponseTimePorter(Dates!I$4,Dates!I$5,'Day1'!$B39)</f>
        <v>0</v>
      </c>
      <c r="J39" s="7">
        <f>averageResponseTimePorter(Dates!J$4,Dates!J$5,'Day1'!$B39)</f>
        <v>0</v>
      </c>
      <c r="K39" s="7">
        <f>averageResponseTimePorter(Dates!K$4,Dates!K$5,'Day1'!$B39)</f>
        <v>0</v>
      </c>
      <c r="L39" s="7">
        <f>averageResponseTimePorter(Dates!L$4,Dates!L$5,'Day1'!$B39)</f>
        <v>0</v>
      </c>
      <c r="M39" s="7">
        <f>averageResponseTimePorter(Dates!M$4,Dates!M$5,'Day1'!$B39)</f>
        <v>0</v>
      </c>
      <c r="N39" s="7">
        <f>averageResponseTimePorter(Dates!N$4,Dates!N$5,'Day1'!$B39)</f>
        <v>0</v>
      </c>
      <c r="O39" s="7">
        <f>averageResponseTimePorter(Dates!O$4,Dates!O$5,'Day1'!$B39)</f>
        <v>0</v>
      </c>
      <c r="P39" s="7">
        <f>averageResponseTimePorter(Dates!P$4,Dates!P$5,'Day1'!$B39)</f>
        <v>0</v>
      </c>
      <c r="Q39" s="7">
        <f>averageResponseTimePorter(Dates!Q$4,Dates!Q$5,'Day1'!$B39)</f>
        <v>0</v>
      </c>
      <c r="R39" s="7">
        <f>averageResponseTimePorter(Dates!R$4,Dates!R$5,'Day1'!$B39)</f>
        <v>0</v>
      </c>
      <c r="S39" s="7">
        <f>averageResponseTimePorter(Dates!S$4,Dates!S$5,'Day1'!$B39)</f>
        <v>0</v>
      </c>
      <c r="T39" s="7">
        <f>averageResponseTimePorter(Dates!T$4,Dates!T$5,'Day1'!$B39)</f>
        <v>0</v>
      </c>
      <c r="U39" s="7">
        <f>averageResponseTimePorter(Dates!$C$4,Dates!$T$5,'Day1'!$B16)</f>
        <v>0</v>
      </c>
    </row>
    <row r="40" spans="2:21" x14ac:dyDescent="0.3">
      <c r="B40" s="11" t="str">
        <f t="shared" si="1"/>
        <v>NA17</v>
      </c>
      <c r="C40" s="7">
        <f>averageResponseTimePorter(Dates!C$4,Dates!C$5,'Day1'!$B40)</f>
        <v>0</v>
      </c>
      <c r="D40" s="7">
        <f>averageResponseTimePorter(Dates!D$4,Dates!D$5,'Day1'!$B40)</f>
        <v>0</v>
      </c>
      <c r="E40" s="7">
        <f>averageResponseTimePorter(Dates!E$4,Dates!E$5,'Day1'!$B40)</f>
        <v>0</v>
      </c>
      <c r="F40" s="7">
        <f>averageResponseTimePorter(Dates!F$4,Dates!F$5,'Day1'!$B40)</f>
        <v>0</v>
      </c>
      <c r="G40" s="7">
        <f>averageResponseTimePorter(Dates!G$4,Dates!G$5,'Day1'!$B40)</f>
        <v>0</v>
      </c>
      <c r="H40" s="7">
        <f>averageResponseTimePorter(Dates!H$4,Dates!H$5,'Day1'!$B40)</f>
        <v>0</v>
      </c>
      <c r="I40" s="7">
        <f>averageResponseTimePorter(Dates!I$4,Dates!I$5,'Day1'!$B40)</f>
        <v>0</v>
      </c>
      <c r="J40" s="7">
        <f>averageResponseTimePorter(Dates!J$4,Dates!J$5,'Day1'!$B40)</f>
        <v>0</v>
      </c>
      <c r="K40" s="7">
        <f>averageResponseTimePorter(Dates!K$4,Dates!K$5,'Day1'!$B40)</f>
        <v>0</v>
      </c>
      <c r="L40" s="7">
        <f>averageResponseTimePorter(Dates!L$4,Dates!L$5,'Day1'!$B40)</f>
        <v>0</v>
      </c>
      <c r="M40" s="7">
        <f>averageResponseTimePorter(Dates!M$4,Dates!M$5,'Day1'!$B40)</f>
        <v>0</v>
      </c>
      <c r="N40" s="7">
        <f>averageResponseTimePorter(Dates!N$4,Dates!N$5,'Day1'!$B40)</f>
        <v>0</v>
      </c>
      <c r="O40" s="7">
        <f>averageResponseTimePorter(Dates!O$4,Dates!O$5,'Day1'!$B40)</f>
        <v>0</v>
      </c>
      <c r="P40" s="7">
        <f>averageResponseTimePorter(Dates!P$4,Dates!P$5,'Day1'!$B40)</f>
        <v>0</v>
      </c>
      <c r="Q40" s="7">
        <f>averageResponseTimePorter(Dates!Q$4,Dates!Q$5,'Day1'!$B40)</f>
        <v>0</v>
      </c>
      <c r="R40" s="7">
        <f>averageResponseTimePorter(Dates!R$4,Dates!R$5,'Day1'!$B40)</f>
        <v>0</v>
      </c>
      <c r="S40" s="7">
        <f>averageResponseTimePorter(Dates!S$4,Dates!S$5,'Day1'!$B40)</f>
        <v>0</v>
      </c>
      <c r="T40" s="7">
        <f>averageResponseTimePorter(Dates!T$4,Dates!T$5,'Day1'!$B40)</f>
        <v>0</v>
      </c>
      <c r="U40" s="7">
        <f>averageResponseTimePorter(Dates!$C$4,Dates!$T$5,'Day1'!$B17)</f>
        <v>0</v>
      </c>
    </row>
    <row r="41" spans="2:21" x14ac:dyDescent="0.3">
      <c r="B41" s="11" t="str">
        <f t="shared" si="1"/>
        <v>NA18</v>
      </c>
      <c r="C41" s="7">
        <f>averageResponseTimePorter(Dates!C$4,Dates!C$5,'Day1'!$B41)</f>
        <v>0</v>
      </c>
      <c r="D41" s="7">
        <f>averageResponseTimePorter(Dates!D$4,Dates!D$5,'Day1'!$B41)</f>
        <v>0</v>
      </c>
      <c r="E41" s="7">
        <f>averageResponseTimePorter(Dates!E$4,Dates!E$5,'Day1'!$B41)</f>
        <v>0</v>
      </c>
      <c r="F41" s="7">
        <f>averageResponseTimePorter(Dates!F$4,Dates!F$5,'Day1'!$B41)</f>
        <v>0</v>
      </c>
      <c r="G41" s="7">
        <f>averageResponseTimePorter(Dates!G$4,Dates!G$5,'Day1'!$B41)</f>
        <v>0</v>
      </c>
      <c r="H41" s="7">
        <f>averageResponseTimePorter(Dates!H$4,Dates!H$5,'Day1'!$B41)</f>
        <v>0</v>
      </c>
      <c r="I41" s="7">
        <f>averageResponseTimePorter(Dates!I$4,Dates!I$5,'Day1'!$B41)</f>
        <v>0</v>
      </c>
      <c r="J41" s="7">
        <f>averageResponseTimePorter(Dates!J$4,Dates!J$5,'Day1'!$B41)</f>
        <v>0</v>
      </c>
      <c r="K41" s="7">
        <f>averageResponseTimePorter(Dates!K$4,Dates!K$5,'Day1'!$B41)</f>
        <v>0</v>
      </c>
      <c r="L41" s="7">
        <f>averageResponseTimePorter(Dates!L$4,Dates!L$5,'Day1'!$B41)</f>
        <v>0</v>
      </c>
      <c r="M41" s="7">
        <f>averageResponseTimePorter(Dates!M$4,Dates!M$5,'Day1'!$B41)</f>
        <v>0</v>
      </c>
      <c r="N41" s="7">
        <f>averageResponseTimePorter(Dates!N$4,Dates!N$5,'Day1'!$B41)</f>
        <v>0</v>
      </c>
      <c r="O41" s="7">
        <f>averageResponseTimePorter(Dates!O$4,Dates!O$5,'Day1'!$B41)</f>
        <v>0</v>
      </c>
      <c r="P41" s="7">
        <f>averageResponseTimePorter(Dates!P$4,Dates!P$5,'Day1'!$B41)</f>
        <v>0</v>
      </c>
      <c r="Q41" s="7">
        <f>averageResponseTimePorter(Dates!Q$4,Dates!Q$5,'Day1'!$B41)</f>
        <v>0</v>
      </c>
      <c r="R41" s="7">
        <f>averageResponseTimePorter(Dates!R$4,Dates!R$5,'Day1'!$B41)</f>
        <v>0</v>
      </c>
      <c r="S41" s="7">
        <f>averageResponseTimePorter(Dates!S$4,Dates!S$5,'Day1'!$B41)</f>
        <v>0</v>
      </c>
      <c r="T41" s="7">
        <f>averageResponseTimePorter(Dates!T$4,Dates!T$5,'Day1'!$B41)</f>
        <v>0</v>
      </c>
      <c r="U41" s="7">
        <f>averageResponseTimePorter(Dates!$C$4,Dates!$T$5,'Day1'!$B18)</f>
        <v>0</v>
      </c>
    </row>
    <row r="42" spans="2:21" x14ac:dyDescent="0.3">
      <c r="B42" s="11" t="str">
        <f t="shared" si="1"/>
        <v>NA19</v>
      </c>
      <c r="C42" s="7">
        <f>averageResponseTimePorter(Dates!C$4,Dates!C$5,'Day1'!$B42)</f>
        <v>0</v>
      </c>
      <c r="D42" s="7">
        <f>averageResponseTimePorter(Dates!D$4,Dates!D$5,'Day1'!$B42)</f>
        <v>0</v>
      </c>
      <c r="E42" s="7">
        <f>averageResponseTimePorter(Dates!E$4,Dates!E$5,'Day1'!$B42)</f>
        <v>0</v>
      </c>
      <c r="F42" s="7">
        <f>averageResponseTimePorter(Dates!F$4,Dates!F$5,'Day1'!$B42)</f>
        <v>0</v>
      </c>
      <c r="G42" s="7">
        <f>averageResponseTimePorter(Dates!G$4,Dates!G$5,'Day1'!$B42)</f>
        <v>0</v>
      </c>
      <c r="H42" s="7">
        <f>averageResponseTimePorter(Dates!H$4,Dates!H$5,'Day1'!$B42)</f>
        <v>0</v>
      </c>
      <c r="I42" s="7">
        <f>averageResponseTimePorter(Dates!I$4,Dates!I$5,'Day1'!$B42)</f>
        <v>0</v>
      </c>
      <c r="J42" s="7">
        <f>averageResponseTimePorter(Dates!J$4,Dates!J$5,'Day1'!$B42)</f>
        <v>0</v>
      </c>
      <c r="K42" s="7">
        <f>averageResponseTimePorter(Dates!K$4,Dates!K$5,'Day1'!$B42)</f>
        <v>0</v>
      </c>
      <c r="L42" s="7">
        <f>averageResponseTimePorter(Dates!L$4,Dates!L$5,'Day1'!$B42)</f>
        <v>0</v>
      </c>
      <c r="M42" s="7">
        <f>averageResponseTimePorter(Dates!M$4,Dates!M$5,'Day1'!$B42)</f>
        <v>0</v>
      </c>
      <c r="N42" s="7">
        <f>averageResponseTimePorter(Dates!N$4,Dates!N$5,'Day1'!$B42)</f>
        <v>0</v>
      </c>
      <c r="O42" s="7">
        <f>averageResponseTimePorter(Dates!O$4,Dates!O$5,'Day1'!$B42)</f>
        <v>0</v>
      </c>
      <c r="P42" s="7">
        <f>averageResponseTimePorter(Dates!P$4,Dates!P$5,'Day1'!$B42)</f>
        <v>0</v>
      </c>
      <c r="Q42" s="7">
        <f>averageResponseTimePorter(Dates!Q$4,Dates!Q$5,'Day1'!$B42)</f>
        <v>0</v>
      </c>
      <c r="R42" s="7">
        <f>averageResponseTimePorter(Dates!R$4,Dates!R$5,'Day1'!$B42)</f>
        <v>0</v>
      </c>
      <c r="S42" s="7">
        <f>averageResponseTimePorter(Dates!S$4,Dates!S$5,'Day1'!$B42)</f>
        <v>0</v>
      </c>
      <c r="T42" s="7">
        <f>averageResponseTimePorter(Dates!T$4,Dates!T$5,'Day1'!$B42)</f>
        <v>0</v>
      </c>
      <c r="U42" s="7">
        <f>averageResponseTimePorter(Dates!$C$4,Dates!$T$5,'Day1'!$B19)</f>
        <v>0</v>
      </c>
    </row>
    <row r="43" spans="2:21" x14ac:dyDescent="0.3">
      <c r="B43" s="11" t="str">
        <f t="shared" si="1"/>
        <v>NA20</v>
      </c>
      <c r="C43" s="7">
        <f>averageResponseTimePorter(Dates!C$4,Dates!C$5,'Day1'!$B43)</f>
        <v>0</v>
      </c>
      <c r="D43" s="7">
        <f>averageResponseTimePorter(Dates!D$4,Dates!D$5,'Day1'!$B43)</f>
        <v>0</v>
      </c>
      <c r="E43" s="7">
        <f>averageResponseTimePorter(Dates!E$4,Dates!E$5,'Day1'!$B43)</f>
        <v>0</v>
      </c>
      <c r="F43" s="7">
        <f>averageResponseTimePorter(Dates!F$4,Dates!F$5,'Day1'!$B43)</f>
        <v>0</v>
      </c>
      <c r="G43" s="7">
        <f>averageResponseTimePorter(Dates!G$4,Dates!G$5,'Day1'!$B43)</f>
        <v>0</v>
      </c>
      <c r="H43" s="7">
        <f>averageResponseTimePorter(Dates!H$4,Dates!H$5,'Day1'!$B43)</f>
        <v>0</v>
      </c>
      <c r="I43" s="7">
        <f>averageResponseTimePorter(Dates!I$4,Dates!I$5,'Day1'!$B43)</f>
        <v>0</v>
      </c>
      <c r="J43" s="7">
        <f>averageResponseTimePorter(Dates!J$4,Dates!J$5,'Day1'!$B43)</f>
        <v>0</v>
      </c>
      <c r="K43" s="7">
        <f>averageResponseTimePorter(Dates!K$4,Dates!K$5,'Day1'!$B43)</f>
        <v>0</v>
      </c>
      <c r="L43" s="7">
        <f>averageResponseTimePorter(Dates!L$4,Dates!L$5,'Day1'!$B43)</f>
        <v>0</v>
      </c>
      <c r="M43" s="7">
        <f>averageResponseTimePorter(Dates!M$4,Dates!M$5,'Day1'!$B43)</f>
        <v>0</v>
      </c>
      <c r="N43" s="7">
        <f>averageResponseTimePorter(Dates!N$4,Dates!N$5,'Day1'!$B43)</f>
        <v>0</v>
      </c>
      <c r="O43" s="7">
        <f>averageResponseTimePorter(Dates!O$4,Dates!O$5,'Day1'!$B43)</f>
        <v>0</v>
      </c>
      <c r="P43" s="7">
        <f>averageResponseTimePorter(Dates!P$4,Dates!P$5,'Day1'!$B43)</f>
        <v>0</v>
      </c>
      <c r="Q43" s="7">
        <f>averageResponseTimePorter(Dates!Q$4,Dates!Q$5,'Day1'!$B43)</f>
        <v>0</v>
      </c>
      <c r="R43" s="7">
        <f>averageResponseTimePorter(Dates!R$4,Dates!R$5,'Day1'!$B43)</f>
        <v>0</v>
      </c>
      <c r="S43" s="7">
        <f>averageResponseTimePorter(Dates!S$4,Dates!S$5,'Day1'!$B43)</f>
        <v>0</v>
      </c>
      <c r="T43" s="7">
        <f>averageResponseTimePorter(Dates!T$4,Dates!T$5,'Day1'!$B43)</f>
        <v>0</v>
      </c>
      <c r="U43" s="7">
        <f>averageResponseTimePorter(Dates!$C$4,Dates!$T$5,'Day1'!$B20)</f>
        <v>0</v>
      </c>
    </row>
    <row r="44" spans="2:21" x14ac:dyDescent="0.3">
      <c r="B44" s="11" t="str">
        <f t="shared" si="1"/>
        <v>NA21</v>
      </c>
      <c r="C44" s="7">
        <f>averageResponseTimePorter(Dates!C$4,Dates!C$5,'Day1'!$B44)</f>
        <v>0</v>
      </c>
      <c r="D44" s="7">
        <f>averageResponseTimePorter(Dates!D$4,Dates!D$5,'Day1'!$B44)</f>
        <v>0</v>
      </c>
      <c r="E44" s="7">
        <f>averageResponseTimePorter(Dates!E$4,Dates!E$5,'Day1'!$B44)</f>
        <v>0</v>
      </c>
      <c r="F44" s="7">
        <f>averageResponseTimePorter(Dates!F$4,Dates!F$5,'Day1'!$B44)</f>
        <v>0</v>
      </c>
      <c r="G44" s="7">
        <f>averageResponseTimePorter(Dates!G$4,Dates!G$5,'Day1'!$B44)</f>
        <v>0</v>
      </c>
      <c r="H44" s="7">
        <f>averageResponseTimePorter(Dates!H$4,Dates!H$5,'Day1'!$B44)</f>
        <v>0</v>
      </c>
      <c r="I44" s="7">
        <f>averageResponseTimePorter(Dates!I$4,Dates!I$5,'Day1'!$B44)</f>
        <v>0</v>
      </c>
      <c r="J44" s="7">
        <f>averageResponseTimePorter(Dates!J$4,Dates!J$5,'Day1'!$B44)</f>
        <v>0</v>
      </c>
      <c r="K44" s="7">
        <f>averageResponseTimePorter(Dates!K$4,Dates!K$5,'Day1'!$B44)</f>
        <v>0</v>
      </c>
      <c r="L44" s="7">
        <f>averageResponseTimePorter(Dates!L$4,Dates!L$5,'Day1'!$B44)</f>
        <v>0</v>
      </c>
      <c r="M44" s="7">
        <f>averageResponseTimePorter(Dates!M$4,Dates!M$5,'Day1'!$B44)</f>
        <v>0</v>
      </c>
      <c r="N44" s="7">
        <f>averageResponseTimePorter(Dates!N$4,Dates!N$5,'Day1'!$B44)</f>
        <v>0</v>
      </c>
      <c r="O44" s="7">
        <f>averageResponseTimePorter(Dates!O$4,Dates!O$5,'Day1'!$B44)</f>
        <v>0</v>
      </c>
      <c r="P44" s="7">
        <f>averageResponseTimePorter(Dates!P$4,Dates!P$5,'Day1'!$B44)</f>
        <v>0</v>
      </c>
      <c r="Q44" s="7">
        <f>averageResponseTimePorter(Dates!Q$4,Dates!Q$5,'Day1'!$B44)</f>
        <v>0</v>
      </c>
      <c r="R44" s="7">
        <f>averageResponseTimePorter(Dates!R$4,Dates!R$5,'Day1'!$B44)</f>
        <v>0</v>
      </c>
      <c r="S44" s="7">
        <f>averageResponseTimePorter(Dates!S$4,Dates!S$5,'Day1'!$B44)</f>
        <v>0</v>
      </c>
      <c r="T44" s="7">
        <f>averageResponseTimePorter(Dates!T$4,Dates!T$5,'Day1'!$B44)</f>
        <v>0</v>
      </c>
      <c r="U44" s="7">
        <f>averageResponseTimePorter(Dates!$C$4,Dates!$T$5,'Day1'!$B21)</f>
        <v>0</v>
      </c>
    </row>
    <row r="45" spans="2:21" x14ac:dyDescent="0.3">
      <c r="B45" s="11" t="str">
        <f t="shared" si="1"/>
        <v>NA22</v>
      </c>
      <c r="C45" s="7">
        <f>averageResponseTimePorter(Dates!C$4,Dates!C$5,'Day1'!$B45)</f>
        <v>0</v>
      </c>
      <c r="D45" s="7">
        <f>averageResponseTimePorter(Dates!D$4,Dates!D$5,'Day1'!$B45)</f>
        <v>0</v>
      </c>
      <c r="E45" s="7">
        <f>averageResponseTimePorter(Dates!E$4,Dates!E$5,'Day1'!$B45)</f>
        <v>0</v>
      </c>
      <c r="F45" s="7">
        <f>averageResponseTimePorter(Dates!F$4,Dates!F$5,'Day1'!$B45)</f>
        <v>0</v>
      </c>
      <c r="G45" s="7">
        <f>averageResponseTimePorter(Dates!G$4,Dates!G$5,'Day1'!$B45)</f>
        <v>0</v>
      </c>
      <c r="H45" s="7">
        <f>averageResponseTimePorter(Dates!H$4,Dates!H$5,'Day1'!$B45)</f>
        <v>0</v>
      </c>
      <c r="I45" s="7">
        <f>averageResponseTimePorter(Dates!I$4,Dates!I$5,'Day1'!$B45)</f>
        <v>0</v>
      </c>
      <c r="J45" s="7">
        <f>averageResponseTimePorter(Dates!J$4,Dates!J$5,'Day1'!$B45)</f>
        <v>0</v>
      </c>
      <c r="K45" s="7">
        <f>averageResponseTimePorter(Dates!K$4,Dates!K$5,'Day1'!$B45)</f>
        <v>0</v>
      </c>
      <c r="L45" s="7">
        <f>averageResponseTimePorter(Dates!L$4,Dates!L$5,'Day1'!$B45)</f>
        <v>0</v>
      </c>
      <c r="M45" s="7">
        <f>averageResponseTimePorter(Dates!M$4,Dates!M$5,'Day1'!$B45)</f>
        <v>0</v>
      </c>
      <c r="N45" s="7">
        <f>averageResponseTimePorter(Dates!N$4,Dates!N$5,'Day1'!$B45)</f>
        <v>0</v>
      </c>
      <c r="O45" s="7">
        <f>averageResponseTimePorter(Dates!O$4,Dates!O$5,'Day1'!$B45)</f>
        <v>0</v>
      </c>
      <c r="P45" s="7">
        <f>averageResponseTimePorter(Dates!P$4,Dates!P$5,'Day1'!$B45)</f>
        <v>0</v>
      </c>
      <c r="Q45" s="7">
        <f>averageResponseTimePorter(Dates!Q$4,Dates!Q$5,'Day1'!$B45)</f>
        <v>0</v>
      </c>
      <c r="R45" s="7">
        <f>averageResponseTimePorter(Dates!R$4,Dates!R$5,'Day1'!$B45)</f>
        <v>0</v>
      </c>
      <c r="S45" s="7">
        <f>averageResponseTimePorter(Dates!S$4,Dates!S$5,'Day1'!$B45)</f>
        <v>0</v>
      </c>
      <c r="T45" s="7">
        <f>averageResponseTimePorter(Dates!T$4,Dates!T$5,'Day1'!$B45)</f>
        <v>0</v>
      </c>
      <c r="U45" s="7">
        <f>averageResponseTimePorter(Dates!$C$4,Dates!$T$5,'Day1'!$B22)</f>
        <v>0</v>
      </c>
    </row>
    <row r="46" spans="2:21" x14ac:dyDescent="0.3">
      <c r="B46" s="11" t="str">
        <f t="shared" si="1"/>
        <v>NA23</v>
      </c>
      <c r="C46" s="7">
        <f>averageResponseTimePorter(Dates!C$4,Dates!C$5,'Day1'!$B46)</f>
        <v>0</v>
      </c>
      <c r="D46" s="7">
        <f>averageResponseTimePorter(Dates!D$4,Dates!D$5,'Day1'!$B46)</f>
        <v>0</v>
      </c>
      <c r="E46" s="7">
        <f>averageResponseTimePorter(Dates!E$4,Dates!E$5,'Day1'!$B46)</f>
        <v>0</v>
      </c>
      <c r="F46" s="7">
        <f>averageResponseTimePorter(Dates!F$4,Dates!F$5,'Day1'!$B46)</f>
        <v>0</v>
      </c>
      <c r="G46" s="7">
        <f>averageResponseTimePorter(Dates!G$4,Dates!G$5,'Day1'!$B46)</f>
        <v>0</v>
      </c>
      <c r="H46" s="7">
        <f>averageResponseTimePorter(Dates!H$4,Dates!H$5,'Day1'!$B46)</f>
        <v>0</v>
      </c>
      <c r="I46" s="7">
        <f>averageResponseTimePorter(Dates!I$4,Dates!I$5,'Day1'!$B46)</f>
        <v>0</v>
      </c>
      <c r="J46" s="7">
        <f>averageResponseTimePorter(Dates!J$4,Dates!J$5,'Day1'!$B46)</f>
        <v>0</v>
      </c>
      <c r="K46" s="7">
        <f>averageResponseTimePorter(Dates!K$4,Dates!K$5,'Day1'!$B46)</f>
        <v>0</v>
      </c>
      <c r="L46" s="7">
        <f>averageResponseTimePorter(Dates!L$4,Dates!L$5,'Day1'!$B46)</f>
        <v>0</v>
      </c>
      <c r="M46" s="7">
        <f>averageResponseTimePorter(Dates!M$4,Dates!M$5,'Day1'!$B46)</f>
        <v>0</v>
      </c>
      <c r="N46" s="7">
        <f>averageResponseTimePorter(Dates!N$4,Dates!N$5,'Day1'!$B46)</f>
        <v>0</v>
      </c>
      <c r="O46" s="7">
        <f>averageResponseTimePorter(Dates!O$4,Dates!O$5,'Day1'!$B46)</f>
        <v>0</v>
      </c>
      <c r="P46" s="7">
        <f>averageResponseTimePorter(Dates!P$4,Dates!P$5,'Day1'!$B46)</f>
        <v>0</v>
      </c>
      <c r="Q46" s="7">
        <f>averageResponseTimePorter(Dates!Q$4,Dates!Q$5,'Day1'!$B46)</f>
        <v>0</v>
      </c>
      <c r="R46" s="7">
        <f>averageResponseTimePorter(Dates!R$4,Dates!R$5,'Day1'!$B46)</f>
        <v>0</v>
      </c>
      <c r="S46" s="7">
        <f>averageResponseTimePorter(Dates!S$4,Dates!S$5,'Day1'!$B46)</f>
        <v>0</v>
      </c>
      <c r="T46" s="7">
        <f>averageResponseTimePorter(Dates!T$4,Dates!T$5,'Day1'!$B46)</f>
        <v>0</v>
      </c>
      <c r="U46" s="7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workbookViewId="0">
      <selection activeCell="C26" sqref="C2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averageCompletionTime(Dates!C6,Dates!C7)</f>
        <v>0</v>
      </c>
      <c r="D2" s="7">
        <f>averageCompletionTime(Dates!D6,Dates!D7)</f>
        <v>0</v>
      </c>
      <c r="E2" s="7">
        <f>averageCompletionTime(Dates!E6,Dates!E7)</f>
        <v>0</v>
      </c>
      <c r="F2" s="7">
        <f>averageCompletionTime(Dates!F6,Dates!F7)</f>
        <v>0</v>
      </c>
      <c r="G2" s="7">
        <f>averageCompletionTime(Dates!G6,Dates!G7)</f>
        <v>0</v>
      </c>
      <c r="H2" s="7">
        <f>averageCompletionTime(Dates!H6,Dates!H7)</f>
        <v>0</v>
      </c>
      <c r="I2" s="7">
        <f>averageCompletionTime(Dates!I6,Dates!I7)</f>
        <v>0</v>
      </c>
      <c r="J2" s="7">
        <f>averageCompletionTime(Dates!J6,Dates!J7)</f>
        <v>0</v>
      </c>
      <c r="K2" s="7">
        <f>averageCompletionTime(Dates!K6,Dates!K7)</f>
        <v>0</v>
      </c>
      <c r="L2" s="7">
        <f>averageCompletionTime(Dates!L6,Dates!L7)</f>
        <v>0</v>
      </c>
      <c r="M2" s="7">
        <f>averageCompletionTime(Dates!M6,Dates!M7)</f>
        <v>0</v>
      </c>
      <c r="N2" s="7">
        <f>averageCompletionTime(Dates!N6,Dates!N7)</f>
        <v>0</v>
      </c>
      <c r="O2" s="7">
        <f>averageCompletionTime(Dates!O6,Dates!O7)</f>
        <v>0</v>
      </c>
      <c r="P2" s="7">
        <f>averageCompletionTime(Dates!P6,Dates!P7)</f>
        <v>0</v>
      </c>
      <c r="Q2" s="7">
        <f>averageCompletionTime(Dates!Q6,Dates!Q7)</f>
        <v>0</v>
      </c>
      <c r="R2" s="7">
        <f>averageCompletionTime(Dates!R6,Dates!R7)</f>
        <v>0</v>
      </c>
      <c r="S2" s="7">
        <f>averageCompletionTime(Dates!S6,Dates!S7)</f>
        <v>0</v>
      </c>
      <c r="T2" s="7">
        <f>averageCompletionTime(Dates!T6,Dates!T7)</f>
        <v>0</v>
      </c>
      <c r="U2" s="7">
        <f>averageCompletionTime(Dates!C6,Dates!T7)</f>
        <v>0</v>
      </c>
    </row>
    <row r="3" spans="1:21" x14ac:dyDescent="0.3">
      <c r="A3" s="10" t="s">
        <v>141</v>
      </c>
      <c r="B3" s="12">
        <v>3</v>
      </c>
      <c r="C3" s="7">
        <f>averageCompletionTimePorter(Dates!C$6,Dates!C$7,'Day2'!$B3)</f>
        <v>0</v>
      </c>
      <c r="D3" s="7">
        <f>averageCompletionTimePorter(Dates!D$6,Dates!D$7,'Day2'!$B3)</f>
        <v>0</v>
      </c>
      <c r="E3" s="7">
        <f>averageCompletionTimePorter(Dates!E$6,Dates!E$7,'Day2'!$B3)</f>
        <v>0</v>
      </c>
      <c r="F3" s="7">
        <f>averageCompletionTimePorter(Dates!F$6,Dates!F$7,'Day2'!$B3)</f>
        <v>0</v>
      </c>
      <c r="G3" s="7">
        <f>averageCompletionTimePorter(Dates!G$6,Dates!G$7,'Day2'!$B3)</f>
        <v>0</v>
      </c>
      <c r="H3" s="7">
        <f>averageCompletionTimePorter(Dates!H$6,Dates!H$7,'Day2'!$B3)</f>
        <v>0</v>
      </c>
      <c r="I3" s="7">
        <f>averageCompletionTimePorter(Dates!I$6,Dates!I$7,'Day2'!$B3)</f>
        <v>0</v>
      </c>
      <c r="J3" s="7">
        <f>averageCompletionTimePorter(Dates!J$6,Dates!J$7,'Day2'!$B3)</f>
        <v>0</v>
      </c>
      <c r="K3" s="7">
        <f>averageCompletionTimePorter(Dates!K$6,Dates!K$7,'Day2'!$B3)</f>
        <v>0</v>
      </c>
      <c r="L3" s="7">
        <f>averageCompletionTimePorter(Dates!L$6,Dates!L$7,'Day2'!$B3)</f>
        <v>0</v>
      </c>
      <c r="M3" s="7">
        <f>averageCompletionTimePorter(Dates!M$6,Dates!M$7,'Day2'!$B3)</f>
        <v>0</v>
      </c>
      <c r="N3" s="7">
        <f>averageCompletionTimePorter(Dates!N$6,Dates!N$7,'Day2'!$B3)</f>
        <v>0</v>
      </c>
      <c r="O3" s="7">
        <f>averageCompletionTimePorter(Dates!O$6,Dates!O$7,'Day2'!$B3)</f>
        <v>0</v>
      </c>
      <c r="P3" s="7">
        <f>averageCompletionTimePorter(Dates!P$6,Dates!P$7,'Day2'!$B3)</f>
        <v>0</v>
      </c>
      <c r="Q3" s="7">
        <f>averageCompletionTimePorter(Dates!Q$6,Dates!Q$7,'Day2'!$B3)</f>
        <v>0</v>
      </c>
      <c r="R3" s="7">
        <f>averageCompletionTimePorter(Dates!R$6,Dates!R$7,'Day2'!$B3)</f>
        <v>0</v>
      </c>
      <c r="S3" s="7">
        <f>averageCompletionTimePorter(Dates!S$6,Dates!S$7,'Day2'!$B3)</f>
        <v>0</v>
      </c>
      <c r="T3" s="7">
        <f>averageCompletionTimePorter(Dates!T$6,Dates!T$7,'Day2'!$B3)</f>
        <v>0</v>
      </c>
      <c r="U3" s="7">
        <f>averageCompletionTimePorter(Dates!$C$6,Dates!$T$7,'Day2'!$B3)</f>
        <v>0</v>
      </c>
    </row>
    <row r="4" spans="1:21" x14ac:dyDescent="0.3">
      <c r="A4" s="10"/>
      <c r="B4" s="12">
        <v>2</v>
      </c>
      <c r="C4" s="7">
        <f>averageCompletionTimePorter(Dates!C$6,Dates!C$7,'Day2'!$B4)</f>
        <v>115</v>
      </c>
      <c r="D4" s="7">
        <f>averageCompletionTimePorter(Dates!D$6,Dates!D$7,'Day2'!$B4)</f>
        <v>0</v>
      </c>
      <c r="E4" s="7">
        <f>averageCompletionTimePorter(Dates!E$6,Dates!E$7,'Day2'!$B4)</f>
        <v>0</v>
      </c>
      <c r="F4" s="7">
        <f>averageCompletionTimePorter(Dates!F$6,Dates!F$7,'Day2'!$B4)</f>
        <v>0</v>
      </c>
      <c r="G4" s="7">
        <f>averageCompletionTimePorter(Dates!G$6,Dates!G$7,'Day2'!$B4)</f>
        <v>0</v>
      </c>
      <c r="H4" s="7">
        <f>averageCompletionTimePorter(Dates!H$6,Dates!H$7,'Day2'!$B4)</f>
        <v>0</v>
      </c>
      <c r="I4" s="7">
        <f>averageCompletionTimePorter(Dates!I$6,Dates!I$7,'Day2'!$B4)</f>
        <v>0</v>
      </c>
      <c r="J4" s="7">
        <f>averageCompletionTimePorter(Dates!J$6,Dates!J$7,'Day2'!$B4)</f>
        <v>0</v>
      </c>
      <c r="K4" s="7">
        <f>averageCompletionTimePorter(Dates!K$6,Dates!K$7,'Day2'!$B4)</f>
        <v>0</v>
      </c>
      <c r="L4" s="7">
        <f>averageCompletionTimePorter(Dates!L$6,Dates!L$7,'Day2'!$B4)</f>
        <v>0</v>
      </c>
      <c r="M4" s="7">
        <f>averageCompletionTimePorter(Dates!M$6,Dates!M$7,'Day2'!$B4)</f>
        <v>0</v>
      </c>
      <c r="N4" s="7">
        <f>averageCompletionTimePorter(Dates!N$6,Dates!N$7,'Day2'!$B4)</f>
        <v>0</v>
      </c>
      <c r="O4" s="7">
        <f>averageCompletionTimePorter(Dates!O$6,Dates!O$7,'Day2'!$B4)</f>
        <v>0</v>
      </c>
      <c r="P4" s="7">
        <f>averageCompletionTimePorter(Dates!P$6,Dates!P$7,'Day2'!$B4)</f>
        <v>0</v>
      </c>
      <c r="Q4" s="7">
        <f>averageCompletionTimePorter(Dates!Q$6,Dates!Q$7,'Day2'!$B4)</f>
        <v>0</v>
      </c>
      <c r="R4" s="7">
        <f>averageCompletionTimePorter(Dates!R$6,Dates!R$7,'Day2'!$B4)</f>
        <v>0</v>
      </c>
      <c r="S4" s="7">
        <f>averageCompletionTimePorter(Dates!S$6,Dates!S$7,'Day2'!$B4)</f>
        <v>0</v>
      </c>
      <c r="T4" s="7">
        <f>averageCompletionTimePorter(Dates!T$6,Dates!T$7,'Day2'!$B4)</f>
        <v>0</v>
      </c>
      <c r="U4" s="7">
        <f>averageCompletionTimePorter(Dates!$C$6,Dates!$T$7,'Day2'!$B4)</f>
        <v>115</v>
      </c>
    </row>
    <row r="5" spans="1:21" x14ac:dyDescent="0.3">
      <c r="A5" s="10"/>
      <c r="B5" s="12">
        <v>5</v>
      </c>
      <c r="C5" s="7">
        <f>averageCompletionTimePorter(Dates!C$6,Dates!C$7,'Day2'!$B5)</f>
        <v>0</v>
      </c>
      <c r="D5" s="7">
        <f>averageCompletionTimePorter(Dates!D$6,Dates!D$7,'Day2'!$B5)</f>
        <v>0</v>
      </c>
      <c r="E5" s="7">
        <f>averageCompletionTimePorter(Dates!E$6,Dates!E$7,'Day2'!$B5)</f>
        <v>0</v>
      </c>
      <c r="F5" s="7">
        <f>averageCompletionTimePorter(Dates!F$6,Dates!F$7,'Day2'!$B5)</f>
        <v>0</v>
      </c>
      <c r="G5" s="7">
        <f>averageCompletionTimePorter(Dates!G$6,Dates!G$7,'Day2'!$B5)</f>
        <v>0</v>
      </c>
      <c r="H5" s="7">
        <f>averageCompletionTimePorter(Dates!H$6,Dates!H$7,'Day2'!$B5)</f>
        <v>0</v>
      </c>
      <c r="I5" s="7">
        <f>averageCompletionTimePorter(Dates!I$6,Dates!I$7,'Day2'!$B5)</f>
        <v>0</v>
      </c>
      <c r="J5" s="7">
        <f>averageCompletionTimePorter(Dates!J$6,Dates!J$7,'Day2'!$B5)</f>
        <v>0</v>
      </c>
      <c r="K5" s="7">
        <f>averageCompletionTimePorter(Dates!K$6,Dates!K$7,'Day2'!$B5)</f>
        <v>0</v>
      </c>
      <c r="L5" s="7">
        <f>averageCompletionTimePorter(Dates!L$6,Dates!L$7,'Day2'!$B5)</f>
        <v>0</v>
      </c>
      <c r="M5" s="7">
        <f>averageCompletionTimePorter(Dates!M$6,Dates!M$7,'Day2'!$B5)</f>
        <v>0</v>
      </c>
      <c r="N5" s="7">
        <f>averageCompletionTimePorter(Dates!N$6,Dates!N$7,'Day2'!$B5)</f>
        <v>0</v>
      </c>
      <c r="O5" s="7">
        <f>averageCompletionTimePorter(Dates!O$6,Dates!O$7,'Day2'!$B5)</f>
        <v>0</v>
      </c>
      <c r="P5" s="7">
        <f>averageCompletionTimePorter(Dates!P$6,Dates!P$7,'Day2'!$B5)</f>
        <v>0</v>
      </c>
      <c r="Q5" s="7">
        <f>averageCompletionTimePorter(Dates!Q$6,Dates!Q$7,'Day2'!$B5)</f>
        <v>0</v>
      </c>
      <c r="R5" s="7">
        <f>averageCompletionTimePorter(Dates!R$6,Dates!R$7,'Day2'!$B5)</f>
        <v>0</v>
      </c>
      <c r="S5" s="7">
        <f>averageCompletionTimePorter(Dates!S$6,Dates!S$7,'Day2'!$B5)</f>
        <v>0</v>
      </c>
      <c r="T5" s="7">
        <f>averageCompletionTimePorter(Dates!T$6,Dates!T$7,'Day2'!$B5)</f>
        <v>0</v>
      </c>
      <c r="U5" s="7">
        <f>averageCompletionTimePorter(Dates!$C$6,Dates!$T$7,'Day2'!$B5)</f>
        <v>0</v>
      </c>
    </row>
    <row r="6" spans="1:21" x14ac:dyDescent="0.3">
      <c r="A6" s="10"/>
      <c r="B6" s="12">
        <v>0</v>
      </c>
      <c r="C6" s="7">
        <f>averageCompletionTimePorter(Dates!C$6,Dates!C$7,'Day2'!$B6)</f>
        <v>0</v>
      </c>
      <c r="D6" s="7">
        <f>averageCompletionTimePorter(Dates!D$6,Dates!D$7,'Day2'!$B6)</f>
        <v>0</v>
      </c>
      <c r="E6" s="7">
        <f>averageCompletionTimePorter(Dates!E$6,Dates!E$7,'Day2'!$B6)</f>
        <v>0</v>
      </c>
      <c r="F6" s="7">
        <f>averageCompletionTimePorter(Dates!F$6,Dates!F$7,'Day2'!$B6)</f>
        <v>0</v>
      </c>
      <c r="G6" s="7">
        <f>averageCompletionTimePorter(Dates!G$6,Dates!G$7,'Day2'!$B6)</f>
        <v>0</v>
      </c>
      <c r="H6" s="7">
        <f>averageCompletionTimePorter(Dates!H$6,Dates!H$7,'Day2'!$B6)</f>
        <v>0</v>
      </c>
      <c r="I6" s="7">
        <f>averageCompletionTimePorter(Dates!I$6,Dates!I$7,'Day2'!$B6)</f>
        <v>0</v>
      </c>
      <c r="J6" s="7">
        <f>averageCompletionTimePorter(Dates!J$6,Dates!J$7,'Day2'!$B6)</f>
        <v>0</v>
      </c>
      <c r="K6" s="7">
        <f>averageCompletionTimePorter(Dates!K$6,Dates!K$7,'Day2'!$B6)</f>
        <v>0</v>
      </c>
      <c r="L6" s="7">
        <f>averageCompletionTimePorter(Dates!L$6,Dates!L$7,'Day2'!$B6)</f>
        <v>0</v>
      </c>
      <c r="M6" s="7">
        <f>averageCompletionTimePorter(Dates!M$6,Dates!M$7,'Day2'!$B6)</f>
        <v>0</v>
      </c>
      <c r="N6" s="7">
        <f>averageCompletionTimePorter(Dates!N$6,Dates!N$7,'Day2'!$B6)</f>
        <v>0</v>
      </c>
      <c r="O6" s="7">
        <f>averageCompletionTimePorter(Dates!O$6,Dates!O$7,'Day2'!$B6)</f>
        <v>0</v>
      </c>
      <c r="P6" s="7">
        <f>averageCompletionTimePorter(Dates!P$6,Dates!P$7,'Day2'!$B6)</f>
        <v>0</v>
      </c>
      <c r="Q6" s="7">
        <f>averageCompletionTimePorter(Dates!Q$6,Dates!Q$7,'Day2'!$B6)</f>
        <v>0</v>
      </c>
      <c r="R6" s="7">
        <f>averageCompletionTimePorter(Dates!R$6,Dates!R$7,'Day2'!$B6)</f>
        <v>0</v>
      </c>
      <c r="S6" s="7">
        <f>averageCompletionTimePorter(Dates!S$6,Dates!S$7,'Day2'!$B6)</f>
        <v>0</v>
      </c>
      <c r="T6" s="7">
        <f>averageCompletionTimePorter(Dates!T$6,Dates!T$7,'Day2'!$B6)</f>
        <v>0</v>
      </c>
      <c r="U6" s="7">
        <f>averageCompletionTimePorter(Dates!$C$6,Dates!$T$7,'Day2'!$B6)</f>
        <v>0</v>
      </c>
    </row>
    <row r="7" spans="1:21" x14ac:dyDescent="0.3">
      <c r="A7" s="10"/>
      <c r="B7" s="12">
        <v>4</v>
      </c>
      <c r="C7" s="7">
        <f>averageCompletionTimePorter(Dates!C$6,Dates!C$7,'Day2'!$B7)</f>
        <v>67.5</v>
      </c>
      <c r="D7" s="7">
        <f>averageCompletionTimePorter(Dates!D$6,Dates!D$7,'Day2'!$B7)</f>
        <v>0</v>
      </c>
      <c r="E7" s="7">
        <f>averageCompletionTimePorter(Dates!E$6,Dates!E$7,'Day2'!$B7)</f>
        <v>0</v>
      </c>
      <c r="F7" s="7">
        <f>averageCompletionTimePorter(Dates!F$6,Dates!F$7,'Day2'!$B7)</f>
        <v>0</v>
      </c>
      <c r="G7" s="7">
        <f>averageCompletionTimePorter(Dates!G$6,Dates!G$7,'Day2'!$B7)</f>
        <v>0</v>
      </c>
      <c r="H7" s="7">
        <f>averageCompletionTimePorter(Dates!H$6,Dates!H$7,'Day2'!$B7)</f>
        <v>0</v>
      </c>
      <c r="I7" s="7">
        <f>averageCompletionTimePorter(Dates!I$6,Dates!I$7,'Day2'!$B7)</f>
        <v>0</v>
      </c>
      <c r="J7" s="7">
        <f>averageCompletionTimePorter(Dates!J$6,Dates!J$7,'Day2'!$B7)</f>
        <v>0</v>
      </c>
      <c r="K7" s="7">
        <f>averageCompletionTimePorter(Dates!K$6,Dates!K$7,'Day2'!$B7)</f>
        <v>0</v>
      </c>
      <c r="L7" s="7">
        <f>averageCompletionTimePorter(Dates!L$6,Dates!L$7,'Day2'!$B7)</f>
        <v>0</v>
      </c>
      <c r="M7" s="7">
        <f>averageCompletionTimePorter(Dates!M$6,Dates!M$7,'Day2'!$B7)</f>
        <v>0</v>
      </c>
      <c r="N7" s="7">
        <f>averageCompletionTimePorter(Dates!N$6,Dates!N$7,'Day2'!$B7)</f>
        <v>0</v>
      </c>
      <c r="O7" s="7">
        <f>averageCompletionTimePorter(Dates!O$6,Dates!O$7,'Day2'!$B7)</f>
        <v>0</v>
      </c>
      <c r="P7" s="7">
        <f>averageCompletionTimePorter(Dates!P$6,Dates!P$7,'Day2'!$B7)</f>
        <v>0</v>
      </c>
      <c r="Q7" s="7">
        <f>averageCompletionTimePorter(Dates!Q$6,Dates!Q$7,'Day2'!$B7)</f>
        <v>0</v>
      </c>
      <c r="R7" s="7">
        <f>averageCompletionTimePorter(Dates!R$6,Dates!R$7,'Day2'!$B7)</f>
        <v>0</v>
      </c>
      <c r="S7" s="7">
        <f>averageCompletionTimePorter(Dates!S$6,Dates!S$7,'Day2'!$B7)</f>
        <v>0</v>
      </c>
      <c r="T7" s="7">
        <f>averageCompletionTimePorter(Dates!T$6,Dates!T$7,'Day2'!$B7)</f>
        <v>0</v>
      </c>
      <c r="U7" s="7">
        <f>averageCompletionTimePorter(Dates!$C$6,Dates!$T$7,'Day2'!$B7)</f>
        <v>67.5</v>
      </c>
    </row>
    <row r="8" spans="1:21" x14ac:dyDescent="0.3">
      <c r="A8" s="10"/>
      <c r="B8" s="12">
        <v>8</v>
      </c>
      <c r="C8" s="7">
        <f>averageCompletionTimePorter(Dates!C$6,Dates!C$7,'Day2'!$B8)</f>
        <v>51.5</v>
      </c>
      <c r="D8" s="7">
        <f>averageCompletionTimePorter(Dates!D$6,Dates!D$7,'Day2'!$B8)</f>
        <v>0</v>
      </c>
      <c r="E8" s="7">
        <f>averageCompletionTimePorter(Dates!E$6,Dates!E$7,'Day2'!$B8)</f>
        <v>0</v>
      </c>
      <c r="F8" s="7">
        <f>averageCompletionTimePorter(Dates!F$6,Dates!F$7,'Day2'!$B8)</f>
        <v>0</v>
      </c>
      <c r="G8" s="7">
        <f>averageCompletionTimePorter(Dates!G$6,Dates!G$7,'Day2'!$B8)</f>
        <v>0</v>
      </c>
      <c r="H8" s="7">
        <f>averageCompletionTimePorter(Dates!H$6,Dates!H$7,'Day2'!$B8)</f>
        <v>0</v>
      </c>
      <c r="I8" s="7">
        <f>averageCompletionTimePorter(Dates!I$6,Dates!I$7,'Day2'!$B8)</f>
        <v>0</v>
      </c>
      <c r="J8" s="7">
        <f>averageCompletionTimePorter(Dates!J$6,Dates!J$7,'Day2'!$B8)</f>
        <v>0</v>
      </c>
      <c r="K8" s="7">
        <f>averageCompletionTimePorter(Dates!K$6,Dates!K$7,'Day2'!$B8)</f>
        <v>0</v>
      </c>
      <c r="L8" s="7">
        <f>averageCompletionTimePorter(Dates!L$6,Dates!L$7,'Day2'!$B8)</f>
        <v>0</v>
      </c>
      <c r="M8" s="7">
        <f>averageCompletionTimePorter(Dates!M$6,Dates!M$7,'Day2'!$B8)</f>
        <v>0</v>
      </c>
      <c r="N8" s="7">
        <f>averageCompletionTimePorter(Dates!N$6,Dates!N$7,'Day2'!$B8)</f>
        <v>0</v>
      </c>
      <c r="O8" s="7">
        <f>averageCompletionTimePorter(Dates!O$6,Dates!O$7,'Day2'!$B8)</f>
        <v>0</v>
      </c>
      <c r="P8" s="7">
        <f>averageCompletionTimePorter(Dates!P$6,Dates!P$7,'Day2'!$B8)</f>
        <v>0</v>
      </c>
      <c r="Q8" s="7">
        <f>averageCompletionTimePorter(Dates!Q$6,Dates!Q$7,'Day2'!$B8)</f>
        <v>0</v>
      </c>
      <c r="R8" s="7">
        <f>averageCompletionTimePorter(Dates!R$6,Dates!R$7,'Day2'!$B8)</f>
        <v>0</v>
      </c>
      <c r="S8" s="7">
        <f>averageCompletionTimePorter(Dates!S$6,Dates!S$7,'Day2'!$B8)</f>
        <v>0</v>
      </c>
      <c r="T8" s="7">
        <f>averageCompletionTimePorter(Dates!T$6,Dates!T$7,'Day2'!$B8)</f>
        <v>0</v>
      </c>
      <c r="U8" s="7">
        <f>averageCompletionTimePorter(Dates!$C$6,Dates!$T$7,'Day2'!$B8)</f>
        <v>46.666666666666664</v>
      </c>
    </row>
    <row r="9" spans="1:21" x14ac:dyDescent="0.3">
      <c r="A9" s="10"/>
      <c r="B9" s="12">
        <v>6</v>
      </c>
      <c r="C9" s="7">
        <f>averageCompletionTimePorter(Dates!C$6,Dates!C$7,'Day2'!$B9)</f>
        <v>16</v>
      </c>
      <c r="D9" s="7">
        <f>averageCompletionTimePorter(Dates!D$6,Dates!D$7,'Day2'!$B9)</f>
        <v>0</v>
      </c>
      <c r="E9" s="7">
        <f>averageCompletionTimePorter(Dates!E$6,Dates!E$7,'Day2'!$B9)</f>
        <v>0</v>
      </c>
      <c r="F9" s="7">
        <f>averageCompletionTimePorter(Dates!F$6,Dates!F$7,'Day2'!$B9)</f>
        <v>0</v>
      </c>
      <c r="G9" s="7">
        <f>averageCompletionTimePorter(Dates!G$6,Dates!G$7,'Day2'!$B9)</f>
        <v>0</v>
      </c>
      <c r="H9" s="7">
        <f>averageCompletionTimePorter(Dates!H$6,Dates!H$7,'Day2'!$B9)</f>
        <v>0</v>
      </c>
      <c r="I9" s="7">
        <f>averageCompletionTimePorter(Dates!I$6,Dates!I$7,'Day2'!$B9)</f>
        <v>0</v>
      </c>
      <c r="J9" s="7">
        <f>averageCompletionTimePorter(Dates!J$6,Dates!J$7,'Day2'!$B9)</f>
        <v>0</v>
      </c>
      <c r="K9" s="7">
        <f>averageCompletionTimePorter(Dates!K$6,Dates!K$7,'Day2'!$B9)</f>
        <v>0</v>
      </c>
      <c r="L9" s="7">
        <f>averageCompletionTimePorter(Dates!L$6,Dates!L$7,'Day2'!$B9)</f>
        <v>0</v>
      </c>
      <c r="M9" s="7">
        <f>averageCompletionTimePorter(Dates!M$6,Dates!M$7,'Day2'!$B9)</f>
        <v>0</v>
      </c>
      <c r="N9" s="7">
        <f>averageCompletionTimePorter(Dates!N$6,Dates!N$7,'Day2'!$B9)</f>
        <v>0</v>
      </c>
      <c r="O9" s="7">
        <f>averageCompletionTimePorter(Dates!O$6,Dates!O$7,'Day2'!$B9)</f>
        <v>0</v>
      </c>
      <c r="P9" s="7">
        <f>averageCompletionTimePorter(Dates!P$6,Dates!P$7,'Day2'!$B9)</f>
        <v>0</v>
      </c>
      <c r="Q9" s="7">
        <f>averageCompletionTimePorter(Dates!Q$6,Dates!Q$7,'Day2'!$B9)</f>
        <v>0</v>
      </c>
      <c r="R9" s="7">
        <f>averageCompletionTimePorter(Dates!R$6,Dates!R$7,'Day2'!$B9)</f>
        <v>0</v>
      </c>
      <c r="S9" s="7">
        <f>averageCompletionTimePorter(Dates!S$6,Dates!S$7,'Day2'!$B9)</f>
        <v>0</v>
      </c>
      <c r="T9" s="7">
        <f>averageCompletionTimePorter(Dates!T$6,Dates!T$7,'Day2'!$B9)</f>
        <v>0</v>
      </c>
      <c r="U9" s="7">
        <f>averageCompletionTimePorter(Dates!$C$6,Dates!$T$7,'Day2'!$B9)</f>
        <v>16</v>
      </c>
    </row>
    <row r="10" spans="1:21" x14ac:dyDescent="0.3">
      <c r="A10" s="10"/>
      <c r="B10" s="12">
        <v>1</v>
      </c>
      <c r="C10" s="7">
        <f>averageCompletionTimePorter(Dates!C$6,Dates!C$7,'Day2'!$B10)</f>
        <v>43.666666666666664</v>
      </c>
      <c r="D10" s="7">
        <f>averageCompletionTimePorter(Dates!D$6,Dates!D$7,'Day2'!$B10)</f>
        <v>0</v>
      </c>
      <c r="E10" s="7">
        <f>averageCompletionTimePorter(Dates!E$6,Dates!E$7,'Day2'!$B10)</f>
        <v>0</v>
      </c>
      <c r="F10" s="7">
        <f>averageCompletionTimePorter(Dates!F$6,Dates!F$7,'Day2'!$B10)</f>
        <v>0</v>
      </c>
      <c r="G10" s="7">
        <f>averageCompletionTimePorter(Dates!G$6,Dates!G$7,'Day2'!$B10)</f>
        <v>0</v>
      </c>
      <c r="H10" s="7">
        <f>averageCompletionTimePorter(Dates!H$6,Dates!H$7,'Day2'!$B10)</f>
        <v>0</v>
      </c>
      <c r="I10" s="7">
        <f>averageCompletionTimePorter(Dates!I$6,Dates!I$7,'Day2'!$B10)</f>
        <v>0</v>
      </c>
      <c r="J10" s="7">
        <f>averageCompletionTimePorter(Dates!J$6,Dates!J$7,'Day2'!$B10)</f>
        <v>0</v>
      </c>
      <c r="K10" s="7">
        <f>averageCompletionTimePorter(Dates!K$6,Dates!K$7,'Day2'!$B10)</f>
        <v>0</v>
      </c>
      <c r="L10" s="7">
        <f>averageCompletionTimePorter(Dates!L$6,Dates!L$7,'Day2'!$B10)</f>
        <v>0</v>
      </c>
      <c r="M10" s="7">
        <f>averageCompletionTimePorter(Dates!M$6,Dates!M$7,'Day2'!$B10)</f>
        <v>0</v>
      </c>
      <c r="N10" s="7">
        <f>averageCompletionTimePorter(Dates!N$6,Dates!N$7,'Day2'!$B10)</f>
        <v>0</v>
      </c>
      <c r="O10" s="7">
        <f>averageCompletionTimePorter(Dates!O$6,Dates!O$7,'Day2'!$B10)</f>
        <v>0</v>
      </c>
      <c r="P10" s="7">
        <f>averageCompletionTimePorter(Dates!P$6,Dates!P$7,'Day2'!$B10)</f>
        <v>0</v>
      </c>
      <c r="Q10" s="7">
        <f>averageCompletionTimePorter(Dates!Q$6,Dates!Q$7,'Day2'!$B10)</f>
        <v>0</v>
      </c>
      <c r="R10" s="7">
        <f>averageCompletionTimePorter(Dates!R$6,Dates!R$7,'Day2'!$B10)</f>
        <v>0</v>
      </c>
      <c r="S10" s="7">
        <f>averageCompletionTimePorter(Dates!S$6,Dates!S$7,'Day2'!$B10)</f>
        <v>0</v>
      </c>
      <c r="T10" s="7">
        <f>averageCompletionTimePorter(Dates!T$6,Dates!T$7,'Day2'!$B10)</f>
        <v>0</v>
      </c>
      <c r="U10" s="7">
        <f>averageCompletionTimePorter(Dates!$C$6,Dates!$T$7,'Day2'!$B10)</f>
        <v>43.666666666666664</v>
      </c>
    </row>
    <row r="11" spans="1:21" x14ac:dyDescent="0.3">
      <c r="A11" s="10"/>
      <c r="B11" s="12">
        <v>10</v>
      </c>
      <c r="C11" s="7">
        <f>averageCompletionTimePorter(Dates!C$6,Dates!C$7,'Day2'!$B11)</f>
        <v>42.5</v>
      </c>
      <c r="D11" s="7">
        <f>averageCompletionTimePorter(Dates!D$6,Dates!D$7,'Day2'!$B11)</f>
        <v>0</v>
      </c>
      <c r="E11" s="7">
        <f>averageCompletionTimePorter(Dates!E$6,Dates!E$7,'Day2'!$B11)</f>
        <v>0</v>
      </c>
      <c r="F11" s="7">
        <f>averageCompletionTimePorter(Dates!F$6,Dates!F$7,'Day2'!$B11)</f>
        <v>0</v>
      </c>
      <c r="G11" s="7">
        <f>averageCompletionTimePorter(Dates!G$6,Dates!G$7,'Day2'!$B11)</f>
        <v>0</v>
      </c>
      <c r="H11" s="7">
        <f>averageCompletionTimePorter(Dates!H$6,Dates!H$7,'Day2'!$B11)</f>
        <v>0</v>
      </c>
      <c r="I11" s="7">
        <f>averageCompletionTimePorter(Dates!I$6,Dates!I$7,'Day2'!$B11)</f>
        <v>0</v>
      </c>
      <c r="J11" s="7">
        <f>averageCompletionTimePorter(Dates!J$6,Dates!J$7,'Day2'!$B11)</f>
        <v>0</v>
      </c>
      <c r="K11" s="7">
        <f>averageCompletionTimePorter(Dates!K$6,Dates!K$7,'Day2'!$B11)</f>
        <v>0</v>
      </c>
      <c r="L11" s="7">
        <f>averageCompletionTimePorter(Dates!L$6,Dates!L$7,'Day2'!$B11)</f>
        <v>0</v>
      </c>
      <c r="M11" s="7">
        <f>averageCompletionTimePorter(Dates!M$6,Dates!M$7,'Day2'!$B11)</f>
        <v>0</v>
      </c>
      <c r="N11" s="7">
        <f>averageCompletionTimePorter(Dates!N$6,Dates!N$7,'Day2'!$B11)</f>
        <v>0</v>
      </c>
      <c r="O11" s="7">
        <f>averageCompletionTimePorter(Dates!O$6,Dates!O$7,'Day2'!$B11)</f>
        <v>0</v>
      </c>
      <c r="P11" s="7">
        <f>averageCompletionTimePorter(Dates!P$6,Dates!P$7,'Day2'!$B11)</f>
        <v>0</v>
      </c>
      <c r="Q11" s="7">
        <f>averageCompletionTimePorter(Dates!Q$6,Dates!Q$7,'Day2'!$B11)</f>
        <v>0</v>
      </c>
      <c r="R11" s="7">
        <f>averageCompletionTimePorter(Dates!R$6,Dates!R$7,'Day2'!$B11)</f>
        <v>0</v>
      </c>
      <c r="S11" s="7">
        <f>averageCompletionTimePorter(Dates!S$6,Dates!S$7,'Day2'!$B11)</f>
        <v>0</v>
      </c>
      <c r="T11" s="7">
        <f>averageCompletionTimePorter(Dates!T$6,Dates!T$7,'Day2'!$B11)</f>
        <v>0</v>
      </c>
      <c r="U11" s="7">
        <f>averageCompletionTimePorter(Dates!$C$6,Dates!$T$7,'Day2'!$B11)</f>
        <v>42.5</v>
      </c>
    </row>
    <row r="12" spans="1:21" x14ac:dyDescent="0.3">
      <c r="A12" s="10"/>
      <c r="B12" s="12">
        <v>9</v>
      </c>
      <c r="C12" s="7">
        <f>averageCompletionTimePorter(Dates!C$6,Dates!C$7,'Day2'!$B12)</f>
        <v>24</v>
      </c>
      <c r="D12" s="7">
        <f>averageCompletionTimePorter(Dates!D$6,Dates!D$7,'Day2'!$B12)</f>
        <v>0</v>
      </c>
      <c r="E12" s="7">
        <f>averageCompletionTimePorter(Dates!E$6,Dates!E$7,'Day2'!$B12)</f>
        <v>0</v>
      </c>
      <c r="F12" s="7">
        <f>averageCompletionTimePorter(Dates!F$6,Dates!F$7,'Day2'!$B12)</f>
        <v>0</v>
      </c>
      <c r="G12" s="7">
        <f>averageCompletionTimePorter(Dates!G$6,Dates!G$7,'Day2'!$B12)</f>
        <v>0</v>
      </c>
      <c r="H12" s="7">
        <f>averageCompletionTimePorter(Dates!H$6,Dates!H$7,'Day2'!$B12)</f>
        <v>0</v>
      </c>
      <c r="I12" s="7">
        <f>averageCompletionTimePorter(Dates!I$6,Dates!I$7,'Day2'!$B12)</f>
        <v>0</v>
      </c>
      <c r="J12" s="7">
        <f>averageCompletionTimePorter(Dates!J$6,Dates!J$7,'Day2'!$B12)</f>
        <v>0</v>
      </c>
      <c r="K12" s="7">
        <f>averageCompletionTimePorter(Dates!K$6,Dates!K$7,'Day2'!$B12)</f>
        <v>0</v>
      </c>
      <c r="L12" s="7">
        <f>averageCompletionTimePorter(Dates!L$6,Dates!L$7,'Day2'!$B12)</f>
        <v>0</v>
      </c>
      <c r="M12" s="7">
        <f>averageCompletionTimePorter(Dates!M$6,Dates!M$7,'Day2'!$B12)</f>
        <v>0</v>
      </c>
      <c r="N12" s="7">
        <f>averageCompletionTimePorter(Dates!N$6,Dates!N$7,'Day2'!$B12)</f>
        <v>0</v>
      </c>
      <c r="O12" s="7">
        <f>averageCompletionTimePorter(Dates!O$6,Dates!O$7,'Day2'!$B12)</f>
        <v>0</v>
      </c>
      <c r="P12" s="7">
        <f>averageCompletionTimePorter(Dates!P$6,Dates!P$7,'Day2'!$B12)</f>
        <v>0</v>
      </c>
      <c r="Q12" s="7">
        <f>averageCompletionTimePorter(Dates!Q$6,Dates!Q$7,'Day2'!$B12)</f>
        <v>0</v>
      </c>
      <c r="R12" s="7">
        <f>averageCompletionTimePorter(Dates!R$6,Dates!R$7,'Day2'!$B12)</f>
        <v>0</v>
      </c>
      <c r="S12" s="7">
        <f>averageCompletionTimePorter(Dates!S$6,Dates!S$7,'Day2'!$B12)</f>
        <v>0</v>
      </c>
      <c r="T12" s="7">
        <f>averageCompletionTimePorter(Dates!T$6,Dates!T$7,'Day2'!$B12)</f>
        <v>0</v>
      </c>
      <c r="U12" s="7">
        <f>averageCompletionTimePorter(Dates!$C$6,Dates!$T$7,'Day2'!$B12)</f>
        <v>24</v>
      </c>
    </row>
    <row r="13" spans="1:21" x14ac:dyDescent="0.3">
      <c r="A13" s="10"/>
      <c r="B13" s="12">
        <v>7</v>
      </c>
      <c r="C13" s="7">
        <f>averageCompletionTimePorter(Dates!C$6,Dates!C$7,'Day2'!$B13)</f>
        <v>30</v>
      </c>
      <c r="D13" s="7">
        <f>averageCompletionTimePorter(Dates!D$6,Dates!D$7,'Day2'!$B13)</f>
        <v>0</v>
      </c>
      <c r="E13" s="7">
        <f>averageCompletionTimePorter(Dates!E$6,Dates!E$7,'Day2'!$B13)</f>
        <v>0</v>
      </c>
      <c r="F13" s="7">
        <f>averageCompletionTimePorter(Dates!F$6,Dates!F$7,'Day2'!$B13)</f>
        <v>0</v>
      </c>
      <c r="G13" s="7">
        <f>averageCompletionTimePorter(Dates!G$6,Dates!G$7,'Day2'!$B13)</f>
        <v>0</v>
      </c>
      <c r="H13" s="7">
        <f>averageCompletionTimePorter(Dates!H$6,Dates!H$7,'Day2'!$B13)</f>
        <v>0</v>
      </c>
      <c r="I13" s="7">
        <f>averageCompletionTimePorter(Dates!I$6,Dates!I$7,'Day2'!$B13)</f>
        <v>0</v>
      </c>
      <c r="J13" s="7">
        <f>averageCompletionTimePorter(Dates!J$6,Dates!J$7,'Day2'!$B13)</f>
        <v>0</v>
      </c>
      <c r="K13" s="7">
        <f>averageCompletionTimePorter(Dates!K$6,Dates!K$7,'Day2'!$B13)</f>
        <v>0</v>
      </c>
      <c r="L13" s="7">
        <f>averageCompletionTimePorter(Dates!L$6,Dates!L$7,'Day2'!$B13)</f>
        <v>0</v>
      </c>
      <c r="M13" s="7">
        <f>averageCompletionTimePorter(Dates!M$6,Dates!M$7,'Day2'!$B13)</f>
        <v>0</v>
      </c>
      <c r="N13" s="7">
        <f>averageCompletionTimePorter(Dates!N$6,Dates!N$7,'Day2'!$B13)</f>
        <v>0</v>
      </c>
      <c r="O13" s="7">
        <f>averageCompletionTimePorter(Dates!O$6,Dates!O$7,'Day2'!$B13)</f>
        <v>0</v>
      </c>
      <c r="P13" s="7">
        <f>averageCompletionTimePorter(Dates!P$6,Dates!P$7,'Day2'!$B13)</f>
        <v>0</v>
      </c>
      <c r="Q13" s="7">
        <f>averageCompletionTimePorter(Dates!Q$6,Dates!Q$7,'Day2'!$B13)</f>
        <v>0</v>
      </c>
      <c r="R13" s="7">
        <f>averageCompletionTimePorter(Dates!R$6,Dates!R$7,'Day2'!$B13)</f>
        <v>0</v>
      </c>
      <c r="S13" s="7">
        <f>averageCompletionTimePorter(Dates!S$6,Dates!S$7,'Day2'!$B13)</f>
        <v>0</v>
      </c>
      <c r="T13" s="7">
        <f>averageCompletionTimePorter(Dates!T$6,Dates!T$7,'Day2'!$B13)</f>
        <v>0</v>
      </c>
      <c r="U13" s="7">
        <f>averageCompletionTimePorter(Dates!$C$6,Dates!$T$7,'Day2'!$B13)</f>
        <v>30</v>
      </c>
    </row>
    <row r="14" spans="1:21" x14ac:dyDescent="0.3">
      <c r="B14" s="12" t="s">
        <v>149</v>
      </c>
      <c r="C14" s="7">
        <f>averageCompletionTimePorter(Dates!C$6,Dates!C$7,'Day2'!$B14)</f>
        <v>0</v>
      </c>
      <c r="D14" s="7">
        <f>averageCompletionTimePorter(Dates!D$6,Dates!D$7,'Day2'!$B14)</f>
        <v>0</v>
      </c>
      <c r="E14" s="7">
        <f>averageCompletionTimePorter(Dates!E$6,Dates!E$7,'Day2'!$B14)</f>
        <v>0</v>
      </c>
      <c r="F14" s="7">
        <f>averageCompletionTimePorter(Dates!F$6,Dates!F$7,'Day2'!$B14)</f>
        <v>0</v>
      </c>
      <c r="G14" s="7">
        <f>averageCompletionTimePorter(Dates!G$6,Dates!G$7,'Day2'!$B14)</f>
        <v>0</v>
      </c>
      <c r="H14" s="7">
        <f>averageCompletionTimePorter(Dates!H$6,Dates!H$7,'Day2'!$B14)</f>
        <v>0</v>
      </c>
      <c r="I14" s="7">
        <f>averageCompletionTimePorter(Dates!I$6,Dates!I$7,'Day2'!$B14)</f>
        <v>0</v>
      </c>
      <c r="J14" s="7">
        <f>averageCompletionTimePorter(Dates!J$6,Dates!J$7,'Day2'!$B14)</f>
        <v>0</v>
      </c>
      <c r="K14" s="7">
        <f>averageCompletionTimePorter(Dates!K$6,Dates!K$7,'Day2'!$B14)</f>
        <v>0</v>
      </c>
      <c r="L14" s="7">
        <f>averageCompletionTimePorter(Dates!L$6,Dates!L$7,'Day2'!$B14)</f>
        <v>0</v>
      </c>
      <c r="M14" s="7">
        <f>averageCompletionTimePorter(Dates!M$6,Dates!M$7,'Day2'!$B14)</f>
        <v>0</v>
      </c>
      <c r="N14" s="7">
        <f>averageCompletionTimePorter(Dates!N$6,Dates!N$7,'Day2'!$B14)</f>
        <v>0</v>
      </c>
      <c r="O14" s="7">
        <f>averageCompletionTimePorter(Dates!O$6,Dates!O$7,'Day2'!$B14)</f>
        <v>0</v>
      </c>
      <c r="P14" s="7">
        <f>averageCompletionTimePorter(Dates!P$6,Dates!P$7,'Day2'!$B14)</f>
        <v>0</v>
      </c>
      <c r="Q14" s="7">
        <f>averageCompletionTimePorter(Dates!Q$6,Dates!Q$7,'Day2'!$B14)</f>
        <v>0</v>
      </c>
      <c r="R14" s="7">
        <f>averageCompletionTimePorter(Dates!R$6,Dates!R$7,'Day2'!$B14)</f>
        <v>0</v>
      </c>
      <c r="S14" s="7">
        <f>averageCompletionTimePorter(Dates!S$6,Dates!S$7,'Day2'!$B14)</f>
        <v>0</v>
      </c>
      <c r="T14" s="7">
        <f>averageCompletionTimePorter(Dates!T$6,Dates!T$7,'Day2'!$B14)</f>
        <v>0</v>
      </c>
      <c r="U14" s="7">
        <f>averageCompletionTimePorter(Dates!$C$6,Dates!$T$7,'Day2'!$B14)</f>
        <v>0</v>
      </c>
    </row>
    <row r="15" spans="1:21" x14ac:dyDescent="0.3">
      <c r="B15" s="12" t="s">
        <v>150</v>
      </c>
      <c r="C15" s="7">
        <f>averageCompletionTimePorter(Dates!C$6,Dates!C$7,'Day2'!$B15)</f>
        <v>0</v>
      </c>
      <c r="D15" s="7">
        <f>averageCompletionTimePorter(Dates!D$6,Dates!D$7,'Day2'!$B15)</f>
        <v>0</v>
      </c>
      <c r="E15" s="7">
        <f>averageCompletionTimePorter(Dates!E$6,Dates!E$7,'Day2'!$B15)</f>
        <v>0</v>
      </c>
      <c r="F15" s="7">
        <f>averageCompletionTimePorter(Dates!F$6,Dates!F$7,'Day2'!$B15)</f>
        <v>0</v>
      </c>
      <c r="G15" s="7">
        <f>averageCompletionTimePorter(Dates!G$6,Dates!G$7,'Day2'!$B15)</f>
        <v>0</v>
      </c>
      <c r="H15" s="7">
        <f>averageCompletionTimePorter(Dates!H$6,Dates!H$7,'Day2'!$B15)</f>
        <v>0</v>
      </c>
      <c r="I15" s="7">
        <f>averageCompletionTimePorter(Dates!I$6,Dates!I$7,'Day2'!$B15)</f>
        <v>0</v>
      </c>
      <c r="J15" s="7">
        <f>averageCompletionTimePorter(Dates!J$6,Dates!J$7,'Day2'!$B15)</f>
        <v>0</v>
      </c>
      <c r="K15" s="7">
        <f>averageCompletionTimePorter(Dates!K$6,Dates!K$7,'Day2'!$B15)</f>
        <v>0</v>
      </c>
      <c r="L15" s="7">
        <f>averageCompletionTimePorter(Dates!L$6,Dates!L$7,'Day2'!$B15)</f>
        <v>0</v>
      </c>
      <c r="M15" s="7">
        <f>averageCompletionTimePorter(Dates!M$6,Dates!M$7,'Day2'!$B15)</f>
        <v>0</v>
      </c>
      <c r="N15" s="7">
        <f>averageCompletionTimePorter(Dates!N$6,Dates!N$7,'Day2'!$B15)</f>
        <v>0</v>
      </c>
      <c r="O15" s="7">
        <f>averageCompletionTimePorter(Dates!O$6,Dates!O$7,'Day2'!$B15)</f>
        <v>0</v>
      </c>
      <c r="P15" s="7">
        <f>averageCompletionTimePorter(Dates!P$6,Dates!P$7,'Day2'!$B15)</f>
        <v>0</v>
      </c>
      <c r="Q15" s="7">
        <f>averageCompletionTimePorter(Dates!Q$6,Dates!Q$7,'Day2'!$B15)</f>
        <v>0</v>
      </c>
      <c r="R15" s="7">
        <f>averageCompletionTimePorter(Dates!R$6,Dates!R$7,'Day2'!$B15)</f>
        <v>0</v>
      </c>
      <c r="S15" s="7">
        <f>averageCompletionTimePorter(Dates!S$6,Dates!S$7,'Day2'!$B15)</f>
        <v>0</v>
      </c>
      <c r="T15" s="7">
        <f>averageCompletionTimePorter(Dates!T$6,Dates!T$7,'Day2'!$B15)</f>
        <v>0</v>
      </c>
      <c r="U15" s="7">
        <f>averageCompletionTimePorter(Dates!$C$6,Dates!$T$7,'Day2'!$B15)</f>
        <v>0</v>
      </c>
    </row>
    <row r="16" spans="1:21" x14ac:dyDescent="0.3">
      <c r="B16" s="12" t="s">
        <v>151</v>
      </c>
      <c r="C16" s="7">
        <f>averageCompletionTimePorter(Dates!C$6,Dates!C$7,'Day2'!$B16)</f>
        <v>0</v>
      </c>
      <c r="D16" s="7">
        <f>averageCompletionTimePorter(Dates!D$6,Dates!D$7,'Day2'!$B16)</f>
        <v>0</v>
      </c>
      <c r="E16" s="7">
        <f>averageCompletionTimePorter(Dates!E$6,Dates!E$7,'Day2'!$B16)</f>
        <v>0</v>
      </c>
      <c r="F16" s="7">
        <f>averageCompletionTimePorter(Dates!F$6,Dates!F$7,'Day2'!$B16)</f>
        <v>0</v>
      </c>
      <c r="G16" s="7">
        <f>averageCompletionTimePorter(Dates!G$6,Dates!G$7,'Day2'!$B16)</f>
        <v>0</v>
      </c>
      <c r="H16" s="7">
        <f>averageCompletionTimePorter(Dates!H$6,Dates!H$7,'Day2'!$B16)</f>
        <v>0</v>
      </c>
      <c r="I16" s="7">
        <f>averageCompletionTimePorter(Dates!I$6,Dates!I$7,'Day2'!$B16)</f>
        <v>0</v>
      </c>
      <c r="J16" s="7">
        <f>averageCompletionTimePorter(Dates!J$6,Dates!J$7,'Day2'!$B16)</f>
        <v>0</v>
      </c>
      <c r="K16" s="7">
        <f>averageCompletionTimePorter(Dates!K$6,Dates!K$7,'Day2'!$B16)</f>
        <v>0</v>
      </c>
      <c r="L16" s="7">
        <f>averageCompletionTimePorter(Dates!L$6,Dates!L$7,'Day2'!$B16)</f>
        <v>0</v>
      </c>
      <c r="M16" s="7">
        <f>averageCompletionTimePorter(Dates!M$6,Dates!M$7,'Day2'!$B16)</f>
        <v>0</v>
      </c>
      <c r="N16" s="7">
        <f>averageCompletionTimePorter(Dates!N$6,Dates!N$7,'Day2'!$B16)</f>
        <v>0</v>
      </c>
      <c r="O16" s="7">
        <f>averageCompletionTimePorter(Dates!O$6,Dates!O$7,'Day2'!$B16)</f>
        <v>0</v>
      </c>
      <c r="P16" s="7">
        <f>averageCompletionTimePorter(Dates!P$6,Dates!P$7,'Day2'!$B16)</f>
        <v>0</v>
      </c>
      <c r="Q16" s="7">
        <f>averageCompletionTimePorter(Dates!Q$6,Dates!Q$7,'Day2'!$B16)</f>
        <v>0</v>
      </c>
      <c r="R16" s="7">
        <f>averageCompletionTimePorter(Dates!R$6,Dates!R$7,'Day2'!$B16)</f>
        <v>0</v>
      </c>
      <c r="S16" s="7">
        <f>averageCompletionTimePorter(Dates!S$6,Dates!S$7,'Day2'!$B16)</f>
        <v>0</v>
      </c>
      <c r="T16" s="7">
        <f>averageCompletionTimePorter(Dates!T$6,Dates!T$7,'Day2'!$B16)</f>
        <v>0</v>
      </c>
      <c r="U16" s="7">
        <f>averageCompletionTimePorter(Dates!$C$6,Dates!$T$7,'Day2'!$B16)</f>
        <v>0</v>
      </c>
    </row>
    <row r="17" spans="2:21" x14ac:dyDescent="0.3">
      <c r="B17" s="12" t="s">
        <v>152</v>
      </c>
      <c r="C17" s="7">
        <f>averageCompletionTimePorter(Dates!C$6,Dates!C$7,'Day2'!$B17)</f>
        <v>0</v>
      </c>
      <c r="D17" s="7">
        <f>averageCompletionTimePorter(Dates!D$6,Dates!D$7,'Day2'!$B17)</f>
        <v>0</v>
      </c>
      <c r="E17" s="7">
        <f>averageCompletionTimePorter(Dates!E$6,Dates!E$7,'Day2'!$B17)</f>
        <v>0</v>
      </c>
      <c r="F17" s="7">
        <f>averageCompletionTimePorter(Dates!F$6,Dates!F$7,'Day2'!$B17)</f>
        <v>0</v>
      </c>
      <c r="G17" s="7">
        <f>averageCompletionTimePorter(Dates!G$6,Dates!G$7,'Day2'!$B17)</f>
        <v>0</v>
      </c>
      <c r="H17" s="7">
        <f>averageCompletionTimePorter(Dates!H$6,Dates!H$7,'Day2'!$B17)</f>
        <v>0</v>
      </c>
      <c r="I17" s="7">
        <f>averageCompletionTimePorter(Dates!I$6,Dates!I$7,'Day2'!$B17)</f>
        <v>0</v>
      </c>
      <c r="J17" s="7">
        <f>averageCompletionTimePorter(Dates!J$6,Dates!J$7,'Day2'!$B17)</f>
        <v>0</v>
      </c>
      <c r="K17" s="7">
        <f>averageCompletionTimePorter(Dates!K$6,Dates!K$7,'Day2'!$B17)</f>
        <v>0</v>
      </c>
      <c r="L17" s="7">
        <f>averageCompletionTimePorter(Dates!L$6,Dates!L$7,'Day2'!$B17)</f>
        <v>0</v>
      </c>
      <c r="M17" s="7">
        <f>averageCompletionTimePorter(Dates!M$6,Dates!M$7,'Day2'!$B17)</f>
        <v>0</v>
      </c>
      <c r="N17" s="7">
        <f>averageCompletionTimePorter(Dates!N$6,Dates!N$7,'Day2'!$B17)</f>
        <v>0</v>
      </c>
      <c r="O17" s="7">
        <f>averageCompletionTimePorter(Dates!O$6,Dates!O$7,'Day2'!$B17)</f>
        <v>0</v>
      </c>
      <c r="P17" s="7">
        <f>averageCompletionTimePorter(Dates!P$6,Dates!P$7,'Day2'!$B17)</f>
        <v>0</v>
      </c>
      <c r="Q17" s="7">
        <f>averageCompletionTimePorter(Dates!Q$6,Dates!Q$7,'Day2'!$B17)</f>
        <v>0</v>
      </c>
      <c r="R17" s="7">
        <f>averageCompletionTimePorter(Dates!R$6,Dates!R$7,'Day2'!$B17)</f>
        <v>0</v>
      </c>
      <c r="S17" s="7">
        <f>averageCompletionTimePorter(Dates!S$6,Dates!S$7,'Day2'!$B17)</f>
        <v>0</v>
      </c>
      <c r="T17" s="7">
        <f>averageCompletionTimePorter(Dates!T$6,Dates!T$7,'Day2'!$B17)</f>
        <v>0</v>
      </c>
      <c r="U17" s="7">
        <f>averageCompletionTimePorter(Dates!$C$6,Dates!$T$7,'Day2'!$B17)</f>
        <v>0</v>
      </c>
    </row>
    <row r="18" spans="2:21" x14ac:dyDescent="0.3">
      <c r="B18" s="12" t="s">
        <v>153</v>
      </c>
      <c r="C18" s="7">
        <f>averageCompletionTimePorter(Dates!C$6,Dates!C$7,'Day2'!$B18)</f>
        <v>0</v>
      </c>
      <c r="D18" s="7">
        <f>averageCompletionTimePorter(Dates!D$6,Dates!D$7,'Day2'!$B18)</f>
        <v>0</v>
      </c>
      <c r="E18" s="7">
        <f>averageCompletionTimePorter(Dates!E$6,Dates!E$7,'Day2'!$B18)</f>
        <v>0</v>
      </c>
      <c r="F18" s="7">
        <f>averageCompletionTimePorter(Dates!F$6,Dates!F$7,'Day2'!$B18)</f>
        <v>0</v>
      </c>
      <c r="G18" s="7">
        <f>averageCompletionTimePorter(Dates!G$6,Dates!G$7,'Day2'!$B18)</f>
        <v>0</v>
      </c>
      <c r="H18" s="7">
        <f>averageCompletionTimePorter(Dates!H$6,Dates!H$7,'Day2'!$B18)</f>
        <v>0</v>
      </c>
      <c r="I18" s="7">
        <f>averageCompletionTimePorter(Dates!I$6,Dates!I$7,'Day2'!$B18)</f>
        <v>0</v>
      </c>
      <c r="J18" s="7">
        <f>averageCompletionTimePorter(Dates!J$6,Dates!J$7,'Day2'!$B18)</f>
        <v>0</v>
      </c>
      <c r="K18" s="7">
        <f>averageCompletionTimePorter(Dates!K$6,Dates!K$7,'Day2'!$B18)</f>
        <v>0</v>
      </c>
      <c r="L18" s="7">
        <f>averageCompletionTimePorter(Dates!L$6,Dates!L$7,'Day2'!$B18)</f>
        <v>0</v>
      </c>
      <c r="M18" s="7">
        <f>averageCompletionTimePorter(Dates!M$6,Dates!M$7,'Day2'!$B18)</f>
        <v>0</v>
      </c>
      <c r="N18" s="7">
        <f>averageCompletionTimePorter(Dates!N$6,Dates!N$7,'Day2'!$B18)</f>
        <v>0</v>
      </c>
      <c r="O18" s="7">
        <f>averageCompletionTimePorter(Dates!O$6,Dates!O$7,'Day2'!$B18)</f>
        <v>0</v>
      </c>
      <c r="P18" s="7">
        <f>averageCompletionTimePorter(Dates!P$6,Dates!P$7,'Day2'!$B18)</f>
        <v>0</v>
      </c>
      <c r="Q18" s="7">
        <f>averageCompletionTimePorter(Dates!Q$6,Dates!Q$7,'Day2'!$B18)</f>
        <v>0</v>
      </c>
      <c r="R18" s="7">
        <f>averageCompletionTimePorter(Dates!R$6,Dates!R$7,'Day2'!$B18)</f>
        <v>0</v>
      </c>
      <c r="S18" s="7">
        <f>averageCompletionTimePorter(Dates!S$6,Dates!S$7,'Day2'!$B18)</f>
        <v>0</v>
      </c>
      <c r="T18" s="7">
        <f>averageCompletionTimePorter(Dates!T$6,Dates!T$7,'Day2'!$B18)</f>
        <v>0</v>
      </c>
      <c r="U18" s="7">
        <f>averageCompletionTimePorter(Dates!$C$6,Dates!$T$7,'Day2'!$B18)</f>
        <v>0</v>
      </c>
    </row>
    <row r="19" spans="2:21" x14ac:dyDescent="0.3">
      <c r="B19" s="12" t="s">
        <v>154</v>
      </c>
      <c r="C19" s="7">
        <f>averageCompletionTimePorter(Dates!C$6,Dates!C$7,'Day2'!$B19)</f>
        <v>0</v>
      </c>
      <c r="D19" s="7">
        <f>averageCompletionTimePorter(Dates!D$6,Dates!D$7,'Day2'!$B19)</f>
        <v>0</v>
      </c>
      <c r="E19" s="7">
        <f>averageCompletionTimePorter(Dates!E$6,Dates!E$7,'Day2'!$B19)</f>
        <v>0</v>
      </c>
      <c r="F19" s="7">
        <f>averageCompletionTimePorter(Dates!F$6,Dates!F$7,'Day2'!$B19)</f>
        <v>0</v>
      </c>
      <c r="G19" s="7">
        <f>averageCompletionTimePorter(Dates!G$6,Dates!G$7,'Day2'!$B19)</f>
        <v>0</v>
      </c>
      <c r="H19" s="7">
        <f>averageCompletionTimePorter(Dates!H$6,Dates!H$7,'Day2'!$B19)</f>
        <v>0</v>
      </c>
      <c r="I19" s="7">
        <f>averageCompletionTimePorter(Dates!I$6,Dates!I$7,'Day2'!$B19)</f>
        <v>0</v>
      </c>
      <c r="J19" s="7">
        <f>averageCompletionTimePorter(Dates!J$6,Dates!J$7,'Day2'!$B19)</f>
        <v>0</v>
      </c>
      <c r="K19" s="7">
        <f>averageCompletionTimePorter(Dates!K$6,Dates!K$7,'Day2'!$B19)</f>
        <v>0</v>
      </c>
      <c r="L19" s="7">
        <f>averageCompletionTimePorter(Dates!L$6,Dates!L$7,'Day2'!$B19)</f>
        <v>0</v>
      </c>
      <c r="M19" s="7">
        <f>averageCompletionTimePorter(Dates!M$6,Dates!M$7,'Day2'!$B19)</f>
        <v>0</v>
      </c>
      <c r="N19" s="7">
        <f>averageCompletionTimePorter(Dates!N$6,Dates!N$7,'Day2'!$B19)</f>
        <v>0</v>
      </c>
      <c r="O19" s="7">
        <f>averageCompletionTimePorter(Dates!O$6,Dates!O$7,'Day2'!$B19)</f>
        <v>0</v>
      </c>
      <c r="P19" s="7">
        <f>averageCompletionTimePorter(Dates!P$6,Dates!P$7,'Day2'!$B19)</f>
        <v>0</v>
      </c>
      <c r="Q19" s="7">
        <f>averageCompletionTimePorter(Dates!Q$6,Dates!Q$7,'Day2'!$B19)</f>
        <v>0</v>
      </c>
      <c r="R19" s="7">
        <f>averageCompletionTimePorter(Dates!R$6,Dates!R$7,'Day2'!$B19)</f>
        <v>0</v>
      </c>
      <c r="S19" s="7">
        <f>averageCompletionTimePorter(Dates!S$6,Dates!S$7,'Day2'!$B19)</f>
        <v>0</v>
      </c>
      <c r="T19" s="7">
        <f>averageCompletionTimePorter(Dates!T$6,Dates!T$7,'Day2'!$B19)</f>
        <v>0</v>
      </c>
      <c r="U19" s="7">
        <f>averageCompletionTimePorter(Dates!$C$6,Dates!$T$7,'Day2'!$B19)</f>
        <v>0</v>
      </c>
    </row>
    <row r="20" spans="2:21" x14ac:dyDescent="0.3">
      <c r="B20" s="12" t="s">
        <v>155</v>
      </c>
      <c r="C20" s="7">
        <f>averageCompletionTimePorter(Dates!C$6,Dates!C$7,'Day2'!$B20)</f>
        <v>0</v>
      </c>
      <c r="D20" s="7">
        <f>averageCompletionTimePorter(Dates!D$6,Dates!D$7,'Day2'!$B20)</f>
        <v>0</v>
      </c>
      <c r="E20" s="7">
        <f>averageCompletionTimePorter(Dates!E$6,Dates!E$7,'Day2'!$B20)</f>
        <v>0</v>
      </c>
      <c r="F20" s="7">
        <f>averageCompletionTimePorter(Dates!F$6,Dates!F$7,'Day2'!$B20)</f>
        <v>0</v>
      </c>
      <c r="G20" s="7">
        <f>averageCompletionTimePorter(Dates!G$6,Dates!G$7,'Day2'!$B20)</f>
        <v>0</v>
      </c>
      <c r="H20" s="7">
        <f>averageCompletionTimePorter(Dates!H$6,Dates!H$7,'Day2'!$B20)</f>
        <v>0</v>
      </c>
      <c r="I20" s="7">
        <f>averageCompletionTimePorter(Dates!I$6,Dates!I$7,'Day2'!$B20)</f>
        <v>0</v>
      </c>
      <c r="J20" s="7">
        <f>averageCompletionTimePorter(Dates!J$6,Dates!J$7,'Day2'!$B20)</f>
        <v>0</v>
      </c>
      <c r="K20" s="7">
        <f>averageCompletionTimePorter(Dates!K$6,Dates!K$7,'Day2'!$B20)</f>
        <v>0</v>
      </c>
      <c r="L20" s="7">
        <f>averageCompletionTimePorter(Dates!L$6,Dates!L$7,'Day2'!$B20)</f>
        <v>0</v>
      </c>
      <c r="M20" s="7">
        <f>averageCompletionTimePorter(Dates!M$6,Dates!M$7,'Day2'!$B20)</f>
        <v>0</v>
      </c>
      <c r="N20" s="7">
        <f>averageCompletionTimePorter(Dates!N$6,Dates!N$7,'Day2'!$B20)</f>
        <v>0</v>
      </c>
      <c r="O20" s="7">
        <f>averageCompletionTimePorter(Dates!O$6,Dates!O$7,'Day2'!$B20)</f>
        <v>0</v>
      </c>
      <c r="P20" s="7">
        <f>averageCompletionTimePorter(Dates!P$6,Dates!P$7,'Day2'!$B20)</f>
        <v>0</v>
      </c>
      <c r="Q20" s="7">
        <f>averageCompletionTimePorter(Dates!Q$6,Dates!Q$7,'Day2'!$B20)</f>
        <v>0</v>
      </c>
      <c r="R20" s="7">
        <f>averageCompletionTimePorter(Dates!R$6,Dates!R$7,'Day2'!$B20)</f>
        <v>0</v>
      </c>
      <c r="S20" s="7">
        <f>averageCompletionTimePorter(Dates!S$6,Dates!S$7,'Day2'!$B20)</f>
        <v>0</v>
      </c>
      <c r="T20" s="7">
        <f>averageCompletionTimePorter(Dates!T$6,Dates!T$7,'Day2'!$B20)</f>
        <v>0</v>
      </c>
      <c r="U20" s="7">
        <f>averageCompletionTimePorter(Dates!$C$6,Dates!$T$7,'Day2'!$B20)</f>
        <v>0</v>
      </c>
    </row>
    <row r="21" spans="2:21" x14ac:dyDescent="0.3">
      <c r="B21" s="12" t="s">
        <v>156</v>
      </c>
      <c r="C21" s="7">
        <f>averageCompletionTimePorter(Dates!C$6,Dates!C$7,'Day2'!$B21)</f>
        <v>0</v>
      </c>
      <c r="D21" s="7">
        <f>averageCompletionTimePorter(Dates!D$6,Dates!D$7,'Day2'!$B21)</f>
        <v>0</v>
      </c>
      <c r="E21" s="7">
        <f>averageCompletionTimePorter(Dates!E$6,Dates!E$7,'Day2'!$B21)</f>
        <v>0</v>
      </c>
      <c r="F21" s="7">
        <f>averageCompletionTimePorter(Dates!F$6,Dates!F$7,'Day2'!$B21)</f>
        <v>0</v>
      </c>
      <c r="G21" s="7">
        <f>averageCompletionTimePorter(Dates!G$6,Dates!G$7,'Day2'!$B21)</f>
        <v>0</v>
      </c>
      <c r="H21" s="7">
        <f>averageCompletionTimePorter(Dates!H$6,Dates!H$7,'Day2'!$B21)</f>
        <v>0</v>
      </c>
      <c r="I21" s="7">
        <f>averageCompletionTimePorter(Dates!I$6,Dates!I$7,'Day2'!$B21)</f>
        <v>0</v>
      </c>
      <c r="J21" s="7">
        <f>averageCompletionTimePorter(Dates!J$6,Dates!J$7,'Day2'!$B21)</f>
        <v>0</v>
      </c>
      <c r="K21" s="7">
        <f>averageCompletionTimePorter(Dates!K$6,Dates!K$7,'Day2'!$B21)</f>
        <v>0</v>
      </c>
      <c r="L21" s="7">
        <f>averageCompletionTimePorter(Dates!L$6,Dates!L$7,'Day2'!$B21)</f>
        <v>0</v>
      </c>
      <c r="M21" s="7">
        <f>averageCompletionTimePorter(Dates!M$6,Dates!M$7,'Day2'!$B21)</f>
        <v>0</v>
      </c>
      <c r="N21" s="7">
        <f>averageCompletionTimePorter(Dates!N$6,Dates!N$7,'Day2'!$B21)</f>
        <v>0</v>
      </c>
      <c r="O21" s="7">
        <f>averageCompletionTimePorter(Dates!O$6,Dates!O$7,'Day2'!$B21)</f>
        <v>0</v>
      </c>
      <c r="P21" s="7">
        <f>averageCompletionTimePorter(Dates!P$6,Dates!P$7,'Day2'!$B21)</f>
        <v>0</v>
      </c>
      <c r="Q21" s="7">
        <f>averageCompletionTimePorter(Dates!Q$6,Dates!Q$7,'Day2'!$B21)</f>
        <v>0</v>
      </c>
      <c r="R21" s="7">
        <f>averageCompletionTimePorter(Dates!R$6,Dates!R$7,'Day2'!$B21)</f>
        <v>0</v>
      </c>
      <c r="S21" s="7">
        <f>averageCompletionTimePorter(Dates!S$6,Dates!S$7,'Day2'!$B21)</f>
        <v>0</v>
      </c>
      <c r="T21" s="7">
        <f>averageCompletionTimePorter(Dates!T$6,Dates!T$7,'Day2'!$B21)</f>
        <v>0</v>
      </c>
      <c r="U21" s="7">
        <f>averageCompletionTimePorter(Dates!$C$6,Dates!$T$7,'Day2'!$B21)</f>
        <v>0</v>
      </c>
    </row>
    <row r="22" spans="2:21" x14ac:dyDescent="0.3">
      <c r="B22" s="12" t="s">
        <v>157</v>
      </c>
      <c r="C22" s="7">
        <f>averageCompletionTimePorter(Dates!C$6,Dates!C$7,'Day2'!$B22)</f>
        <v>0</v>
      </c>
      <c r="D22" s="7">
        <f>averageCompletionTimePorter(Dates!D$6,Dates!D$7,'Day2'!$B22)</f>
        <v>0</v>
      </c>
      <c r="E22" s="7">
        <f>averageCompletionTimePorter(Dates!E$6,Dates!E$7,'Day2'!$B22)</f>
        <v>0</v>
      </c>
      <c r="F22" s="7">
        <f>averageCompletionTimePorter(Dates!F$6,Dates!F$7,'Day2'!$B22)</f>
        <v>0</v>
      </c>
      <c r="G22" s="7">
        <f>averageCompletionTimePorter(Dates!G$6,Dates!G$7,'Day2'!$B22)</f>
        <v>0</v>
      </c>
      <c r="H22" s="7">
        <f>averageCompletionTimePorter(Dates!H$6,Dates!H$7,'Day2'!$B22)</f>
        <v>0</v>
      </c>
      <c r="I22" s="7">
        <f>averageCompletionTimePorter(Dates!I$6,Dates!I$7,'Day2'!$B22)</f>
        <v>0</v>
      </c>
      <c r="J22" s="7">
        <f>averageCompletionTimePorter(Dates!J$6,Dates!J$7,'Day2'!$B22)</f>
        <v>0</v>
      </c>
      <c r="K22" s="7">
        <f>averageCompletionTimePorter(Dates!K$6,Dates!K$7,'Day2'!$B22)</f>
        <v>0</v>
      </c>
      <c r="L22" s="7">
        <f>averageCompletionTimePorter(Dates!L$6,Dates!L$7,'Day2'!$B22)</f>
        <v>0</v>
      </c>
      <c r="M22" s="7">
        <f>averageCompletionTimePorter(Dates!M$6,Dates!M$7,'Day2'!$B22)</f>
        <v>0</v>
      </c>
      <c r="N22" s="7">
        <f>averageCompletionTimePorter(Dates!N$6,Dates!N$7,'Day2'!$B22)</f>
        <v>0</v>
      </c>
      <c r="O22" s="7">
        <f>averageCompletionTimePorter(Dates!O$6,Dates!O$7,'Day2'!$B22)</f>
        <v>0</v>
      </c>
      <c r="P22" s="7">
        <f>averageCompletionTimePorter(Dates!P$6,Dates!P$7,'Day2'!$B22)</f>
        <v>0</v>
      </c>
      <c r="Q22" s="7">
        <f>averageCompletionTimePorter(Dates!Q$6,Dates!Q$7,'Day2'!$B22)</f>
        <v>0</v>
      </c>
      <c r="R22" s="7">
        <f>averageCompletionTimePorter(Dates!R$6,Dates!R$7,'Day2'!$B22)</f>
        <v>0</v>
      </c>
      <c r="S22" s="7">
        <f>averageCompletionTimePorter(Dates!S$6,Dates!S$7,'Day2'!$B22)</f>
        <v>0</v>
      </c>
      <c r="T22" s="7">
        <f>averageCompletionTimePorter(Dates!T$6,Dates!T$7,'Day2'!$B22)</f>
        <v>0</v>
      </c>
      <c r="U22" s="7">
        <f>averageCompletionTimePorter(Dates!$C$6,Dates!$T$7,'Day2'!$B22)</f>
        <v>0</v>
      </c>
    </row>
    <row r="23" spans="2:21" x14ac:dyDescent="0.3">
      <c r="B23" s="12" t="s">
        <v>158</v>
      </c>
      <c r="C23" s="7">
        <f>averageCompletionTimePorter(Dates!C$6,Dates!C$7,'Day2'!$B23)</f>
        <v>0</v>
      </c>
      <c r="D23" s="7">
        <f>averageCompletionTimePorter(Dates!D$6,Dates!D$7,'Day2'!$B23)</f>
        <v>0</v>
      </c>
      <c r="E23" s="7">
        <f>averageCompletionTimePorter(Dates!E$6,Dates!E$7,'Day2'!$B23)</f>
        <v>0</v>
      </c>
      <c r="F23" s="7">
        <f>averageCompletionTimePorter(Dates!F$6,Dates!F$7,'Day2'!$B23)</f>
        <v>0</v>
      </c>
      <c r="G23" s="7">
        <f>averageCompletionTimePorter(Dates!G$6,Dates!G$7,'Day2'!$B23)</f>
        <v>0</v>
      </c>
      <c r="H23" s="7">
        <f>averageCompletionTimePorter(Dates!H$6,Dates!H$7,'Day2'!$B23)</f>
        <v>0</v>
      </c>
      <c r="I23" s="7">
        <f>averageCompletionTimePorter(Dates!I$6,Dates!I$7,'Day2'!$B23)</f>
        <v>0</v>
      </c>
      <c r="J23" s="7">
        <f>averageCompletionTimePorter(Dates!J$6,Dates!J$7,'Day2'!$B23)</f>
        <v>0</v>
      </c>
      <c r="K23" s="7">
        <f>averageCompletionTimePorter(Dates!K$6,Dates!K$7,'Day2'!$B23)</f>
        <v>0</v>
      </c>
      <c r="L23" s="7">
        <f>averageCompletionTimePorter(Dates!L$6,Dates!L$7,'Day2'!$B23)</f>
        <v>0</v>
      </c>
      <c r="M23" s="7">
        <f>averageCompletionTimePorter(Dates!M$6,Dates!M$7,'Day2'!$B23)</f>
        <v>0</v>
      </c>
      <c r="N23" s="7">
        <f>averageCompletionTimePorter(Dates!N$6,Dates!N$7,'Day2'!$B23)</f>
        <v>0</v>
      </c>
      <c r="O23" s="7">
        <f>averageCompletionTimePorter(Dates!O$6,Dates!O$7,'Day2'!$B23)</f>
        <v>0</v>
      </c>
      <c r="P23" s="7">
        <f>averageCompletionTimePorter(Dates!P$6,Dates!P$7,'Day2'!$B23)</f>
        <v>0</v>
      </c>
      <c r="Q23" s="7">
        <f>averageCompletionTimePorter(Dates!Q$6,Dates!Q$7,'Day2'!$B23)</f>
        <v>0</v>
      </c>
      <c r="R23" s="7">
        <f>averageCompletionTimePorter(Dates!R$6,Dates!R$7,'Day2'!$B23)</f>
        <v>0</v>
      </c>
      <c r="S23" s="7">
        <f>averageCompletionTimePorter(Dates!S$6,Dates!S$7,'Day2'!$B23)</f>
        <v>0</v>
      </c>
      <c r="T23" s="7">
        <f>averageCompletionTimePorter(Dates!T$6,Dates!T$7,'Day2'!$B23)</f>
        <v>0</v>
      </c>
      <c r="U23" s="7">
        <f>averageCompletionTimePorter(Dates!$C$6,Dates!$T$7,'Day2'!$B23)</f>
        <v>0</v>
      </c>
    </row>
    <row r="25" spans="2:21" x14ac:dyDescent="0.3">
      <c r="B25" s="11" t="s">
        <v>148</v>
      </c>
      <c r="C25" s="7">
        <f>averageResponseTime(Dates!C6,Dates!C7)</f>
        <v>1.9473684210526316</v>
      </c>
      <c r="D25" s="7">
        <f>averageResponseTime(Dates!D6,Dates!D7)</f>
        <v>0</v>
      </c>
      <c r="E25" s="7">
        <f>averageResponseTime(Dates!E6,Dates!E7)</f>
        <v>0</v>
      </c>
      <c r="F25" s="7">
        <f>averageResponseTime(Dates!F6,Dates!F7)</f>
        <v>0</v>
      </c>
      <c r="G25" s="7">
        <f>averageResponseTime(Dates!G6,Dates!G7)</f>
        <v>0</v>
      </c>
      <c r="H25" s="7">
        <f>averageResponseTime(Dates!H6,Dates!H7)</f>
        <v>0</v>
      </c>
      <c r="I25" s="7">
        <f>averageResponseTime(Dates!I6,Dates!I7)</f>
        <v>0</v>
      </c>
      <c r="J25" s="7">
        <f>averageResponseTime(Dates!J6,Dates!J7)</f>
        <v>0</v>
      </c>
      <c r="K25" s="7">
        <f>averageResponseTime(Dates!K6,Dates!K7)</f>
        <v>0</v>
      </c>
      <c r="L25" s="7">
        <f>averageResponseTime(Dates!L6,Dates!L7)</f>
        <v>0</v>
      </c>
      <c r="M25" s="7">
        <f>averageResponseTime(Dates!M6,Dates!M7)</f>
        <v>0</v>
      </c>
      <c r="N25" s="7">
        <f>averageResponseTime(Dates!N6,Dates!N7)</f>
        <v>0</v>
      </c>
      <c r="O25" s="7">
        <f>averageResponseTime(Dates!O6,Dates!O7)</f>
        <v>0</v>
      </c>
      <c r="P25" s="7">
        <f>averageResponseTime(Dates!P6,Dates!P7)</f>
        <v>0</v>
      </c>
      <c r="Q25" s="7">
        <f>averageResponseTime(Dates!Q6,Dates!Q7)</f>
        <v>0</v>
      </c>
      <c r="R25" s="7">
        <f>averageResponseTime(Dates!R6,Dates!R7)</f>
        <v>0</v>
      </c>
      <c r="S25" s="7">
        <f>averageResponseTime(Dates!S6,Dates!S7)</f>
        <v>0</v>
      </c>
      <c r="T25" s="7">
        <f>averageResponseTime(Dates!T6,Dates!T7)</f>
        <v>0</v>
      </c>
      <c r="U25" s="7">
        <f>averageResponseTime(Dates!C6,Dates!T7)</f>
        <v>0</v>
      </c>
    </row>
    <row r="26" spans="2:21" x14ac:dyDescent="0.3">
      <c r="B26" s="11">
        <f t="shared" ref="B26:B36" si="0">B3</f>
        <v>3</v>
      </c>
      <c r="C26" s="7">
        <f>averageResponseTimePorter(Dates!C$6,Dates!C$7,'Day2'!$B26)</f>
        <v>0</v>
      </c>
      <c r="D26" s="7">
        <f>averageResponseTimePorter(Dates!D$6,Dates!D$7,'Day2'!$B26)</f>
        <v>0</v>
      </c>
      <c r="E26" s="7">
        <f>averageResponseTimePorter(Dates!E$6,Dates!E$7,'Day2'!$B26)</f>
        <v>0</v>
      </c>
      <c r="F26" s="7">
        <f>averageResponseTimePorter(Dates!F$6,Dates!F$7,'Day2'!$B26)</f>
        <v>0</v>
      </c>
      <c r="G26" s="7">
        <f>averageResponseTimePorter(Dates!G$6,Dates!G$7,'Day2'!$B26)</f>
        <v>0</v>
      </c>
      <c r="H26" s="7">
        <f>averageResponseTimePorter(Dates!H$6,Dates!H$7,'Day2'!$B26)</f>
        <v>0</v>
      </c>
      <c r="I26" s="7">
        <f>averageResponseTimePorter(Dates!I$6,Dates!I$7,'Day2'!$B26)</f>
        <v>0</v>
      </c>
      <c r="J26" s="7">
        <f>averageResponseTimePorter(Dates!J$6,Dates!J$7,'Day2'!$B26)</f>
        <v>0</v>
      </c>
      <c r="K26" s="7">
        <f>averageResponseTimePorter(Dates!K$6,Dates!K$7,'Day2'!$B26)</f>
        <v>0</v>
      </c>
      <c r="L26" s="7">
        <f>averageResponseTimePorter(Dates!L$6,Dates!L$7,'Day2'!$B26)</f>
        <v>0</v>
      </c>
      <c r="M26" s="7">
        <f>averageResponseTimePorter(Dates!M$6,Dates!M$7,'Day2'!$B26)</f>
        <v>0</v>
      </c>
      <c r="N26" s="7">
        <f>averageResponseTimePorter(Dates!N$6,Dates!N$7,'Day2'!$B26)</f>
        <v>0</v>
      </c>
      <c r="O26" s="7">
        <f>averageResponseTimePorter(Dates!O$6,Dates!O$7,'Day2'!$B26)</f>
        <v>0</v>
      </c>
      <c r="P26" s="7">
        <f>averageResponseTimePorter(Dates!P$6,Dates!P$7,'Day2'!$B26)</f>
        <v>0</v>
      </c>
      <c r="Q26" s="7">
        <f>averageResponseTimePorter(Dates!Q$6,Dates!Q$7,'Day2'!$B26)</f>
        <v>0</v>
      </c>
      <c r="R26" s="7">
        <f>averageResponseTimePorter(Dates!R$6,Dates!R$7,'Day2'!$B26)</f>
        <v>0</v>
      </c>
      <c r="S26" s="7">
        <f>averageResponseTimePorter(Dates!S$6,Dates!S$7,'Day2'!$B26)</f>
        <v>0</v>
      </c>
      <c r="T26" s="7">
        <f>averageResponseTimePorter(Dates!T$6,Dates!T$7,'Day2'!$B26)</f>
        <v>0</v>
      </c>
      <c r="U26" s="7">
        <f>averageResponseTimePorter(Dates!$C$6,Dates!$T$7,'Day2'!$B3)</f>
        <v>0</v>
      </c>
    </row>
    <row r="27" spans="2:21" x14ac:dyDescent="0.3">
      <c r="B27" s="11">
        <f t="shared" si="0"/>
        <v>2</v>
      </c>
      <c r="C27" s="7">
        <f>averageResponseTimePorter(Dates!C$6,Dates!C$7,'Day2'!$B27)</f>
        <v>31</v>
      </c>
      <c r="D27" s="7">
        <f>averageResponseTimePorter(Dates!D$6,Dates!D$7,'Day2'!$B27)</f>
        <v>0</v>
      </c>
      <c r="E27" s="7">
        <f>averageResponseTimePorter(Dates!E$6,Dates!E$7,'Day2'!$B27)</f>
        <v>0</v>
      </c>
      <c r="F27" s="7">
        <f>averageResponseTimePorter(Dates!F$6,Dates!F$7,'Day2'!$B27)</f>
        <v>0</v>
      </c>
      <c r="G27" s="7">
        <f>averageResponseTimePorter(Dates!G$6,Dates!G$7,'Day2'!$B27)</f>
        <v>0</v>
      </c>
      <c r="H27" s="7">
        <f>averageResponseTimePorter(Dates!H$6,Dates!H$7,'Day2'!$B27)</f>
        <v>0</v>
      </c>
      <c r="I27" s="7">
        <f>averageResponseTimePorter(Dates!I$6,Dates!I$7,'Day2'!$B27)</f>
        <v>0</v>
      </c>
      <c r="J27" s="7">
        <f>averageResponseTimePorter(Dates!J$6,Dates!J$7,'Day2'!$B27)</f>
        <v>0</v>
      </c>
      <c r="K27" s="7">
        <f>averageResponseTimePorter(Dates!K$6,Dates!K$7,'Day2'!$B27)</f>
        <v>0</v>
      </c>
      <c r="L27" s="7">
        <f>averageResponseTimePorter(Dates!L$6,Dates!L$7,'Day2'!$B27)</f>
        <v>0</v>
      </c>
      <c r="M27" s="7">
        <f>averageResponseTimePorter(Dates!M$6,Dates!M$7,'Day2'!$B27)</f>
        <v>0</v>
      </c>
      <c r="N27" s="7">
        <f>averageResponseTimePorter(Dates!N$6,Dates!N$7,'Day2'!$B27)</f>
        <v>0</v>
      </c>
      <c r="O27" s="7">
        <f>averageResponseTimePorter(Dates!O$6,Dates!O$7,'Day2'!$B27)</f>
        <v>0</v>
      </c>
      <c r="P27" s="7">
        <f>averageResponseTimePorter(Dates!P$6,Dates!P$7,'Day2'!$B27)</f>
        <v>0</v>
      </c>
      <c r="Q27" s="7">
        <f>averageResponseTimePorter(Dates!Q$6,Dates!Q$7,'Day2'!$B27)</f>
        <v>0</v>
      </c>
      <c r="R27" s="7">
        <f>averageResponseTimePorter(Dates!R$6,Dates!R$7,'Day2'!$B27)</f>
        <v>0</v>
      </c>
      <c r="S27" s="7">
        <f>averageResponseTimePorter(Dates!S$6,Dates!S$7,'Day2'!$B27)</f>
        <v>0</v>
      </c>
      <c r="T27" s="7">
        <f>averageResponseTimePorter(Dates!T$6,Dates!T$7,'Day2'!$B27)</f>
        <v>0</v>
      </c>
      <c r="U27" s="7">
        <f>averageResponseTimePorter(Dates!$C$6,Dates!$T$7,'Day2'!$B4)</f>
        <v>31</v>
      </c>
    </row>
    <row r="28" spans="2:21" x14ac:dyDescent="0.3">
      <c r="B28" s="11">
        <f t="shared" si="0"/>
        <v>5</v>
      </c>
      <c r="C28" s="7">
        <f>averageResponseTimePorter(Dates!C$6,Dates!C$7,'Day2'!$B28)</f>
        <v>0</v>
      </c>
      <c r="D28" s="7">
        <f>averageResponseTimePorter(Dates!D$6,Dates!D$7,'Day2'!$B28)</f>
        <v>0</v>
      </c>
      <c r="E28" s="7">
        <f>averageResponseTimePorter(Dates!E$6,Dates!E$7,'Day2'!$B28)</f>
        <v>0</v>
      </c>
      <c r="F28" s="7">
        <f>averageResponseTimePorter(Dates!F$6,Dates!F$7,'Day2'!$B28)</f>
        <v>0</v>
      </c>
      <c r="G28" s="7">
        <f>averageResponseTimePorter(Dates!G$6,Dates!G$7,'Day2'!$B28)</f>
        <v>0</v>
      </c>
      <c r="H28" s="7">
        <f>averageResponseTimePorter(Dates!H$6,Dates!H$7,'Day2'!$B28)</f>
        <v>0</v>
      </c>
      <c r="I28" s="7">
        <f>averageResponseTimePorter(Dates!I$6,Dates!I$7,'Day2'!$B28)</f>
        <v>0</v>
      </c>
      <c r="J28" s="7">
        <f>averageResponseTimePorter(Dates!J$6,Dates!J$7,'Day2'!$B28)</f>
        <v>0</v>
      </c>
      <c r="K28" s="7">
        <f>averageResponseTimePorter(Dates!K$6,Dates!K$7,'Day2'!$B28)</f>
        <v>0</v>
      </c>
      <c r="L28" s="7">
        <f>averageResponseTimePorter(Dates!L$6,Dates!L$7,'Day2'!$B28)</f>
        <v>0</v>
      </c>
      <c r="M28" s="7">
        <f>averageResponseTimePorter(Dates!M$6,Dates!M$7,'Day2'!$B28)</f>
        <v>0</v>
      </c>
      <c r="N28" s="7">
        <f>averageResponseTimePorter(Dates!N$6,Dates!N$7,'Day2'!$B28)</f>
        <v>0</v>
      </c>
      <c r="O28" s="7">
        <f>averageResponseTimePorter(Dates!O$6,Dates!O$7,'Day2'!$B28)</f>
        <v>0</v>
      </c>
      <c r="P28" s="7">
        <f>averageResponseTimePorter(Dates!P$6,Dates!P$7,'Day2'!$B28)</f>
        <v>0</v>
      </c>
      <c r="Q28" s="7">
        <f>averageResponseTimePorter(Dates!Q$6,Dates!Q$7,'Day2'!$B28)</f>
        <v>0</v>
      </c>
      <c r="R28" s="7">
        <f>averageResponseTimePorter(Dates!R$6,Dates!R$7,'Day2'!$B28)</f>
        <v>0</v>
      </c>
      <c r="S28" s="7">
        <f>averageResponseTimePorter(Dates!S$6,Dates!S$7,'Day2'!$B28)</f>
        <v>0</v>
      </c>
      <c r="T28" s="7">
        <f>averageResponseTimePorter(Dates!T$6,Dates!T$7,'Day2'!$B28)</f>
        <v>0</v>
      </c>
      <c r="U28" s="7">
        <f>averageResponseTimePorter(Dates!$C$6,Dates!$T$7,'Day2'!$B5)</f>
        <v>0</v>
      </c>
    </row>
    <row r="29" spans="2:21" x14ac:dyDescent="0.3">
      <c r="B29" s="11">
        <f t="shared" si="0"/>
        <v>0</v>
      </c>
      <c r="C29" s="7">
        <f>averageResponseTimePorter(Dates!C$6,Dates!C$7,'Day2'!$B29)</f>
        <v>0</v>
      </c>
      <c r="D29" s="7">
        <f>averageResponseTimePorter(Dates!D$6,Dates!D$7,'Day2'!$B29)</f>
        <v>0</v>
      </c>
      <c r="E29" s="7">
        <f>averageResponseTimePorter(Dates!E$6,Dates!E$7,'Day2'!$B29)</f>
        <v>0</v>
      </c>
      <c r="F29" s="7">
        <f>averageResponseTimePorter(Dates!F$6,Dates!F$7,'Day2'!$B29)</f>
        <v>0</v>
      </c>
      <c r="G29" s="7">
        <f>averageResponseTimePorter(Dates!G$6,Dates!G$7,'Day2'!$B29)</f>
        <v>0</v>
      </c>
      <c r="H29" s="7">
        <f>averageResponseTimePorter(Dates!H$6,Dates!H$7,'Day2'!$B29)</f>
        <v>0</v>
      </c>
      <c r="I29" s="7">
        <f>averageResponseTimePorter(Dates!I$6,Dates!I$7,'Day2'!$B29)</f>
        <v>0</v>
      </c>
      <c r="J29" s="7">
        <f>averageResponseTimePorter(Dates!J$6,Dates!J$7,'Day2'!$B29)</f>
        <v>0</v>
      </c>
      <c r="K29" s="7">
        <f>averageResponseTimePorter(Dates!K$6,Dates!K$7,'Day2'!$B29)</f>
        <v>0</v>
      </c>
      <c r="L29" s="7">
        <f>averageResponseTimePorter(Dates!L$6,Dates!L$7,'Day2'!$B29)</f>
        <v>0</v>
      </c>
      <c r="M29" s="7">
        <f>averageResponseTimePorter(Dates!M$6,Dates!M$7,'Day2'!$B29)</f>
        <v>0</v>
      </c>
      <c r="N29" s="7">
        <f>averageResponseTimePorter(Dates!N$6,Dates!N$7,'Day2'!$B29)</f>
        <v>0</v>
      </c>
      <c r="O29" s="7">
        <f>averageResponseTimePorter(Dates!O$6,Dates!O$7,'Day2'!$B29)</f>
        <v>0</v>
      </c>
      <c r="P29" s="7">
        <f>averageResponseTimePorter(Dates!P$6,Dates!P$7,'Day2'!$B29)</f>
        <v>0</v>
      </c>
      <c r="Q29" s="7">
        <f>averageResponseTimePorter(Dates!Q$6,Dates!Q$7,'Day2'!$B29)</f>
        <v>0</v>
      </c>
      <c r="R29" s="7">
        <f>averageResponseTimePorter(Dates!R$6,Dates!R$7,'Day2'!$B29)</f>
        <v>0</v>
      </c>
      <c r="S29" s="7">
        <f>averageResponseTimePorter(Dates!S$6,Dates!S$7,'Day2'!$B29)</f>
        <v>0</v>
      </c>
      <c r="T29" s="7">
        <f>averageResponseTimePorter(Dates!T$6,Dates!T$7,'Day2'!$B29)</f>
        <v>0</v>
      </c>
      <c r="U29" s="7">
        <f>averageResponseTimePorter(Dates!$C$6,Dates!$T$7,'Day2'!$B6)</f>
        <v>0</v>
      </c>
    </row>
    <row r="30" spans="2:21" x14ac:dyDescent="0.3">
      <c r="B30" s="11">
        <f t="shared" si="0"/>
        <v>4</v>
      </c>
      <c r="C30" s="7">
        <f>averageResponseTimePorter(Dates!C$6,Dates!C$7,'Day2'!$B30)</f>
        <v>22.5</v>
      </c>
      <c r="D30" s="7">
        <f>averageResponseTimePorter(Dates!D$6,Dates!D$7,'Day2'!$B30)</f>
        <v>0</v>
      </c>
      <c r="E30" s="7">
        <f>averageResponseTimePorter(Dates!E$6,Dates!E$7,'Day2'!$B30)</f>
        <v>0</v>
      </c>
      <c r="F30" s="7">
        <f>averageResponseTimePorter(Dates!F$6,Dates!F$7,'Day2'!$B30)</f>
        <v>0</v>
      </c>
      <c r="G30" s="7">
        <f>averageResponseTimePorter(Dates!G$6,Dates!G$7,'Day2'!$B30)</f>
        <v>0</v>
      </c>
      <c r="H30" s="7">
        <f>averageResponseTimePorter(Dates!H$6,Dates!H$7,'Day2'!$B30)</f>
        <v>0</v>
      </c>
      <c r="I30" s="7">
        <f>averageResponseTimePorter(Dates!I$6,Dates!I$7,'Day2'!$B30)</f>
        <v>0</v>
      </c>
      <c r="J30" s="7">
        <f>averageResponseTimePorter(Dates!J$6,Dates!J$7,'Day2'!$B30)</f>
        <v>0</v>
      </c>
      <c r="K30" s="7">
        <f>averageResponseTimePorter(Dates!K$6,Dates!K$7,'Day2'!$B30)</f>
        <v>0</v>
      </c>
      <c r="L30" s="7">
        <f>averageResponseTimePorter(Dates!L$6,Dates!L$7,'Day2'!$B30)</f>
        <v>0</v>
      </c>
      <c r="M30" s="7">
        <f>averageResponseTimePorter(Dates!M$6,Dates!M$7,'Day2'!$B30)</f>
        <v>0</v>
      </c>
      <c r="N30" s="7">
        <f>averageResponseTimePorter(Dates!N$6,Dates!N$7,'Day2'!$B30)</f>
        <v>0</v>
      </c>
      <c r="O30" s="7">
        <f>averageResponseTimePorter(Dates!O$6,Dates!O$7,'Day2'!$B30)</f>
        <v>0</v>
      </c>
      <c r="P30" s="7">
        <f>averageResponseTimePorter(Dates!P$6,Dates!P$7,'Day2'!$B30)</f>
        <v>0</v>
      </c>
      <c r="Q30" s="7">
        <f>averageResponseTimePorter(Dates!Q$6,Dates!Q$7,'Day2'!$B30)</f>
        <v>0</v>
      </c>
      <c r="R30" s="7">
        <f>averageResponseTimePorter(Dates!R$6,Dates!R$7,'Day2'!$B30)</f>
        <v>0</v>
      </c>
      <c r="S30" s="7">
        <f>averageResponseTimePorter(Dates!S$6,Dates!S$7,'Day2'!$B30)</f>
        <v>0</v>
      </c>
      <c r="T30" s="7">
        <f>averageResponseTimePorter(Dates!T$6,Dates!T$7,'Day2'!$B30)</f>
        <v>0</v>
      </c>
      <c r="U30" s="7">
        <f>averageResponseTimePorter(Dates!$C$6,Dates!$T$7,'Day2'!$B7)</f>
        <v>22.5</v>
      </c>
    </row>
    <row r="31" spans="2:21" x14ac:dyDescent="0.3">
      <c r="B31" s="11">
        <f t="shared" si="0"/>
        <v>8</v>
      </c>
      <c r="C31" s="7">
        <f>averageResponseTimePorter(Dates!C$6,Dates!C$7,'Day2'!$B31)</f>
        <v>1.5</v>
      </c>
      <c r="D31" s="7">
        <f>averageResponseTimePorter(Dates!D$6,Dates!D$7,'Day2'!$B31)</f>
        <v>0</v>
      </c>
      <c r="E31" s="7">
        <f>averageResponseTimePorter(Dates!E$6,Dates!E$7,'Day2'!$B31)</f>
        <v>0</v>
      </c>
      <c r="F31" s="7">
        <f>averageResponseTimePorter(Dates!F$6,Dates!F$7,'Day2'!$B31)</f>
        <v>0</v>
      </c>
      <c r="G31" s="7">
        <f>averageResponseTimePorter(Dates!G$6,Dates!G$7,'Day2'!$B31)</f>
        <v>0</v>
      </c>
      <c r="H31" s="7">
        <f>averageResponseTimePorter(Dates!H$6,Dates!H$7,'Day2'!$B31)</f>
        <v>0</v>
      </c>
      <c r="I31" s="7">
        <f>averageResponseTimePorter(Dates!I$6,Dates!I$7,'Day2'!$B31)</f>
        <v>0</v>
      </c>
      <c r="J31" s="7">
        <f>averageResponseTimePorter(Dates!J$6,Dates!J$7,'Day2'!$B31)</f>
        <v>0</v>
      </c>
      <c r="K31" s="7">
        <f>averageResponseTimePorter(Dates!K$6,Dates!K$7,'Day2'!$B31)</f>
        <v>0</v>
      </c>
      <c r="L31" s="7">
        <f>averageResponseTimePorter(Dates!L$6,Dates!L$7,'Day2'!$B31)</f>
        <v>0</v>
      </c>
      <c r="M31" s="7">
        <f>averageResponseTimePorter(Dates!M$6,Dates!M$7,'Day2'!$B31)</f>
        <v>0</v>
      </c>
      <c r="N31" s="7">
        <f>averageResponseTimePorter(Dates!N$6,Dates!N$7,'Day2'!$B31)</f>
        <v>0</v>
      </c>
      <c r="O31" s="7">
        <f>averageResponseTimePorter(Dates!O$6,Dates!O$7,'Day2'!$B31)</f>
        <v>0</v>
      </c>
      <c r="P31" s="7">
        <f>averageResponseTimePorter(Dates!P$6,Dates!P$7,'Day2'!$B31)</f>
        <v>0</v>
      </c>
      <c r="Q31" s="7">
        <f>averageResponseTimePorter(Dates!Q$6,Dates!Q$7,'Day2'!$B31)</f>
        <v>0</v>
      </c>
      <c r="R31" s="7">
        <f>averageResponseTimePorter(Dates!R$6,Dates!R$7,'Day2'!$B31)</f>
        <v>0</v>
      </c>
      <c r="S31" s="7">
        <f>averageResponseTimePorter(Dates!S$6,Dates!S$7,'Day2'!$B31)</f>
        <v>0</v>
      </c>
      <c r="T31" s="7">
        <f>averageResponseTimePorter(Dates!T$6,Dates!T$7,'Day2'!$B31)</f>
        <v>0</v>
      </c>
      <c r="U31" s="7">
        <f>averageResponseTimePorter(Dates!$C$6,Dates!$T$7,'Day2'!$B8)</f>
        <v>3.6666666666666665</v>
      </c>
    </row>
    <row r="32" spans="2:21" x14ac:dyDescent="0.3">
      <c r="B32" s="11">
        <f t="shared" si="0"/>
        <v>6</v>
      </c>
      <c r="C32" s="7">
        <f>averageResponseTimePorter(Dates!C$6,Dates!C$7,'Day2'!$B32)</f>
        <v>24</v>
      </c>
      <c r="D32" s="7">
        <f>averageResponseTimePorter(Dates!D$6,Dates!D$7,'Day2'!$B32)</f>
        <v>0</v>
      </c>
      <c r="E32" s="7">
        <f>averageResponseTimePorter(Dates!E$6,Dates!E$7,'Day2'!$B32)</f>
        <v>0</v>
      </c>
      <c r="F32" s="7">
        <f>averageResponseTimePorter(Dates!F$6,Dates!F$7,'Day2'!$B32)</f>
        <v>0</v>
      </c>
      <c r="G32" s="7">
        <f>averageResponseTimePorter(Dates!G$6,Dates!G$7,'Day2'!$B32)</f>
        <v>0</v>
      </c>
      <c r="H32" s="7">
        <f>averageResponseTimePorter(Dates!H$6,Dates!H$7,'Day2'!$B32)</f>
        <v>0</v>
      </c>
      <c r="I32" s="7">
        <f>averageResponseTimePorter(Dates!I$6,Dates!I$7,'Day2'!$B32)</f>
        <v>0</v>
      </c>
      <c r="J32" s="7">
        <f>averageResponseTimePorter(Dates!J$6,Dates!J$7,'Day2'!$B32)</f>
        <v>0</v>
      </c>
      <c r="K32" s="7">
        <f>averageResponseTimePorter(Dates!K$6,Dates!K$7,'Day2'!$B32)</f>
        <v>0</v>
      </c>
      <c r="L32" s="7">
        <f>averageResponseTimePorter(Dates!L$6,Dates!L$7,'Day2'!$B32)</f>
        <v>0</v>
      </c>
      <c r="M32" s="7">
        <f>averageResponseTimePorter(Dates!M$6,Dates!M$7,'Day2'!$B32)</f>
        <v>0</v>
      </c>
      <c r="N32" s="7">
        <f>averageResponseTimePorter(Dates!N$6,Dates!N$7,'Day2'!$B32)</f>
        <v>0</v>
      </c>
      <c r="O32" s="7">
        <f>averageResponseTimePorter(Dates!O$6,Dates!O$7,'Day2'!$B32)</f>
        <v>0</v>
      </c>
      <c r="P32" s="7">
        <f>averageResponseTimePorter(Dates!P$6,Dates!P$7,'Day2'!$B32)</f>
        <v>0</v>
      </c>
      <c r="Q32" s="7">
        <f>averageResponseTimePorter(Dates!Q$6,Dates!Q$7,'Day2'!$B32)</f>
        <v>0</v>
      </c>
      <c r="R32" s="7">
        <f>averageResponseTimePorter(Dates!R$6,Dates!R$7,'Day2'!$B32)</f>
        <v>0</v>
      </c>
      <c r="S32" s="7">
        <f>averageResponseTimePorter(Dates!S$6,Dates!S$7,'Day2'!$B32)</f>
        <v>0</v>
      </c>
      <c r="T32" s="7">
        <f>averageResponseTimePorter(Dates!T$6,Dates!T$7,'Day2'!$B32)</f>
        <v>0</v>
      </c>
      <c r="U32" s="7">
        <f>averageResponseTimePorter(Dates!$C$6,Dates!$T$7,'Day2'!$B9)</f>
        <v>24</v>
      </c>
    </row>
    <row r="33" spans="2:21" x14ac:dyDescent="0.3">
      <c r="B33" s="11">
        <f t="shared" si="0"/>
        <v>1</v>
      </c>
      <c r="C33" s="7">
        <f>averageResponseTimePorter(Dates!C$6,Dates!C$7,'Day2'!$B33)</f>
        <v>12.333333333333334</v>
      </c>
      <c r="D33" s="7">
        <f>averageResponseTimePorter(Dates!D$6,Dates!D$7,'Day2'!$B33)</f>
        <v>0</v>
      </c>
      <c r="E33" s="7">
        <f>averageResponseTimePorter(Dates!E$6,Dates!E$7,'Day2'!$B33)</f>
        <v>0</v>
      </c>
      <c r="F33" s="7">
        <f>averageResponseTimePorter(Dates!F$6,Dates!F$7,'Day2'!$B33)</f>
        <v>0</v>
      </c>
      <c r="G33" s="7">
        <f>averageResponseTimePorter(Dates!G$6,Dates!G$7,'Day2'!$B33)</f>
        <v>0</v>
      </c>
      <c r="H33" s="7">
        <f>averageResponseTimePorter(Dates!H$6,Dates!H$7,'Day2'!$B33)</f>
        <v>0</v>
      </c>
      <c r="I33" s="7">
        <f>averageResponseTimePorter(Dates!I$6,Dates!I$7,'Day2'!$B33)</f>
        <v>0</v>
      </c>
      <c r="J33" s="7">
        <f>averageResponseTimePorter(Dates!J$6,Dates!J$7,'Day2'!$B33)</f>
        <v>0</v>
      </c>
      <c r="K33" s="7">
        <f>averageResponseTimePorter(Dates!K$6,Dates!K$7,'Day2'!$B33)</f>
        <v>0</v>
      </c>
      <c r="L33" s="7">
        <f>averageResponseTimePorter(Dates!L$6,Dates!L$7,'Day2'!$B33)</f>
        <v>0</v>
      </c>
      <c r="M33" s="7">
        <f>averageResponseTimePorter(Dates!M$6,Dates!M$7,'Day2'!$B33)</f>
        <v>0</v>
      </c>
      <c r="N33" s="7">
        <f>averageResponseTimePorter(Dates!N$6,Dates!N$7,'Day2'!$B33)</f>
        <v>0</v>
      </c>
      <c r="O33" s="7">
        <f>averageResponseTimePorter(Dates!O$6,Dates!O$7,'Day2'!$B33)</f>
        <v>0</v>
      </c>
      <c r="P33" s="7">
        <f>averageResponseTimePorter(Dates!P$6,Dates!P$7,'Day2'!$B33)</f>
        <v>0</v>
      </c>
      <c r="Q33" s="7">
        <f>averageResponseTimePorter(Dates!Q$6,Dates!Q$7,'Day2'!$B33)</f>
        <v>0</v>
      </c>
      <c r="R33" s="7">
        <f>averageResponseTimePorter(Dates!R$6,Dates!R$7,'Day2'!$B33)</f>
        <v>0</v>
      </c>
      <c r="S33" s="7">
        <f>averageResponseTimePorter(Dates!S$6,Dates!S$7,'Day2'!$B33)</f>
        <v>0</v>
      </c>
      <c r="T33" s="7">
        <f>averageResponseTimePorter(Dates!T$6,Dates!T$7,'Day2'!$B33)</f>
        <v>0</v>
      </c>
      <c r="U33" s="7">
        <f>averageResponseTimePorter(Dates!$C$6,Dates!$T$7,'Day2'!$B10)</f>
        <v>12.333333333333334</v>
      </c>
    </row>
    <row r="34" spans="2:21" x14ac:dyDescent="0.3">
      <c r="B34" s="11">
        <f t="shared" si="0"/>
        <v>10</v>
      </c>
      <c r="C34" s="7">
        <f>averageResponseTimePorter(Dates!C$6,Dates!C$7,'Day2'!$B34)</f>
        <v>15</v>
      </c>
      <c r="D34" s="7">
        <f>averageResponseTimePorter(Dates!D$6,Dates!D$7,'Day2'!$B34)</f>
        <v>0</v>
      </c>
      <c r="E34" s="7">
        <f>averageResponseTimePorter(Dates!E$6,Dates!E$7,'Day2'!$B34)</f>
        <v>0</v>
      </c>
      <c r="F34" s="7">
        <f>averageResponseTimePorter(Dates!F$6,Dates!F$7,'Day2'!$B34)</f>
        <v>0</v>
      </c>
      <c r="G34" s="7">
        <f>averageResponseTimePorter(Dates!G$6,Dates!G$7,'Day2'!$B34)</f>
        <v>0</v>
      </c>
      <c r="H34" s="7">
        <f>averageResponseTimePorter(Dates!H$6,Dates!H$7,'Day2'!$B34)</f>
        <v>0</v>
      </c>
      <c r="I34" s="7">
        <f>averageResponseTimePorter(Dates!I$6,Dates!I$7,'Day2'!$B34)</f>
        <v>0</v>
      </c>
      <c r="J34" s="7">
        <f>averageResponseTimePorter(Dates!J$6,Dates!J$7,'Day2'!$B34)</f>
        <v>0</v>
      </c>
      <c r="K34" s="7">
        <f>averageResponseTimePorter(Dates!K$6,Dates!K$7,'Day2'!$B34)</f>
        <v>0</v>
      </c>
      <c r="L34" s="7">
        <f>averageResponseTimePorter(Dates!L$6,Dates!L$7,'Day2'!$B34)</f>
        <v>0</v>
      </c>
      <c r="M34" s="7">
        <f>averageResponseTimePorter(Dates!M$6,Dates!M$7,'Day2'!$B34)</f>
        <v>0</v>
      </c>
      <c r="N34" s="7">
        <f>averageResponseTimePorter(Dates!N$6,Dates!N$7,'Day2'!$B34)</f>
        <v>0</v>
      </c>
      <c r="O34" s="7">
        <f>averageResponseTimePorter(Dates!O$6,Dates!O$7,'Day2'!$B34)</f>
        <v>0</v>
      </c>
      <c r="P34" s="7">
        <f>averageResponseTimePorter(Dates!P$6,Dates!P$7,'Day2'!$B34)</f>
        <v>0</v>
      </c>
      <c r="Q34" s="7">
        <f>averageResponseTimePorter(Dates!Q$6,Dates!Q$7,'Day2'!$B34)</f>
        <v>0</v>
      </c>
      <c r="R34" s="7">
        <f>averageResponseTimePorter(Dates!R$6,Dates!R$7,'Day2'!$B34)</f>
        <v>0</v>
      </c>
      <c r="S34" s="7">
        <f>averageResponseTimePorter(Dates!S$6,Dates!S$7,'Day2'!$B34)</f>
        <v>0</v>
      </c>
      <c r="T34" s="7">
        <f>averageResponseTimePorter(Dates!T$6,Dates!T$7,'Day2'!$B34)</f>
        <v>0</v>
      </c>
      <c r="U34" s="7">
        <f>averageResponseTimePorter(Dates!$C$6,Dates!$T$7,'Day2'!$B11)</f>
        <v>15</v>
      </c>
    </row>
    <row r="35" spans="2:21" x14ac:dyDescent="0.3">
      <c r="B35" s="11">
        <f t="shared" si="0"/>
        <v>9</v>
      </c>
      <c r="C35" s="7">
        <f>averageResponseTimePorter(Dates!C$6,Dates!C$7,'Day2'!$B35)</f>
        <v>30</v>
      </c>
      <c r="D35" s="7">
        <f>averageResponseTimePorter(Dates!D$6,Dates!D$7,'Day2'!$B35)</f>
        <v>0</v>
      </c>
      <c r="E35" s="7">
        <f>averageResponseTimePorter(Dates!E$6,Dates!E$7,'Day2'!$B35)</f>
        <v>0</v>
      </c>
      <c r="F35" s="7">
        <f>averageResponseTimePorter(Dates!F$6,Dates!F$7,'Day2'!$B35)</f>
        <v>0</v>
      </c>
      <c r="G35" s="7">
        <f>averageResponseTimePorter(Dates!G$6,Dates!G$7,'Day2'!$B35)</f>
        <v>0</v>
      </c>
      <c r="H35" s="7">
        <f>averageResponseTimePorter(Dates!H$6,Dates!H$7,'Day2'!$B35)</f>
        <v>0</v>
      </c>
      <c r="I35" s="7">
        <f>averageResponseTimePorter(Dates!I$6,Dates!I$7,'Day2'!$B35)</f>
        <v>0</v>
      </c>
      <c r="J35" s="7">
        <f>averageResponseTimePorter(Dates!J$6,Dates!J$7,'Day2'!$B35)</f>
        <v>0</v>
      </c>
      <c r="K35" s="7">
        <f>averageResponseTimePorter(Dates!K$6,Dates!K$7,'Day2'!$B35)</f>
        <v>0</v>
      </c>
      <c r="L35" s="7">
        <f>averageResponseTimePorter(Dates!L$6,Dates!L$7,'Day2'!$B35)</f>
        <v>0</v>
      </c>
      <c r="M35" s="7">
        <f>averageResponseTimePorter(Dates!M$6,Dates!M$7,'Day2'!$B35)</f>
        <v>0</v>
      </c>
      <c r="N35" s="7">
        <f>averageResponseTimePorter(Dates!N$6,Dates!N$7,'Day2'!$B35)</f>
        <v>0</v>
      </c>
      <c r="O35" s="7">
        <f>averageResponseTimePorter(Dates!O$6,Dates!O$7,'Day2'!$B35)</f>
        <v>0</v>
      </c>
      <c r="P35" s="7">
        <f>averageResponseTimePorter(Dates!P$6,Dates!P$7,'Day2'!$B35)</f>
        <v>0</v>
      </c>
      <c r="Q35" s="7">
        <f>averageResponseTimePorter(Dates!Q$6,Dates!Q$7,'Day2'!$B35)</f>
        <v>0</v>
      </c>
      <c r="R35" s="7">
        <f>averageResponseTimePorter(Dates!R$6,Dates!R$7,'Day2'!$B35)</f>
        <v>0</v>
      </c>
      <c r="S35" s="7">
        <f>averageResponseTimePorter(Dates!S$6,Dates!S$7,'Day2'!$B35)</f>
        <v>0</v>
      </c>
      <c r="T35" s="7">
        <f>averageResponseTimePorter(Dates!T$6,Dates!T$7,'Day2'!$B35)</f>
        <v>0</v>
      </c>
      <c r="U35" s="7">
        <f>averageResponseTimePorter(Dates!$C$6,Dates!$T$7,'Day2'!$B12)</f>
        <v>30</v>
      </c>
    </row>
    <row r="36" spans="2:21" x14ac:dyDescent="0.3">
      <c r="B36" s="11">
        <f t="shared" si="0"/>
        <v>7</v>
      </c>
      <c r="C36" s="7">
        <f>averageResponseTimePorter(Dates!C$6,Dates!C$7,'Day2'!$B36)</f>
        <v>6</v>
      </c>
      <c r="D36" s="7">
        <f>averageResponseTimePorter(Dates!D$6,Dates!D$7,'Day2'!$B36)</f>
        <v>0</v>
      </c>
      <c r="E36" s="7">
        <f>averageResponseTimePorter(Dates!E$6,Dates!E$7,'Day2'!$B36)</f>
        <v>0</v>
      </c>
      <c r="F36" s="7">
        <f>averageResponseTimePorter(Dates!F$6,Dates!F$7,'Day2'!$B36)</f>
        <v>0</v>
      </c>
      <c r="G36" s="7">
        <f>averageResponseTimePorter(Dates!G$6,Dates!G$7,'Day2'!$B36)</f>
        <v>0</v>
      </c>
      <c r="H36" s="7">
        <f>averageResponseTimePorter(Dates!H$6,Dates!H$7,'Day2'!$B36)</f>
        <v>0</v>
      </c>
      <c r="I36" s="7">
        <f>averageResponseTimePorter(Dates!I$6,Dates!I$7,'Day2'!$B36)</f>
        <v>0</v>
      </c>
      <c r="J36" s="7">
        <f>averageResponseTimePorter(Dates!J$6,Dates!J$7,'Day2'!$B36)</f>
        <v>0</v>
      </c>
      <c r="K36" s="7">
        <f>averageResponseTimePorter(Dates!K$6,Dates!K$7,'Day2'!$B36)</f>
        <v>0</v>
      </c>
      <c r="L36" s="7">
        <f>averageResponseTimePorter(Dates!L$6,Dates!L$7,'Day2'!$B36)</f>
        <v>0</v>
      </c>
      <c r="M36" s="7">
        <f>averageResponseTimePorter(Dates!M$6,Dates!M$7,'Day2'!$B36)</f>
        <v>0</v>
      </c>
      <c r="N36" s="7">
        <f>averageResponseTimePorter(Dates!N$6,Dates!N$7,'Day2'!$B36)</f>
        <v>0</v>
      </c>
      <c r="O36" s="7">
        <f>averageResponseTimePorter(Dates!O$6,Dates!O$7,'Day2'!$B36)</f>
        <v>0</v>
      </c>
      <c r="P36" s="7">
        <f>averageResponseTimePorter(Dates!P$6,Dates!P$7,'Day2'!$B36)</f>
        <v>0</v>
      </c>
      <c r="Q36" s="7">
        <f>averageResponseTimePorter(Dates!Q$6,Dates!Q$7,'Day2'!$B36)</f>
        <v>0</v>
      </c>
      <c r="R36" s="7">
        <f>averageResponseTimePorter(Dates!R$6,Dates!R$7,'Day2'!$B36)</f>
        <v>0</v>
      </c>
      <c r="S36" s="7">
        <f>averageResponseTimePorter(Dates!S$6,Dates!S$7,'Day2'!$B36)</f>
        <v>0</v>
      </c>
      <c r="T36" s="7">
        <f>averageResponseTimePorter(Dates!T$6,Dates!T$7,'Day2'!$B36)</f>
        <v>0</v>
      </c>
      <c r="U36" s="7">
        <f>averageResponseTimePorter(Dates!$C$6,Dates!$T$7,'Day2'!$B13)</f>
        <v>6</v>
      </c>
    </row>
    <row r="37" spans="2:21" x14ac:dyDescent="0.3">
      <c r="B37" s="11" t="str">
        <f t="shared" ref="B37:B46" si="1">B14</f>
        <v>NA14</v>
      </c>
      <c r="C37" s="7">
        <f>averageResponseTimePorter(Dates!C$6,Dates!C$7,'Day2'!$B37)</f>
        <v>0</v>
      </c>
      <c r="D37" s="7">
        <f>averageResponseTimePorter(Dates!D$6,Dates!D$7,'Day2'!$B37)</f>
        <v>0</v>
      </c>
      <c r="E37" s="7">
        <f>averageResponseTimePorter(Dates!E$6,Dates!E$7,'Day2'!$B37)</f>
        <v>0</v>
      </c>
      <c r="F37" s="7">
        <f>averageResponseTimePorter(Dates!F$6,Dates!F$7,'Day2'!$B37)</f>
        <v>0</v>
      </c>
      <c r="G37" s="7">
        <f>averageResponseTimePorter(Dates!G$6,Dates!G$7,'Day2'!$B37)</f>
        <v>0</v>
      </c>
      <c r="H37" s="7">
        <f>averageResponseTimePorter(Dates!H$6,Dates!H$7,'Day2'!$B37)</f>
        <v>0</v>
      </c>
      <c r="I37" s="7">
        <f>averageResponseTimePorter(Dates!I$6,Dates!I$7,'Day2'!$B37)</f>
        <v>0</v>
      </c>
      <c r="J37" s="7">
        <f>averageResponseTimePorter(Dates!J$6,Dates!J$7,'Day2'!$B37)</f>
        <v>0</v>
      </c>
      <c r="K37" s="7">
        <f>averageResponseTimePorter(Dates!K$6,Dates!K$7,'Day2'!$B37)</f>
        <v>0</v>
      </c>
      <c r="L37" s="7">
        <f>averageResponseTimePorter(Dates!L$6,Dates!L$7,'Day2'!$B37)</f>
        <v>0</v>
      </c>
      <c r="M37" s="7">
        <f>averageResponseTimePorter(Dates!M$6,Dates!M$7,'Day2'!$B37)</f>
        <v>0</v>
      </c>
      <c r="N37" s="7">
        <f>averageResponseTimePorter(Dates!N$6,Dates!N$7,'Day2'!$B37)</f>
        <v>0</v>
      </c>
      <c r="O37" s="7">
        <f>averageResponseTimePorter(Dates!O$6,Dates!O$7,'Day2'!$B37)</f>
        <v>0</v>
      </c>
      <c r="P37" s="7">
        <f>averageResponseTimePorter(Dates!P$6,Dates!P$7,'Day2'!$B37)</f>
        <v>0</v>
      </c>
      <c r="Q37" s="7">
        <f>averageResponseTimePorter(Dates!Q$6,Dates!Q$7,'Day2'!$B37)</f>
        <v>0</v>
      </c>
      <c r="R37" s="7">
        <f>averageResponseTimePorter(Dates!R$6,Dates!R$7,'Day2'!$B37)</f>
        <v>0</v>
      </c>
      <c r="S37" s="7">
        <f>averageResponseTimePorter(Dates!S$6,Dates!S$7,'Day2'!$B37)</f>
        <v>0</v>
      </c>
      <c r="T37" s="7">
        <f>averageResponseTimePorter(Dates!T$6,Dates!T$7,'Day2'!$B37)</f>
        <v>0</v>
      </c>
      <c r="U37" s="7">
        <f>averageResponseTimePorter(Dates!$C$6,Dates!$T$7,'Day2'!$B14)</f>
        <v>0</v>
      </c>
    </row>
    <row r="38" spans="2:21" x14ac:dyDescent="0.3">
      <c r="B38" s="11" t="str">
        <f t="shared" si="1"/>
        <v>NA15</v>
      </c>
      <c r="C38" s="7">
        <f>averageResponseTimePorter(Dates!C$6,Dates!C$7,'Day2'!$B38)</f>
        <v>0</v>
      </c>
      <c r="D38" s="7">
        <f>averageResponseTimePorter(Dates!D$6,Dates!D$7,'Day2'!$B38)</f>
        <v>0</v>
      </c>
      <c r="E38" s="7">
        <f>averageResponseTimePorter(Dates!E$6,Dates!E$7,'Day2'!$B38)</f>
        <v>0</v>
      </c>
      <c r="F38" s="7">
        <f>averageResponseTimePorter(Dates!F$6,Dates!F$7,'Day2'!$B38)</f>
        <v>0</v>
      </c>
      <c r="G38" s="7">
        <f>averageResponseTimePorter(Dates!G$6,Dates!G$7,'Day2'!$B38)</f>
        <v>0</v>
      </c>
      <c r="H38" s="7">
        <f>averageResponseTimePorter(Dates!H$6,Dates!H$7,'Day2'!$B38)</f>
        <v>0</v>
      </c>
      <c r="I38" s="7">
        <f>averageResponseTimePorter(Dates!I$6,Dates!I$7,'Day2'!$B38)</f>
        <v>0</v>
      </c>
      <c r="J38" s="7">
        <f>averageResponseTimePorter(Dates!J$6,Dates!J$7,'Day2'!$B38)</f>
        <v>0</v>
      </c>
      <c r="K38" s="7">
        <f>averageResponseTimePorter(Dates!K$6,Dates!K$7,'Day2'!$B38)</f>
        <v>0</v>
      </c>
      <c r="L38" s="7">
        <f>averageResponseTimePorter(Dates!L$6,Dates!L$7,'Day2'!$B38)</f>
        <v>0</v>
      </c>
      <c r="M38" s="7">
        <f>averageResponseTimePorter(Dates!M$6,Dates!M$7,'Day2'!$B38)</f>
        <v>0</v>
      </c>
      <c r="N38" s="7">
        <f>averageResponseTimePorter(Dates!N$6,Dates!N$7,'Day2'!$B38)</f>
        <v>0</v>
      </c>
      <c r="O38" s="7">
        <f>averageResponseTimePorter(Dates!O$6,Dates!O$7,'Day2'!$B38)</f>
        <v>0</v>
      </c>
      <c r="P38" s="7">
        <f>averageResponseTimePorter(Dates!P$6,Dates!P$7,'Day2'!$B38)</f>
        <v>0</v>
      </c>
      <c r="Q38" s="7">
        <f>averageResponseTimePorter(Dates!Q$6,Dates!Q$7,'Day2'!$B38)</f>
        <v>0</v>
      </c>
      <c r="R38" s="7">
        <f>averageResponseTimePorter(Dates!R$6,Dates!R$7,'Day2'!$B38)</f>
        <v>0</v>
      </c>
      <c r="S38" s="7">
        <f>averageResponseTimePorter(Dates!S$6,Dates!S$7,'Day2'!$B38)</f>
        <v>0</v>
      </c>
      <c r="T38" s="7">
        <f>averageResponseTimePorter(Dates!T$6,Dates!T$7,'Day2'!$B38)</f>
        <v>0</v>
      </c>
      <c r="U38" s="7">
        <f>averageResponseTimePorter(Dates!$C$6,Dates!$T$7,'Day2'!$B15)</f>
        <v>0</v>
      </c>
    </row>
    <row r="39" spans="2:21" x14ac:dyDescent="0.3">
      <c r="B39" s="11" t="str">
        <f t="shared" si="1"/>
        <v>NA16</v>
      </c>
      <c r="C39" s="7">
        <f>averageResponseTimePorter(Dates!C$6,Dates!C$7,'Day2'!$B39)</f>
        <v>0</v>
      </c>
      <c r="D39" s="7">
        <f>averageResponseTimePorter(Dates!D$6,Dates!D$7,'Day2'!$B39)</f>
        <v>0</v>
      </c>
      <c r="E39" s="7">
        <f>averageResponseTimePorter(Dates!E$6,Dates!E$7,'Day2'!$B39)</f>
        <v>0</v>
      </c>
      <c r="F39" s="7">
        <f>averageResponseTimePorter(Dates!F$6,Dates!F$7,'Day2'!$B39)</f>
        <v>0</v>
      </c>
      <c r="G39" s="7">
        <f>averageResponseTimePorter(Dates!G$6,Dates!G$7,'Day2'!$B39)</f>
        <v>0</v>
      </c>
      <c r="H39" s="7">
        <f>averageResponseTimePorter(Dates!H$6,Dates!H$7,'Day2'!$B39)</f>
        <v>0</v>
      </c>
      <c r="I39" s="7">
        <f>averageResponseTimePorter(Dates!I$6,Dates!I$7,'Day2'!$B39)</f>
        <v>0</v>
      </c>
      <c r="J39" s="7">
        <f>averageResponseTimePorter(Dates!J$6,Dates!J$7,'Day2'!$B39)</f>
        <v>0</v>
      </c>
      <c r="K39" s="7">
        <f>averageResponseTimePorter(Dates!K$6,Dates!K$7,'Day2'!$B39)</f>
        <v>0</v>
      </c>
      <c r="L39" s="7">
        <f>averageResponseTimePorter(Dates!L$6,Dates!L$7,'Day2'!$B39)</f>
        <v>0</v>
      </c>
      <c r="M39" s="7">
        <f>averageResponseTimePorter(Dates!M$6,Dates!M$7,'Day2'!$B39)</f>
        <v>0</v>
      </c>
      <c r="N39" s="7">
        <f>averageResponseTimePorter(Dates!N$6,Dates!N$7,'Day2'!$B39)</f>
        <v>0</v>
      </c>
      <c r="O39" s="7">
        <f>averageResponseTimePorter(Dates!O$6,Dates!O$7,'Day2'!$B39)</f>
        <v>0</v>
      </c>
      <c r="P39" s="7">
        <f>averageResponseTimePorter(Dates!P$6,Dates!P$7,'Day2'!$B39)</f>
        <v>0</v>
      </c>
      <c r="Q39" s="7">
        <f>averageResponseTimePorter(Dates!Q$6,Dates!Q$7,'Day2'!$B39)</f>
        <v>0</v>
      </c>
      <c r="R39" s="7">
        <f>averageResponseTimePorter(Dates!R$6,Dates!R$7,'Day2'!$B39)</f>
        <v>0</v>
      </c>
      <c r="S39" s="7">
        <f>averageResponseTimePorter(Dates!S$6,Dates!S$7,'Day2'!$B39)</f>
        <v>0</v>
      </c>
      <c r="T39" s="7">
        <f>averageResponseTimePorter(Dates!T$6,Dates!T$7,'Day2'!$B39)</f>
        <v>0</v>
      </c>
      <c r="U39" s="7">
        <f>averageResponseTimePorter(Dates!$C$6,Dates!$T$7,'Day2'!$B16)</f>
        <v>0</v>
      </c>
    </row>
    <row r="40" spans="2:21" x14ac:dyDescent="0.3">
      <c r="B40" s="11" t="str">
        <f t="shared" si="1"/>
        <v>NA17</v>
      </c>
      <c r="C40" s="7">
        <f>averageResponseTimePorter(Dates!C$6,Dates!C$7,'Day2'!$B40)</f>
        <v>0</v>
      </c>
      <c r="D40" s="7">
        <f>averageResponseTimePorter(Dates!D$6,Dates!D$7,'Day2'!$B40)</f>
        <v>0</v>
      </c>
      <c r="E40" s="7">
        <f>averageResponseTimePorter(Dates!E$6,Dates!E$7,'Day2'!$B40)</f>
        <v>0</v>
      </c>
      <c r="F40" s="7">
        <f>averageResponseTimePorter(Dates!F$6,Dates!F$7,'Day2'!$B40)</f>
        <v>0</v>
      </c>
      <c r="G40" s="7">
        <f>averageResponseTimePorter(Dates!G$6,Dates!G$7,'Day2'!$B40)</f>
        <v>0</v>
      </c>
      <c r="H40" s="7">
        <f>averageResponseTimePorter(Dates!H$6,Dates!H$7,'Day2'!$B40)</f>
        <v>0</v>
      </c>
      <c r="I40" s="7">
        <f>averageResponseTimePorter(Dates!I$6,Dates!I$7,'Day2'!$B40)</f>
        <v>0</v>
      </c>
      <c r="J40" s="7">
        <f>averageResponseTimePorter(Dates!J$6,Dates!J$7,'Day2'!$B40)</f>
        <v>0</v>
      </c>
      <c r="K40" s="7">
        <f>averageResponseTimePorter(Dates!K$6,Dates!K$7,'Day2'!$B40)</f>
        <v>0</v>
      </c>
      <c r="L40" s="7">
        <f>averageResponseTimePorter(Dates!L$6,Dates!L$7,'Day2'!$B40)</f>
        <v>0</v>
      </c>
      <c r="M40" s="7">
        <f>averageResponseTimePorter(Dates!M$6,Dates!M$7,'Day2'!$B40)</f>
        <v>0</v>
      </c>
      <c r="N40" s="7">
        <f>averageResponseTimePorter(Dates!N$6,Dates!N$7,'Day2'!$B40)</f>
        <v>0</v>
      </c>
      <c r="O40" s="7">
        <f>averageResponseTimePorter(Dates!O$6,Dates!O$7,'Day2'!$B40)</f>
        <v>0</v>
      </c>
      <c r="P40" s="7">
        <f>averageResponseTimePorter(Dates!P$6,Dates!P$7,'Day2'!$B40)</f>
        <v>0</v>
      </c>
      <c r="Q40" s="7">
        <f>averageResponseTimePorter(Dates!Q$6,Dates!Q$7,'Day2'!$B40)</f>
        <v>0</v>
      </c>
      <c r="R40" s="7">
        <f>averageResponseTimePorter(Dates!R$6,Dates!R$7,'Day2'!$B40)</f>
        <v>0</v>
      </c>
      <c r="S40" s="7">
        <f>averageResponseTimePorter(Dates!S$6,Dates!S$7,'Day2'!$B40)</f>
        <v>0</v>
      </c>
      <c r="T40" s="7">
        <f>averageResponseTimePorter(Dates!T$6,Dates!T$7,'Day2'!$B40)</f>
        <v>0</v>
      </c>
      <c r="U40" s="7">
        <f>averageResponseTimePorter(Dates!$C$6,Dates!$T$7,'Day2'!$B17)</f>
        <v>0</v>
      </c>
    </row>
    <row r="41" spans="2:21" x14ac:dyDescent="0.3">
      <c r="B41" s="11" t="str">
        <f t="shared" si="1"/>
        <v>NA18</v>
      </c>
      <c r="C41" s="7">
        <f>averageResponseTimePorter(Dates!C$6,Dates!C$7,'Day2'!$B41)</f>
        <v>0</v>
      </c>
      <c r="D41" s="7">
        <f>averageResponseTimePorter(Dates!D$6,Dates!D$7,'Day2'!$B41)</f>
        <v>0</v>
      </c>
      <c r="E41" s="7">
        <f>averageResponseTimePorter(Dates!E$6,Dates!E$7,'Day2'!$B41)</f>
        <v>0</v>
      </c>
      <c r="F41" s="7">
        <f>averageResponseTimePorter(Dates!F$6,Dates!F$7,'Day2'!$B41)</f>
        <v>0</v>
      </c>
      <c r="G41" s="7">
        <f>averageResponseTimePorter(Dates!G$6,Dates!G$7,'Day2'!$B41)</f>
        <v>0</v>
      </c>
      <c r="H41" s="7">
        <f>averageResponseTimePorter(Dates!H$6,Dates!H$7,'Day2'!$B41)</f>
        <v>0</v>
      </c>
      <c r="I41" s="7">
        <f>averageResponseTimePorter(Dates!I$6,Dates!I$7,'Day2'!$B41)</f>
        <v>0</v>
      </c>
      <c r="J41" s="7">
        <f>averageResponseTimePorter(Dates!J$6,Dates!J$7,'Day2'!$B41)</f>
        <v>0</v>
      </c>
      <c r="K41" s="7">
        <f>averageResponseTimePorter(Dates!K$6,Dates!K$7,'Day2'!$B41)</f>
        <v>0</v>
      </c>
      <c r="L41" s="7">
        <f>averageResponseTimePorter(Dates!L$6,Dates!L$7,'Day2'!$B41)</f>
        <v>0</v>
      </c>
      <c r="M41" s="7">
        <f>averageResponseTimePorter(Dates!M$6,Dates!M$7,'Day2'!$B41)</f>
        <v>0</v>
      </c>
      <c r="N41" s="7">
        <f>averageResponseTimePorter(Dates!N$6,Dates!N$7,'Day2'!$B41)</f>
        <v>0</v>
      </c>
      <c r="O41" s="7">
        <f>averageResponseTimePorter(Dates!O$6,Dates!O$7,'Day2'!$B41)</f>
        <v>0</v>
      </c>
      <c r="P41" s="7">
        <f>averageResponseTimePorter(Dates!P$6,Dates!P$7,'Day2'!$B41)</f>
        <v>0</v>
      </c>
      <c r="Q41" s="7">
        <f>averageResponseTimePorter(Dates!Q$6,Dates!Q$7,'Day2'!$B41)</f>
        <v>0</v>
      </c>
      <c r="R41" s="7">
        <f>averageResponseTimePorter(Dates!R$6,Dates!R$7,'Day2'!$B41)</f>
        <v>0</v>
      </c>
      <c r="S41" s="7">
        <f>averageResponseTimePorter(Dates!S$6,Dates!S$7,'Day2'!$B41)</f>
        <v>0</v>
      </c>
      <c r="T41" s="7">
        <f>averageResponseTimePorter(Dates!T$6,Dates!T$7,'Day2'!$B41)</f>
        <v>0</v>
      </c>
      <c r="U41" s="7">
        <f>averageResponseTimePorter(Dates!$C$6,Dates!$T$7,'Day2'!$B18)</f>
        <v>0</v>
      </c>
    </row>
    <row r="42" spans="2:21" x14ac:dyDescent="0.3">
      <c r="B42" s="11" t="str">
        <f t="shared" si="1"/>
        <v>NA19</v>
      </c>
      <c r="C42" s="7">
        <f>averageResponseTimePorter(Dates!C$6,Dates!C$7,'Day2'!$B42)</f>
        <v>0</v>
      </c>
      <c r="D42" s="7">
        <f>averageResponseTimePorter(Dates!D$6,Dates!D$7,'Day2'!$B42)</f>
        <v>0</v>
      </c>
      <c r="E42" s="7">
        <f>averageResponseTimePorter(Dates!E$6,Dates!E$7,'Day2'!$B42)</f>
        <v>0</v>
      </c>
      <c r="F42" s="7">
        <f>averageResponseTimePorter(Dates!F$6,Dates!F$7,'Day2'!$B42)</f>
        <v>0</v>
      </c>
      <c r="G42" s="7">
        <f>averageResponseTimePorter(Dates!G$6,Dates!G$7,'Day2'!$B42)</f>
        <v>0</v>
      </c>
      <c r="H42" s="7">
        <f>averageResponseTimePorter(Dates!H$6,Dates!H$7,'Day2'!$B42)</f>
        <v>0</v>
      </c>
      <c r="I42" s="7">
        <f>averageResponseTimePorter(Dates!I$6,Dates!I$7,'Day2'!$B42)</f>
        <v>0</v>
      </c>
      <c r="J42" s="7">
        <f>averageResponseTimePorter(Dates!J$6,Dates!J$7,'Day2'!$B42)</f>
        <v>0</v>
      </c>
      <c r="K42" s="7">
        <f>averageResponseTimePorter(Dates!K$6,Dates!K$7,'Day2'!$B42)</f>
        <v>0</v>
      </c>
      <c r="L42" s="7">
        <f>averageResponseTimePorter(Dates!L$6,Dates!L$7,'Day2'!$B42)</f>
        <v>0</v>
      </c>
      <c r="M42" s="7">
        <f>averageResponseTimePorter(Dates!M$6,Dates!M$7,'Day2'!$B42)</f>
        <v>0</v>
      </c>
      <c r="N42" s="7">
        <f>averageResponseTimePorter(Dates!N$6,Dates!N$7,'Day2'!$B42)</f>
        <v>0</v>
      </c>
      <c r="O42" s="7">
        <f>averageResponseTimePorter(Dates!O$6,Dates!O$7,'Day2'!$B42)</f>
        <v>0</v>
      </c>
      <c r="P42" s="7">
        <f>averageResponseTimePorter(Dates!P$6,Dates!P$7,'Day2'!$B42)</f>
        <v>0</v>
      </c>
      <c r="Q42" s="7">
        <f>averageResponseTimePorter(Dates!Q$6,Dates!Q$7,'Day2'!$B42)</f>
        <v>0</v>
      </c>
      <c r="R42" s="7">
        <f>averageResponseTimePorter(Dates!R$6,Dates!R$7,'Day2'!$B42)</f>
        <v>0</v>
      </c>
      <c r="S42" s="7">
        <f>averageResponseTimePorter(Dates!S$6,Dates!S$7,'Day2'!$B42)</f>
        <v>0</v>
      </c>
      <c r="T42" s="7">
        <f>averageResponseTimePorter(Dates!T$6,Dates!T$7,'Day2'!$B42)</f>
        <v>0</v>
      </c>
      <c r="U42" s="7">
        <f>averageResponseTimePorter(Dates!$C$6,Dates!$T$7,'Day2'!$B19)</f>
        <v>0</v>
      </c>
    </row>
    <row r="43" spans="2:21" x14ac:dyDescent="0.3">
      <c r="B43" s="11" t="str">
        <f t="shared" si="1"/>
        <v>NA20</v>
      </c>
      <c r="C43" s="7">
        <f>averageResponseTimePorter(Dates!C$6,Dates!C$7,'Day2'!$B43)</f>
        <v>0</v>
      </c>
      <c r="D43" s="7">
        <f>averageResponseTimePorter(Dates!D$6,Dates!D$7,'Day2'!$B43)</f>
        <v>0</v>
      </c>
      <c r="E43" s="7">
        <f>averageResponseTimePorter(Dates!E$6,Dates!E$7,'Day2'!$B43)</f>
        <v>0</v>
      </c>
      <c r="F43" s="7">
        <f>averageResponseTimePorter(Dates!F$6,Dates!F$7,'Day2'!$B43)</f>
        <v>0</v>
      </c>
      <c r="G43" s="7">
        <f>averageResponseTimePorter(Dates!G$6,Dates!G$7,'Day2'!$B43)</f>
        <v>0</v>
      </c>
      <c r="H43" s="7">
        <f>averageResponseTimePorter(Dates!H$6,Dates!H$7,'Day2'!$B43)</f>
        <v>0</v>
      </c>
      <c r="I43" s="7">
        <f>averageResponseTimePorter(Dates!I$6,Dates!I$7,'Day2'!$B43)</f>
        <v>0</v>
      </c>
      <c r="J43" s="7">
        <f>averageResponseTimePorter(Dates!J$6,Dates!J$7,'Day2'!$B43)</f>
        <v>0</v>
      </c>
      <c r="K43" s="7">
        <f>averageResponseTimePorter(Dates!K$6,Dates!K$7,'Day2'!$B43)</f>
        <v>0</v>
      </c>
      <c r="L43" s="7">
        <f>averageResponseTimePorter(Dates!L$6,Dates!L$7,'Day2'!$B43)</f>
        <v>0</v>
      </c>
      <c r="M43" s="7">
        <f>averageResponseTimePorter(Dates!M$6,Dates!M$7,'Day2'!$B43)</f>
        <v>0</v>
      </c>
      <c r="N43" s="7">
        <f>averageResponseTimePorter(Dates!N$6,Dates!N$7,'Day2'!$B43)</f>
        <v>0</v>
      </c>
      <c r="O43" s="7">
        <f>averageResponseTimePorter(Dates!O$6,Dates!O$7,'Day2'!$B43)</f>
        <v>0</v>
      </c>
      <c r="P43" s="7">
        <f>averageResponseTimePorter(Dates!P$6,Dates!P$7,'Day2'!$B43)</f>
        <v>0</v>
      </c>
      <c r="Q43" s="7">
        <f>averageResponseTimePorter(Dates!Q$6,Dates!Q$7,'Day2'!$B43)</f>
        <v>0</v>
      </c>
      <c r="R43" s="7">
        <f>averageResponseTimePorter(Dates!R$6,Dates!R$7,'Day2'!$B43)</f>
        <v>0</v>
      </c>
      <c r="S43" s="7">
        <f>averageResponseTimePorter(Dates!S$6,Dates!S$7,'Day2'!$B43)</f>
        <v>0</v>
      </c>
      <c r="T43" s="7">
        <f>averageResponseTimePorter(Dates!T$6,Dates!T$7,'Day2'!$B43)</f>
        <v>0</v>
      </c>
      <c r="U43" s="7">
        <f>averageResponseTimePorter(Dates!$C$6,Dates!$T$7,'Day2'!$B20)</f>
        <v>0</v>
      </c>
    </row>
    <row r="44" spans="2:21" x14ac:dyDescent="0.3">
      <c r="B44" s="11" t="str">
        <f t="shared" si="1"/>
        <v>NA21</v>
      </c>
      <c r="C44" s="7">
        <f>averageResponseTimePorter(Dates!C$6,Dates!C$7,'Day2'!$B44)</f>
        <v>0</v>
      </c>
      <c r="D44" s="7">
        <f>averageResponseTimePorter(Dates!D$6,Dates!D$7,'Day2'!$B44)</f>
        <v>0</v>
      </c>
      <c r="E44" s="7">
        <f>averageResponseTimePorter(Dates!E$6,Dates!E$7,'Day2'!$B44)</f>
        <v>0</v>
      </c>
      <c r="F44" s="7">
        <f>averageResponseTimePorter(Dates!F$6,Dates!F$7,'Day2'!$B44)</f>
        <v>0</v>
      </c>
      <c r="G44" s="7">
        <f>averageResponseTimePorter(Dates!G$6,Dates!G$7,'Day2'!$B44)</f>
        <v>0</v>
      </c>
      <c r="H44" s="7">
        <f>averageResponseTimePorter(Dates!H$6,Dates!H$7,'Day2'!$B44)</f>
        <v>0</v>
      </c>
      <c r="I44" s="7">
        <f>averageResponseTimePorter(Dates!I$6,Dates!I$7,'Day2'!$B44)</f>
        <v>0</v>
      </c>
      <c r="J44" s="7">
        <f>averageResponseTimePorter(Dates!J$6,Dates!J$7,'Day2'!$B44)</f>
        <v>0</v>
      </c>
      <c r="K44" s="7">
        <f>averageResponseTimePorter(Dates!K$6,Dates!K$7,'Day2'!$B44)</f>
        <v>0</v>
      </c>
      <c r="L44" s="7">
        <f>averageResponseTimePorter(Dates!L$6,Dates!L$7,'Day2'!$B44)</f>
        <v>0</v>
      </c>
      <c r="M44" s="7">
        <f>averageResponseTimePorter(Dates!M$6,Dates!M$7,'Day2'!$B44)</f>
        <v>0</v>
      </c>
      <c r="N44" s="7">
        <f>averageResponseTimePorter(Dates!N$6,Dates!N$7,'Day2'!$B44)</f>
        <v>0</v>
      </c>
      <c r="O44" s="7">
        <f>averageResponseTimePorter(Dates!O$6,Dates!O$7,'Day2'!$B44)</f>
        <v>0</v>
      </c>
      <c r="P44" s="7">
        <f>averageResponseTimePorter(Dates!P$6,Dates!P$7,'Day2'!$B44)</f>
        <v>0</v>
      </c>
      <c r="Q44" s="7">
        <f>averageResponseTimePorter(Dates!Q$6,Dates!Q$7,'Day2'!$B44)</f>
        <v>0</v>
      </c>
      <c r="R44" s="7">
        <f>averageResponseTimePorter(Dates!R$6,Dates!R$7,'Day2'!$B44)</f>
        <v>0</v>
      </c>
      <c r="S44" s="7">
        <f>averageResponseTimePorter(Dates!S$6,Dates!S$7,'Day2'!$B44)</f>
        <v>0</v>
      </c>
      <c r="T44" s="7">
        <f>averageResponseTimePorter(Dates!T$6,Dates!T$7,'Day2'!$B44)</f>
        <v>0</v>
      </c>
      <c r="U44" s="7">
        <f>averageResponseTimePorter(Dates!$C$6,Dates!$T$7,'Day2'!$B21)</f>
        <v>0</v>
      </c>
    </row>
    <row r="45" spans="2:21" x14ac:dyDescent="0.3">
      <c r="B45" s="11" t="str">
        <f t="shared" si="1"/>
        <v>NA22</v>
      </c>
      <c r="C45" s="7">
        <f>averageResponseTimePorter(Dates!C$6,Dates!C$7,'Day2'!$B45)</f>
        <v>0</v>
      </c>
      <c r="D45" s="7">
        <f>averageResponseTimePorter(Dates!D$6,Dates!D$7,'Day2'!$B45)</f>
        <v>0</v>
      </c>
      <c r="E45" s="7">
        <f>averageResponseTimePorter(Dates!E$6,Dates!E$7,'Day2'!$B45)</f>
        <v>0</v>
      </c>
      <c r="F45" s="7">
        <f>averageResponseTimePorter(Dates!F$6,Dates!F$7,'Day2'!$B45)</f>
        <v>0</v>
      </c>
      <c r="G45" s="7">
        <f>averageResponseTimePorter(Dates!G$6,Dates!G$7,'Day2'!$B45)</f>
        <v>0</v>
      </c>
      <c r="H45" s="7">
        <f>averageResponseTimePorter(Dates!H$6,Dates!H$7,'Day2'!$B45)</f>
        <v>0</v>
      </c>
      <c r="I45" s="7">
        <f>averageResponseTimePorter(Dates!I$6,Dates!I$7,'Day2'!$B45)</f>
        <v>0</v>
      </c>
      <c r="J45" s="7">
        <f>averageResponseTimePorter(Dates!J$6,Dates!J$7,'Day2'!$B45)</f>
        <v>0</v>
      </c>
      <c r="K45" s="7">
        <f>averageResponseTimePorter(Dates!K$6,Dates!K$7,'Day2'!$B45)</f>
        <v>0</v>
      </c>
      <c r="L45" s="7">
        <f>averageResponseTimePorter(Dates!L$6,Dates!L$7,'Day2'!$B45)</f>
        <v>0</v>
      </c>
      <c r="M45" s="7">
        <f>averageResponseTimePorter(Dates!M$6,Dates!M$7,'Day2'!$B45)</f>
        <v>0</v>
      </c>
      <c r="N45" s="7">
        <f>averageResponseTimePorter(Dates!N$6,Dates!N$7,'Day2'!$B45)</f>
        <v>0</v>
      </c>
      <c r="O45" s="7">
        <f>averageResponseTimePorter(Dates!O$6,Dates!O$7,'Day2'!$B45)</f>
        <v>0</v>
      </c>
      <c r="P45" s="7">
        <f>averageResponseTimePorter(Dates!P$6,Dates!P$7,'Day2'!$B45)</f>
        <v>0</v>
      </c>
      <c r="Q45" s="7">
        <f>averageResponseTimePorter(Dates!Q$6,Dates!Q$7,'Day2'!$B45)</f>
        <v>0</v>
      </c>
      <c r="R45" s="7">
        <f>averageResponseTimePorter(Dates!R$6,Dates!R$7,'Day2'!$B45)</f>
        <v>0</v>
      </c>
      <c r="S45" s="7">
        <f>averageResponseTimePorter(Dates!S$6,Dates!S$7,'Day2'!$B45)</f>
        <v>0</v>
      </c>
      <c r="T45" s="7">
        <f>averageResponseTimePorter(Dates!T$6,Dates!T$7,'Day2'!$B45)</f>
        <v>0</v>
      </c>
      <c r="U45" s="7">
        <f>averageResponseTimePorter(Dates!$C$6,Dates!$T$7,'Day2'!$B22)</f>
        <v>0</v>
      </c>
    </row>
    <row r="46" spans="2:21" x14ac:dyDescent="0.3">
      <c r="B46" s="11" t="str">
        <f t="shared" si="1"/>
        <v>NA23</v>
      </c>
      <c r="C46" s="7">
        <f>averageResponseTimePorter(Dates!C$6,Dates!C$7,'Day2'!$B46)</f>
        <v>0</v>
      </c>
      <c r="D46" s="7">
        <f>averageResponseTimePorter(Dates!D$6,Dates!D$7,'Day2'!$B46)</f>
        <v>0</v>
      </c>
      <c r="E46" s="7">
        <f>averageResponseTimePorter(Dates!E$6,Dates!E$7,'Day2'!$B46)</f>
        <v>0</v>
      </c>
      <c r="F46" s="7">
        <f>averageResponseTimePorter(Dates!F$6,Dates!F$7,'Day2'!$B46)</f>
        <v>0</v>
      </c>
      <c r="G46" s="7">
        <f>averageResponseTimePorter(Dates!G$6,Dates!G$7,'Day2'!$B46)</f>
        <v>0</v>
      </c>
      <c r="H46" s="7">
        <f>averageResponseTimePorter(Dates!H$6,Dates!H$7,'Day2'!$B46)</f>
        <v>0</v>
      </c>
      <c r="I46" s="7">
        <f>averageResponseTimePorter(Dates!I$6,Dates!I$7,'Day2'!$B46)</f>
        <v>0</v>
      </c>
      <c r="J46" s="7">
        <f>averageResponseTimePorter(Dates!J$6,Dates!J$7,'Day2'!$B46)</f>
        <v>0</v>
      </c>
      <c r="K46" s="7">
        <f>averageResponseTimePorter(Dates!K$6,Dates!K$7,'Day2'!$B46)</f>
        <v>0</v>
      </c>
      <c r="L46" s="7">
        <f>averageResponseTimePorter(Dates!L$6,Dates!L$7,'Day2'!$B46)</f>
        <v>0</v>
      </c>
      <c r="M46" s="7">
        <f>averageResponseTimePorter(Dates!M$6,Dates!M$7,'Day2'!$B46)</f>
        <v>0</v>
      </c>
      <c r="N46" s="7">
        <f>averageResponseTimePorter(Dates!N$6,Dates!N$7,'Day2'!$B46)</f>
        <v>0</v>
      </c>
      <c r="O46" s="7">
        <f>averageResponseTimePorter(Dates!O$6,Dates!O$7,'Day2'!$B46)</f>
        <v>0</v>
      </c>
      <c r="P46" s="7">
        <f>averageResponseTimePorter(Dates!P$6,Dates!P$7,'Day2'!$B46)</f>
        <v>0</v>
      </c>
      <c r="Q46" s="7">
        <f>averageResponseTimePorter(Dates!Q$6,Dates!Q$7,'Day2'!$B46)</f>
        <v>0</v>
      </c>
      <c r="R46" s="7">
        <f>averageResponseTimePorter(Dates!R$6,Dates!R$7,'Day2'!$B46)</f>
        <v>0</v>
      </c>
      <c r="S46" s="7">
        <f>averageResponseTimePorter(Dates!S$6,Dates!S$7,'Day2'!$B46)</f>
        <v>0</v>
      </c>
      <c r="T46" s="7">
        <f>averageResponseTimePorter(Dates!T$6,Dates!T$7,'Day2'!$B46)</f>
        <v>0</v>
      </c>
      <c r="U46" s="7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workbookViewId="0">
      <selection activeCell="J19" sqref="J19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averageCompletionTime(Dates!C8,Dates!C9)</f>
        <v>0</v>
      </c>
      <c r="D2" s="7">
        <f>averageCompletionTime(Dates!D8,Dates!D9)</f>
        <v>0</v>
      </c>
      <c r="E2" s="7">
        <f>averageCompletionTime(Dates!E8,Dates!E9)</f>
        <v>0</v>
      </c>
      <c r="F2" s="7">
        <f>averageCompletionTime(Dates!F8,Dates!F9)</f>
        <v>0</v>
      </c>
      <c r="G2" s="7">
        <f>averageCompletionTime(Dates!G8,Dates!G9)</f>
        <v>0</v>
      </c>
      <c r="H2" s="7">
        <f>averageCompletionTime(Dates!H8,Dates!H9)</f>
        <v>0</v>
      </c>
      <c r="I2" s="7">
        <f>averageCompletionTime(Dates!I8,Dates!I9)</f>
        <v>0</v>
      </c>
      <c r="J2" s="7">
        <f>averageCompletionTime(Dates!J8,Dates!J9)</f>
        <v>0</v>
      </c>
      <c r="K2" s="7">
        <f>averageCompletionTime(Dates!K8,Dates!K9)</f>
        <v>0</v>
      </c>
      <c r="L2" s="7">
        <f>averageCompletionTime(Dates!L8,Dates!L9)</f>
        <v>0</v>
      </c>
      <c r="M2" s="7">
        <f>averageCompletionTime(Dates!M8,Dates!M9)</f>
        <v>0</v>
      </c>
      <c r="N2" s="7">
        <f>averageCompletionTime(Dates!N8,Dates!N9)</f>
        <v>0</v>
      </c>
      <c r="O2" s="7">
        <f>averageCompletionTime(Dates!O8,Dates!O9)</f>
        <v>0</v>
      </c>
      <c r="P2" s="7">
        <f>averageCompletionTime(Dates!P8,Dates!P9)</f>
        <v>0</v>
      </c>
      <c r="Q2" s="7">
        <f>averageCompletionTime(Dates!Q8,Dates!Q9)</f>
        <v>0</v>
      </c>
      <c r="R2" s="7">
        <f>averageCompletionTime(Dates!R8,Dates!R9)</f>
        <v>0</v>
      </c>
      <c r="S2" s="7">
        <f>averageCompletionTime(Dates!S8,Dates!S9)</f>
        <v>0</v>
      </c>
      <c r="T2" s="7">
        <f>averageCompletionTime(Dates!T8,Dates!T9)</f>
        <v>0</v>
      </c>
      <c r="U2" s="7">
        <f>averageCompletionTime(Dates!C8,Dates!T9)</f>
        <v>0</v>
      </c>
    </row>
    <row r="3" spans="1:21" x14ac:dyDescent="0.3">
      <c r="A3" s="10" t="s">
        <v>141</v>
      </c>
      <c r="B3" s="12">
        <v>3</v>
      </c>
      <c r="C3" s="7">
        <f>averageCompletionTimePorter(Dates!C$8,Dates!C$9,'Day3'!$B3)</f>
        <v>0</v>
      </c>
      <c r="D3" s="7">
        <f>averageCompletionTimePorter(Dates!D$8,Dates!D$9,'Day3'!$B3)</f>
        <v>0</v>
      </c>
      <c r="E3" s="7">
        <f>averageCompletionTimePorter(Dates!E$8,Dates!E$9,'Day3'!$B3)</f>
        <v>0</v>
      </c>
      <c r="F3" s="7">
        <f>averageCompletionTimePorter(Dates!F$8,Dates!F$9,'Day3'!$B3)</f>
        <v>0</v>
      </c>
      <c r="G3" s="7">
        <f>averageCompletionTimePorter(Dates!G$8,Dates!G$9,'Day3'!$B3)</f>
        <v>0</v>
      </c>
      <c r="H3" s="7">
        <f>averageCompletionTimePorter(Dates!H$8,Dates!H$9,'Day3'!$B3)</f>
        <v>0</v>
      </c>
      <c r="I3" s="7">
        <f>averageCompletionTimePorter(Dates!I$8,Dates!I$9,'Day3'!$B3)</f>
        <v>0</v>
      </c>
      <c r="J3" s="7">
        <f>averageCompletionTimePorter(Dates!J$8,Dates!J$9,'Day3'!$B3)</f>
        <v>0</v>
      </c>
      <c r="K3" s="7">
        <f>averageCompletionTimePorter(Dates!K$8,Dates!K$9,'Day3'!$B3)</f>
        <v>0</v>
      </c>
      <c r="L3" s="7">
        <f>averageCompletionTimePorter(Dates!L$8,Dates!L$9,'Day3'!$B3)</f>
        <v>0</v>
      </c>
      <c r="M3" s="7">
        <f>averageCompletionTimePorter(Dates!M$8,Dates!M$9,'Day3'!$B3)</f>
        <v>0</v>
      </c>
      <c r="N3" s="7">
        <f>averageCompletionTimePorter(Dates!N$8,Dates!N$9,'Day3'!$B3)</f>
        <v>0</v>
      </c>
      <c r="O3" s="7">
        <f>averageCompletionTimePorter(Dates!O$8,Dates!O$9,'Day3'!$B3)</f>
        <v>0</v>
      </c>
      <c r="P3" s="7">
        <f>averageCompletionTimePorter(Dates!P$8,Dates!P$9,'Day3'!$B3)</f>
        <v>0</v>
      </c>
      <c r="Q3" s="7">
        <f>averageCompletionTimePorter(Dates!Q$8,Dates!Q$9,'Day3'!$B3)</f>
        <v>0</v>
      </c>
      <c r="R3" s="7">
        <f>averageCompletionTimePorter(Dates!R$8,Dates!R$9,'Day3'!$B3)</f>
        <v>0</v>
      </c>
      <c r="S3" s="7">
        <f>averageCompletionTimePorter(Dates!S$8,Dates!S$9,'Day3'!$B3)</f>
        <v>0</v>
      </c>
      <c r="T3" s="7">
        <f>averageCompletionTimePorter(Dates!T$8,Dates!T$9,'Day3'!$B3)</f>
        <v>0</v>
      </c>
      <c r="U3" s="7">
        <f>averageCompletionTimePorter(Dates!$C$8,Dates!$T$9,'Day3'!$B3)</f>
        <v>0</v>
      </c>
    </row>
    <row r="4" spans="1:21" x14ac:dyDescent="0.3">
      <c r="A4" s="10"/>
      <c r="B4" s="12">
        <v>2</v>
      </c>
      <c r="C4" s="7">
        <f>averageCompletionTimePorter(Dates!C$8,Dates!C$9,'Day3'!$B4)</f>
        <v>0</v>
      </c>
      <c r="D4" s="7">
        <f>averageCompletionTimePorter(Dates!D$8,Dates!D$9,'Day3'!$B4)</f>
        <v>0</v>
      </c>
      <c r="E4" s="7">
        <f>averageCompletionTimePorter(Dates!E$8,Dates!E$9,'Day3'!$B4)</f>
        <v>0</v>
      </c>
      <c r="F4" s="7">
        <f>averageCompletionTimePorter(Dates!F$8,Dates!F$9,'Day3'!$B4)</f>
        <v>0</v>
      </c>
      <c r="G4" s="7">
        <f>averageCompletionTimePorter(Dates!G$8,Dates!G$9,'Day3'!$B4)</f>
        <v>0</v>
      </c>
      <c r="H4" s="7">
        <f>averageCompletionTimePorter(Dates!H$8,Dates!H$9,'Day3'!$B4)</f>
        <v>0</v>
      </c>
      <c r="I4" s="7">
        <f>averageCompletionTimePorter(Dates!I$8,Dates!I$9,'Day3'!$B4)</f>
        <v>0</v>
      </c>
      <c r="J4" s="7">
        <f>averageCompletionTimePorter(Dates!J$8,Dates!J$9,'Day3'!$B4)</f>
        <v>0</v>
      </c>
      <c r="K4" s="7">
        <f>averageCompletionTimePorter(Dates!K$8,Dates!K$9,'Day3'!$B4)</f>
        <v>0</v>
      </c>
      <c r="L4" s="7">
        <f>averageCompletionTimePorter(Dates!L$8,Dates!L$9,'Day3'!$B4)</f>
        <v>0</v>
      </c>
      <c r="M4" s="7">
        <f>averageCompletionTimePorter(Dates!M$8,Dates!M$9,'Day3'!$B4)</f>
        <v>0</v>
      </c>
      <c r="N4" s="7">
        <f>averageCompletionTimePorter(Dates!N$8,Dates!N$9,'Day3'!$B4)</f>
        <v>0</v>
      </c>
      <c r="O4" s="7">
        <f>averageCompletionTimePorter(Dates!O$8,Dates!O$9,'Day3'!$B4)</f>
        <v>0</v>
      </c>
      <c r="P4" s="7">
        <f>averageCompletionTimePorter(Dates!P$8,Dates!P$9,'Day3'!$B4)</f>
        <v>0</v>
      </c>
      <c r="Q4" s="7">
        <f>averageCompletionTimePorter(Dates!Q$8,Dates!Q$9,'Day3'!$B4)</f>
        <v>0</v>
      </c>
      <c r="R4" s="7">
        <f>averageCompletionTimePorter(Dates!R$8,Dates!R$9,'Day3'!$B4)</f>
        <v>0</v>
      </c>
      <c r="S4" s="7">
        <f>averageCompletionTimePorter(Dates!S$8,Dates!S$9,'Day3'!$B4)</f>
        <v>0</v>
      </c>
      <c r="T4" s="7">
        <f>averageCompletionTimePorter(Dates!T$8,Dates!T$9,'Day3'!$B4)</f>
        <v>0</v>
      </c>
      <c r="U4" s="7">
        <f>averageCompletionTimePorter(Dates!$C$8,Dates!$T$9,'Day3'!$B4)</f>
        <v>0</v>
      </c>
    </row>
    <row r="5" spans="1:21" x14ac:dyDescent="0.3">
      <c r="A5" s="10"/>
      <c r="B5" s="12">
        <v>5</v>
      </c>
      <c r="C5" s="7">
        <f>averageCompletionTimePorter(Dates!C$8,Dates!C$9,'Day3'!$B5)</f>
        <v>0</v>
      </c>
      <c r="D5" s="7">
        <f>averageCompletionTimePorter(Dates!D$8,Dates!D$9,'Day3'!$B5)</f>
        <v>0</v>
      </c>
      <c r="E5" s="7">
        <f>averageCompletionTimePorter(Dates!E$8,Dates!E$9,'Day3'!$B5)</f>
        <v>0</v>
      </c>
      <c r="F5" s="7">
        <f>averageCompletionTimePorter(Dates!F$8,Dates!F$9,'Day3'!$B5)</f>
        <v>0</v>
      </c>
      <c r="G5" s="7">
        <f>averageCompletionTimePorter(Dates!G$8,Dates!G$9,'Day3'!$B5)</f>
        <v>0</v>
      </c>
      <c r="H5" s="7">
        <f>averageCompletionTimePorter(Dates!H$8,Dates!H$9,'Day3'!$B5)</f>
        <v>0</v>
      </c>
      <c r="I5" s="7">
        <f>averageCompletionTimePorter(Dates!I$8,Dates!I$9,'Day3'!$B5)</f>
        <v>0</v>
      </c>
      <c r="J5" s="7">
        <f>averageCompletionTimePorter(Dates!J$8,Dates!J$9,'Day3'!$B5)</f>
        <v>0</v>
      </c>
      <c r="K5" s="7">
        <f>averageCompletionTimePorter(Dates!K$8,Dates!K$9,'Day3'!$B5)</f>
        <v>0</v>
      </c>
      <c r="L5" s="7">
        <f>averageCompletionTimePorter(Dates!L$8,Dates!L$9,'Day3'!$B5)</f>
        <v>0</v>
      </c>
      <c r="M5" s="7">
        <f>averageCompletionTimePorter(Dates!M$8,Dates!M$9,'Day3'!$B5)</f>
        <v>0</v>
      </c>
      <c r="N5" s="7">
        <f>averageCompletionTimePorter(Dates!N$8,Dates!N$9,'Day3'!$B5)</f>
        <v>0</v>
      </c>
      <c r="O5" s="7">
        <f>averageCompletionTimePorter(Dates!O$8,Dates!O$9,'Day3'!$B5)</f>
        <v>0</v>
      </c>
      <c r="P5" s="7">
        <f>averageCompletionTimePorter(Dates!P$8,Dates!P$9,'Day3'!$B5)</f>
        <v>0</v>
      </c>
      <c r="Q5" s="7">
        <f>averageCompletionTimePorter(Dates!Q$8,Dates!Q$9,'Day3'!$B5)</f>
        <v>0</v>
      </c>
      <c r="R5" s="7">
        <f>averageCompletionTimePorter(Dates!R$8,Dates!R$9,'Day3'!$B5)</f>
        <v>0</v>
      </c>
      <c r="S5" s="7">
        <f>averageCompletionTimePorter(Dates!S$8,Dates!S$9,'Day3'!$B5)</f>
        <v>0</v>
      </c>
      <c r="T5" s="7">
        <f>averageCompletionTimePorter(Dates!T$8,Dates!T$9,'Day3'!$B5)</f>
        <v>0</v>
      </c>
      <c r="U5" s="7">
        <f>averageCompletionTimePorter(Dates!$C$8,Dates!$T$9,'Day3'!$B5)</f>
        <v>0</v>
      </c>
    </row>
    <row r="6" spans="1:21" x14ac:dyDescent="0.3">
      <c r="A6" s="10"/>
      <c r="B6" s="12">
        <v>0</v>
      </c>
      <c r="C6" s="7">
        <f>averageCompletionTimePorter(Dates!C$8,Dates!C$9,'Day3'!$B6)</f>
        <v>0</v>
      </c>
      <c r="D6" s="7">
        <f>averageCompletionTimePorter(Dates!D$8,Dates!D$9,'Day3'!$B6)</f>
        <v>0</v>
      </c>
      <c r="E6" s="7">
        <f>averageCompletionTimePorter(Dates!E$8,Dates!E$9,'Day3'!$B6)</f>
        <v>0</v>
      </c>
      <c r="F6" s="7">
        <f>averageCompletionTimePorter(Dates!F$8,Dates!F$9,'Day3'!$B6)</f>
        <v>0</v>
      </c>
      <c r="G6" s="7">
        <f>averageCompletionTimePorter(Dates!G$8,Dates!G$9,'Day3'!$B6)</f>
        <v>0</v>
      </c>
      <c r="H6" s="7">
        <f>averageCompletionTimePorter(Dates!H$8,Dates!H$9,'Day3'!$B6)</f>
        <v>0</v>
      </c>
      <c r="I6" s="7">
        <f>averageCompletionTimePorter(Dates!I$8,Dates!I$9,'Day3'!$B6)</f>
        <v>0</v>
      </c>
      <c r="J6" s="7">
        <f>averageCompletionTimePorter(Dates!J$8,Dates!J$9,'Day3'!$B6)</f>
        <v>0</v>
      </c>
      <c r="K6" s="7">
        <f>averageCompletionTimePorter(Dates!K$8,Dates!K$9,'Day3'!$B6)</f>
        <v>0</v>
      </c>
      <c r="L6" s="7">
        <f>averageCompletionTimePorter(Dates!L$8,Dates!L$9,'Day3'!$B6)</f>
        <v>0</v>
      </c>
      <c r="M6" s="7">
        <f>averageCompletionTimePorter(Dates!M$8,Dates!M$9,'Day3'!$B6)</f>
        <v>0</v>
      </c>
      <c r="N6" s="7">
        <f>averageCompletionTimePorter(Dates!N$8,Dates!N$9,'Day3'!$B6)</f>
        <v>0</v>
      </c>
      <c r="O6" s="7">
        <f>averageCompletionTimePorter(Dates!O$8,Dates!O$9,'Day3'!$B6)</f>
        <v>0</v>
      </c>
      <c r="P6" s="7">
        <f>averageCompletionTimePorter(Dates!P$8,Dates!P$9,'Day3'!$B6)</f>
        <v>0</v>
      </c>
      <c r="Q6" s="7">
        <f>averageCompletionTimePorter(Dates!Q$8,Dates!Q$9,'Day3'!$B6)</f>
        <v>0</v>
      </c>
      <c r="R6" s="7">
        <f>averageCompletionTimePorter(Dates!R$8,Dates!R$9,'Day3'!$B6)</f>
        <v>0</v>
      </c>
      <c r="S6" s="7">
        <f>averageCompletionTimePorter(Dates!S$8,Dates!S$9,'Day3'!$B6)</f>
        <v>0</v>
      </c>
      <c r="T6" s="7">
        <f>averageCompletionTimePorter(Dates!T$8,Dates!T$9,'Day3'!$B6)</f>
        <v>0</v>
      </c>
      <c r="U6" s="7">
        <f>averageCompletionTimePorter(Dates!$C$8,Dates!$T$9,'Day3'!$B6)</f>
        <v>0</v>
      </c>
    </row>
    <row r="7" spans="1:21" x14ac:dyDescent="0.3">
      <c r="A7" s="10"/>
      <c r="B7" s="12">
        <v>4</v>
      </c>
      <c r="C7" s="7">
        <f>averageCompletionTimePorter(Dates!C$8,Dates!C$9,'Day3'!$B7)</f>
        <v>0</v>
      </c>
      <c r="D7" s="7">
        <f>averageCompletionTimePorter(Dates!D$8,Dates!D$9,'Day3'!$B7)</f>
        <v>0</v>
      </c>
      <c r="E7" s="7">
        <f>averageCompletionTimePorter(Dates!E$8,Dates!E$9,'Day3'!$B7)</f>
        <v>0</v>
      </c>
      <c r="F7" s="7">
        <f>averageCompletionTimePorter(Dates!F$8,Dates!F$9,'Day3'!$B7)</f>
        <v>0</v>
      </c>
      <c r="G7" s="7">
        <f>averageCompletionTimePorter(Dates!G$8,Dates!G$9,'Day3'!$B7)</f>
        <v>0</v>
      </c>
      <c r="H7" s="7">
        <f>averageCompletionTimePorter(Dates!H$8,Dates!H$9,'Day3'!$B7)</f>
        <v>0</v>
      </c>
      <c r="I7" s="7">
        <f>averageCompletionTimePorter(Dates!I$8,Dates!I$9,'Day3'!$B7)</f>
        <v>0</v>
      </c>
      <c r="J7" s="7">
        <f>averageCompletionTimePorter(Dates!J$8,Dates!J$9,'Day3'!$B7)</f>
        <v>0</v>
      </c>
      <c r="K7" s="7">
        <f>averageCompletionTimePorter(Dates!K$8,Dates!K$9,'Day3'!$B7)</f>
        <v>0</v>
      </c>
      <c r="L7" s="7">
        <f>averageCompletionTimePorter(Dates!L$8,Dates!L$9,'Day3'!$B7)</f>
        <v>0</v>
      </c>
      <c r="M7" s="7">
        <f>averageCompletionTimePorter(Dates!M$8,Dates!M$9,'Day3'!$B7)</f>
        <v>0</v>
      </c>
      <c r="N7" s="7">
        <f>averageCompletionTimePorter(Dates!N$8,Dates!N$9,'Day3'!$B7)</f>
        <v>0</v>
      </c>
      <c r="O7" s="7">
        <f>averageCompletionTimePorter(Dates!O$8,Dates!O$9,'Day3'!$B7)</f>
        <v>0</v>
      </c>
      <c r="P7" s="7">
        <f>averageCompletionTimePorter(Dates!P$8,Dates!P$9,'Day3'!$B7)</f>
        <v>0</v>
      </c>
      <c r="Q7" s="7">
        <f>averageCompletionTimePorter(Dates!Q$8,Dates!Q$9,'Day3'!$B7)</f>
        <v>0</v>
      </c>
      <c r="R7" s="7">
        <f>averageCompletionTimePorter(Dates!R$8,Dates!R$9,'Day3'!$B7)</f>
        <v>0</v>
      </c>
      <c r="S7" s="7">
        <f>averageCompletionTimePorter(Dates!S$8,Dates!S$9,'Day3'!$B7)</f>
        <v>0</v>
      </c>
      <c r="T7" s="7">
        <f>averageCompletionTimePorter(Dates!T$8,Dates!T$9,'Day3'!$B7)</f>
        <v>0</v>
      </c>
      <c r="U7" s="7">
        <f>averageCompletionTimePorter(Dates!$C$8,Dates!$T$9,'Day3'!$B7)</f>
        <v>0</v>
      </c>
    </row>
    <row r="8" spans="1:21" x14ac:dyDescent="0.3">
      <c r="A8" s="10"/>
      <c r="B8" s="12">
        <v>8</v>
      </c>
      <c r="C8" s="7">
        <f>averageCompletionTimePorter(Dates!C$8,Dates!C$9,'Day3'!$B8)</f>
        <v>0</v>
      </c>
      <c r="D8" s="7">
        <f>averageCompletionTimePorter(Dates!D$8,Dates!D$9,'Day3'!$B8)</f>
        <v>0</v>
      </c>
      <c r="E8" s="7">
        <f>averageCompletionTimePorter(Dates!E$8,Dates!E$9,'Day3'!$B8)</f>
        <v>0</v>
      </c>
      <c r="F8" s="7">
        <f>averageCompletionTimePorter(Dates!F$8,Dates!F$9,'Day3'!$B8)</f>
        <v>0</v>
      </c>
      <c r="G8" s="7">
        <f>averageCompletionTimePorter(Dates!G$8,Dates!G$9,'Day3'!$B8)</f>
        <v>0</v>
      </c>
      <c r="H8" s="7">
        <f>averageCompletionTimePorter(Dates!H$8,Dates!H$9,'Day3'!$B8)</f>
        <v>0</v>
      </c>
      <c r="I8" s="7">
        <f>averageCompletionTimePorter(Dates!I$8,Dates!I$9,'Day3'!$B8)</f>
        <v>0</v>
      </c>
      <c r="J8" s="7">
        <f>averageCompletionTimePorter(Dates!J$8,Dates!J$9,'Day3'!$B8)</f>
        <v>0</v>
      </c>
      <c r="K8" s="7">
        <f>averageCompletionTimePorter(Dates!K$8,Dates!K$9,'Day3'!$B8)</f>
        <v>0</v>
      </c>
      <c r="L8" s="7">
        <f>averageCompletionTimePorter(Dates!L$8,Dates!L$9,'Day3'!$B8)</f>
        <v>0</v>
      </c>
      <c r="M8" s="7">
        <f>averageCompletionTimePorter(Dates!M$8,Dates!M$9,'Day3'!$B8)</f>
        <v>0</v>
      </c>
      <c r="N8" s="7">
        <f>averageCompletionTimePorter(Dates!N$8,Dates!N$9,'Day3'!$B8)</f>
        <v>0</v>
      </c>
      <c r="O8" s="7">
        <f>averageCompletionTimePorter(Dates!O$8,Dates!O$9,'Day3'!$B8)</f>
        <v>0</v>
      </c>
      <c r="P8" s="7">
        <f>averageCompletionTimePorter(Dates!P$8,Dates!P$9,'Day3'!$B8)</f>
        <v>0</v>
      </c>
      <c r="Q8" s="7">
        <f>averageCompletionTimePorter(Dates!Q$8,Dates!Q$9,'Day3'!$B8)</f>
        <v>0</v>
      </c>
      <c r="R8" s="7">
        <f>averageCompletionTimePorter(Dates!R$8,Dates!R$9,'Day3'!$B8)</f>
        <v>0</v>
      </c>
      <c r="S8" s="7">
        <f>averageCompletionTimePorter(Dates!S$8,Dates!S$9,'Day3'!$B8)</f>
        <v>0</v>
      </c>
      <c r="T8" s="7">
        <f>averageCompletionTimePorter(Dates!T$8,Dates!T$9,'Day3'!$B8)</f>
        <v>0</v>
      </c>
      <c r="U8" s="7">
        <f>averageCompletionTimePorter(Dates!$C$8,Dates!$T$9,'Day3'!$B8)</f>
        <v>0</v>
      </c>
    </row>
    <row r="9" spans="1:21" x14ac:dyDescent="0.3">
      <c r="A9" s="10"/>
      <c r="B9" s="12">
        <v>6</v>
      </c>
      <c r="C9" s="7">
        <f>averageCompletionTimePorter(Dates!C$8,Dates!C$9,'Day3'!$B9)</f>
        <v>0</v>
      </c>
      <c r="D9" s="7">
        <f>averageCompletionTimePorter(Dates!D$8,Dates!D$9,'Day3'!$B9)</f>
        <v>0</v>
      </c>
      <c r="E9" s="7">
        <f>averageCompletionTimePorter(Dates!E$8,Dates!E$9,'Day3'!$B9)</f>
        <v>0</v>
      </c>
      <c r="F9" s="7">
        <f>averageCompletionTimePorter(Dates!F$8,Dates!F$9,'Day3'!$B9)</f>
        <v>0</v>
      </c>
      <c r="G9" s="7">
        <f>averageCompletionTimePorter(Dates!G$8,Dates!G$9,'Day3'!$B9)</f>
        <v>0</v>
      </c>
      <c r="H9" s="7">
        <f>averageCompletionTimePorter(Dates!H$8,Dates!H$9,'Day3'!$B9)</f>
        <v>0</v>
      </c>
      <c r="I9" s="7">
        <f>averageCompletionTimePorter(Dates!I$8,Dates!I$9,'Day3'!$B9)</f>
        <v>0</v>
      </c>
      <c r="J9" s="7">
        <f>averageCompletionTimePorter(Dates!J$8,Dates!J$9,'Day3'!$B9)</f>
        <v>0</v>
      </c>
      <c r="K9" s="7">
        <f>averageCompletionTimePorter(Dates!K$8,Dates!K$9,'Day3'!$B9)</f>
        <v>0</v>
      </c>
      <c r="L9" s="7">
        <f>averageCompletionTimePorter(Dates!L$8,Dates!L$9,'Day3'!$B9)</f>
        <v>0</v>
      </c>
      <c r="M9" s="7">
        <f>averageCompletionTimePorter(Dates!M$8,Dates!M$9,'Day3'!$B9)</f>
        <v>0</v>
      </c>
      <c r="N9" s="7">
        <f>averageCompletionTimePorter(Dates!N$8,Dates!N$9,'Day3'!$B9)</f>
        <v>0</v>
      </c>
      <c r="O9" s="7">
        <f>averageCompletionTimePorter(Dates!O$8,Dates!O$9,'Day3'!$B9)</f>
        <v>0</v>
      </c>
      <c r="P9" s="7">
        <f>averageCompletionTimePorter(Dates!P$8,Dates!P$9,'Day3'!$B9)</f>
        <v>0</v>
      </c>
      <c r="Q9" s="7">
        <f>averageCompletionTimePorter(Dates!Q$8,Dates!Q$9,'Day3'!$B9)</f>
        <v>0</v>
      </c>
      <c r="R9" s="7">
        <f>averageCompletionTimePorter(Dates!R$8,Dates!R$9,'Day3'!$B9)</f>
        <v>0</v>
      </c>
      <c r="S9" s="7">
        <f>averageCompletionTimePorter(Dates!S$8,Dates!S$9,'Day3'!$B9)</f>
        <v>0</v>
      </c>
      <c r="T9" s="7">
        <f>averageCompletionTimePorter(Dates!T$8,Dates!T$9,'Day3'!$B9)</f>
        <v>0</v>
      </c>
      <c r="U9" s="7">
        <f>averageCompletionTimePorter(Dates!$C$8,Dates!$T$9,'Day3'!$B9)</f>
        <v>0</v>
      </c>
    </row>
    <row r="10" spans="1:21" x14ac:dyDescent="0.3">
      <c r="A10" s="10"/>
      <c r="B10" s="12">
        <v>1</v>
      </c>
      <c r="C10" s="7">
        <f>averageCompletionTimePorter(Dates!C$8,Dates!C$9,'Day3'!$B10)</f>
        <v>0</v>
      </c>
      <c r="D10" s="7">
        <f>averageCompletionTimePorter(Dates!D$8,Dates!D$9,'Day3'!$B10)</f>
        <v>0</v>
      </c>
      <c r="E10" s="7">
        <f>averageCompletionTimePorter(Dates!E$8,Dates!E$9,'Day3'!$B10)</f>
        <v>0</v>
      </c>
      <c r="F10" s="7">
        <f>averageCompletionTimePorter(Dates!F$8,Dates!F$9,'Day3'!$B10)</f>
        <v>0</v>
      </c>
      <c r="G10" s="7">
        <f>averageCompletionTimePorter(Dates!G$8,Dates!G$9,'Day3'!$B10)</f>
        <v>0</v>
      </c>
      <c r="H10" s="7">
        <f>averageCompletionTimePorter(Dates!H$8,Dates!H$9,'Day3'!$B10)</f>
        <v>0</v>
      </c>
      <c r="I10" s="7">
        <f>averageCompletionTimePorter(Dates!I$8,Dates!I$9,'Day3'!$B10)</f>
        <v>0</v>
      </c>
      <c r="J10" s="7">
        <f>averageCompletionTimePorter(Dates!J$8,Dates!J$9,'Day3'!$B10)</f>
        <v>0</v>
      </c>
      <c r="K10" s="7">
        <f>averageCompletionTimePorter(Dates!K$8,Dates!K$9,'Day3'!$B10)</f>
        <v>0</v>
      </c>
      <c r="L10" s="7">
        <f>averageCompletionTimePorter(Dates!L$8,Dates!L$9,'Day3'!$B10)</f>
        <v>0</v>
      </c>
      <c r="M10" s="7">
        <f>averageCompletionTimePorter(Dates!M$8,Dates!M$9,'Day3'!$B10)</f>
        <v>0</v>
      </c>
      <c r="N10" s="7">
        <f>averageCompletionTimePorter(Dates!N$8,Dates!N$9,'Day3'!$B10)</f>
        <v>0</v>
      </c>
      <c r="O10" s="7">
        <f>averageCompletionTimePorter(Dates!O$8,Dates!O$9,'Day3'!$B10)</f>
        <v>0</v>
      </c>
      <c r="P10" s="7">
        <f>averageCompletionTimePorter(Dates!P$8,Dates!P$9,'Day3'!$B10)</f>
        <v>0</v>
      </c>
      <c r="Q10" s="7">
        <f>averageCompletionTimePorter(Dates!Q$8,Dates!Q$9,'Day3'!$B10)</f>
        <v>0</v>
      </c>
      <c r="R10" s="7">
        <f>averageCompletionTimePorter(Dates!R$8,Dates!R$9,'Day3'!$B10)</f>
        <v>0</v>
      </c>
      <c r="S10" s="7">
        <f>averageCompletionTimePorter(Dates!S$8,Dates!S$9,'Day3'!$B10)</f>
        <v>0</v>
      </c>
      <c r="T10" s="7">
        <f>averageCompletionTimePorter(Dates!T$8,Dates!T$9,'Day3'!$B10)</f>
        <v>0</v>
      </c>
      <c r="U10" s="7">
        <f>averageCompletionTimePorter(Dates!$C$8,Dates!$T$9,'Day3'!$B10)</f>
        <v>0</v>
      </c>
    </row>
    <row r="11" spans="1:21" x14ac:dyDescent="0.3">
      <c r="A11" s="10"/>
      <c r="B11" s="12">
        <v>10</v>
      </c>
      <c r="C11" s="7">
        <f>averageCompletionTimePorter(Dates!C$8,Dates!C$9,'Day3'!$B11)</f>
        <v>0</v>
      </c>
      <c r="D11" s="7">
        <f>averageCompletionTimePorter(Dates!D$8,Dates!D$9,'Day3'!$B11)</f>
        <v>0</v>
      </c>
      <c r="E11" s="7">
        <f>averageCompletionTimePorter(Dates!E$8,Dates!E$9,'Day3'!$B11)</f>
        <v>0</v>
      </c>
      <c r="F11" s="7">
        <f>averageCompletionTimePorter(Dates!F$8,Dates!F$9,'Day3'!$B11)</f>
        <v>0</v>
      </c>
      <c r="G11" s="7">
        <f>averageCompletionTimePorter(Dates!G$8,Dates!G$9,'Day3'!$B11)</f>
        <v>0</v>
      </c>
      <c r="H11" s="7">
        <f>averageCompletionTimePorter(Dates!H$8,Dates!H$9,'Day3'!$B11)</f>
        <v>0</v>
      </c>
      <c r="I11" s="7">
        <f>averageCompletionTimePorter(Dates!I$8,Dates!I$9,'Day3'!$B11)</f>
        <v>0</v>
      </c>
      <c r="J11" s="7">
        <f>averageCompletionTimePorter(Dates!J$8,Dates!J$9,'Day3'!$B11)</f>
        <v>0</v>
      </c>
      <c r="K11" s="7">
        <f>averageCompletionTimePorter(Dates!K$8,Dates!K$9,'Day3'!$B11)</f>
        <v>0</v>
      </c>
      <c r="L11" s="7">
        <f>averageCompletionTimePorter(Dates!L$8,Dates!L$9,'Day3'!$B11)</f>
        <v>0</v>
      </c>
      <c r="M11" s="7">
        <f>averageCompletionTimePorter(Dates!M$8,Dates!M$9,'Day3'!$B11)</f>
        <v>0</v>
      </c>
      <c r="N11" s="7">
        <f>averageCompletionTimePorter(Dates!N$8,Dates!N$9,'Day3'!$B11)</f>
        <v>0</v>
      </c>
      <c r="O11" s="7">
        <f>averageCompletionTimePorter(Dates!O$8,Dates!O$9,'Day3'!$B11)</f>
        <v>0</v>
      </c>
      <c r="P11" s="7">
        <f>averageCompletionTimePorter(Dates!P$8,Dates!P$9,'Day3'!$B11)</f>
        <v>0</v>
      </c>
      <c r="Q11" s="7">
        <f>averageCompletionTimePorter(Dates!Q$8,Dates!Q$9,'Day3'!$B11)</f>
        <v>0</v>
      </c>
      <c r="R11" s="7">
        <f>averageCompletionTimePorter(Dates!R$8,Dates!R$9,'Day3'!$B11)</f>
        <v>0</v>
      </c>
      <c r="S11" s="7">
        <f>averageCompletionTimePorter(Dates!S$8,Dates!S$9,'Day3'!$B11)</f>
        <v>0</v>
      </c>
      <c r="T11" s="7">
        <f>averageCompletionTimePorter(Dates!T$8,Dates!T$9,'Day3'!$B11)</f>
        <v>0</v>
      </c>
      <c r="U11" s="7">
        <f>averageCompletionTimePorter(Dates!$C$8,Dates!$T$9,'Day3'!$B11)</f>
        <v>0</v>
      </c>
    </row>
    <row r="12" spans="1:21" x14ac:dyDescent="0.3">
      <c r="A12" s="10"/>
      <c r="B12" s="12">
        <v>9</v>
      </c>
      <c r="C12" s="7">
        <f>averageCompletionTimePorter(Dates!C$8,Dates!C$9,'Day3'!$B12)</f>
        <v>0</v>
      </c>
      <c r="D12" s="7">
        <f>averageCompletionTimePorter(Dates!D$8,Dates!D$9,'Day3'!$B12)</f>
        <v>0</v>
      </c>
      <c r="E12" s="7">
        <f>averageCompletionTimePorter(Dates!E$8,Dates!E$9,'Day3'!$B12)</f>
        <v>0</v>
      </c>
      <c r="F12" s="7">
        <f>averageCompletionTimePorter(Dates!F$8,Dates!F$9,'Day3'!$B12)</f>
        <v>0</v>
      </c>
      <c r="G12" s="7">
        <f>averageCompletionTimePorter(Dates!G$8,Dates!G$9,'Day3'!$B12)</f>
        <v>0</v>
      </c>
      <c r="H12" s="7">
        <f>averageCompletionTimePorter(Dates!H$8,Dates!H$9,'Day3'!$B12)</f>
        <v>0</v>
      </c>
      <c r="I12" s="7">
        <f>averageCompletionTimePorter(Dates!I$8,Dates!I$9,'Day3'!$B12)</f>
        <v>0</v>
      </c>
      <c r="J12" s="7">
        <f>averageCompletionTimePorter(Dates!J$8,Dates!J$9,'Day3'!$B12)</f>
        <v>0</v>
      </c>
      <c r="K12" s="7">
        <f>averageCompletionTimePorter(Dates!K$8,Dates!K$9,'Day3'!$B12)</f>
        <v>0</v>
      </c>
      <c r="L12" s="7">
        <f>averageCompletionTimePorter(Dates!L$8,Dates!L$9,'Day3'!$B12)</f>
        <v>0</v>
      </c>
      <c r="M12" s="7">
        <f>averageCompletionTimePorter(Dates!M$8,Dates!M$9,'Day3'!$B12)</f>
        <v>0</v>
      </c>
      <c r="N12" s="7">
        <f>averageCompletionTimePorter(Dates!N$8,Dates!N$9,'Day3'!$B12)</f>
        <v>0</v>
      </c>
      <c r="O12" s="7">
        <f>averageCompletionTimePorter(Dates!O$8,Dates!O$9,'Day3'!$B12)</f>
        <v>0</v>
      </c>
      <c r="P12" s="7">
        <f>averageCompletionTimePorter(Dates!P$8,Dates!P$9,'Day3'!$B12)</f>
        <v>0</v>
      </c>
      <c r="Q12" s="7">
        <f>averageCompletionTimePorter(Dates!Q$8,Dates!Q$9,'Day3'!$B12)</f>
        <v>0</v>
      </c>
      <c r="R12" s="7">
        <f>averageCompletionTimePorter(Dates!R$8,Dates!R$9,'Day3'!$B12)</f>
        <v>0</v>
      </c>
      <c r="S12" s="7">
        <f>averageCompletionTimePorter(Dates!S$8,Dates!S$9,'Day3'!$B12)</f>
        <v>0</v>
      </c>
      <c r="T12" s="7">
        <f>averageCompletionTimePorter(Dates!T$8,Dates!T$9,'Day3'!$B12)</f>
        <v>0</v>
      </c>
      <c r="U12" s="7">
        <f>averageCompletionTimePorter(Dates!$C$8,Dates!$T$9,'Day3'!$B12)</f>
        <v>0</v>
      </c>
    </row>
    <row r="13" spans="1:21" x14ac:dyDescent="0.3">
      <c r="A13" s="10"/>
      <c r="B13" s="12">
        <v>7</v>
      </c>
      <c r="C13" s="7">
        <f>averageCompletionTimePorter(Dates!C$8,Dates!C$9,'Day3'!$B13)</f>
        <v>0</v>
      </c>
      <c r="D13" s="7">
        <f>averageCompletionTimePorter(Dates!D$8,Dates!D$9,'Day3'!$B13)</f>
        <v>0</v>
      </c>
      <c r="E13" s="7">
        <f>averageCompletionTimePorter(Dates!E$8,Dates!E$9,'Day3'!$B13)</f>
        <v>0</v>
      </c>
      <c r="F13" s="7">
        <f>averageCompletionTimePorter(Dates!F$8,Dates!F$9,'Day3'!$B13)</f>
        <v>0</v>
      </c>
      <c r="G13" s="7">
        <f>averageCompletionTimePorter(Dates!G$8,Dates!G$9,'Day3'!$B13)</f>
        <v>0</v>
      </c>
      <c r="H13" s="7">
        <f>averageCompletionTimePorter(Dates!H$8,Dates!H$9,'Day3'!$B13)</f>
        <v>0</v>
      </c>
      <c r="I13" s="7">
        <f>averageCompletionTimePorter(Dates!I$8,Dates!I$9,'Day3'!$B13)</f>
        <v>0</v>
      </c>
      <c r="J13" s="7">
        <f>averageCompletionTimePorter(Dates!J$8,Dates!J$9,'Day3'!$B13)</f>
        <v>0</v>
      </c>
      <c r="K13" s="7">
        <f>averageCompletionTimePorter(Dates!K$8,Dates!K$9,'Day3'!$B13)</f>
        <v>0</v>
      </c>
      <c r="L13" s="7">
        <f>averageCompletionTimePorter(Dates!L$8,Dates!L$9,'Day3'!$B13)</f>
        <v>0</v>
      </c>
      <c r="M13" s="7">
        <f>averageCompletionTimePorter(Dates!M$8,Dates!M$9,'Day3'!$B13)</f>
        <v>0</v>
      </c>
      <c r="N13" s="7">
        <f>averageCompletionTimePorter(Dates!N$8,Dates!N$9,'Day3'!$B13)</f>
        <v>0</v>
      </c>
      <c r="O13" s="7">
        <f>averageCompletionTimePorter(Dates!O$8,Dates!O$9,'Day3'!$B13)</f>
        <v>0</v>
      </c>
      <c r="P13" s="7">
        <f>averageCompletionTimePorter(Dates!P$8,Dates!P$9,'Day3'!$B13)</f>
        <v>0</v>
      </c>
      <c r="Q13" s="7">
        <f>averageCompletionTimePorter(Dates!Q$8,Dates!Q$9,'Day3'!$B13)</f>
        <v>0</v>
      </c>
      <c r="R13" s="7">
        <f>averageCompletionTimePorter(Dates!R$8,Dates!R$9,'Day3'!$B13)</f>
        <v>0</v>
      </c>
      <c r="S13" s="7">
        <f>averageCompletionTimePorter(Dates!S$8,Dates!S$9,'Day3'!$B13)</f>
        <v>0</v>
      </c>
      <c r="T13" s="7">
        <f>averageCompletionTimePorter(Dates!T$8,Dates!T$9,'Day3'!$B13)</f>
        <v>0</v>
      </c>
      <c r="U13" s="7">
        <f>averageCompletionTimePorter(Dates!$C$8,Dates!$T$9,'Day3'!$B13)</f>
        <v>0</v>
      </c>
    </row>
    <row r="14" spans="1:21" x14ac:dyDescent="0.3">
      <c r="B14" s="12" t="s">
        <v>149</v>
      </c>
      <c r="C14" s="7">
        <f>averageCompletionTimePorter(Dates!C$8,Dates!C$9,'Day3'!$B14)</f>
        <v>0</v>
      </c>
      <c r="D14" s="7">
        <f>averageCompletionTimePorter(Dates!D$8,Dates!D$9,'Day3'!$B14)</f>
        <v>0</v>
      </c>
      <c r="E14" s="7">
        <f>averageCompletionTimePorter(Dates!E$8,Dates!E$9,'Day3'!$B14)</f>
        <v>0</v>
      </c>
      <c r="F14" s="7">
        <f>averageCompletionTimePorter(Dates!F$8,Dates!F$9,'Day3'!$B14)</f>
        <v>0</v>
      </c>
      <c r="G14" s="7">
        <f>averageCompletionTimePorter(Dates!G$8,Dates!G$9,'Day3'!$B14)</f>
        <v>0</v>
      </c>
      <c r="H14" s="7">
        <f>averageCompletionTimePorter(Dates!H$8,Dates!H$9,'Day3'!$B14)</f>
        <v>0</v>
      </c>
      <c r="I14" s="7">
        <f>averageCompletionTimePorter(Dates!I$8,Dates!I$9,'Day3'!$B14)</f>
        <v>0</v>
      </c>
      <c r="J14" s="7">
        <f>averageCompletionTimePorter(Dates!J$8,Dates!J$9,'Day3'!$B14)</f>
        <v>0</v>
      </c>
      <c r="K14" s="7">
        <f>averageCompletionTimePorter(Dates!K$8,Dates!K$9,'Day3'!$B14)</f>
        <v>0</v>
      </c>
      <c r="L14" s="7">
        <f>averageCompletionTimePorter(Dates!L$8,Dates!L$9,'Day3'!$B14)</f>
        <v>0</v>
      </c>
      <c r="M14" s="7">
        <f>averageCompletionTimePorter(Dates!M$8,Dates!M$9,'Day3'!$B14)</f>
        <v>0</v>
      </c>
      <c r="N14" s="7">
        <f>averageCompletionTimePorter(Dates!N$8,Dates!N$9,'Day3'!$B14)</f>
        <v>0</v>
      </c>
      <c r="O14" s="7">
        <f>averageCompletionTimePorter(Dates!O$8,Dates!O$9,'Day3'!$B14)</f>
        <v>0</v>
      </c>
      <c r="P14" s="7">
        <f>averageCompletionTimePorter(Dates!P$8,Dates!P$9,'Day3'!$B14)</f>
        <v>0</v>
      </c>
      <c r="Q14" s="7">
        <f>averageCompletionTimePorter(Dates!Q$8,Dates!Q$9,'Day3'!$B14)</f>
        <v>0</v>
      </c>
      <c r="R14" s="7">
        <f>averageCompletionTimePorter(Dates!R$8,Dates!R$9,'Day3'!$B14)</f>
        <v>0</v>
      </c>
      <c r="S14" s="7">
        <f>averageCompletionTimePorter(Dates!S$8,Dates!S$9,'Day3'!$B14)</f>
        <v>0</v>
      </c>
      <c r="T14" s="7">
        <f>averageCompletionTimePorter(Dates!T$8,Dates!T$9,'Day3'!$B14)</f>
        <v>0</v>
      </c>
      <c r="U14" s="7">
        <f>averageCompletionTimePorter(Dates!$C$8,Dates!$T$9,'Day3'!$B14)</f>
        <v>0</v>
      </c>
    </row>
    <row r="15" spans="1:21" x14ac:dyDescent="0.3">
      <c r="B15" s="12" t="s">
        <v>150</v>
      </c>
      <c r="C15" s="7">
        <f>averageCompletionTimePorter(Dates!C$8,Dates!C$9,'Day3'!$B15)</f>
        <v>0</v>
      </c>
      <c r="D15" s="7">
        <f>averageCompletionTimePorter(Dates!D$8,Dates!D$9,'Day3'!$B15)</f>
        <v>0</v>
      </c>
      <c r="E15" s="7">
        <f>averageCompletionTimePorter(Dates!E$8,Dates!E$9,'Day3'!$B15)</f>
        <v>0</v>
      </c>
      <c r="F15" s="7">
        <f>averageCompletionTimePorter(Dates!F$8,Dates!F$9,'Day3'!$B15)</f>
        <v>0</v>
      </c>
      <c r="G15" s="7">
        <f>averageCompletionTimePorter(Dates!G$8,Dates!G$9,'Day3'!$B15)</f>
        <v>0</v>
      </c>
      <c r="H15" s="7">
        <f>averageCompletionTimePorter(Dates!H$8,Dates!H$9,'Day3'!$B15)</f>
        <v>0</v>
      </c>
      <c r="I15" s="7">
        <f>averageCompletionTimePorter(Dates!I$8,Dates!I$9,'Day3'!$B15)</f>
        <v>0</v>
      </c>
      <c r="J15" s="7">
        <f>averageCompletionTimePorter(Dates!J$8,Dates!J$9,'Day3'!$B15)</f>
        <v>0</v>
      </c>
      <c r="K15" s="7">
        <f>averageCompletionTimePorter(Dates!K$8,Dates!K$9,'Day3'!$B15)</f>
        <v>0</v>
      </c>
      <c r="L15" s="7">
        <f>averageCompletionTimePorter(Dates!L$8,Dates!L$9,'Day3'!$B15)</f>
        <v>0</v>
      </c>
      <c r="M15" s="7">
        <f>averageCompletionTimePorter(Dates!M$8,Dates!M$9,'Day3'!$B15)</f>
        <v>0</v>
      </c>
      <c r="N15" s="7">
        <f>averageCompletionTimePorter(Dates!N$8,Dates!N$9,'Day3'!$B15)</f>
        <v>0</v>
      </c>
      <c r="O15" s="7">
        <f>averageCompletionTimePorter(Dates!O$8,Dates!O$9,'Day3'!$B15)</f>
        <v>0</v>
      </c>
      <c r="P15" s="7">
        <f>averageCompletionTimePorter(Dates!P$8,Dates!P$9,'Day3'!$B15)</f>
        <v>0</v>
      </c>
      <c r="Q15" s="7">
        <f>averageCompletionTimePorter(Dates!Q$8,Dates!Q$9,'Day3'!$B15)</f>
        <v>0</v>
      </c>
      <c r="R15" s="7">
        <f>averageCompletionTimePorter(Dates!R$8,Dates!R$9,'Day3'!$B15)</f>
        <v>0</v>
      </c>
      <c r="S15" s="7">
        <f>averageCompletionTimePorter(Dates!S$8,Dates!S$9,'Day3'!$B15)</f>
        <v>0</v>
      </c>
      <c r="T15" s="7">
        <f>averageCompletionTimePorter(Dates!T$8,Dates!T$9,'Day3'!$B15)</f>
        <v>0</v>
      </c>
      <c r="U15" s="7">
        <f>averageCompletionTimePorter(Dates!$C$8,Dates!$T$9,'Day3'!$B15)</f>
        <v>0</v>
      </c>
    </row>
    <row r="16" spans="1:21" x14ac:dyDescent="0.3">
      <c r="B16" s="12" t="s">
        <v>151</v>
      </c>
      <c r="C16" s="7">
        <f>averageCompletionTimePorter(Dates!C$8,Dates!C$9,'Day3'!$B16)</f>
        <v>0</v>
      </c>
      <c r="D16" s="7">
        <f>averageCompletionTimePorter(Dates!D$8,Dates!D$9,'Day3'!$B16)</f>
        <v>0</v>
      </c>
      <c r="E16" s="7">
        <f>averageCompletionTimePorter(Dates!E$8,Dates!E$9,'Day3'!$B16)</f>
        <v>0</v>
      </c>
      <c r="F16" s="7">
        <f>averageCompletionTimePorter(Dates!F$8,Dates!F$9,'Day3'!$B16)</f>
        <v>0</v>
      </c>
      <c r="G16" s="7">
        <f>averageCompletionTimePorter(Dates!G$8,Dates!G$9,'Day3'!$B16)</f>
        <v>0</v>
      </c>
      <c r="H16" s="7">
        <f>averageCompletionTimePorter(Dates!H$8,Dates!H$9,'Day3'!$B16)</f>
        <v>0</v>
      </c>
      <c r="I16" s="7">
        <f>averageCompletionTimePorter(Dates!I$8,Dates!I$9,'Day3'!$B16)</f>
        <v>0</v>
      </c>
      <c r="J16" s="7">
        <f>averageCompletionTimePorter(Dates!J$8,Dates!J$9,'Day3'!$B16)</f>
        <v>0</v>
      </c>
      <c r="K16" s="7">
        <f>averageCompletionTimePorter(Dates!K$8,Dates!K$9,'Day3'!$B16)</f>
        <v>0</v>
      </c>
      <c r="L16" s="7">
        <f>averageCompletionTimePorter(Dates!L$8,Dates!L$9,'Day3'!$B16)</f>
        <v>0</v>
      </c>
      <c r="M16" s="7">
        <f>averageCompletionTimePorter(Dates!M$8,Dates!M$9,'Day3'!$B16)</f>
        <v>0</v>
      </c>
      <c r="N16" s="7">
        <f>averageCompletionTimePorter(Dates!N$8,Dates!N$9,'Day3'!$B16)</f>
        <v>0</v>
      </c>
      <c r="O16" s="7">
        <f>averageCompletionTimePorter(Dates!O$8,Dates!O$9,'Day3'!$B16)</f>
        <v>0</v>
      </c>
      <c r="P16" s="7">
        <f>averageCompletionTimePorter(Dates!P$8,Dates!P$9,'Day3'!$B16)</f>
        <v>0</v>
      </c>
      <c r="Q16" s="7">
        <f>averageCompletionTimePorter(Dates!Q$8,Dates!Q$9,'Day3'!$B16)</f>
        <v>0</v>
      </c>
      <c r="R16" s="7">
        <f>averageCompletionTimePorter(Dates!R$8,Dates!R$9,'Day3'!$B16)</f>
        <v>0</v>
      </c>
      <c r="S16" s="7">
        <f>averageCompletionTimePorter(Dates!S$8,Dates!S$9,'Day3'!$B16)</f>
        <v>0</v>
      </c>
      <c r="T16" s="7">
        <f>averageCompletionTimePorter(Dates!T$8,Dates!T$9,'Day3'!$B16)</f>
        <v>0</v>
      </c>
      <c r="U16" s="7">
        <f>averageCompletionTimePorter(Dates!$C$8,Dates!$T$9,'Day3'!$B16)</f>
        <v>0</v>
      </c>
    </row>
    <row r="17" spans="2:21" x14ac:dyDescent="0.3">
      <c r="B17" s="12" t="s">
        <v>152</v>
      </c>
      <c r="C17" s="7">
        <f>averageCompletionTimePorter(Dates!C$8,Dates!C$9,'Day3'!$B17)</f>
        <v>0</v>
      </c>
      <c r="D17" s="7">
        <f>averageCompletionTimePorter(Dates!D$8,Dates!D$9,'Day3'!$B17)</f>
        <v>0</v>
      </c>
      <c r="E17" s="7">
        <f>averageCompletionTimePorter(Dates!E$8,Dates!E$9,'Day3'!$B17)</f>
        <v>0</v>
      </c>
      <c r="F17" s="7">
        <f>averageCompletionTimePorter(Dates!F$8,Dates!F$9,'Day3'!$B17)</f>
        <v>0</v>
      </c>
      <c r="G17" s="7">
        <f>averageCompletionTimePorter(Dates!G$8,Dates!G$9,'Day3'!$B17)</f>
        <v>0</v>
      </c>
      <c r="H17" s="7">
        <f>averageCompletionTimePorter(Dates!H$8,Dates!H$9,'Day3'!$B17)</f>
        <v>0</v>
      </c>
      <c r="I17" s="7">
        <f>averageCompletionTimePorter(Dates!I$8,Dates!I$9,'Day3'!$B17)</f>
        <v>0</v>
      </c>
      <c r="J17" s="7">
        <f>averageCompletionTimePorter(Dates!J$8,Dates!J$9,'Day3'!$B17)</f>
        <v>0</v>
      </c>
      <c r="K17" s="7">
        <f>averageCompletionTimePorter(Dates!K$8,Dates!K$9,'Day3'!$B17)</f>
        <v>0</v>
      </c>
      <c r="L17" s="7">
        <f>averageCompletionTimePorter(Dates!L$8,Dates!L$9,'Day3'!$B17)</f>
        <v>0</v>
      </c>
      <c r="M17" s="7">
        <f>averageCompletionTimePorter(Dates!M$8,Dates!M$9,'Day3'!$B17)</f>
        <v>0</v>
      </c>
      <c r="N17" s="7">
        <f>averageCompletionTimePorter(Dates!N$8,Dates!N$9,'Day3'!$B17)</f>
        <v>0</v>
      </c>
      <c r="O17" s="7">
        <f>averageCompletionTimePorter(Dates!O$8,Dates!O$9,'Day3'!$B17)</f>
        <v>0</v>
      </c>
      <c r="P17" s="7">
        <f>averageCompletionTimePorter(Dates!P$8,Dates!P$9,'Day3'!$B17)</f>
        <v>0</v>
      </c>
      <c r="Q17" s="7">
        <f>averageCompletionTimePorter(Dates!Q$8,Dates!Q$9,'Day3'!$B17)</f>
        <v>0</v>
      </c>
      <c r="R17" s="7">
        <f>averageCompletionTimePorter(Dates!R$8,Dates!R$9,'Day3'!$B17)</f>
        <v>0</v>
      </c>
      <c r="S17" s="7">
        <f>averageCompletionTimePorter(Dates!S$8,Dates!S$9,'Day3'!$B17)</f>
        <v>0</v>
      </c>
      <c r="T17" s="7">
        <f>averageCompletionTimePorter(Dates!T$8,Dates!T$9,'Day3'!$B17)</f>
        <v>0</v>
      </c>
      <c r="U17" s="7">
        <f>averageCompletionTimePorter(Dates!$C$8,Dates!$T$9,'Day3'!$B17)</f>
        <v>0</v>
      </c>
    </row>
    <row r="18" spans="2:21" x14ac:dyDescent="0.3">
      <c r="B18" s="12" t="s">
        <v>153</v>
      </c>
      <c r="C18" s="7">
        <f>averageCompletionTimePorter(Dates!C$8,Dates!C$9,'Day3'!$B18)</f>
        <v>0</v>
      </c>
      <c r="D18" s="7">
        <f>averageCompletionTimePorter(Dates!D$8,Dates!D$9,'Day3'!$B18)</f>
        <v>0</v>
      </c>
      <c r="E18" s="7">
        <f>averageCompletionTimePorter(Dates!E$8,Dates!E$9,'Day3'!$B18)</f>
        <v>0</v>
      </c>
      <c r="F18" s="7">
        <f>averageCompletionTimePorter(Dates!F$8,Dates!F$9,'Day3'!$B18)</f>
        <v>0</v>
      </c>
      <c r="G18" s="7">
        <f>averageCompletionTimePorter(Dates!G$8,Dates!G$9,'Day3'!$B18)</f>
        <v>0</v>
      </c>
      <c r="H18" s="7">
        <f>averageCompletionTimePorter(Dates!H$8,Dates!H$9,'Day3'!$B18)</f>
        <v>0</v>
      </c>
      <c r="I18" s="7">
        <f>averageCompletionTimePorter(Dates!I$8,Dates!I$9,'Day3'!$B18)</f>
        <v>0</v>
      </c>
      <c r="J18" s="7">
        <f>averageCompletionTimePorter(Dates!J$8,Dates!J$9,'Day3'!$B18)</f>
        <v>0</v>
      </c>
      <c r="K18" s="7">
        <f>averageCompletionTimePorter(Dates!K$8,Dates!K$9,'Day3'!$B18)</f>
        <v>0</v>
      </c>
      <c r="L18" s="7">
        <f>averageCompletionTimePorter(Dates!L$8,Dates!L$9,'Day3'!$B18)</f>
        <v>0</v>
      </c>
      <c r="M18" s="7">
        <f>averageCompletionTimePorter(Dates!M$8,Dates!M$9,'Day3'!$B18)</f>
        <v>0</v>
      </c>
      <c r="N18" s="7">
        <f>averageCompletionTimePorter(Dates!N$8,Dates!N$9,'Day3'!$B18)</f>
        <v>0</v>
      </c>
      <c r="O18" s="7">
        <f>averageCompletionTimePorter(Dates!O$8,Dates!O$9,'Day3'!$B18)</f>
        <v>0</v>
      </c>
      <c r="P18" s="7">
        <f>averageCompletionTimePorter(Dates!P$8,Dates!P$9,'Day3'!$B18)</f>
        <v>0</v>
      </c>
      <c r="Q18" s="7">
        <f>averageCompletionTimePorter(Dates!Q$8,Dates!Q$9,'Day3'!$B18)</f>
        <v>0</v>
      </c>
      <c r="R18" s="7">
        <f>averageCompletionTimePorter(Dates!R$8,Dates!R$9,'Day3'!$B18)</f>
        <v>0</v>
      </c>
      <c r="S18" s="7">
        <f>averageCompletionTimePorter(Dates!S$8,Dates!S$9,'Day3'!$B18)</f>
        <v>0</v>
      </c>
      <c r="T18" s="7">
        <f>averageCompletionTimePorter(Dates!T$8,Dates!T$9,'Day3'!$B18)</f>
        <v>0</v>
      </c>
      <c r="U18" s="7">
        <f>averageCompletionTimePorter(Dates!$C$8,Dates!$T$9,'Day3'!$B18)</f>
        <v>0</v>
      </c>
    </row>
    <row r="19" spans="2:21" x14ac:dyDescent="0.3">
      <c r="B19" s="12" t="s">
        <v>154</v>
      </c>
      <c r="C19" s="7">
        <f>averageCompletionTimePorter(Dates!C$8,Dates!C$9,'Day3'!$B19)</f>
        <v>0</v>
      </c>
      <c r="D19" s="7">
        <f>averageCompletionTimePorter(Dates!D$8,Dates!D$9,'Day3'!$B19)</f>
        <v>0</v>
      </c>
      <c r="E19" s="7">
        <f>averageCompletionTimePorter(Dates!E$8,Dates!E$9,'Day3'!$B19)</f>
        <v>0</v>
      </c>
      <c r="F19" s="7">
        <f>averageCompletionTimePorter(Dates!F$8,Dates!F$9,'Day3'!$B19)</f>
        <v>0</v>
      </c>
      <c r="G19" s="7">
        <f>averageCompletionTimePorter(Dates!G$8,Dates!G$9,'Day3'!$B19)</f>
        <v>0</v>
      </c>
      <c r="H19" s="7">
        <f>averageCompletionTimePorter(Dates!H$8,Dates!H$9,'Day3'!$B19)</f>
        <v>0</v>
      </c>
      <c r="I19" s="7">
        <f>averageCompletionTimePorter(Dates!I$8,Dates!I$9,'Day3'!$B19)</f>
        <v>0</v>
      </c>
      <c r="J19" s="7">
        <f>averageCompletionTimePorter(Dates!J$8,Dates!J$9,'Day3'!$B19)</f>
        <v>0</v>
      </c>
      <c r="K19" s="7">
        <f>averageCompletionTimePorter(Dates!K$8,Dates!K$9,'Day3'!$B19)</f>
        <v>0</v>
      </c>
      <c r="L19" s="7">
        <f>averageCompletionTimePorter(Dates!L$8,Dates!L$9,'Day3'!$B19)</f>
        <v>0</v>
      </c>
      <c r="M19" s="7">
        <f>averageCompletionTimePorter(Dates!M$8,Dates!M$9,'Day3'!$B19)</f>
        <v>0</v>
      </c>
      <c r="N19" s="7">
        <f>averageCompletionTimePorter(Dates!N$8,Dates!N$9,'Day3'!$B19)</f>
        <v>0</v>
      </c>
      <c r="O19" s="7">
        <f>averageCompletionTimePorter(Dates!O$8,Dates!O$9,'Day3'!$B19)</f>
        <v>0</v>
      </c>
      <c r="P19" s="7">
        <f>averageCompletionTimePorter(Dates!P$8,Dates!P$9,'Day3'!$B19)</f>
        <v>0</v>
      </c>
      <c r="Q19" s="7">
        <f>averageCompletionTimePorter(Dates!Q$8,Dates!Q$9,'Day3'!$B19)</f>
        <v>0</v>
      </c>
      <c r="R19" s="7">
        <f>averageCompletionTimePorter(Dates!R$8,Dates!R$9,'Day3'!$B19)</f>
        <v>0</v>
      </c>
      <c r="S19" s="7">
        <f>averageCompletionTimePorter(Dates!S$8,Dates!S$9,'Day3'!$B19)</f>
        <v>0</v>
      </c>
      <c r="T19" s="7">
        <f>averageCompletionTimePorter(Dates!T$8,Dates!T$9,'Day3'!$B19)</f>
        <v>0</v>
      </c>
      <c r="U19" s="7">
        <f>averageCompletionTimePorter(Dates!$C$8,Dates!$T$9,'Day3'!$B19)</f>
        <v>0</v>
      </c>
    </row>
    <row r="20" spans="2:21" x14ac:dyDescent="0.3">
      <c r="B20" s="12" t="s">
        <v>155</v>
      </c>
      <c r="C20" s="7">
        <f>averageCompletionTimePorter(Dates!C$8,Dates!C$9,'Day3'!$B20)</f>
        <v>0</v>
      </c>
      <c r="D20" s="7">
        <f>averageCompletionTimePorter(Dates!D$8,Dates!D$9,'Day3'!$B20)</f>
        <v>0</v>
      </c>
      <c r="E20" s="7">
        <f>averageCompletionTimePorter(Dates!E$8,Dates!E$9,'Day3'!$B20)</f>
        <v>0</v>
      </c>
      <c r="F20" s="7">
        <f>averageCompletionTimePorter(Dates!F$8,Dates!F$9,'Day3'!$B20)</f>
        <v>0</v>
      </c>
      <c r="G20" s="7">
        <f>averageCompletionTimePorter(Dates!G$8,Dates!G$9,'Day3'!$B20)</f>
        <v>0</v>
      </c>
      <c r="H20" s="7">
        <f>averageCompletionTimePorter(Dates!H$8,Dates!H$9,'Day3'!$B20)</f>
        <v>0</v>
      </c>
      <c r="I20" s="7">
        <f>averageCompletionTimePorter(Dates!I$8,Dates!I$9,'Day3'!$B20)</f>
        <v>0</v>
      </c>
      <c r="J20" s="7">
        <f>averageCompletionTimePorter(Dates!J$8,Dates!J$9,'Day3'!$B20)</f>
        <v>0</v>
      </c>
      <c r="K20" s="7">
        <f>averageCompletionTimePorter(Dates!K$8,Dates!K$9,'Day3'!$B20)</f>
        <v>0</v>
      </c>
      <c r="L20" s="7">
        <f>averageCompletionTimePorter(Dates!L$8,Dates!L$9,'Day3'!$B20)</f>
        <v>0</v>
      </c>
      <c r="M20" s="7">
        <f>averageCompletionTimePorter(Dates!M$8,Dates!M$9,'Day3'!$B20)</f>
        <v>0</v>
      </c>
      <c r="N20" s="7">
        <f>averageCompletionTimePorter(Dates!N$8,Dates!N$9,'Day3'!$B20)</f>
        <v>0</v>
      </c>
      <c r="O20" s="7">
        <f>averageCompletionTimePorter(Dates!O$8,Dates!O$9,'Day3'!$B20)</f>
        <v>0</v>
      </c>
      <c r="P20" s="7">
        <f>averageCompletionTimePorter(Dates!P$8,Dates!P$9,'Day3'!$B20)</f>
        <v>0</v>
      </c>
      <c r="Q20" s="7">
        <f>averageCompletionTimePorter(Dates!Q$8,Dates!Q$9,'Day3'!$B20)</f>
        <v>0</v>
      </c>
      <c r="R20" s="7">
        <f>averageCompletionTimePorter(Dates!R$8,Dates!R$9,'Day3'!$B20)</f>
        <v>0</v>
      </c>
      <c r="S20" s="7">
        <f>averageCompletionTimePorter(Dates!S$8,Dates!S$9,'Day3'!$B20)</f>
        <v>0</v>
      </c>
      <c r="T20" s="7">
        <f>averageCompletionTimePorter(Dates!T$8,Dates!T$9,'Day3'!$B20)</f>
        <v>0</v>
      </c>
      <c r="U20" s="7">
        <f>averageCompletionTimePorter(Dates!$C$8,Dates!$T$9,'Day3'!$B20)</f>
        <v>0</v>
      </c>
    </row>
    <row r="21" spans="2:21" x14ac:dyDescent="0.3">
      <c r="B21" s="12" t="s">
        <v>156</v>
      </c>
      <c r="C21" s="7">
        <f>averageCompletionTimePorter(Dates!C$8,Dates!C$9,'Day3'!$B21)</f>
        <v>0</v>
      </c>
      <c r="D21" s="7">
        <f>averageCompletionTimePorter(Dates!D$8,Dates!D$9,'Day3'!$B21)</f>
        <v>0</v>
      </c>
      <c r="E21" s="7">
        <f>averageCompletionTimePorter(Dates!E$8,Dates!E$9,'Day3'!$B21)</f>
        <v>0</v>
      </c>
      <c r="F21" s="7">
        <f>averageCompletionTimePorter(Dates!F$8,Dates!F$9,'Day3'!$B21)</f>
        <v>0</v>
      </c>
      <c r="G21" s="7">
        <f>averageCompletionTimePorter(Dates!G$8,Dates!G$9,'Day3'!$B21)</f>
        <v>0</v>
      </c>
      <c r="H21" s="7">
        <f>averageCompletionTimePorter(Dates!H$8,Dates!H$9,'Day3'!$B21)</f>
        <v>0</v>
      </c>
      <c r="I21" s="7">
        <f>averageCompletionTimePorter(Dates!I$8,Dates!I$9,'Day3'!$B21)</f>
        <v>0</v>
      </c>
      <c r="J21" s="7">
        <f>averageCompletionTimePorter(Dates!J$8,Dates!J$9,'Day3'!$B21)</f>
        <v>0</v>
      </c>
      <c r="K21" s="7">
        <f>averageCompletionTimePorter(Dates!K$8,Dates!K$9,'Day3'!$B21)</f>
        <v>0</v>
      </c>
      <c r="L21" s="7">
        <f>averageCompletionTimePorter(Dates!L$8,Dates!L$9,'Day3'!$B21)</f>
        <v>0</v>
      </c>
      <c r="M21" s="7">
        <f>averageCompletionTimePorter(Dates!M$8,Dates!M$9,'Day3'!$B21)</f>
        <v>0</v>
      </c>
      <c r="N21" s="7">
        <f>averageCompletionTimePorter(Dates!N$8,Dates!N$9,'Day3'!$B21)</f>
        <v>0</v>
      </c>
      <c r="O21" s="7">
        <f>averageCompletionTimePorter(Dates!O$8,Dates!O$9,'Day3'!$B21)</f>
        <v>0</v>
      </c>
      <c r="P21" s="7">
        <f>averageCompletionTimePorter(Dates!P$8,Dates!P$9,'Day3'!$B21)</f>
        <v>0</v>
      </c>
      <c r="Q21" s="7">
        <f>averageCompletionTimePorter(Dates!Q$8,Dates!Q$9,'Day3'!$B21)</f>
        <v>0</v>
      </c>
      <c r="R21" s="7">
        <f>averageCompletionTimePorter(Dates!R$8,Dates!R$9,'Day3'!$B21)</f>
        <v>0</v>
      </c>
      <c r="S21" s="7">
        <f>averageCompletionTimePorter(Dates!S$8,Dates!S$9,'Day3'!$B21)</f>
        <v>0</v>
      </c>
      <c r="T21" s="7">
        <f>averageCompletionTimePorter(Dates!T$8,Dates!T$9,'Day3'!$B21)</f>
        <v>0</v>
      </c>
      <c r="U21" s="7">
        <f>averageCompletionTimePorter(Dates!$C$8,Dates!$T$9,'Day3'!$B21)</f>
        <v>0</v>
      </c>
    </row>
    <row r="22" spans="2:21" x14ac:dyDescent="0.3">
      <c r="B22" s="12" t="s">
        <v>157</v>
      </c>
      <c r="C22" s="7">
        <f>averageCompletionTimePorter(Dates!C$8,Dates!C$9,'Day3'!$B22)</f>
        <v>0</v>
      </c>
      <c r="D22" s="7">
        <f>averageCompletionTimePorter(Dates!D$8,Dates!D$9,'Day3'!$B22)</f>
        <v>0</v>
      </c>
      <c r="E22" s="7">
        <f>averageCompletionTimePorter(Dates!E$8,Dates!E$9,'Day3'!$B22)</f>
        <v>0</v>
      </c>
      <c r="F22" s="7">
        <f>averageCompletionTimePorter(Dates!F$8,Dates!F$9,'Day3'!$B22)</f>
        <v>0</v>
      </c>
      <c r="G22" s="7">
        <f>averageCompletionTimePorter(Dates!G$8,Dates!G$9,'Day3'!$B22)</f>
        <v>0</v>
      </c>
      <c r="H22" s="7">
        <f>averageCompletionTimePorter(Dates!H$8,Dates!H$9,'Day3'!$B22)</f>
        <v>0</v>
      </c>
      <c r="I22" s="7">
        <f>averageCompletionTimePorter(Dates!I$8,Dates!I$9,'Day3'!$B22)</f>
        <v>0</v>
      </c>
      <c r="J22" s="7">
        <f>averageCompletionTimePorter(Dates!J$8,Dates!J$9,'Day3'!$B22)</f>
        <v>0</v>
      </c>
      <c r="K22" s="7">
        <f>averageCompletionTimePorter(Dates!K$8,Dates!K$9,'Day3'!$B22)</f>
        <v>0</v>
      </c>
      <c r="L22" s="7">
        <f>averageCompletionTimePorter(Dates!L$8,Dates!L$9,'Day3'!$B22)</f>
        <v>0</v>
      </c>
      <c r="M22" s="7">
        <f>averageCompletionTimePorter(Dates!M$8,Dates!M$9,'Day3'!$B22)</f>
        <v>0</v>
      </c>
      <c r="N22" s="7">
        <f>averageCompletionTimePorter(Dates!N$8,Dates!N$9,'Day3'!$B22)</f>
        <v>0</v>
      </c>
      <c r="O22" s="7">
        <f>averageCompletionTimePorter(Dates!O$8,Dates!O$9,'Day3'!$B22)</f>
        <v>0</v>
      </c>
      <c r="P22" s="7">
        <f>averageCompletionTimePorter(Dates!P$8,Dates!P$9,'Day3'!$B22)</f>
        <v>0</v>
      </c>
      <c r="Q22" s="7">
        <f>averageCompletionTimePorter(Dates!Q$8,Dates!Q$9,'Day3'!$B22)</f>
        <v>0</v>
      </c>
      <c r="R22" s="7">
        <f>averageCompletionTimePorter(Dates!R$8,Dates!R$9,'Day3'!$B22)</f>
        <v>0</v>
      </c>
      <c r="S22" s="7">
        <f>averageCompletionTimePorter(Dates!S$8,Dates!S$9,'Day3'!$B22)</f>
        <v>0</v>
      </c>
      <c r="T22" s="7">
        <f>averageCompletionTimePorter(Dates!T$8,Dates!T$9,'Day3'!$B22)</f>
        <v>0</v>
      </c>
      <c r="U22" s="7">
        <f>averageCompletionTimePorter(Dates!$C$8,Dates!$T$9,'Day3'!$B22)</f>
        <v>0</v>
      </c>
    </row>
    <row r="23" spans="2:21" x14ac:dyDescent="0.3">
      <c r="B23" s="12" t="s">
        <v>158</v>
      </c>
      <c r="C23" s="7">
        <f>averageCompletionTimePorter(Dates!C$8,Dates!C$9,'Day3'!$B23)</f>
        <v>0</v>
      </c>
      <c r="D23" s="7">
        <f>averageCompletionTimePorter(Dates!D$8,Dates!D$9,'Day3'!$B23)</f>
        <v>0</v>
      </c>
      <c r="E23" s="7">
        <f>averageCompletionTimePorter(Dates!E$8,Dates!E$9,'Day3'!$B23)</f>
        <v>0</v>
      </c>
      <c r="F23" s="7">
        <f>averageCompletionTimePorter(Dates!F$8,Dates!F$9,'Day3'!$B23)</f>
        <v>0</v>
      </c>
      <c r="G23" s="7">
        <f>averageCompletionTimePorter(Dates!G$8,Dates!G$9,'Day3'!$B23)</f>
        <v>0</v>
      </c>
      <c r="H23" s="7">
        <f>averageCompletionTimePorter(Dates!H$8,Dates!H$9,'Day3'!$B23)</f>
        <v>0</v>
      </c>
      <c r="I23" s="7">
        <f>averageCompletionTimePorter(Dates!I$8,Dates!I$9,'Day3'!$B23)</f>
        <v>0</v>
      </c>
      <c r="J23" s="7">
        <f>averageCompletionTimePorter(Dates!J$8,Dates!J$9,'Day3'!$B23)</f>
        <v>0</v>
      </c>
      <c r="K23" s="7">
        <f>averageCompletionTimePorter(Dates!K$8,Dates!K$9,'Day3'!$B23)</f>
        <v>0</v>
      </c>
      <c r="L23" s="7">
        <f>averageCompletionTimePorter(Dates!L$8,Dates!L$9,'Day3'!$B23)</f>
        <v>0</v>
      </c>
      <c r="M23" s="7">
        <f>averageCompletionTimePorter(Dates!M$8,Dates!M$9,'Day3'!$B23)</f>
        <v>0</v>
      </c>
      <c r="N23" s="7">
        <f>averageCompletionTimePorter(Dates!N$8,Dates!N$9,'Day3'!$B23)</f>
        <v>0</v>
      </c>
      <c r="O23" s="7">
        <f>averageCompletionTimePorter(Dates!O$8,Dates!O$9,'Day3'!$B23)</f>
        <v>0</v>
      </c>
      <c r="P23" s="7">
        <f>averageCompletionTimePorter(Dates!P$8,Dates!P$9,'Day3'!$B23)</f>
        <v>0</v>
      </c>
      <c r="Q23" s="7">
        <f>averageCompletionTimePorter(Dates!Q$8,Dates!Q$9,'Day3'!$B23)</f>
        <v>0</v>
      </c>
      <c r="R23" s="7">
        <f>averageCompletionTimePorter(Dates!R$8,Dates!R$9,'Day3'!$B23)</f>
        <v>0</v>
      </c>
      <c r="S23" s="7">
        <f>averageCompletionTimePorter(Dates!S$8,Dates!S$9,'Day3'!$B23)</f>
        <v>0</v>
      </c>
      <c r="T23" s="7">
        <f>averageCompletionTimePorter(Dates!T$8,Dates!T$9,'Day3'!$B23)</f>
        <v>0</v>
      </c>
      <c r="U23" s="7">
        <f>averageCompletionTimePorter(Dates!$C$8,Dates!$T$9,'Day3'!$B23)</f>
        <v>0</v>
      </c>
    </row>
    <row r="25" spans="2:21" x14ac:dyDescent="0.3">
      <c r="B25" s="11" t="s">
        <v>148</v>
      </c>
      <c r="C25" s="7">
        <f>averageResponseTime(Dates!C8,Dates!C9)</f>
        <v>0</v>
      </c>
      <c r="D25" s="7">
        <f>averageResponseTime(Dates!D8,Dates!D9)</f>
        <v>0</v>
      </c>
      <c r="E25" s="7">
        <f>averageResponseTime(Dates!E8,Dates!E9)</f>
        <v>0</v>
      </c>
      <c r="F25" s="7">
        <f>averageResponseTime(Dates!F8,Dates!F9)</f>
        <v>0</v>
      </c>
      <c r="G25" s="7">
        <f>averageResponseTime(Dates!G8,Dates!G9)</f>
        <v>0</v>
      </c>
      <c r="H25" s="7">
        <f>averageResponseTime(Dates!H8,Dates!H9)</f>
        <v>0</v>
      </c>
      <c r="I25" s="7">
        <f>averageResponseTime(Dates!I8,Dates!I9)</f>
        <v>0</v>
      </c>
      <c r="J25" s="7">
        <f>averageResponseTime(Dates!J8,Dates!J9)</f>
        <v>0</v>
      </c>
      <c r="K25" s="7">
        <f>averageResponseTime(Dates!K8,Dates!K9)</f>
        <v>0</v>
      </c>
      <c r="L25" s="7">
        <f>averageResponseTime(Dates!L8,Dates!L9)</f>
        <v>0</v>
      </c>
      <c r="M25" s="7">
        <f>averageResponseTime(Dates!M8,Dates!M9)</f>
        <v>0</v>
      </c>
      <c r="N25" s="7">
        <f>averageResponseTime(Dates!N8,Dates!N9)</f>
        <v>0</v>
      </c>
      <c r="O25" s="7">
        <f>averageResponseTime(Dates!O8,Dates!O9)</f>
        <v>0</v>
      </c>
      <c r="P25" s="7">
        <f>averageResponseTime(Dates!P8,Dates!P9)</f>
        <v>0</v>
      </c>
      <c r="Q25" s="7">
        <f>averageResponseTime(Dates!Q8,Dates!Q9)</f>
        <v>0</v>
      </c>
      <c r="R25" s="7">
        <f>averageResponseTime(Dates!R8,Dates!R9)</f>
        <v>0</v>
      </c>
      <c r="S25" s="7">
        <f>averageResponseTime(Dates!S8,Dates!S9)</f>
        <v>0</v>
      </c>
      <c r="T25" s="7">
        <f>averageResponseTime(Dates!T8,Dates!T9)</f>
        <v>0</v>
      </c>
      <c r="U25" s="7">
        <f>averageResponseTime(Dates!C8,Dates!T9)</f>
        <v>0</v>
      </c>
    </row>
    <row r="26" spans="2:21" x14ac:dyDescent="0.3">
      <c r="B26" s="11">
        <f t="shared" ref="B26:B36" si="0">B3</f>
        <v>3</v>
      </c>
      <c r="C26" s="7">
        <f>averageResponseTimePorter(Dates!C$8,Dates!C$9,'Day3'!$B26)</f>
        <v>0</v>
      </c>
      <c r="D26" s="7">
        <f>averageResponseTimePorter(Dates!D$8,Dates!D$9,'Day3'!$B26)</f>
        <v>0</v>
      </c>
      <c r="E26" s="7">
        <f>averageResponseTimePorter(Dates!E$8,Dates!E$9,'Day3'!$B26)</f>
        <v>0</v>
      </c>
      <c r="F26" s="7">
        <f>averageResponseTimePorter(Dates!F$8,Dates!F$9,'Day3'!$B26)</f>
        <v>0</v>
      </c>
      <c r="G26" s="7">
        <f>averageResponseTimePorter(Dates!G$8,Dates!G$9,'Day3'!$B26)</f>
        <v>0</v>
      </c>
      <c r="H26" s="7">
        <f>averageResponseTimePorter(Dates!H$8,Dates!H$9,'Day3'!$B26)</f>
        <v>0</v>
      </c>
      <c r="I26" s="7">
        <f>averageResponseTimePorter(Dates!I$8,Dates!I$9,'Day3'!$B26)</f>
        <v>0</v>
      </c>
      <c r="J26" s="7">
        <f>averageResponseTimePorter(Dates!J$8,Dates!J$9,'Day3'!$B26)</f>
        <v>0</v>
      </c>
      <c r="K26" s="7">
        <f>averageResponseTimePorter(Dates!K$8,Dates!K$9,'Day3'!$B26)</f>
        <v>0</v>
      </c>
      <c r="L26" s="7">
        <f>averageResponseTimePorter(Dates!L$8,Dates!L$9,'Day3'!$B26)</f>
        <v>0</v>
      </c>
      <c r="M26" s="7">
        <f>averageResponseTimePorter(Dates!M$8,Dates!M$9,'Day3'!$B26)</f>
        <v>0</v>
      </c>
      <c r="N26" s="7">
        <f>averageResponseTimePorter(Dates!N$8,Dates!N$9,'Day3'!$B26)</f>
        <v>0</v>
      </c>
      <c r="O26" s="7">
        <f>averageResponseTimePorter(Dates!O$8,Dates!O$9,'Day3'!$B26)</f>
        <v>0</v>
      </c>
      <c r="P26" s="7">
        <f>averageResponseTimePorter(Dates!P$8,Dates!P$9,'Day3'!$B26)</f>
        <v>0</v>
      </c>
      <c r="Q26" s="7">
        <f>averageResponseTimePorter(Dates!Q$8,Dates!Q$9,'Day3'!$B26)</f>
        <v>0</v>
      </c>
      <c r="R26" s="7">
        <f>averageResponseTimePorter(Dates!R$8,Dates!R$9,'Day3'!$B26)</f>
        <v>0</v>
      </c>
      <c r="S26" s="7">
        <f>averageResponseTimePorter(Dates!S$8,Dates!S$9,'Day3'!$B26)</f>
        <v>0</v>
      </c>
      <c r="T26" s="7">
        <f>averageResponseTimePorter(Dates!T$8,Dates!T$9,'Day3'!$B26)</f>
        <v>0</v>
      </c>
      <c r="U26" s="7">
        <f>averageResponseTimePorter(Dates!$C$8,Dates!$T$9,'Day3'!$B3)</f>
        <v>0</v>
      </c>
    </row>
    <row r="27" spans="2:21" x14ac:dyDescent="0.3">
      <c r="B27" s="11">
        <f t="shared" si="0"/>
        <v>2</v>
      </c>
      <c r="C27" s="7">
        <f>averageResponseTimePorter(Dates!C$8,Dates!C$9,'Day3'!$B27)</f>
        <v>0</v>
      </c>
      <c r="D27" s="7">
        <f>averageResponseTimePorter(Dates!D$8,Dates!D$9,'Day3'!$B27)</f>
        <v>0</v>
      </c>
      <c r="E27" s="7">
        <f>averageResponseTimePorter(Dates!E$8,Dates!E$9,'Day3'!$B27)</f>
        <v>0</v>
      </c>
      <c r="F27" s="7">
        <f>averageResponseTimePorter(Dates!F$8,Dates!F$9,'Day3'!$B27)</f>
        <v>0</v>
      </c>
      <c r="G27" s="7">
        <f>averageResponseTimePorter(Dates!G$8,Dates!G$9,'Day3'!$B27)</f>
        <v>0</v>
      </c>
      <c r="H27" s="7">
        <f>averageResponseTimePorter(Dates!H$8,Dates!H$9,'Day3'!$B27)</f>
        <v>0</v>
      </c>
      <c r="I27" s="7">
        <f>averageResponseTimePorter(Dates!I$8,Dates!I$9,'Day3'!$B27)</f>
        <v>0</v>
      </c>
      <c r="J27" s="7">
        <f>averageResponseTimePorter(Dates!J$8,Dates!J$9,'Day3'!$B27)</f>
        <v>0</v>
      </c>
      <c r="K27" s="7">
        <f>averageResponseTimePorter(Dates!K$8,Dates!K$9,'Day3'!$B27)</f>
        <v>0</v>
      </c>
      <c r="L27" s="7">
        <f>averageResponseTimePorter(Dates!L$8,Dates!L$9,'Day3'!$B27)</f>
        <v>0</v>
      </c>
      <c r="M27" s="7">
        <f>averageResponseTimePorter(Dates!M$8,Dates!M$9,'Day3'!$B27)</f>
        <v>0</v>
      </c>
      <c r="N27" s="7">
        <f>averageResponseTimePorter(Dates!N$8,Dates!N$9,'Day3'!$B27)</f>
        <v>0</v>
      </c>
      <c r="O27" s="7">
        <f>averageResponseTimePorter(Dates!O$8,Dates!O$9,'Day3'!$B27)</f>
        <v>0</v>
      </c>
      <c r="P27" s="7">
        <f>averageResponseTimePorter(Dates!P$8,Dates!P$9,'Day3'!$B27)</f>
        <v>0</v>
      </c>
      <c r="Q27" s="7">
        <f>averageResponseTimePorter(Dates!Q$8,Dates!Q$9,'Day3'!$B27)</f>
        <v>0</v>
      </c>
      <c r="R27" s="7">
        <f>averageResponseTimePorter(Dates!R$8,Dates!R$9,'Day3'!$B27)</f>
        <v>0</v>
      </c>
      <c r="S27" s="7">
        <f>averageResponseTimePorter(Dates!S$8,Dates!S$9,'Day3'!$B27)</f>
        <v>0</v>
      </c>
      <c r="T27" s="7">
        <f>averageResponseTimePorter(Dates!T$8,Dates!T$9,'Day3'!$B27)</f>
        <v>0</v>
      </c>
      <c r="U27" s="7">
        <f>averageResponseTimePorter(Dates!$C$8,Dates!$T$9,'Day3'!$B4)</f>
        <v>0</v>
      </c>
    </row>
    <row r="28" spans="2:21" x14ac:dyDescent="0.3">
      <c r="B28" s="11">
        <f t="shared" si="0"/>
        <v>5</v>
      </c>
      <c r="C28" s="7">
        <f>averageResponseTimePorter(Dates!C$8,Dates!C$9,'Day3'!$B28)</f>
        <v>0</v>
      </c>
      <c r="D28" s="7">
        <f>averageResponseTimePorter(Dates!D$8,Dates!D$9,'Day3'!$B28)</f>
        <v>0</v>
      </c>
      <c r="E28" s="7">
        <f>averageResponseTimePorter(Dates!E$8,Dates!E$9,'Day3'!$B28)</f>
        <v>0</v>
      </c>
      <c r="F28" s="7">
        <f>averageResponseTimePorter(Dates!F$8,Dates!F$9,'Day3'!$B28)</f>
        <v>0</v>
      </c>
      <c r="G28" s="7">
        <f>averageResponseTimePorter(Dates!G$8,Dates!G$9,'Day3'!$B28)</f>
        <v>0</v>
      </c>
      <c r="H28" s="7">
        <f>averageResponseTimePorter(Dates!H$8,Dates!H$9,'Day3'!$B28)</f>
        <v>0</v>
      </c>
      <c r="I28" s="7">
        <f>averageResponseTimePorter(Dates!I$8,Dates!I$9,'Day3'!$B28)</f>
        <v>0</v>
      </c>
      <c r="J28" s="7">
        <f>averageResponseTimePorter(Dates!J$8,Dates!J$9,'Day3'!$B28)</f>
        <v>0</v>
      </c>
      <c r="K28" s="7">
        <f>averageResponseTimePorter(Dates!K$8,Dates!K$9,'Day3'!$B28)</f>
        <v>0</v>
      </c>
      <c r="L28" s="7">
        <f>averageResponseTimePorter(Dates!L$8,Dates!L$9,'Day3'!$B28)</f>
        <v>0</v>
      </c>
      <c r="M28" s="7">
        <f>averageResponseTimePorter(Dates!M$8,Dates!M$9,'Day3'!$B28)</f>
        <v>0</v>
      </c>
      <c r="N28" s="7">
        <f>averageResponseTimePorter(Dates!N$8,Dates!N$9,'Day3'!$B28)</f>
        <v>0</v>
      </c>
      <c r="O28" s="7">
        <f>averageResponseTimePorter(Dates!O$8,Dates!O$9,'Day3'!$B28)</f>
        <v>0</v>
      </c>
      <c r="P28" s="7">
        <f>averageResponseTimePorter(Dates!P$8,Dates!P$9,'Day3'!$B28)</f>
        <v>0</v>
      </c>
      <c r="Q28" s="7">
        <f>averageResponseTimePorter(Dates!Q$8,Dates!Q$9,'Day3'!$B28)</f>
        <v>0</v>
      </c>
      <c r="R28" s="7">
        <f>averageResponseTimePorter(Dates!R$8,Dates!R$9,'Day3'!$B28)</f>
        <v>0</v>
      </c>
      <c r="S28" s="7">
        <f>averageResponseTimePorter(Dates!S$8,Dates!S$9,'Day3'!$B28)</f>
        <v>0</v>
      </c>
      <c r="T28" s="7">
        <f>averageResponseTimePorter(Dates!T$8,Dates!T$9,'Day3'!$B28)</f>
        <v>0</v>
      </c>
      <c r="U28" s="7">
        <f>averageResponseTimePorter(Dates!$C$8,Dates!$T$9,'Day3'!$B5)</f>
        <v>0</v>
      </c>
    </row>
    <row r="29" spans="2:21" x14ac:dyDescent="0.3">
      <c r="B29" s="11">
        <f t="shared" si="0"/>
        <v>0</v>
      </c>
      <c r="C29" s="7">
        <f>averageResponseTimePorter(Dates!C$8,Dates!C$9,'Day3'!$B29)</f>
        <v>0</v>
      </c>
      <c r="D29" s="7">
        <f>averageResponseTimePorter(Dates!D$8,Dates!D$9,'Day3'!$B29)</f>
        <v>0</v>
      </c>
      <c r="E29" s="7">
        <f>averageResponseTimePorter(Dates!E$8,Dates!E$9,'Day3'!$B29)</f>
        <v>0</v>
      </c>
      <c r="F29" s="7">
        <f>averageResponseTimePorter(Dates!F$8,Dates!F$9,'Day3'!$B29)</f>
        <v>0</v>
      </c>
      <c r="G29" s="7">
        <f>averageResponseTimePorter(Dates!G$8,Dates!G$9,'Day3'!$B29)</f>
        <v>0</v>
      </c>
      <c r="H29" s="7">
        <f>averageResponseTimePorter(Dates!H$8,Dates!H$9,'Day3'!$B29)</f>
        <v>0</v>
      </c>
      <c r="I29" s="7">
        <f>averageResponseTimePorter(Dates!I$8,Dates!I$9,'Day3'!$B29)</f>
        <v>0</v>
      </c>
      <c r="J29" s="7">
        <f>averageResponseTimePorter(Dates!J$8,Dates!J$9,'Day3'!$B29)</f>
        <v>0</v>
      </c>
      <c r="K29" s="7">
        <f>averageResponseTimePorter(Dates!K$8,Dates!K$9,'Day3'!$B29)</f>
        <v>0</v>
      </c>
      <c r="L29" s="7">
        <f>averageResponseTimePorter(Dates!L$8,Dates!L$9,'Day3'!$B29)</f>
        <v>0</v>
      </c>
      <c r="M29" s="7">
        <f>averageResponseTimePorter(Dates!M$8,Dates!M$9,'Day3'!$B29)</f>
        <v>0</v>
      </c>
      <c r="N29" s="7">
        <f>averageResponseTimePorter(Dates!N$8,Dates!N$9,'Day3'!$B29)</f>
        <v>0</v>
      </c>
      <c r="O29" s="7">
        <f>averageResponseTimePorter(Dates!O$8,Dates!O$9,'Day3'!$B29)</f>
        <v>0</v>
      </c>
      <c r="P29" s="7">
        <f>averageResponseTimePorter(Dates!P$8,Dates!P$9,'Day3'!$B29)</f>
        <v>0</v>
      </c>
      <c r="Q29" s="7">
        <f>averageResponseTimePorter(Dates!Q$8,Dates!Q$9,'Day3'!$B29)</f>
        <v>0</v>
      </c>
      <c r="R29" s="7">
        <f>averageResponseTimePorter(Dates!R$8,Dates!R$9,'Day3'!$B29)</f>
        <v>0</v>
      </c>
      <c r="S29" s="7">
        <f>averageResponseTimePorter(Dates!S$8,Dates!S$9,'Day3'!$B29)</f>
        <v>0</v>
      </c>
      <c r="T29" s="7">
        <f>averageResponseTimePorter(Dates!T$8,Dates!T$9,'Day3'!$B29)</f>
        <v>0</v>
      </c>
      <c r="U29" s="7">
        <f>averageResponseTimePorter(Dates!$C$8,Dates!$T$9,'Day3'!$B6)</f>
        <v>0</v>
      </c>
    </row>
    <row r="30" spans="2:21" x14ac:dyDescent="0.3">
      <c r="B30" s="11">
        <f t="shared" si="0"/>
        <v>4</v>
      </c>
      <c r="C30" s="7">
        <f>averageResponseTimePorter(Dates!C$8,Dates!C$9,'Day3'!$B30)</f>
        <v>0</v>
      </c>
      <c r="D30" s="7">
        <f>averageResponseTimePorter(Dates!D$8,Dates!D$9,'Day3'!$B30)</f>
        <v>0</v>
      </c>
      <c r="E30" s="7">
        <f>averageResponseTimePorter(Dates!E$8,Dates!E$9,'Day3'!$B30)</f>
        <v>0</v>
      </c>
      <c r="F30" s="7">
        <f>averageResponseTimePorter(Dates!F$8,Dates!F$9,'Day3'!$B30)</f>
        <v>0</v>
      </c>
      <c r="G30" s="7">
        <f>averageResponseTimePorter(Dates!G$8,Dates!G$9,'Day3'!$B30)</f>
        <v>0</v>
      </c>
      <c r="H30" s="7">
        <f>averageResponseTimePorter(Dates!H$8,Dates!H$9,'Day3'!$B30)</f>
        <v>0</v>
      </c>
      <c r="I30" s="7">
        <f>averageResponseTimePorter(Dates!I$8,Dates!I$9,'Day3'!$B30)</f>
        <v>0</v>
      </c>
      <c r="J30" s="7">
        <f>averageResponseTimePorter(Dates!J$8,Dates!J$9,'Day3'!$B30)</f>
        <v>0</v>
      </c>
      <c r="K30" s="7">
        <f>averageResponseTimePorter(Dates!K$8,Dates!K$9,'Day3'!$B30)</f>
        <v>0</v>
      </c>
      <c r="L30" s="7">
        <f>averageResponseTimePorter(Dates!L$8,Dates!L$9,'Day3'!$B30)</f>
        <v>0</v>
      </c>
      <c r="M30" s="7">
        <f>averageResponseTimePorter(Dates!M$8,Dates!M$9,'Day3'!$B30)</f>
        <v>0</v>
      </c>
      <c r="N30" s="7">
        <f>averageResponseTimePorter(Dates!N$8,Dates!N$9,'Day3'!$B30)</f>
        <v>0</v>
      </c>
      <c r="O30" s="7">
        <f>averageResponseTimePorter(Dates!O$8,Dates!O$9,'Day3'!$B30)</f>
        <v>0</v>
      </c>
      <c r="P30" s="7">
        <f>averageResponseTimePorter(Dates!P$8,Dates!P$9,'Day3'!$B30)</f>
        <v>0</v>
      </c>
      <c r="Q30" s="7">
        <f>averageResponseTimePorter(Dates!Q$8,Dates!Q$9,'Day3'!$B30)</f>
        <v>0</v>
      </c>
      <c r="R30" s="7">
        <f>averageResponseTimePorter(Dates!R$8,Dates!R$9,'Day3'!$B30)</f>
        <v>0</v>
      </c>
      <c r="S30" s="7">
        <f>averageResponseTimePorter(Dates!S$8,Dates!S$9,'Day3'!$B30)</f>
        <v>0</v>
      </c>
      <c r="T30" s="7">
        <f>averageResponseTimePorter(Dates!T$8,Dates!T$9,'Day3'!$B30)</f>
        <v>0</v>
      </c>
      <c r="U30" s="7">
        <f>averageResponseTimePorter(Dates!$C$8,Dates!$T$9,'Day3'!$B7)</f>
        <v>0</v>
      </c>
    </row>
    <row r="31" spans="2:21" x14ac:dyDescent="0.3">
      <c r="B31" s="11">
        <f t="shared" si="0"/>
        <v>8</v>
      </c>
      <c r="C31" s="7">
        <f>averageResponseTimePorter(Dates!C$8,Dates!C$9,'Day3'!$B31)</f>
        <v>0</v>
      </c>
      <c r="D31" s="7">
        <f>averageResponseTimePorter(Dates!D$8,Dates!D$9,'Day3'!$B31)</f>
        <v>0</v>
      </c>
      <c r="E31" s="7">
        <f>averageResponseTimePorter(Dates!E$8,Dates!E$9,'Day3'!$B31)</f>
        <v>0</v>
      </c>
      <c r="F31" s="7">
        <f>averageResponseTimePorter(Dates!F$8,Dates!F$9,'Day3'!$B31)</f>
        <v>0</v>
      </c>
      <c r="G31" s="7">
        <f>averageResponseTimePorter(Dates!G$8,Dates!G$9,'Day3'!$B31)</f>
        <v>0</v>
      </c>
      <c r="H31" s="7">
        <f>averageResponseTimePorter(Dates!H$8,Dates!H$9,'Day3'!$B31)</f>
        <v>0</v>
      </c>
      <c r="I31" s="7">
        <f>averageResponseTimePorter(Dates!I$8,Dates!I$9,'Day3'!$B31)</f>
        <v>0</v>
      </c>
      <c r="J31" s="7">
        <f>averageResponseTimePorter(Dates!J$8,Dates!J$9,'Day3'!$B31)</f>
        <v>0</v>
      </c>
      <c r="K31" s="7">
        <f>averageResponseTimePorter(Dates!K$8,Dates!K$9,'Day3'!$B31)</f>
        <v>0</v>
      </c>
      <c r="L31" s="7">
        <f>averageResponseTimePorter(Dates!L$8,Dates!L$9,'Day3'!$B31)</f>
        <v>0</v>
      </c>
      <c r="M31" s="7">
        <f>averageResponseTimePorter(Dates!M$8,Dates!M$9,'Day3'!$B31)</f>
        <v>0</v>
      </c>
      <c r="N31" s="7">
        <f>averageResponseTimePorter(Dates!N$8,Dates!N$9,'Day3'!$B31)</f>
        <v>0</v>
      </c>
      <c r="O31" s="7">
        <f>averageResponseTimePorter(Dates!O$8,Dates!O$9,'Day3'!$B31)</f>
        <v>0</v>
      </c>
      <c r="P31" s="7">
        <f>averageResponseTimePorter(Dates!P$8,Dates!P$9,'Day3'!$B31)</f>
        <v>0</v>
      </c>
      <c r="Q31" s="7">
        <f>averageResponseTimePorter(Dates!Q$8,Dates!Q$9,'Day3'!$B31)</f>
        <v>0</v>
      </c>
      <c r="R31" s="7">
        <f>averageResponseTimePorter(Dates!R$8,Dates!R$9,'Day3'!$B31)</f>
        <v>0</v>
      </c>
      <c r="S31" s="7">
        <f>averageResponseTimePorter(Dates!S$8,Dates!S$9,'Day3'!$B31)</f>
        <v>0</v>
      </c>
      <c r="T31" s="7">
        <f>averageResponseTimePorter(Dates!T$8,Dates!T$9,'Day3'!$B31)</f>
        <v>0</v>
      </c>
      <c r="U31" s="7">
        <f>averageResponseTimePorter(Dates!$C$8,Dates!$T$9,'Day3'!$B8)</f>
        <v>0</v>
      </c>
    </row>
    <row r="32" spans="2:21" x14ac:dyDescent="0.3">
      <c r="B32" s="11">
        <f t="shared" si="0"/>
        <v>6</v>
      </c>
      <c r="C32" s="7">
        <f>averageResponseTimePorter(Dates!C$8,Dates!C$9,'Day3'!$B32)</f>
        <v>0</v>
      </c>
      <c r="D32" s="7">
        <f>averageResponseTimePorter(Dates!D$8,Dates!D$9,'Day3'!$B32)</f>
        <v>0</v>
      </c>
      <c r="E32" s="7">
        <f>averageResponseTimePorter(Dates!E$8,Dates!E$9,'Day3'!$B32)</f>
        <v>0</v>
      </c>
      <c r="F32" s="7">
        <f>averageResponseTimePorter(Dates!F$8,Dates!F$9,'Day3'!$B32)</f>
        <v>0</v>
      </c>
      <c r="G32" s="7">
        <f>averageResponseTimePorter(Dates!G$8,Dates!G$9,'Day3'!$B32)</f>
        <v>0</v>
      </c>
      <c r="H32" s="7">
        <f>averageResponseTimePorter(Dates!H$8,Dates!H$9,'Day3'!$B32)</f>
        <v>0</v>
      </c>
      <c r="I32" s="7">
        <f>averageResponseTimePorter(Dates!I$8,Dates!I$9,'Day3'!$B32)</f>
        <v>0</v>
      </c>
      <c r="J32" s="7">
        <f>averageResponseTimePorter(Dates!J$8,Dates!J$9,'Day3'!$B32)</f>
        <v>0</v>
      </c>
      <c r="K32" s="7">
        <f>averageResponseTimePorter(Dates!K$8,Dates!K$9,'Day3'!$B32)</f>
        <v>0</v>
      </c>
      <c r="L32" s="7">
        <f>averageResponseTimePorter(Dates!L$8,Dates!L$9,'Day3'!$B32)</f>
        <v>0</v>
      </c>
      <c r="M32" s="7">
        <f>averageResponseTimePorter(Dates!M$8,Dates!M$9,'Day3'!$B32)</f>
        <v>0</v>
      </c>
      <c r="N32" s="7">
        <f>averageResponseTimePorter(Dates!N$8,Dates!N$9,'Day3'!$B32)</f>
        <v>0</v>
      </c>
      <c r="O32" s="7">
        <f>averageResponseTimePorter(Dates!O$8,Dates!O$9,'Day3'!$B32)</f>
        <v>0</v>
      </c>
      <c r="P32" s="7">
        <f>averageResponseTimePorter(Dates!P$8,Dates!P$9,'Day3'!$B32)</f>
        <v>0</v>
      </c>
      <c r="Q32" s="7">
        <f>averageResponseTimePorter(Dates!Q$8,Dates!Q$9,'Day3'!$B32)</f>
        <v>0</v>
      </c>
      <c r="R32" s="7">
        <f>averageResponseTimePorter(Dates!R$8,Dates!R$9,'Day3'!$B32)</f>
        <v>0</v>
      </c>
      <c r="S32" s="7">
        <f>averageResponseTimePorter(Dates!S$8,Dates!S$9,'Day3'!$B32)</f>
        <v>0</v>
      </c>
      <c r="T32" s="7">
        <f>averageResponseTimePorter(Dates!T$8,Dates!T$9,'Day3'!$B32)</f>
        <v>0</v>
      </c>
      <c r="U32" s="7">
        <f>averageResponseTimePorter(Dates!$C$8,Dates!$T$9,'Day3'!$B9)</f>
        <v>0</v>
      </c>
    </row>
    <row r="33" spans="2:21" x14ac:dyDescent="0.3">
      <c r="B33" s="11">
        <f t="shared" si="0"/>
        <v>1</v>
      </c>
      <c r="C33" s="7">
        <f>averageResponseTimePorter(Dates!C$8,Dates!C$9,'Day3'!$B33)</f>
        <v>0</v>
      </c>
      <c r="D33" s="7">
        <f>averageResponseTimePorter(Dates!D$8,Dates!D$9,'Day3'!$B33)</f>
        <v>0</v>
      </c>
      <c r="E33" s="7">
        <f>averageResponseTimePorter(Dates!E$8,Dates!E$9,'Day3'!$B33)</f>
        <v>0</v>
      </c>
      <c r="F33" s="7">
        <f>averageResponseTimePorter(Dates!F$8,Dates!F$9,'Day3'!$B33)</f>
        <v>0</v>
      </c>
      <c r="G33" s="7">
        <f>averageResponseTimePorter(Dates!G$8,Dates!G$9,'Day3'!$B33)</f>
        <v>0</v>
      </c>
      <c r="H33" s="7">
        <f>averageResponseTimePorter(Dates!H$8,Dates!H$9,'Day3'!$B33)</f>
        <v>0</v>
      </c>
      <c r="I33" s="7">
        <f>averageResponseTimePorter(Dates!I$8,Dates!I$9,'Day3'!$B33)</f>
        <v>0</v>
      </c>
      <c r="J33" s="7">
        <f>averageResponseTimePorter(Dates!J$8,Dates!J$9,'Day3'!$B33)</f>
        <v>0</v>
      </c>
      <c r="K33" s="7">
        <f>averageResponseTimePorter(Dates!K$8,Dates!K$9,'Day3'!$B33)</f>
        <v>0</v>
      </c>
      <c r="L33" s="7">
        <f>averageResponseTimePorter(Dates!L$8,Dates!L$9,'Day3'!$B33)</f>
        <v>0</v>
      </c>
      <c r="M33" s="7">
        <f>averageResponseTimePorter(Dates!M$8,Dates!M$9,'Day3'!$B33)</f>
        <v>0</v>
      </c>
      <c r="N33" s="7">
        <f>averageResponseTimePorter(Dates!N$8,Dates!N$9,'Day3'!$B33)</f>
        <v>0</v>
      </c>
      <c r="O33" s="7">
        <f>averageResponseTimePorter(Dates!O$8,Dates!O$9,'Day3'!$B33)</f>
        <v>0</v>
      </c>
      <c r="P33" s="7">
        <f>averageResponseTimePorter(Dates!P$8,Dates!P$9,'Day3'!$B33)</f>
        <v>0</v>
      </c>
      <c r="Q33" s="7">
        <f>averageResponseTimePorter(Dates!Q$8,Dates!Q$9,'Day3'!$B33)</f>
        <v>0</v>
      </c>
      <c r="R33" s="7">
        <f>averageResponseTimePorter(Dates!R$8,Dates!R$9,'Day3'!$B33)</f>
        <v>0</v>
      </c>
      <c r="S33" s="7">
        <f>averageResponseTimePorter(Dates!S$8,Dates!S$9,'Day3'!$B33)</f>
        <v>0</v>
      </c>
      <c r="T33" s="7">
        <f>averageResponseTimePorter(Dates!T$8,Dates!T$9,'Day3'!$B33)</f>
        <v>0</v>
      </c>
      <c r="U33" s="7">
        <f>averageResponseTimePorter(Dates!$C$8,Dates!$T$9,'Day3'!$B10)</f>
        <v>0</v>
      </c>
    </row>
    <row r="34" spans="2:21" x14ac:dyDescent="0.3">
      <c r="B34" s="11">
        <f t="shared" si="0"/>
        <v>10</v>
      </c>
      <c r="C34" s="7">
        <f>averageResponseTimePorter(Dates!C$8,Dates!C$9,'Day3'!$B34)</f>
        <v>0</v>
      </c>
      <c r="D34" s="7">
        <f>averageResponseTimePorter(Dates!D$8,Dates!D$9,'Day3'!$B34)</f>
        <v>0</v>
      </c>
      <c r="E34" s="7">
        <f>averageResponseTimePorter(Dates!E$8,Dates!E$9,'Day3'!$B34)</f>
        <v>0</v>
      </c>
      <c r="F34" s="7">
        <f>averageResponseTimePorter(Dates!F$8,Dates!F$9,'Day3'!$B34)</f>
        <v>0</v>
      </c>
      <c r="G34" s="7">
        <f>averageResponseTimePorter(Dates!G$8,Dates!G$9,'Day3'!$B34)</f>
        <v>0</v>
      </c>
      <c r="H34" s="7">
        <f>averageResponseTimePorter(Dates!H$8,Dates!H$9,'Day3'!$B34)</f>
        <v>0</v>
      </c>
      <c r="I34" s="7">
        <f>averageResponseTimePorter(Dates!I$8,Dates!I$9,'Day3'!$B34)</f>
        <v>0</v>
      </c>
      <c r="J34" s="7">
        <f>averageResponseTimePorter(Dates!J$8,Dates!J$9,'Day3'!$B34)</f>
        <v>0</v>
      </c>
      <c r="K34" s="7">
        <f>averageResponseTimePorter(Dates!K$8,Dates!K$9,'Day3'!$B34)</f>
        <v>0</v>
      </c>
      <c r="L34" s="7">
        <f>averageResponseTimePorter(Dates!L$8,Dates!L$9,'Day3'!$B34)</f>
        <v>0</v>
      </c>
      <c r="M34" s="7">
        <f>averageResponseTimePorter(Dates!M$8,Dates!M$9,'Day3'!$B34)</f>
        <v>0</v>
      </c>
      <c r="N34" s="7">
        <f>averageResponseTimePorter(Dates!N$8,Dates!N$9,'Day3'!$B34)</f>
        <v>0</v>
      </c>
      <c r="O34" s="7">
        <f>averageResponseTimePorter(Dates!O$8,Dates!O$9,'Day3'!$B34)</f>
        <v>0</v>
      </c>
      <c r="P34" s="7">
        <f>averageResponseTimePorter(Dates!P$8,Dates!P$9,'Day3'!$B34)</f>
        <v>0</v>
      </c>
      <c r="Q34" s="7">
        <f>averageResponseTimePorter(Dates!Q$8,Dates!Q$9,'Day3'!$B34)</f>
        <v>0</v>
      </c>
      <c r="R34" s="7">
        <f>averageResponseTimePorter(Dates!R$8,Dates!R$9,'Day3'!$B34)</f>
        <v>0</v>
      </c>
      <c r="S34" s="7">
        <f>averageResponseTimePorter(Dates!S$8,Dates!S$9,'Day3'!$B34)</f>
        <v>0</v>
      </c>
      <c r="T34" s="7">
        <f>averageResponseTimePorter(Dates!T$8,Dates!T$9,'Day3'!$B34)</f>
        <v>0</v>
      </c>
      <c r="U34" s="7">
        <f>averageResponseTimePorter(Dates!$C$8,Dates!$T$9,'Day3'!$B11)</f>
        <v>0</v>
      </c>
    </row>
    <row r="35" spans="2:21" x14ac:dyDescent="0.3">
      <c r="B35" s="11">
        <f t="shared" si="0"/>
        <v>9</v>
      </c>
      <c r="C35" s="7">
        <f>averageResponseTimePorter(Dates!C$8,Dates!C$9,'Day3'!$B35)</f>
        <v>0</v>
      </c>
      <c r="D35" s="7">
        <f>averageResponseTimePorter(Dates!D$8,Dates!D$9,'Day3'!$B35)</f>
        <v>0</v>
      </c>
      <c r="E35" s="7">
        <f>averageResponseTimePorter(Dates!E$8,Dates!E$9,'Day3'!$B35)</f>
        <v>0</v>
      </c>
      <c r="F35" s="7">
        <f>averageResponseTimePorter(Dates!F$8,Dates!F$9,'Day3'!$B35)</f>
        <v>0</v>
      </c>
      <c r="G35" s="7">
        <f>averageResponseTimePorter(Dates!G$8,Dates!G$9,'Day3'!$B35)</f>
        <v>0</v>
      </c>
      <c r="H35" s="7">
        <f>averageResponseTimePorter(Dates!H$8,Dates!H$9,'Day3'!$B35)</f>
        <v>0</v>
      </c>
      <c r="I35" s="7">
        <f>averageResponseTimePorter(Dates!I$8,Dates!I$9,'Day3'!$B35)</f>
        <v>0</v>
      </c>
      <c r="J35" s="7">
        <f>averageResponseTimePorter(Dates!J$8,Dates!J$9,'Day3'!$B35)</f>
        <v>0</v>
      </c>
      <c r="K35" s="7">
        <f>averageResponseTimePorter(Dates!K$8,Dates!K$9,'Day3'!$B35)</f>
        <v>0</v>
      </c>
      <c r="L35" s="7">
        <f>averageResponseTimePorter(Dates!L$8,Dates!L$9,'Day3'!$B35)</f>
        <v>0</v>
      </c>
      <c r="M35" s="7">
        <f>averageResponseTimePorter(Dates!M$8,Dates!M$9,'Day3'!$B35)</f>
        <v>0</v>
      </c>
      <c r="N35" s="7">
        <f>averageResponseTimePorter(Dates!N$8,Dates!N$9,'Day3'!$B35)</f>
        <v>0</v>
      </c>
      <c r="O35" s="7">
        <f>averageResponseTimePorter(Dates!O$8,Dates!O$9,'Day3'!$B35)</f>
        <v>0</v>
      </c>
      <c r="P35" s="7">
        <f>averageResponseTimePorter(Dates!P$8,Dates!P$9,'Day3'!$B35)</f>
        <v>0</v>
      </c>
      <c r="Q35" s="7">
        <f>averageResponseTimePorter(Dates!Q$8,Dates!Q$9,'Day3'!$B35)</f>
        <v>0</v>
      </c>
      <c r="R35" s="7">
        <f>averageResponseTimePorter(Dates!R$8,Dates!R$9,'Day3'!$B35)</f>
        <v>0</v>
      </c>
      <c r="S35" s="7">
        <f>averageResponseTimePorter(Dates!S$8,Dates!S$9,'Day3'!$B35)</f>
        <v>0</v>
      </c>
      <c r="T35" s="7">
        <f>averageResponseTimePorter(Dates!T$8,Dates!T$9,'Day3'!$B35)</f>
        <v>0</v>
      </c>
      <c r="U35" s="7">
        <f>averageResponseTimePorter(Dates!$C$8,Dates!$T$9,'Day3'!$B12)</f>
        <v>0</v>
      </c>
    </row>
    <row r="36" spans="2:21" x14ac:dyDescent="0.3">
      <c r="B36" s="11">
        <f t="shared" si="0"/>
        <v>7</v>
      </c>
      <c r="C36" s="7">
        <f>averageResponseTimePorter(Dates!C$8,Dates!C$9,'Day3'!$B36)</f>
        <v>0</v>
      </c>
      <c r="D36" s="7">
        <f>averageResponseTimePorter(Dates!D$8,Dates!D$9,'Day3'!$B36)</f>
        <v>0</v>
      </c>
      <c r="E36" s="7">
        <f>averageResponseTimePorter(Dates!E$8,Dates!E$9,'Day3'!$B36)</f>
        <v>0</v>
      </c>
      <c r="F36" s="7">
        <f>averageResponseTimePorter(Dates!F$8,Dates!F$9,'Day3'!$B36)</f>
        <v>0</v>
      </c>
      <c r="G36" s="7">
        <f>averageResponseTimePorter(Dates!G$8,Dates!G$9,'Day3'!$B36)</f>
        <v>0</v>
      </c>
      <c r="H36" s="7">
        <f>averageResponseTimePorter(Dates!H$8,Dates!H$9,'Day3'!$B36)</f>
        <v>0</v>
      </c>
      <c r="I36" s="7">
        <f>averageResponseTimePorter(Dates!I$8,Dates!I$9,'Day3'!$B36)</f>
        <v>0</v>
      </c>
      <c r="J36" s="7">
        <f>averageResponseTimePorter(Dates!J$8,Dates!J$9,'Day3'!$B36)</f>
        <v>0</v>
      </c>
      <c r="K36" s="7">
        <f>averageResponseTimePorter(Dates!K$8,Dates!K$9,'Day3'!$B36)</f>
        <v>0</v>
      </c>
      <c r="L36" s="7">
        <f>averageResponseTimePorter(Dates!L$8,Dates!L$9,'Day3'!$B36)</f>
        <v>0</v>
      </c>
      <c r="M36" s="7">
        <f>averageResponseTimePorter(Dates!M$8,Dates!M$9,'Day3'!$B36)</f>
        <v>0</v>
      </c>
      <c r="N36" s="7">
        <f>averageResponseTimePorter(Dates!N$8,Dates!N$9,'Day3'!$B36)</f>
        <v>0</v>
      </c>
      <c r="O36" s="7">
        <f>averageResponseTimePorter(Dates!O$8,Dates!O$9,'Day3'!$B36)</f>
        <v>0</v>
      </c>
      <c r="P36" s="7">
        <f>averageResponseTimePorter(Dates!P$8,Dates!P$9,'Day3'!$B36)</f>
        <v>0</v>
      </c>
      <c r="Q36" s="7">
        <f>averageResponseTimePorter(Dates!Q$8,Dates!Q$9,'Day3'!$B36)</f>
        <v>0</v>
      </c>
      <c r="R36" s="7">
        <f>averageResponseTimePorter(Dates!R$8,Dates!R$9,'Day3'!$B36)</f>
        <v>0</v>
      </c>
      <c r="S36" s="7">
        <f>averageResponseTimePorter(Dates!S$8,Dates!S$9,'Day3'!$B36)</f>
        <v>0</v>
      </c>
      <c r="T36" s="7">
        <f>averageResponseTimePorter(Dates!T$8,Dates!T$9,'Day3'!$B36)</f>
        <v>0</v>
      </c>
      <c r="U36" s="7">
        <f>averageResponseTimePorter(Dates!$C$8,Dates!$T$9,'Day3'!$B13)</f>
        <v>0</v>
      </c>
    </row>
    <row r="37" spans="2:21" x14ac:dyDescent="0.3">
      <c r="B37" s="11" t="str">
        <f t="shared" ref="B37:B46" si="1">B14</f>
        <v>NA14</v>
      </c>
      <c r="C37" s="7">
        <f>averageResponseTimePorter(Dates!C$8,Dates!C$9,'Day3'!$B37)</f>
        <v>0</v>
      </c>
      <c r="D37" s="7">
        <f>averageResponseTimePorter(Dates!D$8,Dates!D$9,'Day3'!$B37)</f>
        <v>0</v>
      </c>
      <c r="E37" s="7">
        <f>averageResponseTimePorter(Dates!E$8,Dates!E$9,'Day3'!$B37)</f>
        <v>0</v>
      </c>
      <c r="F37" s="7">
        <f>averageResponseTimePorter(Dates!F$8,Dates!F$9,'Day3'!$B37)</f>
        <v>0</v>
      </c>
      <c r="G37" s="7">
        <f>averageResponseTimePorter(Dates!G$8,Dates!G$9,'Day3'!$B37)</f>
        <v>0</v>
      </c>
      <c r="H37" s="7">
        <f>averageResponseTimePorter(Dates!H$8,Dates!H$9,'Day3'!$B37)</f>
        <v>0</v>
      </c>
      <c r="I37" s="7">
        <f>averageResponseTimePorter(Dates!I$8,Dates!I$9,'Day3'!$B37)</f>
        <v>0</v>
      </c>
      <c r="J37" s="7">
        <f>averageResponseTimePorter(Dates!J$8,Dates!J$9,'Day3'!$B37)</f>
        <v>0</v>
      </c>
      <c r="K37" s="7">
        <f>averageResponseTimePorter(Dates!K$8,Dates!K$9,'Day3'!$B37)</f>
        <v>0</v>
      </c>
      <c r="L37" s="7">
        <f>averageResponseTimePorter(Dates!L$8,Dates!L$9,'Day3'!$B37)</f>
        <v>0</v>
      </c>
      <c r="M37" s="7">
        <f>averageResponseTimePorter(Dates!M$8,Dates!M$9,'Day3'!$B37)</f>
        <v>0</v>
      </c>
      <c r="N37" s="7">
        <f>averageResponseTimePorter(Dates!N$8,Dates!N$9,'Day3'!$B37)</f>
        <v>0</v>
      </c>
      <c r="O37" s="7">
        <f>averageResponseTimePorter(Dates!O$8,Dates!O$9,'Day3'!$B37)</f>
        <v>0</v>
      </c>
      <c r="P37" s="7">
        <f>averageResponseTimePorter(Dates!P$8,Dates!P$9,'Day3'!$B37)</f>
        <v>0</v>
      </c>
      <c r="Q37" s="7">
        <f>averageResponseTimePorter(Dates!Q$8,Dates!Q$9,'Day3'!$B37)</f>
        <v>0</v>
      </c>
      <c r="R37" s="7">
        <f>averageResponseTimePorter(Dates!R$8,Dates!R$9,'Day3'!$B37)</f>
        <v>0</v>
      </c>
      <c r="S37" s="7">
        <f>averageResponseTimePorter(Dates!S$8,Dates!S$9,'Day3'!$B37)</f>
        <v>0</v>
      </c>
      <c r="T37" s="7">
        <f>averageResponseTimePorter(Dates!T$8,Dates!T$9,'Day3'!$B37)</f>
        <v>0</v>
      </c>
      <c r="U37" s="7">
        <f>averageResponseTimePorter(Dates!$C$8,Dates!$T$9,'Day3'!$B14)</f>
        <v>0</v>
      </c>
    </row>
    <row r="38" spans="2:21" x14ac:dyDescent="0.3">
      <c r="B38" s="11" t="str">
        <f t="shared" si="1"/>
        <v>NA15</v>
      </c>
      <c r="C38" s="7">
        <f>averageResponseTimePorter(Dates!C$8,Dates!C$9,'Day3'!$B38)</f>
        <v>0</v>
      </c>
      <c r="D38" s="7">
        <f>averageResponseTimePorter(Dates!D$8,Dates!D$9,'Day3'!$B38)</f>
        <v>0</v>
      </c>
      <c r="E38" s="7">
        <f>averageResponseTimePorter(Dates!E$8,Dates!E$9,'Day3'!$B38)</f>
        <v>0</v>
      </c>
      <c r="F38" s="7">
        <f>averageResponseTimePorter(Dates!F$8,Dates!F$9,'Day3'!$B38)</f>
        <v>0</v>
      </c>
      <c r="G38" s="7">
        <f>averageResponseTimePorter(Dates!G$8,Dates!G$9,'Day3'!$B38)</f>
        <v>0</v>
      </c>
      <c r="H38" s="7">
        <f>averageResponseTimePorter(Dates!H$8,Dates!H$9,'Day3'!$B38)</f>
        <v>0</v>
      </c>
      <c r="I38" s="7">
        <f>averageResponseTimePorter(Dates!I$8,Dates!I$9,'Day3'!$B38)</f>
        <v>0</v>
      </c>
      <c r="J38" s="7">
        <f>averageResponseTimePorter(Dates!J$8,Dates!J$9,'Day3'!$B38)</f>
        <v>0</v>
      </c>
      <c r="K38" s="7">
        <f>averageResponseTimePorter(Dates!K$8,Dates!K$9,'Day3'!$B38)</f>
        <v>0</v>
      </c>
      <c r="L38" s="7">
        <f>averageResponseTimePorter(Dates!L$8,Dates!L$9,'Day3'!$B38)</f>
        <v>0</v>
      </c>
      <c r="M38" s="7">
        <f>averageResponseTimePorter(Dates!M$8,Dates!M$9,'Day3'!$B38)</f>
        <v>0</v>
      </c>
      <c r="N38" s="7">
        <f>averageResponseTimePorter(Dates!N$8,Dates!N$9,'Day3'!$B38)</f>
        <v>0</v>
      </c>
      <c r="O38" s="7">
        <f>averageResponseTimePorter(Dates!O$8,Dates!O$9,'Day3'!$B38)</f>
        <v>0</v>
      </c>
      <c r="P38" s="7">
        <f>averageResponseTimePorter(Dates!P$8,Dates!P$9,'Day3'!$B38)</f>
        <v>0</v>
      </c>
      <c r="Q38" s="7">
        <f>averageResponseTimePorter(Dates!Q$8,Dates!Q$9,'Day3'!$B38)</f>
        <v>0</v>
      </c>
      <c r="R38" s="7">
        <f>averageResponseTimePorter(Dates!R$8,Dates!R$9,'Day3'!$B38)</f>
        <v>0</v>
      </c>
      <c r="S38" s="7">
        <f>averageResponseTimePorter(Dates!S$8,Dates!S$9,'Day3'!$B38)</f>
        <v>0</v>
      </c>
      <c r="T38" s="7">
        <f>averageResponseTimePorter(Dates!T$8,Dates!T$9,'Day3'!$B38)</f>
        <v>0</v>
      </c>
      <c r="U38" s="7">
        <f>averageResponseTimePorter(Dates!$C$8,Dates!$T$9,'Day3'!$B15)</f>
        <v>0</v>
      </c>
    </row>
    <row r="39" spans="2:21" x14ac:dyDescent="0.3">
      <c r="B39" s="11" t="str">
        <f t="shared" si="1"/>
        <v>NA16</v>
      </c>
      <c r="C39" s="7">
        <f>averageResponseTimePorter(Dates!C$8,Dates!C$9,'Day3'!$B39)</f>
        <v>0</v>
      </c>
      <c r="D39" s="7">
        <f>averageResponseTimePorter(Dates!D$8,Dates!D$9,'Day3'!$B39)</f>
        <v>0</v>
      </c>
      <c r="E39" s="7">
        <f>averageResponseTimePorter(Dates!E$8,Dates!E$9,'Day3'!$B39)</f>
        <v>0</v>
      </c>
      <c r="F39" s="7">
        <f>averageResponseTimePorter(Dates!F$8,Dates!F$9,'Day3'!$B39)</f>
        <v>0</v>
      </c>
      <c r="G39" s="7">
        <f>averageResponseTimePorter(Dates!G$8,Dates!G$9,'Day3'!$B39)</f>
        <v>0</v>
      </c>
      <c r="H39" s="7">
        <f>averageResponseTimePorter(Dates!H$8,Dates!H$9,'Day3'!$B39)</f>
        <v>0</v>
      </c>
      <c r="I39" s="7">
        <f>averageResponseTimePorter(Dates!I$8,Dates!I$9,'Day3'!$B39)</f>
        <v>0</v>
      </c>
      <c r="J39" s="7">
        <f>averageResponseTimePorter(Dates!J$8,Dates!J$9,'Day3'!$B39)</f>
        <v>0</v>
      </c>
      <c r="K39" s="7">
        <f>averageResponseTimePorter(Dates!K$8,Dates!K$9,'Day3'!$B39)</f>
        <v>0</v>
      </c>
      <c r="L39" s="7">
        <f>averageResponseTimePorter(Dates!L$8,Dates!L$9,'Day3'!$B39)</f>
        <v>0</v>
      </c>
      <c r="M39" s="7">
        <f>averageResponseTimePorter(Dates!M$8,Dates!M$9,'Day3'!$B39)</f>
        <v>0</v>
      </c>
      <c r="N39" s="7">
        <f>averageResponseTimePorter(Dates!N$8,Dates!N$9,'Day3'!$B39)</f>
        <v>0</v>
      </c>
      <c r="O39" s="7">
        <f>averageResponseTimePorter(Dates!O$8,Dates!O$9,'Day3'!$B39)</f>
        <v>0</v>
      </c>
      <c r="P39" s="7">
        <f>averageResponseTimePorter(Dates!P$8,Dates!P$9,'Day3'!$B39)</f>
        <v>0</v>
      </c>
      <c r="Q39" s="7">
        <f>averageResponseTimePorter(Dates!Q$8,Dates!Q$9,'Day3'!$B39)</f>
        <v>0</v>
      </c>
      <c r="R39" s="7">
        <f>averageResponseTimePorter(Dates!R$8,Dates!R$9,'Day3'!$B39)</f>
        <v>0</v>
      </c>
      <c r="S39" s="7">
        <f>averageResponseTimePorter(Dates!S$8,Dates!S$9,'Day3'!$B39)</f>
        <v>0</v>
      </c>
      <c r="T39" s="7">
        <f>averageResponseTimePorter(Dates!T$8,Dates!T$9,'Day3'!$B39)</f>
        <v>0</v>
      </c>
      <c r="U39" s="7">
        <f>averageResponseTimePorter(Dates!$C$8,Dates!$T$9,'Day3'!$B16)</f>
        <v>0</v>
      </c>
    </row>
    <row r="40" spans="2:21" x14ac:dyDescent="0.3">
      <c r="B40" s="11" t="str">
        <f t="shared" si="1"/>
        <v>NA17</v>
      </c>
      <c r="C40" s="7">
        <f>averageResponseTimePorter(Dates!C$8,Dates!C$9,'Day3'!$B40)</f>
        <v>0</v>
      </c>
      <c r="D40" s="7">
        <f>averageResponseTimePorter(Dates!D$8,Dates!D$9,'Day3'!$B40)</f>
        <v>0</v>
      </c>
      <c r="E40" s="7">
        <f>averageResponseTimePorter(Dates!E$8,Dates!E$9,'Day3'!$B40)</f>
        <v>0</v>
      </c>
      <c r="F40" s="7">
        <f>averageResponseTimePorter(Dates!F$8,Dates!F$9,'Day3'!$B40)</f>
        <v>0</v>
      </c>
      <c r="G40" s="7">
        <f>averageResponseTimePorter(Dates!G$8,Dates!G$9,'Day3'!$B40)</f>
        <v>0</v>
      </c>
      <c r="H40" s="7">
        <f>averageResponseTimePorter(Dates!H$8,Dates!H$9,'Day3'!$B40)</f>
        <v>0</v>
      </c>
      <c r="I40" s="7">
        <f>averageResponseTimePorter(Dates!I$8,Dates!I$9,'Day3'!$B40)</f>
        <v>0</v>
      </c>
      <c r="J40" s="7">
        <f>averageResponseTimePorter(Dates!J$8,Dates!J$9,'Day3'!$B40)</f>
        <v>0</v>
      </c>
      <c r="K40" s="7">
        <f>averageResponseTimePorter(Dates!K$8,Dates!K$9,'Day3'!$B40)</f>
        <v>0</v>
      </c>
      <c r="L40" s="7">
        <f>averageResponseTimePorter(Dates!L$8,Dates!L$9,'Day3'!$B40)</f>
        <v>0</v>
      </c>
      <c r="M40" s="7">
        <f>averageResponseTimePorter(Dates!M$8,Dates!M$9,'Day3'!$B40)</f>
        <v>0</v>
      </c>
      <c r="N40" s="7">
        <f>averageResponseTimePorter(Dates!N$8,Dates!N$9,'Day3'!$B40)</f>
        <v>0</v>
      </c>
      <c r="O40" s="7">
        <f>averageResponseTimePorter(Dates!O$8,Dates!O$9,'Day3'!$B40)</f>
        <v>0</v>
      </c>
      <c r="P40" s="7">
        <f>averageResponseTimePorter(Dates!P$8,Dates!P$9,'Day3'!$B40)</f>
        <v>0</v>
      </c>
      <c r="Q40" s="7">
        <f>averageResponseTimePorter(Dates!Q$8,Dates!Q$9,'Day3'!$B40)</f>
        <v>0</v>
      </c>
      <c r="R40" s="7">
        <f>averageResponseTimePorter(Dates!R$8,Dates!R$9,'Day3'!$B40)</f>
        <v>0</v>
      </c>
      <c r="S40" s="7">
        <f>averageResponseTimePorter(Dates!S$8,Dates!S$9,'Day3'!$B40)</f>
        <v>0</v>
      </c>
      <c r="T40" s="7">
        <f>averageResponseTimePorter(Dates!T$8,Dates!T$9,'Day3'!$B40)</f>
        <v>0</v>
      </c>
      <c r="U40" s="7">
        <f>averageResponseTimePorter(Dates!$C$8,Dates!$T$9,'Day3'!$B17)</f>
        <v>0</v>
      </c>
    </row>
    <row r="41" spans="2:21" x14ac:dyDescent="0.3">
      <c r="B41" s="11" t="str">
        <f t="shared" si="1"/>
        <v>NA18</v>
      </c>
      <c r="C41" s="7">
        <f>averageResponseTimePorter(Dates!C$8,Dates!C$9,'Day3'!$B41)</f>
        <v>0</v>
      </c>
      <c r="D41" s="7">
        <f>averageResponseTimePorter(Dates!D$8,Dates!D$9,'Day3'!$B41)</f>
        <v>0</v>
      </c>
      <c r="E41" s="7">
        <f>averageResponseTimePorter(Dates!E$8,Dates!E$9,'Day3'!$B41)</f>
        <v>0</v>
      </c>
      <c r="F41" s="7">
        <f>averageResponseTimePorter(Dates!F$8,Dates!F$9,'Day3'!$B41)</f>
        <v>0</v>
      </c>
      <c r="G41" s="7">
        <f>averageResponseTimePorter(Dates!G$8,Dates!G$9,'Day3'!$B41)</f>
        <v>0</v>
      </c>
      <c r="H41" s="7">
        <f>averageResponseTimePorter(Dates!H$8,Dates!H$9,'Day3'!$B41)</f>
        <v>0</v>
      </c>
      <c r="I41" s="7">
        <f>averageResponseTimePorter(Dates!I$8,Dates!I$9,'Day3'!$B41)</f>
        <v>0</v>
      </c>
      <c r="J41" s="7">
        <f>averageResponseTimePorter(Dates!J$8,Dates!J$9,'Day3'!$B41)</f>
        <v>0</v>
      </c>
      <c r="K41" s="7">
        <f>averageResponseTimePorter(Dates!K$8,Dates!K$9,'Day3'!$B41)</f>
        <v>0</v>
      </c>
      <c r="L41" s="7">
        <f>averageResponseTimePorter(Dates!L$8,Dates!L$9,'Day3'!$B41)</f>
        <v>0</v>
      </c>
      <c r="M41" s="7">
        <f>averageResponseTimePorter(Dates!M$8,Dates!M$9,'Day3'!$B41)</f>
        <v>0</v>
      </c>
      <c r="N41" s="7">
        <f>averageResponseTimePorter(Dates!N$8,Dates!N$9,'Day3'!$B41)</f>
        <v>0</v>
      </c>
      <c r="O41" s="7">
        <f>averageResponseTimePorter(Dates!O$8,Dates!O$9,'Day3'!$B41)</f>
        <v>0</v>
      </c>
      <c r="P41" s="7">
        <f>averageResponseTimePorter(Dates!P$8,Dates!P$9,'Day3'!$B41)</f>
        <v>0</v>
      </c>
      <c r="Q41" s="7">
        <f>averageResponseTimePorter(Dates!Q$8,Dates!Q$9,'Day3'!$B41)</f>
        <v>0</v>
      </c>
      <c r="R41" s="7">
        <f>averageResponseTimePorter(Dates!R$8,Dates!R$9,'Day3'!$B41)</f>
        <v>0</v>
      </c>
      <c r="S41" s="7">
        <f>averageResponseTimePorter(Dates!S$8,Dates!S$9,'Day3'!$B41)</f>
        <v>0</v>
      </c>
      <c r="T41" s="7">
        <f>averageResponseTimePorter(Dates!T$8,Dates!T$9,'Day3'!$B41)</f>
        <v>0</v>
      </c>
      <c r="U41" s="7">
        <f>averageResponseTimePorter(Dates!$C$8,Dates!$T$9,'Day3'!$B18)</f>
        <v>0</v>
      </c>
    </row>
    <row r="42" spans="2:21" x14ac:dyDescent="0.3">
      <c r="B42" s="11" t="str">
        <f t="shared" si="1"/>
        <v>NA19</v>
      </c>
      <c r="C42" s="7">
        <f>averageResponseTimePorter(Dates!C$8,Dates!C$9,'Day3'!$B42)</f>
        <v>0</v>
      </c>
      <c r="D42" s="7">
        <f>averageResponseTimePorter(Dates!D$8,Dates!D$9,'Day3'!$B42)</f>
        <v>0</v>
      </c>
      <c r="E42" s="7">
        <f>averageResponseTimePorter(Dates!E$8,Dates!E$9,'Day3'!$B42)</f>
        <v>0</v>
      </c>
      <c r="F42" s="7">
        <f>averageResponseTimePorter(Dates!F$8,Dates!F$9,'Day3'!$B42)</f>
        <v>0</v>
      </c>
      <c r="G42" s="7">
        <f>averageResponseTimePorter(Dates!G$8,Dates!G$9,'Day3'!$B42)</f>
        <v>0</v>
      </c>
      <c r="H42" s="7">
        <f>averageResponseTimePorter(Dates!H$8,Dates!H$9,'Day3'!$B42)</f>
        <v>0</v>
      </c>
      <c r="I42" s="7">
        <f>averageResponseTimePorter(Dates!I$8,Dates!I$9,'Day3'!$B42)</f>
        <v>0</v>
      </c>
      <c r="J42" s="7">
        <f>averageResponseTimePorter(Dates!J$8,Dates!J$9,'Day3'!$B42)</f>
        <v>0</v>
      </c>
      <c r="K42" s="7">
        <f>averageResponseTimePorter(Dates!K$8,Dates!K$9,'Day3'!$B42)</f>
        <v>0</v>
      </c>
      <c r="L42" s="7">
        <f>averageResponseTimePorter(Dates!L$8,Dates!L$9,'Day3'!$B42)</f>
        <v>0</v>
      </c>
      <c r="M42" s="7">
        <f>averageResponseTimePorter(Dates!M$8,Dates!M$9,'Day3'!$B42)</f>
        <v>0</v>
      </c>
      <c r="N42" s="7">
        <f>averageResponseTimePorter(Dates!N$8,Dates!N$9,'Day3'!$B42)</f>
        <v>0</v>
      </c>
      <c r="O42" s="7">
        <f>averageResponseTimePorter(Dates!O$8,Dates!O$9,'Day3'!$B42)</f>
        <v>0</v>
      </c>
      <c r="P42" s="7">
        <f>averageResponseTimePorter(Dates!P$8,Dates!P$9,'Day3'!$B42)</f>
        <v>0</v>
      </c>
      <c r="Q42" s="7">
        <f>averageResponseTimePorter(Dates!Q$8,Dates!Q$9,'Day3'!$B42)</f>
        <v>0</v>
      </c>
      <c r="R42" s="7">
        <f>averageResponseTimePorter(Dates!R$8,Dates!R$9,'Day3'!$B42)</f>
        <v>0</v>
      </c>
      <c r="S42" s="7">
        <f>averageResponseTimePorter(Dates!S$8,Dates!S$9,'Day3'!$B42)</f>
        <v>0</v>
      </c>
      <c r="T42" s="7">
        <f>averageResponseTimePorter(Dates!T$8,Dates!T$9,'Day3'!$B42)</f>
        <v>0</v>
      </c>
      <c r="U42" s="7">
        <f>averageResponseTimePorter(Dates!$C$8,Dates!$T$9,'Day3'!$B19)</f>
        <v>0</v>
      </c>
    </row>
    <row r="43" spans="2:21" x14ac:dyDescent="0.3">
      <c r="B43" s="11" t="str">
        <f t="shared" si="1"/>
        <v>NA20</v>
      </c>
      <c r="C43" s="7">
        <f>averageResponseTimePorter(Dates!C$8,Dates!C$9,'Day3'!$B43)</f>
        <v>0</v>
      </c>
      <c r="D43" s="7">
        <f>averageResponseTimePorter(Dates!D$8,Dates!D$9,'Day3'!$B43)</f>
        <v>0</v>
      </c>
      <c r="E43" s="7">
        <f>averageResponseTimePorter(Dates!E$8,Dates!E$9,'Day3'!$B43)</f>
        <v>0</v>
      </c>
      <c r="F43" s="7">
        <f>averageResponseTimePorter(Dates!F$8,Dates!F$9,'Day3'!$B43)</f>
        <v>0</v>
      </c>
      <c r="G43" s="7">
        <f>averageResponseTimePorter(Dates!G$8,Dates!G$9,'Day3'!$B43)</f>
        <v>0</v>
      </c>
      <c r="H43" s="7">
        <f>averageResponseTimePorter(Dates!H$8,Dates!H$9,'Day3'!$B43)</f>
        <v>0</v>
      </c>
      <c r="I43" s="7">
        <f>averageResponseTimePorter(Dates!I$8,Dates!I$9,'Day3'!$B43)</f>
        <v>0</v>
      </c>
      <c r="J43" s="7">
        <f>averageResponseTimePorter(Dates!J$8,Dates!J$9,'Day3'!$B43)</f>
        <v>0</v>
      </c>
      <c r="K43" s="7">
        <f>averageResponseTimePorter(Dates!K$8,Dates!K$9,'Day3'!$B43)</f>
        <v>0</v>
      </c>
      <c r="L43" s="7">
        <f>averageResponseTimePorter(Dates!L$8,Dates!L$9,'Day3'!$B43)</f>
        <v>0</v>
      </c>
      <c r="M43" s="7">
        <f>averageResponseTimePorter(Dates!M$8,Dates!M$9,'Day3'!$B43)</f>
        <v>0</v>
      </c>
      <c r="N43" s="7">
        <f>averageResponseTimePorter(Dates!N$8,Dates!N$9,'Day3'!$B43)</f>
        <v>0</v>
      </c>
      <c r="O43" s="7">
        <f>averageResponseTimePorter(Dates!O$8,Dates!O$9,'Day3'!$B43)</f>
        <v>0</v>
      </c>
      <c r="P43" s="7">
        <f>averageResponseTimePorter(Dates!P$8,Dates!P$9,'Day3'!$B43)</f>
        <v>0</v>
      </c>
      <c r="Q43" s="7">
        <f>averageResponseTimePorter(Dates!Q$8,Dates!Q$9,'Day3'!$B43)</f>
        <v>0</v>
      </c>
      <c r="R43" s="7">
        <f>averageResponseTimePorter(Dates!R$8,Dates!R$9,'Day3'!$B43)</f>
        <v>0</v>
      </c>
      <c r="S43" s="7">
        <f>averageResponseTimePorter(Dates!S$8,Dates!S$9,'Day3'!$B43)</f>
        <v>0</v>
      </c>
      <c r="T43" s="7">
        <f>averageResponseTimePorter(Dates!T$8,Dates!T$9,'Day3'!$B43)</f>
        <v>0</v>
      </c>
      <c r="U43" s="7">
        <f>averageResponseTimePorter(Dates!$C$8,Dates!$T$9,'Day3'!$B20)</f>
        <v>0</v>
      </c>
    </row>
    <row r="44" spans="2:21" x14ac:dyDescent="0.3">
      <c r="B44" s="11" t="str">
        <f t="shared" si="1"/>
        <v>NA21</v>
      </c>
      <c r="C44" s="7">
        <f>averageResponseTimePorter(Dates!C$8,Dates!C$9,'Day3'!$B44)</f>
        <v>0</v>
      </c>
      <c r="D44" s="7">
        <f>averageResponseTimePorter(Dates!D$8,Dates!D$9,'Day3'!$B44)</f>
        <v>0</v>
      </c>
      <c r="E44" s="7">
        <f>averageResponseTimePorter(Dates!E$8,Dates!E$9,'Day3'!$B44)</f>
        <v>0</v>
      </c>
      <c r="F44" s="7">
        <f>averageResponseTimePorter(Dates!F$8,Dates!F$9,'Day3'!$B44)</f>
        <v>0</v>
      </c>
      <c r="G44" s="7">
        <f>averageResponseTimePorter(Dates!G$8,Dates!G$9,'Day3'!$B44)</f>
        <v>0</v>
      </c>
      <c r="H44" s="7">
        <f>averageResponseTimePorter(Dates!H$8,Dates!H$9,'Day3'!$B44)</f>
        <v>0</v>
      </c>
      <c r="I44" s="7">
        <f>averageResponseTimePorter(Dates!I$8,Dates!I$9,'Day3'!$B44)</f>
        <v>0</v>
      </c>
      <c r="J44" s="7">
        <f>averageResponseTimePorter(Dates!J$8,Dates!J$9,'Day3'!$B44)</f>
        <v>0</v>
      </c>
      <c r="K44" s="7">
        <f>averageResponseTimePorter(Dates!K$8,Dates!K$9,'Day3'!$B44)</f>
        <v>0</v>
      </c>
      <c r="L44" s="7">
        <f>averageResponseTimePorter(Dates!L$8,Dates!L$9,'Day3'!$B44)</f>
        <v>0</v>
      </c>
      <c r="M44" s="7">
        <f>averageResponseTimePorter(Dates!M$8,Dates!M$9,'Day3'!$B44)</f>
        <v>0</v>
      </c>
      <c r="N44" s="7">
        <f>averageResponseTimePorter(Dates!N$8,Dates!N$9,'Day3'!$B44)</f>
        <v>0</v>
      </c>
      <c r="O44" s="7">
        <f>averageResponseTimePorter(Dates!O$8,Dates!O$9,'Day3'!$B44)</f>
        <v>0</v>
      </c>
      <c r="P44" s="7">
        <f>averageResponseTimePorter(Dates!P$8,Dates!P$9,'Day3'!$B44)</f>
        <v>0</v>
      </c>
      <c r="Q44" s="7">
        <f>averageResponseTimePorter(Dates!Q$8,Dates!Q$9,'Day3'!$B44)</f>
        <v>0</v>
      </c>
      <c r="R44" s="7">
        <f>averageResponseTimePorter(Dates!R$8,Dates!R$9,'Day3'!$B44)</f>
        <v>0</v>
      </c>
      <c r="S44" s="7">
        <f>averageResponseTimePorter(Dates!S$8,Dates!S$9,'Day3'!$B44)</f>
        <v>0</v>
      </c>
      <c r="T44" s="7">
        <f>averageResponseTimePorter(Dates!T$8,Dates!T$9,'Day3'!$B44)</f>
        <v>0</v>
      </c>
      <c r="U44" s="7">
        <f>averageResponseTimePorter(Dates!$C$8,Dates!$T$9,'Day3'!$B21)</f>
        <v>0</v>
      </c>
    </row>
    <row r="45" spans="2:21" x14ac:dyDescent="0.3">
      <c r="B45" s="11" t="str">
        <f t="shared" si="1"/>
        <v>NA22</v>
      </c>
      <c r="C45" s="7">
        <f>averageResponseTimePorter(Dates!C$8,Dates!C$9,'Day3'!$B45)</f>
        <v>0</v>
      </c>
      <c r="D45" s="7">
        <f>averageResponseTimePorter(Dates!D$8,Dates!D$9,'Day3'!$B45)</f>
        <v>0</v>
      </c>
      <c r="E45" s="7">
        <f>averageResponseTimePorter(Dates!E$8,Dates!E$9,'Day3'!$B45)</f>
        <v>0</v>
      </c>
      <c r="F45" s="7">
        <f>averageResponseTimePorter(Dates!F$8,Dates!F$9,'Day3'!$B45)</f>
        <v>0</v>
      </c>
      <c r="G45" s="7">
        <f>averageResponseTimePorter(Dates!G$8,Dates!G$9,'Day3'!$B45)</f>
        <v>0</v>
      </c>
      <c r="H45" s="7">
        <f>averageResponseTimePorter(Dates!H$8,Dates!H$9,'Day3'!$B45)</f>
        <v>0</v>
      </c>
      <c r="I45" s="7">
        <f>averageResponseTimePorter(Dates!I$8,Dates!I$9,'Day3'!$B45)</f>
        <v>0</v>
      </c>
      <c r="J45" s="7">
        <f>averageResponseTimePorter(Dates!J$8,Dates!J$9,'Day3'!$B45)</f>
        <v>0</v>
      </c>
      <c r="K45" s="7">
        <f>averageResponseTimePorter(Dates!K$8,Dates!K$9,'Day3'!$B45)</f>
        <v>0</v>
      </c>
      <c r="L45" s="7">
        <f>averageResponseTimePorter(Dates!L$8,Dates!L$9,'Day3'!$B45)</f>
        <v>0</v>
      </c>
      <c r="M45" s="7">
        <f>averageResponseTimePorter(Dates!M$8,Dates!M$9,'Day3'!$B45)</f>
        <v>0</v>
      </c>
      <c r="N45" s="7">
        <f>averageResponseTimePorter(Dates!N$8,Dates!N$9,'Day3'!$B45)</f>
        <v>0</v>
      </c>
      <c r="O45" s="7">
        <f>averageResponseTimePorter(Dates!O$8,Dates!O$9,'Day3'!$B45)</f>
        <v>0</v>
      </c>
      <c r="P45" s="7">
        <f>averageResponseTimePorter(Dates!P$8,Dates!P$9,'Day3'!$B45)</f>
        <v>0</v>
      </c>
      <c r="Q45" s="7">
        <f>averageResponseTimePorter(Dates!Q$8,Dates!Q$9,'Day3'!$B45)</f>
        <v>0</v>
      </c>
      <c r="R45" s="7">
        <f>averageResponseTimePorter(Dates!R$8,Dates!R$9,'Day3'!$B45)</f>
        <v>0</v>
      </c>
      <c r="S45" s="7">
        <f>averageResponseTimePorter(Dates!S$8,Dates!S$9,'Day3'!$B45)</f>
        <v>0</v>
      </c>
      <c r="T45" s="7">
        <f>averageResponseTimePorter(Dates!T$8,Dates!T$9,'Day3'!$B45)</f>
        <v>0</v>
      </c>
      <c r="U45" s="7">
        <f>averageResponseTimePorter(Dates!$C$8,Dates!$T$9,'Day3'!$B22)</f>
        <v>0</v>
      </c>
    </row>
    <row r="46" spans="2:21" x14ac:dyDescent="0.3">
      <c r="B46" s="11" t="str">
        <f t="shared" si="1"/>
        <v>NA23</v>
      </c>
      <c r="C46" s="7">
        <f>averageResponseTimePorter(Dates!C$8,Dates!C$9,'Day3'!$B46)</f>
        <v>0</v>
      </c>
      <c r="D46" s="7">
        <f>averageResponseTimePorter(Dates!D$8,Dates!D$9,'Day3'!$B46)</f>
        <v>0</v>
      </c>
      <c r="E46" s="7">
        <f>averageResponseTimePorter(Dates!E$8,Dates!E$9,'Day3'!$B46)</f>
        <v>0</v>
      </c>
      <c r="F46" s="7">
        <f>averageResponseTimePorter(Dates!F$8,Dates!F$9,'Day3'!$B46)</f>
        <v>0</v>
      </c>
      <c r="G46" s="7">
        <f>averageResponseTimePorter(Dates!G$8,Dates!G$9,'Day3'!$B46)</f>
        <v>0</v>
      </c>
      <c r="H46" s="7">
        <f>averageResponseTimePorter(Dates!H$8,Dates!H$9,'Day3'!$B46)</f>
        <v>0</v>
      </c>
      <c r="I46" s="7">
        <f>averageResponseTimePorter(Dates!I$8,Dates!I$9,'Day3'!$B46)</f>
        <v>0</v>
      </c>
      <c r="J46" s="7">
        <f>averageResponseTimePorter(Dates!J$8,Dates!J$9,'Day3'!$B46)</f>
        <v>0</v>
      </c>
      <c r="K46" s="7">
        <f>averageResponseTimePorter(Dates!K$8,Dates!K$9,'Day3'!$B46)</f>
        <v>0</v>
      </c>
      <c r="L46" s="7">
        <f>averageResponseTimePorter(Dates!L$8,Dates!L$9,'Day3'!$B46)</f>
        <v>0</v>
      </c>
      <c r="M46" s="7">
        <f>averageResponseTimePorter(Dates!M$8,Dates!M$9,'Day3'!$B46)</f>
        <v>0</v>
      </c>
      <c r="N46" s="7">
        <f>averageResponseTimePorter(Dates!N$8,Dates!N$9,'Day3'!$B46)</f>
        <v>0</v>
      </c>
      <c r="O46" s="7">
        <f>averageResponseTimePorter(Dates!O$8,Dates!O$9,'Day3'!$B46)</f>
        <v>0</v>
      </c>
      <c r="P46" s="7">
        <f>averageResponseTimePorter(Dates!P$8,Dates!P$9,'Day3'!$B46)</f>
        <v>0</v>
      </c>
      <c r="Q46" s="7">
        <f>averageResponseTimePorter(Dates!Q$8,Dates!Q$9,'Day3'!$B46)</f>
        <v>0</v>
      </c>
      <c r="R46" s="7">
        <f>averageResponseTimePorter(Dates!R$8,Dates!R$9,'Day3'!$B46)</f>
        <v>0</v>
      </c>
      <c r="S46" s="7">
        <f>averageResponseTimePorter(Dates!S$8,Dates!S$9,'Day3'!$B46)</f>
        <v>0</v>
      </c>
      <c r="T46" s="7">
        <f>averageResponseTimePorter(Dates!T$8,Dates!T$9,'Day3'!$B46)</f>
        <v>0</v>
      </c>
      <c r="U46" s="7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workbookViewId="0">
      <selection activeCell="U26" sqref="U26:U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averageCompletionTime(Dates!C10,Dates!C11)</f>
        <v>0</v>
      </c>
      <c r="D2" s="7">
        <f>averageCompletionTime(Dates!D10,Dates!D11)</f>
        <v>0</v>
      </c>
      <c r="E2" s="7">
        <f>averageCompletionTime(Dates!E10,Dates!E11)</f>
        <v>0</v>
      </c>
      <c r="F2" s="7">
        <f>averageCompletionTime(Dates!F10,Dates!F11)</f>
        <v>0</v>
      </c>
      <c r="G2" s="7">
        <f>averageCompletionTime(Dates!G10,Dates!G11)</f>
        <v>0</v>
      </c>
      <c r="H2" s="7">
        <f>averageCompletionTime(Dates!H10,Dates!H11)</f>
        <v>0</v>
      </c>
      <c r="I2" s="7">
        <f>averageCompletionTime(Dates!I10,Dates!I11)</f>
        <v>0</v>
      </c>
      <c r="J2" s="7">
        <f>averageCompletionTime(Dates!J10,Dates!J11)</f>
        <v>0</v>
      </c>
      <c r="K2" s="7">
        <f>averageCompletionTime(Dates!K10,Dates!K11)</f>
        <v>0</v>
      </c>
      <c r="L2" s="7">
        <f>averageCompletionTime(Dates!L10,Dates!L11)</f>
        <v>0</v>
      </c>
      <c r="M2" s="7">
        <f>averageCompletionTime(Dates!M10,Dates!M11)</f>
        <v>0</v>
      </c>
      <c r="N2" s="7">
        <f>averageCompletionTime(Dates!N10,Dates!N11)</f>
        <v>0</v>
      </c>
      <c r="O2" s="7">
        <f>averageCompletionTime(Dates!O10,Dates!O11)</f>
        <v>0</v>
      </c>
      <c r="P2" s="7">
        <f>averageCompletionTime(Dates!P10,Dates!P11)</f>
        <v>0</v>
      </c>
      <c r="Q2" s="7">
        <f>averageCompletionTime(Dates!Q10,Dates!Q11)</f>
        <v>0</v>
      </c>
      <c r="R2" s="7">
        <f>averageCompletionTime(Dates!R10,Dates!R11)</f>
        <v>0</v>
      </c>
      <c r="S2" s="7">
        <f>averageCompletionTime(Dates!S10,Dates!S11)</f>
        <v>0</v>
      </c>
      <c r="T2" s="7">
        <f>averageCompletionTime(Dates!T10,Dates!T11)</f>
        <v>0</v>
      </c>
      <c r="U2" s="7">
        <f>averageCompletionTime(Dates!C10,Dates!T11)</f>
        <v>0</v>
      </c>
    </row>
    <row r="3" spans="1:21" x14ac:dyDescent="0.3">
      <c r="A3" s="10" t="s">
        <v>141</v>
      </c>
      <c r="B3" s="12">
        <v>3</v>
      </c>
      <c r="C3" s="7">
        <f>averageCompletionTimePorter(Dates!C$10,Dates!C$11,'Day4'!$B3)</f>
        <v>0</v>
      </c>
      <c r="D3" s="7">
        <f>averageCompletionTimePorter(Dates!D$10,Dates!D$11,'Day4'!$B3)</f>
        <v>0</v>
      </c>
      <c r="E3" s="7">
        <f>averageCompletionTimePorter(Dates!E$10,Dates!E$11,'Day4'!$B3)</f>
        <v>0</v>
      </c>
      <c r="F3" s="7">
        <f>averageCompletionTimePorter(Dates!F$10,Dates!F$11,'Day4'!$B3)</f>
        <v>0</v>
      </c>
      <c r="G3" s="7">
        <f>averageCompletionTimePorter(Dates!G$10,Dates!G$11,'Day4'!$B3)</f>
        <v>0</v>
      </c>
      <c r="H3" s="7">
        <f>averageCompletionTimePorter(Dates!H$10,Dates!H$11,'Day4'!$B3)</f>
        <v>0</v>
      </c>
      <c r="I3" s="7">
        <f>averageCompletionTimePorter(Dates!I$10,Dates!I$11,'Day4'!$B3)</f>
        <v>0</v>
      </c>
      <c r="J3" s="7">
        <f>averageCompletionTimePorter(Dates!J$10,Dates!J$11,'Day4'!$B3)</f>
        <v>0</v>
      </c>
      <c r="K3" s="7">
        <f>averageCompletionTimePorter(Dates!K$10,Dates!K$11,'Day4'!$B3)</f>
        <v>0</v>
      </c>
      <c r="L3" s="7">
        <f>averageCompletionTimePorter(Dates!L$10,Dates!L$11,'Day4'!$B3)</f>
        <v>0</v>
      </c>
      <c r="M3" s="7">
        <f>averageCompletionTimePorter(Dates!M$10,Dates!M$11,'Day4'!$B3)</f>
        <v>0</v>
      </c>
      <c r="N3" s="7">
        <f>averageCompletionTimePorter(Dates!N$10,Dates!N$11,'Day4'!$B3)</f>
        <v>0</v>
      </c>
      <c r="O3" s="7">
        <f>averageCompletionTimePorter(Dates!O$10,Dates!O$11,'Day4'!$B3)</f>
        <v>0</v>
      </c>
      <c r="P3" s="7">
        <f>averageCompletionTimePorter(Dates!P$10,Dates!P$11,'Day4'!$B3)</f>
        <v>0</v>
      </c>
      <c r="Q3" s="7">
        <f>averageCompletionTimePorter(Dates!Q$10,Dates!Q$11,'Day4'!$B3)</f>
        <v>0</v>
      </c>
      <c r="R3" s="7">
        <f>averageCompletionTimePorter(Dates!R$10,Dates!R$11,'Day4'!$B3)</f>
        <v>0</v>
      </c>
      <c r="S3" s="7">
        <f>averageCompletionTimePorter(Dates!S$10,Dates!S$11,'Day4'!$B3)</f>
        <v>0</v>
      </c>
      <c r="T3" s="7">
        <f>averageCompletionTimePorter(Dates!T$10,Dates!T$11,'Day4'!$B3)</f>
        <v>0</v>
      </c>
      <c r="U3" s="7">
        <f>averageCompletionTimePorter(Dates!$C$10,Dates!$T$11,'Day4'!$B3)</f>
        <v>0</v>
      </c>
    </row>
    <row r="4" spans="1:21" x14ac:dyDescent="0.3">
      <c r="A4" s="10"/>
      <c r="B4" s="12">
        <v>2</v>
      </c>
      <c r="C4" s="7">
        <f>averageCompletionTimePorter(Dates!C$10,Dates!C$11,'Day4'!$B4)</f>
        <v>0</v>
      </c>
      <c r="D4" s="7">
        <f>averageCompletionTimePorter(Dates!D$10,Dates!D$11,'Day4'!$B4)</f>
        <v>0</v>
      </c>
      <c r="E4" s="7">
        <f>averageCompletionTimePorter(Dates!E$10,Dates!E$11,'Day4'!$B4)</f>
        <v>0</v>
      </c>
      <c r="F4" s="7">
        <f>averageCompletionTimePorter(Dates!F$10,Dates!F$11,'Day4'!$B4)</f>
        <v>0</v>
      </c>
      <c r="G4" s="7">
        <f>averageCompletionTimePorter(Dates!G$10,Dates!G$11,'Day4'!$B4)</f>
        <v>0</v>
      </c>
      <c r="H4" s="7">
        <f>averageCompletionTimePorter(Dates!H$10,Dates!H$11,'Day4'!$B4)</f>
        <v>0</v>
      </c>
      <c r="I4" s="7">
        <f>averageCompletionTimePorter(Dates!I$10,Dates!I$11,'Day4'!$B4)</f>
        <v>0</v>
      </c>
      <c r="J4" s="7">
        <f>averageCompletionTimePorter(Dates!J$10,Dates!J$11,'Day4'!$B4)</f>
        <v>0</v>
      </c>
      <c r="K4" s="7">
        <f>averageCompletionTimePorter(Dates!K$10,Dates!K$11,'Day4'!$B4)</f>
        <v>0</v>
      </c>
      <c r="L4" s="7">
        <f>averageCompletionTimePorter(Dates!L$10,Dates!L$11,'Day4'!$B4)</f>
        <v>0</v>
      </c>
      <c r="M4" s="7">
        <f>averageCompletionTimePorter(Dates!M$10,Dates!M$11,'Day4'!$B4)</f>
        <v>0</v>
      </c>
      <c r="N4" s="7">
        <f>averageCompletionTimePorter(Dates!N$10,Dates!N$11,'Day4'!$B4)</f>
        <v>0</v>
      </c>
      <c r="O4" s="7">
        <f>averageCompletionTimePorter(Dates!O$10,Dates!O$11,'Day4'!$B4)</f>
        <v>0</v>
      </c>
      <c r="P4" s="7">
        <f>averageCompletionTimePorter(Dates!P$10,Dates!P$11,'Day4'!$B4)</f>
        <v>0</v>
      </c>
      <c r="Q4" s="7">
        <f>averageCompletionTimePorter(Dates!Q$10,Dates!Q$11,'Day4'!$B4)</f>
        <v>0</v>
      </c>
      <c r="R4" s="7">
        <f>averageCompletionTimePorter(Dates!R$10,Dates!R$11,'Day4'!$B4)</f>
        <v>0</v>
      </c>
      <c r="S4" s="7">
        <f>averageCompletionTimePorter(Dates!S$10,Dates!S$11,'Day4'!$B4)</f>
        <v>0</v>
      </c>
      <c r="T4" s="7">
        <f>averageCompletionTimePorter(Dates!T$10,Dates!T$11,'Day4'!$B4)</f>
        <v>0</v>
      </c>
      <c r="U4" s="7">
        <f>averageCompletionTimePorter(Dates!$C$10,Dates!$T$11,'Day4'!$B4)</f>
        <v>0</v>
      </c>
    </row>
    <row r="5" spans="1:21" x14ac:dyDescent="0.3">
      <c r="A5" s="10"/>
      <c r="B5" s="12">
        <v>5</v>
      </c>
      <c r="C5" s="7">
        <f>averageCompletionTimePorter(Dates!C$10,Dates!C$11,'Day4'!$B5)</f>
        <v>0</v>
      </c>
      <c r="D5" s="7">
        <f>averageCompletionTimePorter(Dates!D$10,Dates!D$11,'Day4'!$B5)</f>
        <v>0</v>
      </c>
      <c r="E5" s="7">
        <f>averageCompletionTimePorter(Dates!E$10,Dates!E$11,'Day4'!$B5)</f>
        <v>0</v>
      </c>
      <c r="F5" s="7">
        <f>averageCompletionTimePorter(Dates!F$10,Dates!F$11,'Day4'!$B5)</f>
        <v>0</v>
      </c>
      <c r="G5" s="7">
        <f>averageCompletionTimePorter(Dates!G$10,Dates!G$11,'Day4'!$B5)</f>
        <v>0</v>
      </c>
      <c r="H5" s="7">
        <f>averageCompletionTimePorter(Dates!H$10,Dates!H$11,'Day4'!$B5)</f>
        <v>0</v>
      </c>
      <c r="I5" s="7">
        <f>averageCompletionTimePorter(Dates!I$10,Dates!I$11,'Day4'!$B5)</f>
        <v>0</v>
      </c>
      <c r="J5" s="7">
        <f>averageCompletionTimePorter(Dates!J$10,Dates!J$11,'Day4'!$B5)</f>
        <v>0</v>
      </c>
      <c r="K5" s="7">
        <f>averageCompletionTimePorter(Dates!K$10,Dates!K$11,'Day4'!$B5)</f>
        <v>0</v>
      </c>
      <c r="L5" s="7">
        <f>averageCompletionTimePorter(Dates!L$10,Dates!L$11,'Day4'!$B5)</f>
        <v>0</v>
      </c>
      <c r="M5" s="7">
        <f>averageCompletionTimePorter(Dates!M$10,Dates!M$11,'Day4'!$B5)</f>
        <v>0</v>
      </c>
      <c r="N5" s="7">
        <f>averageCompletionTimePorter(Dates!N$10,Dates!N$11,'Day4'!$B5)</f>
        <v>0</v>
      </c>
      <c r="O5" s="7">
        <f>averageCompletionTimePorter(Dates!O$10,Dates!O$11,'Day4'!$B5)</f>
        <v>0</v>
      </c>
      <c r="P5" s="7">
        <f>averageCompletionTimePorter(Dates!P$10,Dates!P$11,'Day4'!$B5)</f>
        <v>0</v>
      </c>
      <c r="Q5" s="7">
        <f>averageCompletionTimePorter(Dates!Q$10,Dates!Q$11,'Day4'!$B5)</f>
        <v>0</v>
      </c>
      <c r="R5" s="7">
        <f>averageCompletionTimePorter(Dates!R$10,Dates!R$11,'Day4'!$B5)</f>
        <v>0</v>
      </c>
      <c r="S5" s="7">
        <f>averageCompletionTimePorter(Dates!S$10,Dates!S$11,'Day4'!$B5)</f>
        <v>0</v>
      </c>
      <c r="T5" s="7">
        <f>averageCompletionTimePorter(Dates!T$10,Dates!T$11,'Day4'!$B5)</f>
        <v>0</v>
      </c>
      <c r="U5" s="7">
        <f>averageCompletionTimePorter(Dates!$C$10,Dates!$T$11,'Day4'!$B5)</f>
        <v>0</v>
      </c>
    </row>
    <row r="6" spans="1:21" x14ac:dyDescent="0.3">
      <c r="A6" s="10"/>
      <c r="B6" s="12">
        <v>0</v>
      </c>
      <c r="C6" s="7">
        <f>averageCompletionTimePorter(Dates!C$10,Dates!C$11,'Day4'!$B6)</f>
        <v>0</v>
      </c>
      <c r="D6" s="7">
        <f>averageCompletionTimePorter(Dates!D$10,Dates!D$11,'Day4'!$B6)</f>
        <v>0</v>
      </c>
      <c r="E6" s="7">
        <f>averageCompletionTimePorter(Dates!E$10,Dates!E$11,'Day4'!$B6)</f>
        <v>0</v>
      </c>
      <c r="F6" s="7">
        <f>averageCompletionTimePorter(Dates!F$10,Dates!F$11,'Day4'!$B6)</f>
        <v>0</v>
      </c>
      <c r="G6" s="7">
        <f>averageCompletionTimePorter(Dates!G$10,Dates!G$11,'Day4'!$B6)</f>
        <v>0</v>
      </c>
      <c r="H6" s="7">
        <f>averageCompletionTimePorter(Dates!H$10,Dates!H$11,'Day4'!$B6)</f>
        <v>0</v>
      </c>
      <c r="I6" s="7">
        <f>averageCompletionTimePorter(Dates!I$10,Dates!I$11,'Day4'!$B6)</f>
        <v>0</v>
      </c>
      <c r="J6" s="7">
        <f>averageCompletionTimePorter(Dates!J$10,Dates!J$11,'Day4'!$B6)</f>
        <v>0</v>
      </c>
      <c r="K6" s="7">
        <f>averageCompletionTimePorter(Dates!K$10,Dates!K$11,'Day4'!$B6)</f>
        <v>0</v>
      </c>
      <c r="L6" s="7">
        <f>averageCompletionTimePorter(Dates!L$10,Dates!L$11,'Day4'!$B6)</f>
        <v>0</v>
      </c>
      <c r="M6" s="7">
        <f>averageCompletionTimePorter(Dates!M$10,Dates!M$11,'Day4'!$B6)</f>
        <v>0</v>
      </c>
      <c r="N6" s="7">
        <f>averageCompletionTimePorter(Dates!N$10,Dates!N$11,'Day4'!$B6)</f>
        <v>0</v>
      </c>
      <c r="O6" s="7">
        <f>averageCompletionTimePorter(Dates!O$10,Dates!O$11,'Day4'!$B6)</f>
        <v>0</v>
      </c>
      <c r="P6" s="7">
        <f>averageCompletionTimePorter(Dates!P$10,Dates!P$11,'Day4'!$B6)</f>
        <v>0</v>
      </c>
      <c r="Q6" s="7">
        <f>averageCompletionTimePorter(Dates!Q$10,Dates!Q$11,'Day4'!$B6)</f>
        <v>0</v>
      </c>
      <c r="R6" s="7">
        <f>averageCompletionTimePorter(Dates!R$10,Dates!R$11,'Day4'!$B6)</f>
        <v>0</v>
      </c>
      <c r="S6" s="7">
        <f>averageCompletionTimePorter(Dates!S$10,Dates!S$11,'Day4'!$B6)</f>
        <v>0</v>
      </c>
      <c r="T6" s="7">
        <f>averageCompletionTimePorter(Dates!T$10,Dates!T$11,'Day4'!$B6)</f>
        <v>0</v>
      </c>
      <c r="U6" s="7">
        <f>averageCompletionTimePorter(Dates!$C$10,Dates!$T$11,'Day4'!$B6)</f>
        <v>0</v>
      </c>
    </row>
    <row r="7" spans="1:21" x14ac:dyDescent="0.3">
      <c r="A7" s="10"/>
      <c r="B7" s="12">
        <v>4</v>
      </c>
      <c r="C7" s="7">
        <f>averageCompletionTimePorter(Dates!C$10,Dates!C$11,'Day4'!$B7)</f>
        <v>0</v>
      </c>
      <c r="D7" s="7">
        <f>averageCompletionTimePorter(Dates!D$10,Dates!D$11,'Day4'!$B7)</f>
        <v>0</v>
      </c>
      <c r="E7" s="7">
        <f>averageCompletionTimePorter(Dates!E$10,Dates!E$11,'Day4'!$B7)</f>
        <v>0</v>
      </c>
      <c r="F7" s="7">
        <f>averageCompletionTimePorter(Dates!F$10,Dates!F$11,'Day4'!$B7)</f>
        <v>0</v>
      </c>
      <c r="G7" s="7">
        <f>averageCompletionTimePorter(Dates!G$10,Dates!G$11,'Day4'!$B7)</f>
        <v>0</v>
      </c>
      <c r="H7" s="7">
        <f>averageCompletionTimePorter(Dates!H$10,Dates!H$11,'Day4'!$B7)</f>
        <v>0</v>
      </c>
      <c r="I7" s="7">
        <f>averageCompletionTimePorter(Dates!I$10,Dates!I$11,'Day4'!$B7)</f>
        <v>0</v>
      </c>
      <c r="J7" s="7">
        <f>averageCompletionTimePorter(Dates!J$10,Dates!J$11,'Day4'!$B7)</f>
        <v>0</v>
      </c>
      <c r="K7" s="7">
        <f>averageCompletionTimePorter(Dates!K$10,Dates!K$11,'Day4'!$B7)</f>
        <v>0</v>
      </c>
      <c r="L7" s="7">
        <f>averageCompletionTimePorter(Dates!L$10,Dates!L$11,'Day4'!$B7)</f>
        <v>0</v>
      </c>
      <c r="M7" s="7">
        <f>averageCompletionTimePorter(Dates!M$10,Dates!M$11,'Day4'!$B7)</f>
        <v>0</v>
      </c>
      <c r="N7" s="7">
        <f>averageCompletionTimePorter(Dates!N$10,Dates!N$11,'Day4'!$B7)</f>
        <v>0</v>
      </c>
      <c r="O7" s="7">
        <f>averageCompletionTimePorter(Dates!O$10,Dates!O$11,'Day4'!$B7)</f>
        <v>0</v>
      </c>
      <c r="P7" s="7">
        <f>averageCompletionTimePorter(Dates!P$10,Dates!P$11,'Day4'!$B7)</f>
        <v>0</v>
      </c>
      <c r="Q7" s="7">
        <f>averageCompletionTimePorter(Dates!Q$10,Dates!Q$11,'Day4'!$B7)</f>
        <v>0</v>
      </c>
      <c r="R7" s="7">
        <f>averageCompletionTimePorter(Dates!R$10,Dates!R$11,'Day4'!$B7)</f>
        <v>0</v>
      </c>
      <c r="S7" s="7">
        <f>averageCompletionTimePorter(Dates!S$10,Dates!S$11,'Day4'!$B7)</f>
        <v>0</v>
      </c>
      <c r="T7" s="7">
        <f>averageCompletionTimePorter(Dates!T$10,Dates!T$11,'Day4'!$B7)</f>
        <v>0</v>
      </c>
      <c r="U7" s="7">
        <f>averageCompletionTimePorter(Dates!$C$10,Dates!$T$11,'Day4'!$B7)</f>
        <v>0</v>
      </c>
    </row>
    <row r="8" spans="1:21" x14ac:dyDescent="0.3">
      <c r="A8" s="10"/>
      <c r="B8" s="12">
        <v>8</v>
      </c>
      <c r="C8" s="7">
        <f>averageCompletionTimePorter(Dates!C$10,Dates!C$11,'Day4'!$B8)</f>
        <v>0</v>
      </c>
      <c r="D8" s="7">
        <f>averageCompletionTimePorter(Dates!D$10,Dates!D$11,'Day4'!$B8)</f>
        <v>0</v>
      </c>
      <c r="E8" s="7">
        <f>averageCompletionTimePorter(Dates!E$10,Dates!E$11,'Day4'!$B8)</f>
        <v>0</v>
      </c>
      <c r="F8" s="7">
        <f>averageCompletionTimePorter(Dates!F$10,Dates!F$11,'Day4'!$B8)</f>
        <v>0</v>
      </c>
      <c r="G8" s="7">
        <f>averageCompletionTimePorter(Dates!G$10,Dates!G$11,'Day4'!$B8)</f>
        <v>0</v>
      </c>
      <c r="H8" s="7">
        <f>averageCompletionTimePorter(Dates!H$10,Dates!H$11,'Day4'!$B8)</f>
        <v>0</v>
      </c>
      <c r="I8" s="7">
        <f>averageCompletionTimePorter(Dates!I$10,Dates!I$11,'Day4'!$B8)</f>
        <v>0</v>
      </c>
      <c r="J8" s="7">
        <f>averageCompletionTimePorter(Dates!J$10,Dates!J$11,'Day4'!$B8)</f>
        <v>0</v>
      </c>
      <c r="K8" s="7">
        <f>averageCompletionTimePorter(Dates!K$10,Dates!K$11,'Day4'!$B8)</f>
        <v>0</v>
      </c>
      <c r="L8" s="7">
        <f>averageCompletionTimePorter(Dates!L$10,Dates!L$11,'Day4'!$B8)</f>
        <v>0</v>
      </c>
      <c r="M8" s="7">
        <f>averageCompletionTimePorter(Dates!M$10,Dates!M$11,'Day4'!$B8)</f>
        <v>0</v>
      </c>
      <c r="N8" s="7">
        <f>averageCompletionTimePorter(Dates!N$10,Dates!N$11,'Day4'!$B8)</f>
        <v>0</v>
      </c>
      <c r="O8" s="7">
        <f>averageCompletionTimePorter(Dates!O$10,Dates!O$11,'Day4'!$B8)</f>
        <v>0</v>
      </c>
      <c r="P8" s="7">
        <f>averageCompletionTimePorter(Dates!P$10,Dates!P$11,'Day4'!$B8)</f>
        <v>0</v>
      </c>
      <c r="Q8" s="7">
        <f>averageCompletionTimePorter(Dates!Q$10,Dates!Q$11,'Day4'!$B8)</f>
        <v>0</v>
      </c>
      <c r="R8" s="7">
        <f>averageCompletionTimePorter(Dates!R$10,Dates!R$11,'Day4'!$B8)</f>
        <v>0</v>
      </c>
      <c r="S8" s="7">
        <f>averageCompletionTimePorter(Dates!S$10,Dates!S$11,'Day4'!$B8)</f>
        <v>0</v>
      </c>
      <c r="T8" s="7">
        <f>averageCompletionTimePorter(Dates!T$10,Dates!T$11,'Day4'!$B8)</f>
        <v>0</v>
      </c>
      <c r="U8" s="7">
        <f>averageCompletionTimePorter(Dates!$C$10,Dates!$T$11,'Day4'!$B8)</f>
        <v>0</v>
      </c>
    </row>
    <row r="9" spans="1:21" x14ac:dyDescent="0.3">
      <c r="A9" s="10"/>
      <c r="B9" s="12">
        <v>6</v>
      </c>
      <c r="C9" s="7">
        <f>averageCompletionTimePorter(Dates!C$10,Dates!C$11,'Day4'!$B9)</f>
        <v>0</v>
      </c>
      <c r="D9" s="7">
        <f>averageCompletionTimePorter(Dates!D$10,Dates!D$11,'Day4'!$B9)</f>
        <v>0</v>
      </c>
      <c r="E9" s="7">
        <f>averageCompletionTimePorter(Dates!E$10,Dates!E$11,'Day4'!$B9)</f>
        <v>0</v>
      </c>
      <c r="F9" s="7">
        <f>averageCompletionTimePorter(Dates!F$10,Dates!F$11,'Day4'!$B9)</f>
        <v>0</v>
      </c>
      <c r="G9" s="7">
        <f>averageCompletionTimePorter(Dates!G$10,Dates!G$11,'Day4'!$B9)</f>
        <v>0</v>
      </c>
      <c r="H9" s="7">
        <f>averageCompletionTimePorter(Dates!H$10,Dates!H$11,'Day4'!$B9)</f>
        <v>0</v>
      </c>
      <c r="I9" s="7">
        <f>averageCompletionTimePorter(Dates!I$10,Dates!I$11,'Day4'!$B9)</f>
        <v>0</v>
      </c>
      <c r="J9" s="7">
        <f>averageCompletionTimePorter(Dates!J$10,Dates!J$11,'Day4'!$B9)</f>
        <v>0</v>
      </c>
      <c r="K9" s="7">
        <f>averageCompletionTimePorter(Dates!K$10,Dates!K$11,'Day4'!$B9)</f>
        <v>0</v>
      </c>
      <c r="L9" s="7">
        <f>averageCompletionTimePorter(Dates!L$10,Dates!L$11,'Day4'!$B9)</f>
        <v>0</v>
      </c>
      <c r="M9" s="7">
        <f>averageCompletionTimePorter(Dates!M$10,Dates!M$11,'Day4'!$B9)</f>
        <v>0</v>
      </c>
      <c r="N9" s="7">
        <f>averageCompletionTimePorter(Dates!N$10,Dates!N$11,'Day4'!$B9)</f>
        <v>0</v>
      </c>
      <c r="O9" s="7">
        <f>averageCompletionTimePorter(Dates!O$10,Dates!O$11,'Day4'!$B9)</f>
        <v>0</v>
      </c>
      <c r="P9" s="7">
        <f>averageCompletionTimePorter(Dates!P$10,Dates!P$11,'Day4'!$B9)</f>
        <v>0</v>
      </c>
      <c r="Q9" s="7">
        <f>averageCompletionTimePorter(Dates!Q$10,Dates!Q$11,'Day4'!$B9)</f>
        <v>0</v>
      </c>
      <c r="R9" s="7">
        <f>averageCompletionTimePorter(Dates!R$10,Dates!R$11,'Day4'!$B9)</f>
        <v>0</v>
      </c>
      <c r="S9" s="7">
        <f>averageCompletionTimePorter(Dates!S$10,Dates!S$11,'Day4'!$B9)</f>
        <v>0</v>
      </c>
      <c r="T9" s="7">
        <f>averageCompletionTimePorter(Dates!T$10,Dates!T$11,'Day4'!$B9)</f>
        <v>0</v>
      </c>
      <c r="U9" s="7">
        <f>averageCompletionTimePorter(Dates!$C$10,Dates!$T$11,'Day4'!$B9)</f>
        <v>0</v>
      </c>
    </row>
    <row r="10" spans="1:21" x14ac:dyDescent="0.3">
      <c r="A10" s="10"/>
      <c r="B10" s="12">
        <v>1</v>
      </c>
      <c r="C10" s="7">
        <f>averageCompletionTimePorter(Dates!C$10,Dates!C$11,'Day4'!$B10)</f>
        <v>0</v>
      </c>
      <c r="D10" s="7">
        <f>averageCompletionTimePorter(Dates!D$10,Dates!D$11,'Day4'!$B10)</f>
        <v>0</v>
      </c>
      <c r="E10" s="7">
        <f>averageCompletionTimePorter(Dates!E$10,Dates!E$11,'Day4'!$B10)</f>
        <v>0</v>
      </c>
      <c r="F10" s="7">
        <f>averageCompletionTimePorter(Dates!F$10,Dates!F$11,'Day4'!$B10)</f>
        <v>0</v>
      </c>
      <c r="G10" s="7">
        <f>averageCompletionTimePorter(Dates!G$10,Dates!G$11,'Day4'!$B10)</f>
        <v>0</v>
      </c>
      <c r="H10" s="7">
        <f>averageCompletionTimePorter(Dates!H$10,Dates!H$11,'Day4'!$B10)</f>
        <v>0</v>
      </c>
      <c r="I10" s="7">
        <f>averageCompletionTimePorter(Dates!I$10,Dates!I$11,'Day4'!$B10)</f>
        <v>0</v>
      </c>
      <c r="J10" s="7">
        <f>averageCompletionTimePorter(Dates!J$10,Dates!J$11,'Day4'!$B10)</f>
        <v>0</v>
      </c>
      <c r="K10" s="7">
        <f>averageCompletionTimePorter(Dates!K$10,Dates!K$11,'Day4'!$B10)</f>
        <v>0</v>
      </c>
      <c r="L10" s="7">
        <f>averageCompletionTimePorter(Dates!L$10,Dates!L$11,'Day4'!$B10)</f>
        <v>0</v>
      </c>
      <c r="M10" s="7">
        <f>averageCompletionTimePorter(Dates!M$10,Dates!M$11,'Day4'!$B10)</f>
        <v>0</v>
      </c>
      <c r="N10" s="7">
        <f>averageCompletionTimePorter(Dates!N$10,Dates!N$11,'Day4'!$B10)</f>
        <v>0</v>
      </c>
      <c r="O10" s="7">
        <f>averageCompletionTimePorter(Dates!O$10,Dates!O$11,'Day4'!$B10)</f>
        <v>0</v>
      </c>
      <c r="P10" s="7">
        <f>averageCompletionTimePorter(Dates!P$10,Dates!P$11,'Day4'!$B10)</f>
        <v>0</v>
      </c>
      <c r="Q10" s="7">
        <f>averageCompletionTimePorter(Dates!Q$10,Dates!Q$11,'Day4'!$B10)</f>
        <v>0</v>
      </c>
      <c r="R10" s="7">
        <f>averageCompletionTimePorter(Dates!R$10,Dates!R$11,'Day4'!$B10)</f>
        <v>0</v>
      </c>
      <c r="S10" s="7">
        <f>averageCompletionTimePorter(Dates!S$10,Dates!S$11,'Day4'!$B10)</f>
        <v>0</v>
      </c>
      <c r="T10" s="7">
        <f>averageCompletionTimePorter(Dates!T$10,Dates!T$11,'Day4'!$B10)</f>
        <v>0</v>
      </c>
      <c r="U10" s="7">
        <f>averageCompletionTimePorter(Dates!$C$10,Dates!$T$11,'Day4'!$B10)</f>
        <v>0</v>
      </c>
    </row>
    <row r="11" spans="1:21" x14ac:dyDescent="0.3">
      <c r="A11" s="10"/>
      <c r="B11" s="12">
        <v>10</v>
      </c>
      <c r="C11" s="7">
        <f>averageCompletionTimePorter(Dates!C$10,Dates!C$11,'Day4'!$B11)</f>
        <v>0</v>
      </c>
      <c r="D11" s="7">
        <f>averageCompletionTimePorter(Dates!D$10,Dates!D$11,'Day4'!$B11)</f>
        <v>0</v>
      </c>
      <c r="E11" s="7">
        <f>averageCompletionTimePorter(Dates!E$10,Dates!E$11,'Day4'!$B11)</f>
        <v>0</v>
      </c>
      <c r="F11" s="7">
        <f>averageCompletionTimePorter(Dates!F$10,Dates!F$11,'Day4'!$B11)</f>
        <v>0</v>
      </c>
      <c r="G11" s="7">
        <f>averageCompletionTimePorter(Dates!G$10,Dates!G$11,'Day4'!$B11)</f>
        <v>0</v>
      </c>
      <c r="H11" s="7">
        <f>averageCompletionTimePorter(Dates!H$10,Dates!H$11,'Day4'!$B11)</f>
        <v>0</v>
      </c>
      <c r="I11" s="7">
        <f>averageCompletionTimePorter(Dates!I$10,Dates!I$11,'Day4'!$B11)</f>
        <v>0</v>
      </c>
      <c r="J11" s="7">
        <f>averageCompletionTimePorter(Dates!J$10,Dates!J$11,'Day4'!$B11)</f>
        <v>0</v>
      </c>
      <c r="K11" s="7">
        <f>averageCompletionTimePorter(Dates!K$10,Dates!K$11,'Day4'!$B11)</f>
        <v>0</v>
      </c>
      <c r="L11" s="7">
        <f>averageCompletionTimePorter(Dates!L$10,Dates!L$11,'Day4'!$B11)</f>
        <v>0</v>
      </c>
      <c r="M11" s="7">
        <f>averageCompletionTimePorter(Dates!M$10,Dates!M$11,'Day4'!$B11)</f>
        <v>0</v>
      </c>
      <c r="N11" s="7">
        <f>averageCompletionTimePorter(Dates!N$10,Dates!N$11,'Day4'!$B11)</f>
        <v>0</v>
      </c>
      <c r="O11" s="7">
        <f>averageCompletionTimePorter(Dates!O$10,Dates!O$11,'Day4'!$B11)</f>
        <v>0</v>
      </c>
      <c r="P11" s="7">
        <f>averageCompletionTimePorter(Dates!P$10,Dates!P$11,'Day4'!$B11)</f>
        <v>0</v>
      </c>
      <c r="Q11" s="7">
        <f>averageCompletionTimePorter(Dates!Q$10,Dates!Q$11,'Day4'!$B11)</f>
        <v>0</v>
      </c>
      <c r="R11" s="7">
        <f>averageCompletionTimePorter(Dates!R$10,Dates!R$11,'Day4'!$B11)</f>
        <v>0</v>
      </c>
      <c r="S11" s="7">
        <f>averageCompletionTimePorter(Dates!S$10,Dates!S$11,'Day4'!$B11)</f>
        <v>0</v>
      </c>
      <c r="T11" s="7">
        <f>averageCompletionTimePorter(Dates!T$10,Dates!T$11,'Day4'!$B11)</f>
        <v>0</v>
      </c>
      <c r="U11" s="7">
        <f>averageCompletionTimePorter(Dates!$C$10,Dates!$T$11,'Day4'!$B11)</f>
        <v>0</v>
      </c>
    </row>
    <row r="12" spans="1:21" x14ac:dyDescent="0.3">
      <c r="A12" s="10"/>
      <c r="B12" s="12">
        <v>9</v>
      </c>
      <c r="C12" s="7">
        <f>averageCompletionTimePorter(Dates!C$10,Dates!C$11,'Day4'!$B12)</f>
        <v>0</v>
      </c>
      <c r="D12" s="7">
        <f>averageCompletionTimePorter(Dates!D$10,Dates!D$11,'Day4'!$B12)</f>
        <v>0</v>
      </c>
      <c r="E12" s="7">
        <f>averageCompletionTimePorter(Dates!E$10,Dates!E$11,'Day4'!$B12)</f>
        <v>0</v>
      </c>
      <c r="F12" s="7">
        <f>averageCompletionTimePorter(Dates!F$10,Dates!F$11,'Day4'!$B12)</f>
        <v>0</v>
      </c>
      <c r="G12" s="7">
        <f>averageCompletionTimePorter(Dates!G$10,Dates!G$11,'Day4'!$B12)</f>
        <v>0</v>
      </c>
      <c r="H12" s="7">
        <f>averageCompletionTimePorter(Dates!H$10,Dates!H$11,'Day4'!$B12)</f>
        <v>0</v>
      </c>
      <c r="I12" s="7">
        <f>averageCompletionTimePorter(Dates!I$10,Dates!I$11,'Day4'!$B12)</f>
        <v>0</v>
      </c>
      <c r="J12" s="7">
        <f>averageCompletionTimePorter(Dates!J$10,Dates!J$11,'Day4'!$B12)</f>
        <v>0</v>
      </c>
      <c r="K12" s="7">
        <f>averageCompletionTimePorter(Dates!K$10,Dates!K$11,'Day4'!$B12)</f>
        <v>0</v>
      </c>
      <c r="L12" s="7">
        <f>averageCompletionTimePorter(Dates!L$10,Dates!L$11,'Day4'!$B12)</f>
        <v>0</v>
      </c>
      <c r="M12" s="7">
        <f>averageCompletionTimePorter(Dates!M$10,Dates!M$11,'Day4'!$B12)</f>
        <v>0</v>
      </c>
      <c r="N12" s="7">
        <f>averageCompletionTimePorter(Dates!N$10,Dates!N$11,'Day4'!$B12)</f>
        <v>0</v>
      </c>
      <c r="O12" s="7">
        <f>averageCompletionTimePorter(Dates!O$10,Dates!O$11,'Day4'!$B12)</f>
        <v>0</v>
      </c>
      <c r="P12" s="7">
        <f>averageCompletionTimePorter(Dates!P$10,Dates!P$11,'Day4'!$B12)</f>
        <v>0</v>
      </c>
      <c r="Q12" s="7">
        <f>averageCompletionTimePorter(Dates!Q$10,Dates!Q$11,'Day4'!$B12)</f>
        <v>0</v>
      </c>
      <c r="R12" s="7">
        <f>averageCompletionTimePorter(Dates!R$10,Dates!R$11,'Day4'!$B12)</f>
        <v>0</v>
      </c>
      <c r="S12" s="7">
        <f>averageCompletionTimePorter(Dates!S$10,Dates!S$11,'Day4'!$B12)</f>
        <v>0</v>
      </c>
      <c r="T12" s="7">
        <f>averageCompletionTimePorter(Dates!T$10,Dates!T$11,'Day4'!$B12)</f>
        <v>0</v>
      </c>
      <c r="U12" s="7">
        <f>averageCompletionTimePorter(Dates!$C$10,Dates!$T$11,'Day4'!$B12)</f>
        <v>0</v>
      </c>
    </row>
    <row r="13" spans="1:21" x14ac:dyDescent="0.3">
      <c r="A13" s="10"/>
      <c r="B13" s="12">
        <v>7</v>
      </c>
      <c r="C13" s="7">
        <f>averageCompletionTimePorter(Dates!C$10,Dates!C$11,'Day4'!$B13)</f>
        <v>0</v>
      </c>
      <c r="D13" s="7">
        <f>averageCompletionTimePorter(Dates!D$10,Dates!D$11,'Day4'!$B13)</f>
        <v>0</v>
      </c>
      <c r="E13" s="7">
        <f>averageCompletionTimePorter(Dates!E$10,Dates!E$11,'Day4'!$B13)</f>
        <v>0</v>
      </c>
      <c r="F13" s="7">
        <f>averageCompletionTimePorter(Dates!F$10,Dates!F$11,'Day4'!$B13)</f>
        <v>0</v>
      </c>
      <c r="G13" s="7">
        <f>averageCompletionTimePorter(Dates!G$10,Dates!G$11,'Day4'!$B13)</f>
        <v>0</v>
      </c>
      <c r="H13" s="7">
        <f>averageCompletionTimePorter(Dates!H$10,Dates!H$11,'Day4'!$B13)</f>
        <v>0</v>
      </c>
      <c r="I13" s="7">
        <f>averageCompletionTimePorter(Dates!I$10,Dates!I$11,'Day4'!$B13)</f>
        <v>0</v>
      </c>
      <c r="J13" s="7">
        <f>averageCompletionTimePorter(Dates!J$10,Dates!J$11,'Day4'!$B13)</f>
        <v>0</v>
      </c>
      <c r="K13" s="7">
        <f>averageCompletionTimePorter(Dates!K$10,Dates!K$11,'Day4'!$B13)</f>
        <v>0</v>
      </c>
      <c r="L13" s="7">
        <f>averageCompletionTimePorter(Dates!L$10,Dates!L$11,'Day4'!$B13)</f>
        <v>0</v>
      </c>
      <c r="M13" s="7">
        <f>averageCompletionTimePorter(Dates!M$10,Dates!M$11,'Day4'!$B13)</f>
        <v>0</v>
      </c>
      <c r="N13" s="7">
        <f>averageCompletionTimePorter(Dates!N$10,Dates!N$11,'Day4'!$B13)</f>
        <v>0</v>
      </c>
      <c r="O13" s="7">
        <f>averageCompletionTimePorter(Dates!O$10,Dates!O$11,'Day4'!$B13)</f>
        <v>0</v>
      </c>
      <c r="P13" s="7">
        <f>averageCompletionTimePorter(Dates!P$10,Dates!P$11,'Day4'!$B13)</f>
        <v>0</v>
      </c>
      <c r="Q13" s="7">
        <f>averageCompletionTimePorter(Dates!Q$10,Dates!Q$11,'Day4'!$B13)</f>
        <v>0</v>
      </c>
      <c r="R13" s="7">
        <f>averageCompletionTimePorter(Dates!R$10,Dates!R$11,'Day4'!$B13)</f>
        <v>0</v>
      </c>
      <c r="S13" s="7">
        <f>averageCompletionTimePorter(Dates!S$10,Dates!S$11,'Day4'!$B13)</f>
        <v>0</v>
      </c>
      <c r="T13" s="7">
        <f>averageCompletionTimePorter(Dates!T$10,Dates!T$11,'Day4'!$B13)</f>
        <v>0</v>
      </c>
      <c r="U13" s="7">
        <f>averageCompletionTimePorter(Dates!$C$10,Dates!$T$11,'Day4'!$B13)</f>
        <v>0</v>
      </c>
    </row>
    <row r="14" spans="1:21" x14ac:dyDescent="0.3">
      <c r="B14" s="12" t="s">
        <v>149</v>
      </c>
      <c r="C14" s="7">
        <f>averageCompletionTimePorter(Dates!C$10,Dates!C$11,'Day4'!$B14)</f>
        <v>0</v>
      </c>
      <c r="D14" s="7">
        <f>averageCompletionTimePorter(Dates!D$10,Dates!D$11,'Day4'!$B14)</f>
        <v>0</v>
      </c>
      <c r="E14" s="7">
        <f>averageCompletionTimePorter(Dates!E$10,Dates!E$11,'Day4'!$B14)</f>
        <v>0</v>
      </c>
      <c r="F14" s="7">
        <f>averageCompletionTimePorter(Dates!F$10,Dates!F$11,'Day4'!$B14)</f>
        <v>0</v>
      </c>
      <c r="G14" s="7">
        <f>averageCompletionTimePorter(Dates!G$10,Dates!G$11,'Day4'!$B14)</f>
        <v>0</v>
      </c>
      <c r="H14" s="7">
        <f>averageCompletionTimePorter(Dates!H$10,Dates!H$11,'Day4'!$B14)</f>
        <v>0</v>
      </c>
      <c r="I14" s="7">
        <f>averageCompletionTimePorter(Dates!I$10,Dates!I$11,'Day4'!$B14)</f>
        <v>0</v>
      </c>
      <c r="J14" s="7">
        <f>averageCompletionTimePorter(Dates!J$10,Dates!J$11,'Day4'!$B14)</f>
        <v>0</v>
      </c>
      <c r="K14" s="7">
        <f>averageCompletionTimePorter(Dates!K$10,Dates!K$11,'Day4'!$B14)</f>
        <v>0</v>
      </c>
      <c r="L14" s="7">
        <f>averageCompletionTimePorter(Dates!L$10,Dates!L$11,'Day4'!$B14)</f>
        <v>0</v>
      </c>
      <c r="M14" s="7">
        <f>averageCompletionTimePorter(Dates!M$10,Dates!M$11,'Day4'!$B14)</f>
        <v>0</v>
      </c>
      <c r="N14" s="7">
        <f>averageCompletionTimePorter(Dates!N$10,Dates!N$11,'Day4'!$B14)</f>
        <v>0</v>
      </c>
      <c r="O14" s="7">
        <f>averageCompletionTimePorter(Dates!O$10,Dates!O$11,'Day4'!$B14)</f>
        <v>0</v>
      </c>
      <c r="P14" s="7">
        <f>averageCompletionTimePorter(Dates!P$10,Dates!P$11,'Day4'!$B14)</f>
        <v>0</v>
      </c>
      <c r="Q14" s="7">
        <f>averageCompletionTimePorter(Dates!Q$10,Dates!Q$11,'Day4'!$B14)</f>
        <v>0</v>
      </c>
      <c r="R14" s="7">
        <f>averageCompletionTimePorter(Dates!R$10,Dates!R$11,'Day4'!$B14)</f>
        <v>0</v>
      </c>
      <c r="S14" s="7">
        <f>averageCompletionTimePorter(Dates!S$10,Dates!S$11,'Day4'!$B14)</f>
        <v>0</v>
      </c>
      <c r="T14" s="7">
        <f>averageCompletionTimePorter(Dates!T$10,Dates!T$11,'Day4'!$B14)</f>
        <v>0</v>
      </c>
      <c r="U14" s="7">
        <f>averageCompletionTimePorter(Dates!$C$10,Dates!$T$11,'Day4'!$B14)</f>
        <v>0</v>
      </c>
    </row>
    <row r="15" spans="1:21" x14ac:dyDescent="0.3">
      <c r="B15" s="12" t="s">
        <v>150</v>
      </c>
      <c r="C15" s="7">
        <f>averageCompletionTimePorter(Dates!C$10,Dates!C$11,'Day4'!$B15)</f>
        <v>0</v>
      </c>
      <c r="D15" s="7">
        <f>averageCompletionTimePorter(Dates!D$10,Dates!D$11,'Day4'!$B15)</f>
        <v>0</v>
      </c>
      <c r="E15" s="7">
        <f>averageCompletionTimePorter(Dates!E$10,Dates!E$11,'Day4'!$B15)</f>
        <v>0</v>
      </c>
      <c r="F15" s="7">
        <f>averageCompletionTimePorter(Dates!F$10,Dates!F$11,'Day4'!$B15)</f>
        <v>0</v>
      </c>
      <c r="G15" s="7">
        <f>averageCompletionTimePorter(Dates!G$10,Dates!G$11,'Day4'!$B15)</f>
        <v>0</v>
      </c>
      <c r="H15" s="7">
        <f>averageCompletionTimePorter(Dates!H$10,Dates!H$11,'Day4'!$B15)</f>
        <v>0</v>
      </c>
      <c r="I15" s="7">
        <f>averageCompletionTimePorter(Dates!I$10,Dates!I$11,'Day4'!$B15)</f>
        <v>0</v>
      </c>
      <c r="J15" s="7">
        <f>averageCompletionTimePorter(Dates!J$10,Dates!J$11,'Day4'!$B15)</f>
        <v>0</v>
      </c>
      <c r="K15" s="7">
        <f>averageCompletionTimePorter(Dates!K$10,Dates!K$11,'Day4'!$B15)</f>
        <v>0</v>
      </c>
      <c r="L15" s="7">
        <f>averageCompletionTimePorter(Dates!L$10,Dates!L$11,'Day4'!$B15)</f>
        <v>0</v>
      </c>
      <c r="M15" s="7">
        <f>averageCompletionTimePorter(Dates!M$10,Dates!M$11,'Day4'!$B15)</f>
        <v>0</v>
      </c>
      <c r="N15" s="7">
        <f>averageCompletionTimePorter(Dates!N$10,Dates!N$11,'Day4'!$B15)</f>
        <v>0</v>
      </c>
      <c r="O15" s="7">
        <f>averageCompletionTimePorter(Dates!O$10,Dates!O$11,'Day4'!$B15)</f>
        <v>0</v>
      </c>
      <c r="P15" s="7">
        <f>averageCompletionTimePorter(Dates!P$10,Dates!P$11,'Day4'!$B15)</f>
        <v>0</v>
      </c>
      <c r="Q15" s="7">
        <f>averageCompletionTimePorter(Dates!Q$10,Dates!Q$11,'Day4'!$B15)</f>
        <v>0</v>
      </c>
      <c r="R15" s="7">
        <f>averageCompletionTimePorter(Dates!R$10,Dates!R$11,'Day4'!$B15)</f>
        <v>0</v>
      </c>
      <c r="S15" s="7">
        <f>averageCompletionTimePorter(Dates!S$10,Dates!S$11,'Day4'!$B15)</f>
        <v>0</v>
      </c>
      <c r="T15" s="7">
        <f>averageCompletionTimePorter(Dates!T$10,Dates!T$11,'Day4'!$B15)</f>
        <v>0</v>
      </c>
      <c r="U15" s="7">
        <f>averageCompletionTimePorter(Dates!$C$10,Dates!$T$11,'Day4'!$B15)</f>
        <v>0</v>
      </c>
    </row>
    <row r="16" spans="1:21" x14ac:dyDescent="0.3">
      <c r="B16" s="12" t="s">
        <v>151</v>
      </c>
      <c r="C16" s="7">
        <f>averageCompletionTimePorter(Dates!C$10,Dates!C$11,'Day4'!$B16)</f>
        <v>0</v>
      </c>
      <c r="D16" s="7">
        <f>averageCompletionTimePorter(Dates!D$10,Dates!D$11,'Day4'!$B16)</f>
        <v>0</v>
      </c>
      <c r="E16" s="7">
        <f>averageCompletionTimePorter(Dates!E$10,Dates!E$11,'Day4'!$B16)</f>
        <v>0</v>
      </c>
      <c r="F16" s="7">
        <f>averageCompletionTimePorter(Dates!F$10,Dates!F$11,'Day4'!$B16)</f>
        <v>0</v>
      </c>
      <c r="G16" s="7">
        <f>averageCompletionTimePorter(Dates!G$10,Dates!G$11,'Day4'!$B16)</f>
        <v>0</v>
      </c>
      <c r="H16" s="7">
        <f>averageCompletionTimePorter(Dates!H$10,Dates!H$11,'Day4'!$B16)</f>
        <v>0</v>
      </c>
      <c r="I16" s="7">
        <f>averageCompletionTimePorter(Dates!I$10,Dates!I$11,'Day4'!$B16)</f>
        <v>0</v>
      </c>
      <c r="J16" s="7">
        <f>averageCompletionTimePorter(Dates!J$10,Dates!J$11,'Day4'!$B16)</f>
        <v>0</v>
      </c>
      <c r="K16" s="7">
        <f>averageCompletionTimePorter(Dates!K$10,Dates!K$11,'Day4'!$B16)</f>
        <v>0</v>
      </c>
      <c r="L16" s="7">
        <f>averageCompletionTimePorter(Dates!L$10,Dates!L$11,'Day4'!$B16)</f>
        <v>0</v>
      </c>
      <c r="M16" s="7">
        <f>averageCompletionTimePorter(Dates!M$10,Dates!M$11,'Day4'!$B16)</f>
        <v>0</v>
      </c>
      <c r="N16" s="7">
        <f>averageCompletionTimePorter(Dates!N$10,Dates!N$11,'Day4'!$B16)</f>
        <v>0</v>
      </c>
      <c r="O16" s="7">
        <f>averageCompletionTimePorter(Dates!O$10,Dates!O$11,'Day4'!$B16)</f>
        <v>0</v>
      </c>
      <c r="P16" s="7">
        <f>averageCompletionTimePorter(Dates!P$10,Dates!P$11,'Day4'!$B16)</f>
        <v>0</v>
      </c>
      <c r="Q16" s="7">
        <f>averageCompletionTimePorter(Dates!Q$10,Dates!Q$11,'Day4'!$B16)</f>
        <v>0</v>
      </c>
      <c r="R16" s="7">
        <f>averageCompletionTimePorter(Dates!R$10,Dates!R$11,'Day4'!$B16)</f>
        <v>0</v>
      </c>
      <c r="S16" s="7">
        <f>averageCompletionTimePorter(Dates!S$10,Dates!S$11,'Day4'!$B16)</f>
        <v>0</v>
      </c>
      <c r="T16" s="7">
        <f>averageCompletionTimePorter(Dates!T$10,Dates!T$11,'Day4'!$B16)</f>
        <v>0</v>
      </c>
      <c r="U16" s="7">
        <f>averageCompletionTimePorter(Dates!$C$10,Dates!$T$11,'Day4'!$B16)</f>
        <v>0</v>
      </c>
    </row>
    <row r="17" spans="2:21" x14ac:dyDescent="0.3">
      <c r="B17" s="12" t="s">
        <v>152</v>
      </c>
      <c r="C17" s="7">
        <f>averageCompletionTimePorter(Dates!C$10,Dates!C$11,'Day4'!$B17)</f>
        <v>0</v>
      </c>
      <c r="D17" s="7">
        <f>averageCompletionTimePorter(Dates!D$10,Dates!D$11,'Day4'!$B17)</f>
        <v>0</v>
      </c>
      <c r="E17" s="7">
        <f>averageCompletionTimePorter(Dates!E$10,Dates!E$11,'Day4'!$B17)</f>
        <v>0</v>
      </c>
      <c r="F17" s="7">
        <f>averageCompletionTimePorter(Dates!F$10,Dates!F$11,'Day4'!$B17)</f>
        <v>0</v>
      </c>
      <c r="G17" s="7">
        <f>averageCompletionTimePorter(Dates!G$10,Dates!G$11,'Day4'!$B17)</f>
        <v>0</v>
      </c>
      <c r="H17" s="7">
        <f>averageCompletionTimePorter(Dates!H$10,Dates!H$11,'Day4'!$B17)</f>
        <v>0</v>
      </c>
      <c r="I17" s="7">
        <f>averageCompletionTimePorter(Dates!I$10,Dates!I$11,'Day4'!$B17)</f>
        <v>0</v>
      </c>
      <c r="J17" s="7">
        <f>averageCompletionTimePorter(Dates!J$10,Dates!J$11,'Day4'!$B17)</f>
        <v>0</v>
      </c>
      <c r="K17" s="7">
        <f>averageCompletionTimePorter(Dates!K$10,Dates!K$11,'Day4'!$B17)</f>
        <v>0</v>
      </c>
      <c r="L17" s="7">
        <f>averageCompletionTimePorter(Dates!L$10,Dates!L$11,'Day4'!$B17)</f>
        <v>0</v>
      </c>
      <c r="M17" s="7">
        <f>averageCompletionTimePorter(Dates!M$10,Dates!M$11,'Day4'!$B17)</f>
        <v>0</v>
      </c>
      <c r="N17" s="7">
        <f>averageCompletionTimePorter(Dates!N$10,Dates!N$11,'Day4'!$B17)</f>
        <v>0</v>
      </c>
      <c r="O17" s="7">
        <f>averageCompletionTimePorter(Dates!O$10,Dates!O$11,'Day4'!$B17)</f>
        <v>0</v>
      </c>
      <c r="P17" s="7">
        <f>averageCompletionTimePorter(Dates!P$10,Dates!P$11,'Day4'!$B17)</f>
        <v>0</v>
      </c>
      <c r="Q17" s="7">
        <f>averageCompletionTimePorter(Dates!Q$10,Dates!Q$11,'Day4'!$B17)</f>
        <v>0</v>
      </c>
      <c r="R17" s="7">
        <f>averageCompletionTimePorter(Dates!R$10,Dates!R$11,'Day4'!$B17)</f>
        <v>0</v>
      </c>
      <c r="S17" s="7">
        <f>averageCompletionTimePorter(Dates!S$10,Dates!S$11,'Day4'!$B17)</f>
        <v>0</v>
      </c>
      <c r="T17" s="7">
        <f>averageCompletionTimePorter(Dates!T$10,Dates!T$11,'Day4'!$B17)</f>
        <v>0</v>
      </c>
      <c r="U17" s="7">
        <f>averageCompletionTimePorter(Dates!$C$10,Dates!$T$11,'Day4'!$B17)</f>
        <v>0</v>
      </c>
    </row>
    <row r="18" spans="2:21" x14ac:dyDescent="0.3">
      <c r="B18" s="12" t="s">
        <v>153</v>
      </c>
      <c r="C18" s="7">
        <f>averageCompletionTimePorter(Dates!C$10,Dates!C$11,'Day4'!$B18)</f>
        <v>0</v>
      </c>
      <c r="D18" s="7">
        <f>averageCompletionTimePorter(Dates!D$10,Dates!D$11,'Day4'!$B18)</f>
        <v>0</v>
      </c>
      <c r="E18" s="7">
        <f>averageCompletionTimePorter(Dates!E$10,Dates!E$11,'Day4'!$B18)</f>
        <v>0</v>
      </c>
      <c r="F18" s="7">
        <f>averageCompletionTimePorter(Dates!F$10,Dates!F$11,'Day4'!$B18)</f>
        <v>0</v>
      </c>
      <c r="G18" s="7">
        <f>averageCompletionTimePorter(Dates!G$10,Dates!G$11,'Day4'!$B18)</f>
        <v>0</v>
      </c>
      <c r="H18" s="7">
        <f>averageCompletionTimePorter(Dates!H$10,Dates!H$11,'Day4'!$B18)</f>
        <v>0</v>
      </c>
      <c r="I18" s="7">
        <f>averageCompletionTimePorter(Dates!I$10,Dates!I$11,'Day4'!$B18)</f>
        <v>0</v>
      </c>
      <c r="J18" s="7">
        <f>averageCompletionTimePorter(Dates!J$10,Dates!J$11,'Day4'!$B18)</f>
        <v>0</v>
      </c>
      <c r="K18" s="7">
        <f>averageCompletionTimePorter(Dates!K$10,Dates!K$11,'Day4'!$B18)</f>
        <v>0</v>
      </c>
      <c r="L18" s="7">
        <f>averageCompletionTimePorter(Dates!L$10,Dates!L$11,'Day4'!$B18)</f>
        <v>0</v>
      </c>
      <c r="M18" s="7">
        <f>averageCompletionTimePorter(Dates!M$10,Dates!M$11,'Day4'!$B18)</f>
        <v>0</v>
      </c>
      <c r="N18" s="7">
        <f>averageCompletionTimePorter(Dates!N$10,Dates!N$11,'Day4'!$B18)</f>
        <v>0</v>
      </c>
      <c r="O18" s="7">
        <f>averageCompletionTimePorter(Dates!O$10,Dates!O$11,'Day4'!$B18)</f>
        <v>0</v>
      </c>
      <c r="P18" s="7">
        <f>averageCompletionTimePorter(Dates!P$10,Dates!P$11,'Day4'!$B18)</f>
        <v>0</v>
      </c>
      <c r="Q18" s="7">
        <f>averageCompletionTimePorter(Dates!Q$10,Dates!Q$11,'Day4'!$B18)</f>
        <v>0</v>
      </c>
      <c r="R18" s="7">
        <f>averageCompletionTimePorter(Dates!R$10,Dates!R$11,'Day4'!$B18)</f>
        <v>0</v>
      </c>
      <c r="S18" s="7">
        <f>averageCompletionTimePorter(Dates!S$10,Dates!S$11,'Day4'!$B18)</f>
        <v>0</v>
      </c>
      <c r="T18" s="7">
        <f>averageCompletionTimePorter(Dates!T$10,Dates!T$11,'Day4'!$B18)</f>
        <v>0</v>
      </c>
      <c r="U18" s="7">
        <f>averageCompletionTimePorter(Dates!$C$10,Dates!$T$11,'Day4'!$B18)</f>
        <v>0</v>
      </c>
    </row>
    <row r="19" spans="2:21" x14ac:dyDescent="0.3">
      <c r="B19" s="12" t="s">
        <v>154</v>
      </c>
      <c r="C19" s="7">
        <f>averageCompletionTimePorter(Dates!C$10,Dates!C$11,'Day4'!$B19)</f>
        <v>0</v>
      </c>
      <c r="D19" s="7">
        <f>averageCompletionTimePorter(Dates!D$10,Dates!D$11,'Day4'!$B19)</f>
        <v>0</v>
      </c>
      <c r="E19" s="7">
        <f>averageCompletionTimePorter(Dates!E$10,Dates!E$11,'Day4'!$B19)</f>
        <v>0</v>
      </c>
      <c r="F19" s="7">
        <f>averageCompletionTimePorter(Dates!F$10,Dates!F$11,'Day4'!$B19)</f>
        <v>0</v>
      </c>
      <c r="G19" s="7">
        <f>averageCompletionTimePorter(Dates!G$10,Dates!G$11,'Day4'!$B19)</f>
        <v>0</v>
      </c>
      <c r="H19" s="7">
        <f>averageCompletionTimePorter(Dates!H$10,Dates!H$11,'Day4'!$B19)</f>
        <v>0</v>
      </c>
      <c r="I19" s="7">
        <f>averageCompletionTimePorter(Dates!I$10,Dates!I$11,'Day4'!$B19)</f>
        <v>0</v>
      </c>
      <c r="J19" s="7">
        <f>averageCompletionTimePorter(Dates!J$10,Dates!J$11,'Day4'!$B19)</f>
        <v>0</v>
      </c>
      <c r="K19" s="7">
        <f>averageCompletionTimePorter(Dates!K$10,Dates!K$11,'Day4'!$B19)</f>
        <v>0</v>
      </c>
      <c r="L19" s="7">
        <f>averageCompletionTimePorter(Dates!L$10,Dates!L$11,'Day4'!$B19)</f>
        <v>0</v>
      </c>
      <c r="M19" s="7">
        <f>averageCompletionTimePorter(Dates!M$10,Dates!M$11,'Day4'!$B19)</f>
        <v>0</v>
      </c>
      <c r="N19" s="7">
        <f>averageCompletionTimePorter(Dates!N$10,Dates!N$11,'Day4'!$B19)</f>
        <v>0</v>
      </c>
      <c r="O19" s="7">
        <f>averageCompletionTimePorter(Dates!O$10,Dates!O$11,'Day4'!$B19)</f>
        <v>0</v>
      </c>
      <c r="P19" s="7">
        <f>averageCompletionTimePorter(Dates!P$10,Dates!P$11,'Day4'!$B19)</f>
        <v>0</v>
      </c>
      <c r="Q19" s="7">
        <f>averageCompletionTimePorter(Dates!Q$10,Dates!Q$11,'Day4'!$B19)</f>
        <v>0</v>
      </c>
      <c r="R19" s="7">
        <f>averageCompletionTimePorter(Dates!R$10,Dates!R$11,'Day4'!$B19)</f>
        <v>0</v>
      </c>
      <c r="S19" s="7">
        <f>averageCompletionTimePorter(Dates!S$10,Dates!S$11,'Day4'!$B19)</f>
        <v>0</v>
      </c>
      <c r="T19" s="7">
        <f>averageCompletionTimePorter(Dates!T$10,Dates!T$11,'Day4'!$B19)</f>
        <v>0</v>
      </c>
      <c r="U19" s="7">
        <f>averageCompletionTimePorter(Dates!$C$10,Dates!$T$11,'Day4'!$B19)</f>
        <v>0</v>
      </c>
    </row>
    <row r="20" spans="2:21" x14ac:dyDescent="0.3">
      <c r="B20" s="12" t="s">
        <v>155</v>
      </c>
      <c r="C20" s="7">
        <f>averageCompletionTimePorter(Dates!C$10,Dates!C$11,'Day4'!$B20)</f>
        <v>0</v>
      </c>
      <c r="D20" s="7">
        <f>averageCompletionTimePorter(Dates!D$10,Dates!D$11,'Day4'!$B20)</f>
        <v>0</v>
      </c>
      <c r="E20" s="7">
        <f>averageCompletionTimePorter(Dates!E$10,Dates!E$11,'Day4'!$B20)</f>
        <v>0</v>
      </c>
      <c r="F20" s="7">
        <f>averageCompletionTimePorter(Dates!F$10,Dates!F$11,'Day4'!$B20)</f>
        <v>0</v>
      </c>
      <c r="G20" s="7">
        <f>averageCompletionTimePorter(Dates!G$10,Dates!G$11,'Day4'!$B20)</f>
        <v>0</v>
      </c>
      <c r="H20" s="7">
        <f>averageCompletionTimePorter(Dates!H$10,Dates!H$11,'Day4'!$B20)</f>
        <v>0</v>
      </c>
      <c r="I20" s="7">
        <f>averageCompletionTimePorter(Dates!I$10,Dates!I$11,'Day4'!$B20)</f>
        <v>0</v>
      </c>
      <c r="J20" s="7">
        <f>averageCompletionTimePorter(Dates!J$10,Dates!J$11,'Day4'!$B20)</f>
        <v>0</v>
      </c>
      <c r="K20" s="7">
        <f>averageCompletionTimePorter(Dates!K$10,Dates!K$11,'Day4'!$B20)</f>
        <v>0</v>
      </c>
      <c r="L20" s="7">
        <f>averageCompletionTimePorter(Dates!L$10,Dates!L$11,'Day4'!$B20)</f>
        <v>0</v>
      </c>
      <c r="M20" s="7">
        <f>averageCompletionTimePorter(Dates!M$10,Dates!M$11,'Day4'!$B20)</f>
        <v>0</v>
      </c>
      <c r="N20" s="7">
        <f>averageCompletionTimePorter(Dates!N$10,Dates!N$11,'Day4'!$B20)</f>
        <v>0</v>
      </c>
      <c r="O20" s="7">
        <f>averageCompletionTimePorter(Dates!O$10,Dates!O$11,'Day4'!$B20)</f>
        <v>0</v>
      </c>
      <c r="P20" s="7">
        <f>averageCompletionTimePorter(Dates!P$10,Dates!P$11,'Day4'!$B20)</f>
        <v>0</v>
      </c>
      <c r="Q20" s="7">
        <f>averageCompletionTimePorter(Dates!Q$10,Dates!Q$11,'Day4'!$B20)</f>
        <v>0</v>
      </c>
      <c r="R20" s="7">
        <f>averageCompletionTimePorter(Dates!R$10,Dates!R$11,'Day4'!$B20)</f>
        <v>0</v>
      </c>
      <c r="S20" s="7">
        <f>averageCompletionTimePorter(Dates!S$10,Dates!S$11,'Day4'!$B20)</f>
        <v>0</v>
      </c>
      <c r="T20" s="7">
        <f>averageCompletionTimePorter(Dates!T$10,Dates!T$11,'Day4'!$B20)</f>
        <v>0</v>
      </c>
      <c r="U20" s="7">
        <f>averageCompletionTimePorter(Dates!$C$10,Dates!$T$11,'Day4'!$B20)</f>
        <v>0</v>
      </c>
    </row>
    <row r="21" spans="2:21" x14ac:dyDescent="0.3">
      <c r="B21" s="12" t="s">
        <v>156</v>
      </c>
      <c r="C21" s="7">
        <f>averageCompletionTimePorter(Dates!C$10,Dates!C$11,'Day4'!$B21)</f>
        <v>0</v>
      </c>
      <c r="D21" s="7">
        <f>averageCompletionTimePorter(Dates!D$10,Dates!D$11,'Day4'!$B21)</f>
        <v>0</v>
      </c>
      <c r="E21" s="7">
        <f>averageCompletionTimePorter(Dates!E$10,Dates!E$11,'Day4'!$B21)</f>
        <v>0</v>
      </c>
      <c r="F21" s="7">
        <f>averageCompletionTimePorter(Dates!F$10,Dates!F$11,'Day4'!$B21)</f>
        <v>0</v>
      </c>
      <c r="G21" s="7">
        <f>averageCompletionTimePorter(Dates!G$10,Dates!G$11,'Day4'!$B21)</f>
        <v>0</v>
      </c>
      <c r="H21" s="7">
        <f>averageCompletionTimePorter(Dates!H$10,Dates!H$11,'Day4'!$B21)</f>
        <v>0</v>
      </c>
      <c r="I21" s="7">
        <f>averageCompletionTimePorter(Dates!I$10,Dates!I$11,'Day4'!$B21)</f>
        <v>0</v>
      </c>
      <c r="J21" s="7">
        <f>averageCompletionTimePorter(Dates!J$10,Dates!J$11,'Day4'!$B21)</f>
        <v>0</v>
      </c>
      <c r="K21" s="7">
        <f>averageCompletionTimePorter(Dates!K$10,Dates!K$11,'Day4'!$B21)</f>
        <v>0</v>
      </c>
      <c r="L21" s="7">
        <f>averageCompletionTimePorter(Dates!L$10,Dates!L$11,'Day4'!$B21)</f>
        <v>0</v>
      </c>
      <c r="M21" s="7">
        <f>averageCompletionTimePorter(Dates!M$10,Dates!M$11,'Day4'!$B21)</f>
        <v>0</v>
      </c>
      <c r="N21" s="7">
        <f>averageCompletionTimePorter(Dates!N$10,Dates!N$11,'Day4'!$B21)</f>
        <v>0</v>
      </c>
      <c r="O21" s="7">
        <f>averageCompletionTimePorter(Dates!O$10,Dates!O$11,'Day4'!$B21)</f>
        <v>0</v>
      </c>
      <c r="P21" s="7">
        <f>averageCompletionTimePorter(Dates!P$10,Dates!P$11,'Day4'!$B21)</f>
        <v>0</v>
      </c>
      <c r="Q21" s="7">
        <f>averageCompletionTimePorter(Dates!Q$10,Dates!Q$11,'Day4'!$B21)</f>
        <v>0</v>
      </c>
      <c r="R21" s="7">
        <f>averageCompletionTimePorter(Dates!R$10,Dates!R$11,'Day4'!$B21)</f>
        <v>0</v>
      </c>
      <c r="S21" s="7">
        <f>averageCompletionTimePorter(Dates!S$10,Dates!S$11,'Day4'!$B21)</f>
        <v>0</v>
      </c>
      <c r="T21" s="7">
        <f>averageCompletionTimePorter(Dates!T$10,Dates!T$11,'Day4'!$B21)</f>
        <v>0</v>
      </c>
      <c r="U21" s="7">
        <f>averageCompletionTimePorter(Dates!$C$10,Dates!$T$11,'Day4'!$B21)</f>
        <v>0</v>
      </c>
    </row>
    <row r="22" spans="2:21" x14ac:dyDescent="0.3">
      <c r="B22" s="12" t="s">
        <v>157</v>
      </c>
      <c r="C22" s="7">
        <f>averageCompletionTimePorter(Dates!C$10,Dates!C$11,'Day4'!$B22)</f>
        <v>0</v>
      </c>
      <c r="D22" s="7">
        <f>averageCompletionTimePorter(Dates!D$10,Dates!D$11,'Day4'!$B22)</f>
        <v>0</v>
      </c>
      <c r="E22" s="7">
        <f>averageCompletionTimePorter(Dates!E$10,Dates!E$11,'Day4'!$B22)</f>
        <v>0</v>
      </c>
      <c r="F22" s="7">
        <f>averageCompletionTimePorter(Dates!F$10,Dates!F$11,'Day4'!$B22)</f>
        <v>0</v>
      </c>
      <c r="G22" s="7">
        <f>averageCompletionTimePorter(Dates!G$10,Dates!G$11,'Day4'!$B22)</f>
        <v>0</v>
      </c>
      <c r="H22" s="7">
        <f>averageCompletionTimePorter(Dates!H$10,Dates!H$11,'Day4'!$B22)</f>
        <v>0</v>
      </c>
      <c r="I22" s="7">
        <f>averageCompletionTimePorter(Dates!I$10,Dates!I$11,'Day4'!$B22)</f>
        <v>0</v>
      </c>
      <c r="J22" s="7">
        <f>averageCompletionTimePorter(Dates!J$10,Dates!J$11,'Day4'!$B22)</f>
        <v>0</v>
      </c>
      <c r="K22" s="7">
        <f>averageCompletionTimePorter(Dates!K$10,Dates!K$11,'Day4'!$B22)</f>
        <v>0</v>
      </c>
      <c r="L22" s="7">
        <f>averageCompletionTimePorter(Dates!L$10,Dates!L$11,'Day4'!$B22)</f>
        <v>0</v>
      </c>
      <c r="M22" s="7">
        <f>averageCompletionTimePorter(Dates!M$10,Dates!M$11,'Day4'!$B22)</f>
        <v>0</v>
      </c>
      <c r="N22" s="7">
        <f>averageCompletionTimePorter(Dates!N$10,Dates!N$11,'Day4'!$B22)</f>
        <v>0</v>
      </c>
      <c r="O22" s="7">
        <f>averageCompletionTimePorter(Dates!O$10,Dates!O$11,'Day4'!$B22)</f>
        <v>0</v>
      </c>
      <c r="P22" s="7">
        <f>averageCompletionTimePorter(Dates!P$10,Dates!P$11,'Day4'!$B22)</f>
        <v>0</v>
      </c>
      <c r="Q22" s="7">
        <f>averageCompletionTimePorter(Dates!Q$10,Dates!Q$11,'Day4'!$B22)</f>
        <v>0</v>
      </c>
      <c r="R22" s="7">
        <f>averageCompletionTimePorter(Dates!R$10,Dates!R$11,'Day4'!$B22)</f>
        <v>0</v>
      </c>
      <c r="S22" s="7">
        <f>averageCompletionTimePorter(Dates!S$10,Dates!S$11,'Day4'!$B22)</f>
        <v>0</v>
      </c>
      <c r="T22" s="7">
        <f>averageCompletionTimePorter(Dates!T$10,Dates!T$11,'Day4'!$B22)</f>
        <v>0</v>
      </c>
      <c r="U22" s="7">
        <f>averageCompletionTimePorter(Dates!$C$10,Dates!$T$11,'Day4'!$B22)</f>
        <v>0</v>
      </c>
    </row>
    <row r="23" spans="2:21" x14ac:dyDescent="0.3">
      <c r="B23" s="12" t="s">
        <v>158</v>
      </c>
      <c r="C23" s="7">
        <f>averageCompletionTimePorter(Dates!C$10,Dates!C$11,'Day4'!$B23)</f>
        <v>0</v>
      </c>
      <c r="D23" s="7">
        <f>averageCompletionTimePorter(Dates!D$10,Dates!D$11,'Day4'!$B23)</f>
        <v>0</v>
      </c>
      <c r="E23" s="7">
        <f>averageCompletionTimePorter(Dates!E$10,Dates!E$11,'Day4'!$B23)</f>
        <v>0</v>
      </c>
      <c r="F23" s="7">
        <f>averageCompletionTimePorter(Dates!F$10,Dates!F$11,'Day4'!$B23)</f>
        <v>0</v>
      </c>
      <c r="G23" s="7">
        <f>averageCompletionTimePorter(Dates!G$10,Dates!G$11,'Day4'!$B23)</f>
        <v>0</v>
      </c>
      <c r="H23" s="7">
        <f>averageCompletionTimePorter(Dates!H$10,Dates!H$11,'Day4'!$B23)</f>
        <v>0</v>
      </c>
      <c r="I23" s="7">
        <f>averageCompletionTimePorter(Dates!I$10,Dates!I$11,'Day4'!$B23)</f>
        <v>0</v>
      </c>
      <c r="J23" s="7">
        <f>averageCompletionTimePorter(Dates!J$10,Dates!J$11,'Day4'!$B23)</f>
        <v>0</v>
      </c>
      <c r="K23" s="7">
        <f>averageCompletionTimePorter(Dates!K$10,Dates!K$11,'Day4'!$B23)</f>
        <v>0</v>
      </c>
      <c r="L23" s="7">
        <f>averageCompletionTimePorter(Dates!L$10,Dates!L$11,'Day4'!$B23)</f>
        <v>0</v>
      </c>
      <c r="M23" s="7">
        <f>averageCompletionTimePorter(Dates!M$10,Dates!M$11,'Day4'!$B23)</f>
        <v>0</v>
      </c>
      <c r="N23" s="7">
        <f>averageCompletionTimePorter(Dates!N$10,Dates!N$11,'Day4'!$B23)</f>
        <v>0</v>
      </c>
      <c r="O23" s="7">
        <f>averageCompletionTimePorter(Dates!O$10,Dates!O$11,'Day4'!$B23)</f>
        <v>0</v>
      </c>
      <c r="P23" s="7">
        <f>averageCompletionTimePorter(Dates!P$10,Dates!P$11,'Day4'!$B23)</f>
        <v>0</v>
      </c>
      <c r="Q23" s="7">
        <f>averageCompletionTimePorter(Dates!Q$10,Dates!Q$11,'Day4'!$B23)</f>
        <v>0</v>
      </c>
      <c r="R23" s="7">
        <f>averageCompletionTimePorter(Dates!R$10,Dates!R$11,'Day4'!$B23)</f>
        <v>0</v>
      </c>
      <c r="S23" s="7">
        <f>averageCompletionTimePorter(Dates!S$10,Dates!S$11,'Day4'!$B23)</f>
        <v>0</v>
      </c>
      <c r="T23" s="7">
        <f>averageCompletionTimePorter(Dates!T$10,Dates!T$11,'Day4'!$B23)</f>
        <v>0</v>
      </c>
      <c r="U23" s="7">
        <f>averageCompletionTimePorter(Dates!$C$10,Dates!$T$11,'Day4'!$B23)</f>
        <v>0</v>
      </c>
    </row>
    <row r="25" spans="2:21" x14ac:dyDescent="0.3">
      <c r="B25" s="11" t="s">
        <v>148</v>
      </c>
      <c r="C25" s="7">
        <f>averageResponseTime(Dates!C10,Dates!C11)</f>
        <v>0</v>
      </c>
      <c r="D25" s="7">
        <f>averageResponseTime(Dates!D10,Dates!D11)</f>
        <v>0</v>
      </c>
      <c r="E25" s="7">
        <f>averageResponseTime(Dates!E10,Dates!E11)</f>
        <v>0</v>
      </c>
      <c r="F25" s="7">
        <f>averageResponseTime(Dates!F10,Dates!F11)</f>
        <v>0</v>
      </c>
      <c r="G25" s="7">
        <f>averageResponseTime(Dates!G10,Dates!G11)</f>
        <v>0</v>
      </c>
      <c r="H25" s="7">
        <f>averageResponseTime(Dates!H10,Dates!H11)</f>
        <v>0</v>
      </c>
      <c r="I25" s="7">
        <f>averageResponseTime(Dates!I10,Dates!I11)</f>
        <v>0</v>
      </c>
      <c r="J25" s="7">
        <f>averageResponseTime(Dates!J10,Dates!J11)</f>
        <v>0</v>
      </c>
      <c r="K25" s="7">
        <f>averageResponseTime(Dates!K10,Dates!K11)</f>
        <v>0</v>
      </c>
      <c r="L25" s="7">
        <f>averageResponseTime(Dates!L10,Dates!L11)</f>
        <v>0</v>
      </c>
      <c r="M25" s="7">
        <f>averageResponseTime(Dates!M10,Dates!M11)</f>
        <v>0</v>
      </c>
      <c r="N25" s="7">
        <f>averageResponseTime(Dates!N10,Dates!N11)</f>
        <v>0</v>
      </c>
      <c r="O25" s="7">
        <f>averageResponseTime(Dates!O10,Dates!O11)</f>
        <v>0</v>
      </c>
      <c r="P25" s="7">
        <f>averageResponseTime(Dates!P10,Dates!P11)</f>
        <v>0</v>
      </c>
      <c r="Q25" s="7">
        <f>averageResponseTime(Dates!Q10,Dates!Q11)</f>
        <v>0</v>
      </c>
      <c r="R25" s="7">
        <f>averageResponseTime(Dates!R10,Dates!R11)</f>
        <v>0</v>
      </c>
      <c r="S25" s="7">
        <f>averageResponseTime(Dates!S10,Dates!S11)</f>
        <v>0</v>
      </c>
      <c r="T25" s="7">
        <f>averageResponseTime(Dates!T10,Dates!T11)</f>
        <v>0</v>
      </c>
      <c r="U25" s="7">
        <f>averageResponseTime(Dates!C10,Dates!T11)</f>
        <v>0</v>
      </c>
    </row>
    <row r="26" spans="2:21" x14ac:dyDescent="0.3">
      <c r="B26" s="11">
        <f t="shared" ref="B26:B36" si="0">B3</f>
        <v>3</v>
      </c>
      <c r="C26" s="7">
        <f>averageResponseTimePorter(Dates!C$10,Dates!C$11,'Day4'!$B26)</f>
        <v>0</v>
      </c>
      <c r="D26" s="7">
        <f>averageResponseTimePorter(Dates!D$10,Dates!D$11,'Day4'!$B26)</f>
        <v>0</v>
      </c>
      <c r="E26" s="7">
        <f>averageResponseTimePorter(Dates!E$10,Dates!E$11,'Day4'!$B26)</f>
        <v>0</v>
      </c>
      <c r="F26" s="7">
        <f>averageResponseTimePorter(Dates!F$10,Dates!F$11,'Day4'!$B26)</f>
        <v>0</v>
      </c>
      <c r="G26" s="7">
        <f>averageResponseTimePorter(Dates!G$10,Dates!G$11,'Day4'!$B26)</f>
        <v>0</v>
      </c>
      <c r="H26" s="7">
        <f>averageResponseTimePorter(Dates!H$10,Dates!H$11,'Day4'!$B26)</f>
        <v>0</v>
      </c>
      <c r="I26" s="7">
        <f>averageResponseTimePorter(Dates!I$10,Dates!I$11,'Day4'!$B26)</f>
        <v>0</v>
      </c>
      <c r="J26" s="7">
        <f>averageResponseTimePorter(Dates!J$10,Dates!J$11,'Day4'!$B26)</f>
        <v>0</v>
      </c>
      <c r="K26" s="7">
        <f>averageResponseTimePorter(Dates!K$10,Dates!K$11,'Day4'!$B26)</f>
        <v>0</v>
      </c>
      <c r="L26" s="7">
        <f>averageResponseTimePorter(Dates!L$10,Dates!L$11,'Day4'!$B26)</f>
        <v>0</v>
      </c>
      <c r="M26" s="7">
        <f>averageResponseTimePorter(Dates!M$10,Dates!M$11,'Day4'!$B26)</f>
        <v>0</v>
      </c>
      <c r="N26" s="7">
        <f>averageResponseTimePorter(Dates!N$10,Dates!N$11,'Day4'!$B26)</f>
        <v>0</v>
      </c>
      <c r="O26" s="7">
        <f>averageResponseTimePorter(Dates!O$10,Dates!O$11,'Day4'!$B26)</f>
        <v>0</v>
      </c>
      <c r="P26" s="7">
        <f>averageResponseTimePorter(Dates!P$10,Dates!P$11,'Day4'!$B26)</f>
        <v>0</v>
      </c>
      <c r="Q26" s="7">
        <f>averageResponseTimePorter(Dates!Q$10,Dates!Q$11,'Day4'!$B26)</f>
        <v>0</v>
      </c>
      <c r="R26" s="7">
        <f>averageResponseTimePorter(Dates!R$10,Dates!R$11,'Day4'!$B26)</f>
        <v>0</v>
      </c>
      <c r="S26" s="7">
        <f>averageResponseTimePorter(Dates!S$10,Dates!S$11,'Day4'!$B26)</f>
        <v>0</v>
      </c>
      <c r="T26" s="7">
        <f>averageResponseTimePorter(Dates!T$10,Dates!T$11,'Day4'!$B26)</f>
        <v>0</v>
      </c>
      <c r="U26" s="7">
        <f>averageResponseTimePorter(Dates!$C$10,Dates!$T$11,'Day4'!$B3)</f>
        <v>0</v>
      </c>
    </row>
    <row r="27" spans="2:21" x14ac:dyDescent="0.3">
      <c r="B27" s="11">
        <f t="shared" si="0"/>
        <v>2</v>
      </c>
      <c r="C27" s="7">
        <f>averageResponseTimePorter(Dates!C$10,Dates!C$11,'Day4'!$B27)</f>
        <v>0</v>
      </c>
      <c r="D27" s="7">
        <f>averageResponseTimePorter(Dates!D$10,Dates!D$11,'Day4'!$B27)</f>
        <v>0</v>
      </c>
      <c r="E27" s="7">
        <f>averageResponseTimePorter(Dates!E$10,Dates!E$11,'Day4'!$B27)</f>
        <v>0</v>
      </c>
      <c r="F27" s="7">
        <f>averageResponseTimePorter(Dates!F$10,Dates!F$11,'Day4'!$B27)</f>
        <v>0</v>
      </c>
      <c r="G27" s="7">
        <f>averageResponseTimePorter(Dates!G$10,Dates!G$11,'Day4'!$B27)</f>
        <v>0</v>
      </c>
      <c r="H27" s="7">
        <f>averageResponseTimePorter(Dates!H$10,Dates!H$11,'Day4'!$B27)</f>
        <v>0</v>
      </c>
      <c r="I27" s="7">
        <f>averageResponseTimePorter(Dates!I$10,Dates!I$11,'Day4'!$B27)</f>
        <v>0</v>
      </c>
      <c r="J27" s="7">
        <f>averageResponseTimePorter(Dates!J$10,Dates!J$11,'Day4'!$B27)</f>
        <v>0</v>
      </c>
      <c r="K27" s="7">
        <f>averageResponseTimePorter(Dates!K$10,Dates!K$11,'Day4'!$B27)</f>
        <v>0</v>
      </c>
      <c r="L27" s="7">
        <f>averageResponseTimePorter(Dates!L$10,Dates!L$11,'Day4'!$B27)</f>
        <v>0</v>
      </c>
      <c r="M27" s="7">
        <f>averageResponseTimePorter(Dates!M$10,Dates!M$11,'Day4'!$B27)</f>
        <v>0</v>
      </c>
      <c r="N27" s="7">
        <f>averageResponseTimePorter(Dates!N$10,Dates!N$11,'Day4'!$B27)</f>
        <v>0</v>
      </c>
      <c r="O27" s="7">
        <f>averageResponseTimePorter(Dates!O$10,Dates!O$11,'Day4'!$B27)</f>
        <v>0</v>
      </c>
      <c r="P27" s="7">
        <f>averageResponseTimePorter(Dates!P$10,Dates!P$11,'Day4'!$B27)</f>
        <v>0</v>
      </c>
      <c r="Q27" s="7">
        <f>averageResponseTimePorter(Dates!Q$10,Dates!Q$11,'Day4'!$B27)</f>
        <v>0</v>
      </c>
      <c r="R27" s="7">
        <f>averageResponseTimePorter(Dates!R$10,Dates!R$11,'Day4'!$B27)</f>
        <v>0</v>
      </c>
      <c r="S27" s="7">
        <f>averageResponseTimePorter(Dates!S$10,Dates!S$11,'Day4'!$B27)</f>
        <v>0</v>
      </c>
      <c r="T27" s="7">
        <f>averageResponseTimePorter(Dates!T$10,Dates!T$11,'Day4'!$B27)</f>
        <v>0</v>
      </c>
      <c r="U27" s="7">
        <f>averageResponseTimePorter(Dates!$C$10,Dates!$T$11,'Day4'!$B4)</f>
        <v>0</v>
      </c>
    </row>
    <row r="28" spans="2:21" x14ac:dyDescent="0.3">
      <c r="B28" s="11">
        <f t="shared" si="0"/>
        <v>5</v>
      </c>
      <c r="C28" s="7">
        <f>averageResponseTimePorter(Dates!C$10,Dates!C$11,'Day4'!$B28)</f>
        <v>0</v>
      </c>
      <c r="D28" s="7">
        <f>averageResponseTimePorter(Dates!D$10,Dates!D$11,'Day4'!$B28)</f>
        <v>0</v>
      </c>
      <c r="E28" s="7">
        <f>averageResponseTimePorter(Dates!E$10,Dates!E$11,'Day4'!$B28)</f>
        <v>0</v>
      </c>
      <c r="F28" s="7">
        <f>averageResponseTimePorter(Dates!F$10,Dates!F$11,'Day4'!$B28)</f>
        <v>0</v>
      </c>
      <c r="G28" s="7">
        <f>averageResponseTimePorter(Dates!G$10,Dates!G$11,'Day4'!$B28)</f>
        <v>0</v>
      </c>
      <c r="H28" s="7">
        <f>averageResponseTimePorter(Dates!H$10,Dates!H$11,'Day4'!$B28)</f>
        <v>0</v>
      </c>
      <c r="I28" s="7">
        <f>averageResponseTimePorter(Dates!I$10,Dates!I$11,'Day4'!$B28)</f>
        <v>0</v>
      </c>
      <c r="J28" s="7">
        <f>averageResponseTimePorter(Dates!J$10,Dates!J$11,'Day4'!$B28)</f>
        <v>0</v>
      </c>
      <c r="K28" s="7">
        <f>averageResponseTimePorter(Dates!K$10,Dates!K$11,'Day4'!$B28)</f>
        <v>0</v>
      </c>
      <c r="L28" s="7">
        <f>averageResponseTimePorter(Dates!L$10,Dates!L$11,'Day4'!$B28)</f>
        <v>0</v>
      </c>
      <c r="M28" s="7">
        <f>averageResponseTimePorter(Dates!M$10,Dates!M$11,'Day4'!$B28)</f>
        <v>0</v>
      </c>
      <c r="N28" s="7">
        <f>averageResponseTimePorter(Dates!N$10,Dates!N$11,'Day4'!$B28)</f>
        <v>0</v>
      </c>
      <c r="O28" s="7">
        <f>averageResponseTimePorter(Dates!O$10,Dates!O$11,'Day4'!$B28)</f>
        <v>0</v>
      </c>
      <c r="P28" s="7">
        <f>averageResponseTimePorter(Dates!P$10,Dates!P$11,'Day4'!$B28)</f>
        <v>0</v>
      </c>
      <c r="Q28" s="7">
        <f>averageResponseTimePorter(Dates!Q$10,Dates!Q$11,'Day4'!$B28)</f>
        <v>0</v>
      </c>
      <c r="R28" s="7">
        <f>averageResponseTimePorter(Dates!R$10,Dates!R$11,'Day4'!$B28)</f>
        <v>0</v>
      </c>
      <c r="S28" s="7">
        <f>averageResponseTimePorter(Dates!S$10,Dates!S$11,'Day4'!$B28)</f>
        <v>0</v>
      </c>
      <c r="T28" s="7">
        <f>averageResponseTimePorter(Dates!T$10,Dates!T$11,'Day4'!$B28)</f>
        <v>0</v>
      </c>
      <c r="U28" s="7">
        <f>averageResponseTimePorter(Dates!$C$10,Dates!$T$11,'Day4'!$B5)</f>
        <v>0</v>
      </c>
    </row>
    <row r="29" spans="2:21" x14ac:dyDescent="0.3">
      <c r="B29" s="11">
        <f t="shared" si="0"/>
        <v>0</v>
      </c>
      <c r="C29" s="7">
        <f>averageResponseTimePorter(Dates!C$10,Dates!C$11,'Day4'!$B29)</f>
        <v>0</v>
      </c>
      <c r="D29" s="7">
        <f>averageResponseTimePorter(Dates!D$10,Dates!D$11,'Day4'!$B29)</f>
        <v>0</v>
      </c>
      <c r="E29" s="7">
        <f>averageResponseTimePorter(Dates!E$10,Dates!E$11,'Day4'!$B29)</f>
        <v>0</v>
      </c>
      <c r="F29" s="7">
        <f>averageResponseTimePorter(Dates!F$10,Dates!F$11,'Day4'!$B29)</f>
        <v>0</v>
      </c>
      <c r="G29" s="7">
        <f>averageResponseTimePorter(Dates!G$10,Dates!G$11,'Day4'!$B29)</f>
        <v>0</v>
      </c>
      <c r="H29" s="7">
        <f>averageResponseTimePorter(Dates!H$10,Dates!H$11,'Day4'!$B29)</f>
        <v>0</v>
      </c>
      <c r="I29" s="7">
        <f>averageResponseTimePorter(Dates!I$10,Dates!I$11,'Day4'!$B29)</f>
        <v>0</v>
      </c>
      <c r="J29" s="7">
        <f>averageResponseTimePorter(Dates!J$10,Dates!J$11,'Day4'!$B29)</f>
        <v>0</v>
      </c>
      <c r="K29" s="7">
        <f>averageResponseTimePorter(Dates!K$10,Dates!K$11,'Day4'!$B29)</f>
        <v>0</v>
      </c>
      <c r="L29" s="7">
        <f>averageResponseTimePorter(Dates!L$10,Dates!L$11,'Day4'!$B29)</f>
        <v>0</v>
      </c>
      <c r="M29" s="7">
        <f>averageResponseTimePorter(Dates!M$10,Dates!M$11,'Day4'!$B29)</f>
        <v>0</v>
      </c>
      <c r="N29" s="7">
        <f>averageResponseTimePorter(Dates!N$10,Dates!N$11,'Day4'!$B29)</f>
        <v>0</v>
      </c>
      <c r="O29" s="7">
        <f>averageResponseTimePorter(Dates!O$10,Dates!O$11,'Day4'!$B29)</f>
        <v>0</v>
      </c>
      <c r="P29" s="7">
        <f>averageResponseTimePorter(Dates!P$10,Dates!P$11,'Day4'!$B29)</f>
        <v>0</v>
      </c>
      <c r="Q29" s="7">
        <f>averageResponseTimePorter(Dates!Q$10,Dates!Q$11,'Day4'!$B29)</f>
        <v>0</v>
      </c>
      <c r="R29" s="7">
        <f>averageResponseTimePorter(Dates!R$10,Dates!R$11,'Day4'!$B29)</f>
        <v>0</v>
      </c>
      <c r="S29" s="7">
        <f>averageResponseTimePorter(Dates!S$10,Dates!S$11,'Day4'!$B29)</f>
        <v>0</v>
      </c>
      <c r="T29" s="7">
        <f>averageResponseTimePorter(Dates!T$10,Dates!T$11,'Day4'!$B29)</f>
        <v>0</v>
      </c>
      <c r="U29" s="7">
        <f>averageResponseTimePorter(Dates!$C$10,Dates!$T$11,'Day4'!$B6)</f>
        <v>0</v>
      </c>
    </row>
    <row r="30" spans="2:21" x14ac:dyDescent="0.3">
      <c r="B30" s="11">
        <f t="shared" si="0"/>
        <v>4</v>
      </c>
      <c r="C30" s="7">
        <f>averageResponseTimePorter(Dates!C$10,Dates!C$11,'Day4'!$B30)</f>
        <v>0</v>
      </c>
      <c r="D30" s="7">
        <f>averageResponseTimePorter(Dates!D$10,Dates!D$11,'Day4'!$B30)</f>
        <v>0</v>
      </c>
      <c r="E30" s="7">
        <f>averageResponseTimePorter(Dates!E$10,Dates!E$11,'Day4'!$B30)</f>
        <v>0</v>
      </c>
      <c r="F30" s="7">
        <f>averageResponseTimePorter(Dates!F$10,Dates!F$11,'Day4'!$B30)</f>
        <v>0</v>
      </c>
      <c r="G30" s="7">
        <f>averageResponseTimePorter(Dates!G$10,Dates!G$11,'Day4'!$B30)</f>
        <v>0</v>
      </c>
      <c r="H30" s="7">
        <f>averageResponseTimePorter(Dates!H$10,Dates!H$11,'Day4'!$B30)</f>
        <v>0</v>
      </c>
      <c r="I30" s="7">
        <f>averageResponseTimePorter(Dates!I$10,Dates!I$11,'Day4'!$B30)</f>
        <v>0</v>
      </c>
      <c r="J30" s="7">
        <f>averageResponseTimePorter(Dates!J$10,Dates!J$11,'Day4'!$B30)</f>
        <v>0</v>
      </c>
      <c r="K30" s="7">
        <f>averageResponseTimePorter(Dates!K$10,Dates!K$11,'Day4'!$B30)</f>
        <v>0</v>
      </c>
      <c r="L30" s="7">
        <f>averageResponseTimePorter(Dates!L$10,Dates!L$11,'Day4'!$B30)</f>
        <v>0</v>
      </c>
      <c r="M30" s="7">
        <f>averageResponseTimePorter(Dates!M$10,Dates!M$11,'Day4'!$B30)</f>
        <v>0</v>
      </c>
      <c r="N30" s="7">
        <f>averageResponseTimePorter(Dates!N$10,Dates!N$11,'Day4'!$B30)</f>
        <v>0</v>
      </c>
      <c r="O30" s="7">
        <f>averageResponseTimePorter(Dates!O$10,Dates!O$11,'Day4'!$B30)</f>
        <v>0</v>
      </c>
      <c r="P30" s="7">
        <f>averageResponseTimePorter(Dates!P$10,Dates!P$11,'Day4'!$B30)</f>
        <v>0</v>
      </c>
      <c r="Q30" s="7">
        <f>averageResponseTimePorter(Dates!Q$10,Dates!Q$11,'Day4'!$B30)</f>
        <v>0</v>
      </c>
      <c r="R30" s="7">
        <f>averageResponseTimePorter(Dates!R$10,Dates!R$11,'Day4'!$B30)</f>
        <v>0</v>
      </c>
      <c r="S30" s="7">
        <f>averageResponseTimePorter(Dates!S$10,Dates!S$11,'Day4'!$B30)</f>
        <v>0</v>
      </c>
      <c r="T30" s="7">
        <f>averageResponseTimePorter(Dates!T$10,Dates!T$11,'Day4'!$B30)</f>
        <v>0</v>
      </c>
      <c r="U30" s="7">
        <f>averageResponseTimePorter(Dates!$C$10,Dates!$T$11,'Day4'!$B7)</f>
        <v>0</v>
      </c>
    </row>
    <row r="31" spans="2:21" x14ac:dyDescent="0.3">
      <c r="B31" s="11">
        <f t="shared" si="0"/>
        <v>8</v>
      </c>
      <c r="C31" s="7">
        <f>averageResponseTimePorter(Dates!C$10,Dates!C$11,'Day4'!$B31)</f>
        <v>0</v>
      </c>
      <c r="D31" s="7">
        <f>averageResponseTimePorter(Dates!D$10,Dates!D$11,'Day4'!$B31)</f>
        <v>0</v>
      </c>
      <c r="E31" s="7">
        <f>averageResponseTimePorter(Dates!E$10,Dates!E$11,'Day4'!$B31)</f>
        <v>0</v>
      </c>
      <c r="F31" s="7">
        <f>averageResponseTimePorter(Dates!F$10,Dates!F$11,'Day4'!$B31)</f>
        <v>0</v>
      </c>
      <c r="G31" s="7">
        <f>averageResponseTimePorter(Dates!G$10,Dates!G$11,'Day4'!$B31)</f>
        <v>0</v>
      </c>
      <c r="H31" s="7">
        <f>averageResponseTimePorter(Dates!H$10,Dates!H$11,'Day4'!$B31)</f>
        <v>0</v>
      </c>
      <c r="I31" s="7">
        <f>averageResponseTimePorter(Dates!I$10,Dates!I$11,'Day4'!$B31)</f>
        <v>0</v>
      </c>
      <c r="J31" s="7">
        <f>averageResponseTimePorter(Dates!J$10,Dates!J$11,'Day4'!$B31)</f>
        <v>0</v>
      </c>
      <c r="K31" s="7">
        <f>averageResponseTimePorter(Dates!K$10,Dates!K$11,'Day4'!$B31)</f>
        <v>0</v>
      </c>
      <c r="L31" s="7">
        <f>averageResponseTimePorter(Dates!L$10,Dates!L$11,'Day4'!$B31)</f>
        <v>0</v>
      </c>
      <c r="M31" s="7">
        <f>averageResponseTimePorter(Dates!M$10,Dates!M$11,'Day4'!$B31)</f>
        <v>0</v>
      </c>
      <c r="N31" s="7">
        <f>averageResponseTimePorter(Dates!N$10,Dates!N$11,'Day4'!$B31)</f>
        <v>0</v>
      </c>
      <c r="O31" s="7">
        <f>averageResponseTimePorter(Dates!O$10,Dates!O$11,'Day4'!$B31)</f>
        <v>0</v>
      </c>
      <c r="P31" s="7">
        <f>averageResponseTimePorter(Dates!P$10,Dates!P$11,'Day4'!$B31)</f>
        <v>0</v>
      </c>
      <c r="Q31" s="7">
        <f>averageResponseTimePorter(Dates!Q$10,Dates!Q$11,'Day4'!$B31)</f>
        <v>0</v>
      </c>
      <c r="R31" s="7">
        <f>averageResponseTimePorter(Dates!R$10,Dates!R$11,'Day4'!$B31)</f>
        <v>0</v>
      </c>
      <c r="S31" s="7">
        <f>averageResponseTimePorter(Dates!S$10,Dates!S$11,'Day4'!$B31)</f>
        <v>0</v>
      </c>
      <c r="T31" s="7">
        <f>averageResponseTimePorter(Dates!T$10,Dates!T$11,'Day4'!$B31)</f>
        <v>0</v>
      </c>
      <c r="U31" s="7">
        <f>averageResponseTimePorter(Dates!$C$10,Dates!$T$11,'Day4'!$B8)</f>
        <v>0</v>
      </c>
    </row>
    <row r="32" spans="2:21" x14ac:dyDescent="0.3">
      <c r="B32" s="11">
        <f t="shared" si="0"/>
        <v>6</v>
      </c>
      <c r="C32" s="7">
        <f>averageResponseTimePorter(Dates!C$10,Dates!C$11,'Day4'!$B32)</f>
        <v>0</v>
      </c>
      <c r="D32" s="7">
        <f>averageResponseTimePorter(Dates!D$10,Dates!D$11,'Day4'!$B32)</f>
        <v>0</v>
      </c>
      <c r="E32" s="7">
        <f>averageResponseTimePorter(Dates!E$10,Dates!E$11,'Day4'!$B32)</f>
        <v>0</v>
      </c>
      <c r="F32" s="7">
        <f>averageResponseTimePorter(Dates!F$10,Dates!F$11,'Day4'!$B32)</f>
        <v>0</v>
      </c>
      <c r="G32" s="7">
        <f>averageResponseTimePorter(Dates!G$10,Dates!G$11,'Day4'!$B32)</f>
        <v>0</v>
      </c>
      <c r="H32" s="7">
        <f>averageResponseTimePorter(Dates!H$10,Dates!H$11,'Day4'!$B32)</f>
        <v>0</v>
      </c>
      <c r="I32" s="7">
        <f>averageResponseTimePorter(Dates!I$10,Dates!I$11,'Day4'!$B32)</f>
        <v>0</v>
      </c>
      <c r="J32" s="7">
        <f>averageResponseTimePorter(Dates!J$10,Dates!J$11,'Day4'!$B32)</f>
        <v>0</v>
      </c>
      <c r="K32" s="7">
        <f>averageResponseTimePorter(Dates!K$10,Dates!K$11,'Day4'!$B32)</f>
        <v>0</v>
      </c>
      <c r="L32" s="7">
        <f>averageResponseTimePorter(Dates!L$10,Dates!L$11,'Day4'!$B32)</f>
        <v>0</v>
      </c>
      <c r="M32" s="7">
        <f>averageResponseTimePorter(Dates!M$10,Dates!M$11,'Day4'!$B32)</f>
        <v>0</v>
      </c>
      <c r="N32" s="7">
        <f>averageResponseTimePorter(Dates!N$10,Dates!N$11,'Day4'!$B32)</f>
        <v>0</v>
      </c>
      <c r="O32" s="7">
        <f>averageResponseTimePorter(Dates!O$10,Dates!O$11,'Day4'!$B32)</f>
        <v>0</v>
      </c>
      <c r="P32" s="7">
        <f>averageResponseTimePorter(Dates!P$10,Dates!P$11,'Day4'!$B32)</f>
        <v>0</v>
      </c>
      <c r="Q32" s="7">
        <f>averageResponseTimePorter(Dates!Q$10,Dates!Q$11,'Day4'!$B32)</f>
        <v>0</v>
      </c>
      <c r="R32" s="7">
        <f>averageResponseTimePorter(Dates!R$10,Dates!R$11,'Day4'!$B32)</f>
        <v>0</v>
      </c>
      <c r="S32" s="7">
        <f>averageResponseTimePorter(Dates!S$10,Dates!S$11,'Day4'!$B32)</f>
        <v>0</v>
      </c>
      <c r="T32" s="7">
        <f>averageResponseTimePorter(Dates!T$10,Dates!T$11,'Day4'!$B32)</f>
        <v>0</v>
      </c>
      <c r="U32" s="7">
        <f>averageResponseTimePorter(Dates!$C$10,Dates!$T$11,'Day4'!$B9)</f>
        <v>0</v>
      </c>
    </row>
    <row r="33" spans="2:21" x14ac:dyDescent="0.3">
      <c r="B33" s="11">
        <f t="shared" si="0"/>
        <v>1</v>
      </c>
      <c r="C33" s="7">
        <f>averageResponseTimePorter(Dates!C$10,Dates!C$11,'Day4'!$B33)</f>
        <v>0</v>
      </c>
      <c r="D33" s="7">
        <f>averageResponseTimePorter(Dates!D$10,Dates!D$11,'Day4'!$B33)</f>
        <v>0</v>
      </c>
      <c r="E33" s="7">
        <f>averageResponseTimePorter(Dates!E$10,Dates!E$11,'Day4'!$B33)</f>
        <v>0</v>
      </c>
      <c r="F33" s="7">
        <f>averageResponseTimePorter(Dates!F$10,Dates!F$11,'Day4'!$B33)</f>
        <v>0</v>
      </c>
      <c r="G33" s="7">
        <f>averageResponseTimePorter(Dates!G$10,Dates!G$11,'Day4'!$B33)</f>
        <v>0</v>
      </c>
      <c r="H33" s="7">
        <f>averageResponseTimePorter(Dates!H$10,Dates!H$11,'Day4'!$B33)</f>
        <v>0</v>
      </c>
      <c r="I33" s="7">
        <f>averageResponseTimePorter(Dates!I$10,Dates!I$11,'Day4'!$B33)</f>
        <v>0</v>
      </c>
      <c r="J33" s="7">
        <f>averageResponseTimePorter(Dates!J$10,Dates!J$11,'Day4'!$B33)</f>
        <v>0</v>
      </c>
      <c r="K33" s="7">
        <f>averageResponseTimePorter(Dates!K$10,Dates!K$11,'Day4'!$B33)</f>
        <v>0</v>
      </c>
      <c r="L33" s="7">
        <f>averageResponseTimePorter(Dates!L$10,Dates!L$11,'Day4'!$B33)</f>
        <v>0</v>
      </c>
      <c r="M33" s="7">
        <f>averageResponseTimePorter(Dates!M$10,Dates!M$11,'Day4'!$B33)</f>
        <v>0</v>
      </c>
      <c r="N33" s="7">
        <f>averageResponseTimePorter(Dates!N$10,Dates!N$11,'Day4'!$B33)</f>
        <v>0</v>
      </c>
      <c r="O33" s="7">
        <f>averageResponseTimePorter(Dates!O$10,Dates!O$11,'Day4'!$B33)</f>
        <v>0</v>
      </c>
      <c r="P33" s="7">
        <f>averageResponseTimePorter(Dates!P$10,Dates!P$11,'Day4'!$B33)</f>
        <v>0</v>
      </c>
      <c r="Q33" s="7">
        <f>averageResponseTimePorter(Dates!Q$10,Dates!Q$11,'Day4'!$B33)</f>
        <v>0</v>
      </c>
      <c r="R33" s="7">
        <f>averageResponseTimePorter(Dates!R$10,Dates!R$11,'Day4'!$B33)</f>
        <v>0</v>
      </c>
      <c r="S33" s="7">
        <f>averageResponseTimePorter(Dates!S$10,Dates!S$11,'Day4'!$B33)</f>
        <v>0</v>
      </c>
      <c r="T33" s="7">
        <f>averageResponseTimePorter(Dates!T$10,Dates!T$11,'Day4'!$B33)</f>
        <v>0</v>
      </c>
      <c r="U33" s="7">
        <f>averageResponseTimePorter(Dates!$C$10,Dates!$T$11,'Day4'!$B10)</f>
        <v>0</v>
      </c>
    </row>
    <row r="34" spans="2:21" x14ac:dyDescent="0.3">
      <c r="B34" s="11">
        <f t="shared" si="0"/>
        <v>10</v>
      </c>
      <c r="C34" s="7">
        <f>averageResponseTimePorter(Dates!C$10,Dates!C$11,'Day4'!$B34)</f>
        <v>0</v>
      </c>
      <c r="D34" s="7">
        <f>averageResponseTimePorter(Dates!D$10,Dates!D$11,'Day4'!$B34)</f>
        <v>0</v>
      </c>
      <c r="E34" s="7">
        <f>averageResponseTimePorter(Dates!E$10,Dates!E$11,'Day4'!$B34)</f>
        <v>0</v>
      </c>
      <c r="F34" s="7">
        <f>averageResponseTimePorter(Dates!F$10,Dates!F$11,'Day4'!$B34)</f>
        <v>0</v>
      </c>
      <c r="G34" s="7">
        <f>averageResponseTimePorter(Dates!G$10,Dates!G$11,'Day4'!$B34)</f>
        <v>0</v>
      </c>
      <c r="H34" s="7">
        <f>averageResponseTimePorter(Dates!H$10,Dates!H$11,'Day4'!$B34)</f>
        <v>0</v>
      </c>
      <c r="I34" s="7">
        <f>averageResponseTimePorter(Dates!I$10,Dates!I$11,'Day4'!$B34)</f>
        <v>0</v>
      </c>
      <c r="J34" s="7">
        <f>averageResponseTimePorter(Dates!J$10,Dates!J$11,'Day4'!$B34)</f>
        <v>0</v>
      </c>
      <c r="K34" s="7">
        <f>averageResponseTimePorter(Dates!K$10,Dates!K$11,'Day4'!$B34)</f>
        <v>0</v>
      </c>
      <c r="L34" s="7">
        <f>averageResponseTimePorter(Dates!L$10,Dates!L$11,'Day4'!$B34)</f>
        <v>0</v>
      </c>
      <c r="M34" s="7">
        <f>averageResponseTimePorter(Dates!M$10,Dates!M$11,'Day4'!$B34)</f>
        <v>0</v>
      </c>
      <c r="N34" s="7">
        <f>averageResponseTimePorter(Dates!N$10,Dates!N$11,'Day4'!$B34)</f>
        <v>0</v>
      </c>
      <c r="O34" s="7">
        <f>averageResponseTimePorter(Dates!O$10,Dates!O$11,'Day4'!$B34)</f>
        <v>0</v>
      </c>
      <c r="P34" s="7">
        <f>averageResponseTimePorter(Dates!P$10,Dates!P$11,'Day4'!$B34)</f>
        <v>0</v>
      </c>
      <c r="Q34" s="7">
        <f>averageResponseTimePorter(Dates!Q$10,Dates!Q$11,'Day4'!$B34)</f>
        <v>0</v>
      </c>
      <c r="R34" s="7">
        <f>averageResponseTimePorter(Dates!R$10,Dates!R$11,'Day4'!$B34)</f>
        <v>0</v>
      </c>
      <c r="S34" s="7">
        <f>averageResponseTimePorter(Dates!S$10,Dates!S$11,'Day4'!$B34)</f>
        <v>0</v>
      </c>
      <c r="T34" s="7">
        <f>averageResponseTimePorter(Dates!T$10,Dates!T$11,'Day4'!$B34)</f>
        <v>0</v>
      </c>
      <c r="U34" s="7">
        <f>averageResponseTimePorter(Dates!$C$10,Dates!$T$11,'Day4'!$B11)</f>
        <v>0</v>
      </c>
    </row>
    <row r="35" spans="2:21" x14ac:dyDescent="0.3">
      <c r="B35" s="11">
        <f t="shared" si="0"/>
        <v>9</v>
      </c>
      <c r="C35" s="7">
        <f>averageResponseTimePorter(Dates!C$10,Dates!C$11,'Day4'!$B35)</f>
        <v>0</v>
      </c>
      <c r="D35" s="7">
        <f>averageResponseTimePorter(Dates!D$10,Dates!D$11,'Day4'!$B35)</f>
        <v>0</v>
      </c>
      <c r="E35" s="7">
        <f>averageResponseTimePorter(Dates!E$10,Dates!E$11,'Day4'!$B35)</f>
        <v>0</v>
      </c>
      <c r="F35" s="7">
        <f>averageResponseTimePorter(Dates!F$10,Dates!F$11,'Day4'!$B35)</f>
        <v>0</v>
      </c>
      <c r="G35" s="7">
        <f>averageResponseTimePorter(Dates!G$10,Dates!G$11,'Day4'!$B35)</f>
        <v>0</v>
      </c>
      <c r="H35" s="7">
        <f>averageResponseTimePorter(Dates!H$10,Dates!H$11,'Day4'!$B35)</f>
        <v>0</v>
      </c>
      <c r="I35" s="7">
        <f>averageResponseTimePorter(Dates!I$10,Dates!I$11,'Day4'!$B35)</f>
        <v>0</v>
      </c>
      <c r="J35" s="7">
        <f>averageResponseTimePorter(Dates!J$10,Dates!J$11,'Day4'!$B35)</f>
        <v>0</v>
      </c>
      <c r="K35" s="7">
        <f>averageResponseTimePorter(Dates!K$10,Dates!K$11,'Day4'!$B35)</f>
        <v>0</v>
      </c>
      <c r="L35" s="7">
        <f>averageResponseTimePorter(Dates!L$10,Dates!L$11,'Day4'!$B35)</f>
        <v>0</v>
      </c>
      <c r="M35" s="7">
        <f>averageResponseTimePorter(Dates!M$10,Dates!M$11,'Day4'!$B35)</f>
        <v>0</v>
      </c>
      <c r="N35" s="7">
        <f>averageResponseTimePorter(Dates!N$10,Dates!N$11,'Day4'!$B35)</f>
        <v>0</v>
      </c>
      <c r="O35" s="7">
        <f>averageResponseTimePorter(Dates!O$10,Dates!O$11,'Day4'!$B35)</f>
        <v>0</v>
      </c>
      <c r="P35" s="7">
        <f>averageResponseTimePorter(Dates!P$10,Dates!P$11,'Day4'!$B35)</f>
        <v>0</v>
      </c>
      <c r="Q35" s="7">
        <f>averageResponseTimePorter(Dates!Q$10,Dates!Q$11,'Day4'!$B35)</f>
        <v>0</v>
      </c>
      <c r="R35" s="7">
        <f>averageResponseTimePorter(Dates!R$10,Dates!R$11,'Day4'!$B35)</f>
        <v>0</v>
      </c>
      <c r="S35" s="7">
        <f>averageResponseTimePorter(Dates!S$10,Dates!S$11,'Day4'!$B35)</f>
        <v>0</v>
      </c>
      <c r="T35" s="7">
        <f>averageResponseTimePorter(Dates!T$10,Dates!T$11,'Day4'!$B35)</f>
        <v>0</v>
      </c>
      <c r="U35" s="7">
        <f>averageResponseTimePorter(Dates!$C$10,Dates!$T$11,'Day4'!$B12)</f>
        <v>0</v>
      </c>
    </row>
    <row r="36" spans="2:21" x14ac:dyDescent="0.3">
      <c r="B36" s="11">
        <f t="shared" si="0"/>
        <v>7</v>
      </c>
      <c r="C36" s="7">
        <f>averageResponseTimePorter(Dates!C$10,Dates!C$11,'Day4'!$B36)</f>
        <v>0</v>
      </c>
      <c r="D36" s="7">
        <f>averageResponseTimePorter(Dates!D$10,Dates!D$11,'Day4'!$B36)</f>
        <v>0</v>
      </c>
      <c r="E36" s="7">
        <f>averageResponseTimePorter(Dates!E$10,Dates!E$11,'Day4'!$B36)</f>
        <v>0</v>
      </c>
      <c r="F36" s="7">
        <f>averageResponseTimePorter(Dates!F$10,Dates!F$11,'Day4'!$B36)</f>
        <v>0</v>
      </c>
      <c r="G36" s="7">
        <f>averageResponseTimePorter(Dates!G$10,Dates!G$11,'Day4'!$B36)</f>
        <v>0</v>
      </c>
      <c r="H36" s="7">
        <f>averageResponseTimePorter(Dates!H$10,Dates!H$11,'Day4'!$B36)</f>
        <v>0</v>
      </c>
      <c r="I36" s="7">
        <f>averageResponseTimePorter(Dates!I$10,Dates!I$11,'Day4'!$B36)</f>
        <v>0</v>
      </c>
      <c r="J36" s="7">
        <f>averageResponseTimePorter(Dates!J$10,Dates!J$11,'Day4'!$B36)</f>
        <v>0</v>
      </c>
      <c r="K36" s="7">
        <f>averageResponseTimePorter(Dates!K$10,Dates!K$11,'Day4'!$B36)</f>
        <v>0</v>
      </c>
      <c r="L36" s="7">
        <f>averageResponseTimePorter(Dates!L$10,Dates!L$11,'Day4'!$B36)</f>
        <v>0</v>
      </c>
      <c r="M36" s="7">
        <f>averageResponseTimePorter(Dates!M$10,Dates!M$11,'Day4'!$B36)</f>
        <v>0</v>
      </c>
      <c r="N36" s="7">
        <f>averageResponseTimePorter(Dates!N$10,Dates!N$11,'Day4'!$B36)</f>
        <v>0</v>
      </c>
      <c r="O36" s="7">
        <f>averageResponseTimePorter(Dates!O$10,Dates!O$11,'Day4'!$B36)</f>
        <v>0</v>
      </c>
      <c r="P36" s="7">
        <f>averageResponseTimePorter(Dates!P$10,Dates!P$11,'Day4'!$B36)</f>
        <v>0</v>
      </c>
      <c r="Q36" s="7">
        <f>averageResponseTimePorter(Dates!Q$10,Dates!Q$11,'Day4'!$B36)</f>
        <v>0</v>
      </c>
      <c r="R36" s="7">
        <f>averageResponseTimePorter(Dates!R$10,Dates!R$11,'Day4'!$B36)</f>
        <v>0</v>
      </c>
      <c r="S36" s="7">
        <f>averageResponseTimePorter(Dates!S$10,Dates!S$11,'Day4'!$B36)</f>
        <v>0</v>
      </c>
      <c r="T36" s="7">
        <f>averageResponseTimePorter(Dates!T$10,Dates!T$11,'Day4'!$B36)</f>
        <v>0</v>
      </c>
      <c r="U36" s="7">
        <f>averageResponseTimePorter(Dates!$C$10,Dates!$T$11,'Day4'!$B13)</f>
        <v>0</v>
      </c>
    </row>
    <row r="37" spans="2:21" x14ac:dyDescent="0.3">
      <c r="B37" s="11" t="str">
        <f t="shared" ref="B37:B46" si="1">B14</f>
        <v>NA14</v>
      </c>
      <c r="C37" s="7">
        <f>averageResponseTimePorter(Dates!C$10,Dates!C$11,'Day4'!$B37)</f>
        <v>0</v>
      </c>
      <c r="D37" s="7">
        <f>averageResponseTimePorter(Dates!D$10,Dates!D$11,'Day4'!$B37)</f>
        <v>0</v>
      </c>
      <c r="E37" s="7">
        <f>averageResponseTimePorter(Dates!E$10,Dates!E$11,'Day4'!$B37)</f>
        <v>0</v>
      </c>
      <c r="F37" s="7">
        <f>averageResponseTimePorter(Dates!F$10,Dates!F$11,'Day4'!$B37)</f>
        <v>0</v>
      </c>
      <c r="G37" s="7">
        <f>averageResponseTimePorter(Dates!G$10,Dates!G$11,'Day4'!$B37)</f>
        <v>0</v>
      </c>
      <c r="H37" s="7">
        <f>averageResponseTimePorter(Dates!H$10,Dates!H$11,'Day4'!$B37)</f>
        <v>0</v>
      </c>
      <c r="I37" s="7">
        <f>averageResponseTimePorter(Dates!I$10,Dates!I$11,'Day4'!$B37)</f>
        <v>0</v>
      </c>
      <c r="J37" s="7">
        <f>averageResponseTimePorter(Dates!J$10,Dates!J$11,'Day4'!$B37)</f>
        <v>0</v>
      </c>
      <c r="K37" s="7">
        <f>averageResponseTimePorter(Dates!K$10,Dates!K$11,'Day4'!$B37)</f>
        <v>0</v>
      </c>
      <c r="L37" s="7">
        <f>averageResponseTimePorter(Dates!L$10,Dates!L$11,'Day4'!$B37)</f>
        <v>0</v>
      </c>
      <c r="M37" s="7">
        <f>averageResponseTimePorter(Dates!M$10,Dates!M$11,'Day4'!$B37)</f>
        <v>0</v>
      </c>
      <c r="N37" s="7">
        <f>averageResponseTimePorter(Dates!N$10,Dates!N$11,'Day4'!$B37)</f>
        <v>0</v>
      </c>
      <c r="O37" s="7">
        <f>averageResponseTimePorter(Dates!O$10,Dates!O$11,'Day4'!$B37)</f>
        <v>0</v>
      </c>
      <c r="P37" s="7">
        <f>averageResponseTimePorter(Dates!P$10,Dates!P$11,'Day4'!$B37)</f>
        <v>0</v>
      </c>
      <c r="Q37" s="7">
        <f>averageResponseTimePorter(Dates!Q$10,Dates!Q$11,'Day4'!$B37)</f>
        <v>0</v>
      </c>
      <c r="R37" s="7">
        <f>averageResponseTimePorter(Dates!R$10,Dates!R$11,'Day4'!$B37)</f>
        <v>0</v>
      </c>
      <c r="S37" s="7">
        <f>averageResponseTimePorter(Dates!S$10,Dates!S$11,'Day4'!$B37)</f>
        <v>0</v>
      </c>
      <c r="T37" s="7">
        <f>averageResponseTimePorter(Dates!T$10,Dates!T$11,'Day4'!$B37)</f>
        <v>0</v>
      </c>
      <c r="U37" s="7">
        <f>averageResponseTimePorter(Dates!$C$10,Dates!$T$11,'Day4'!$B14)</f>
        <v>0</v>
      </c>
    </row>
    <row r="38" spans="2:21" x14ac:dyDescent="0.3">
      <c r="B38" s="11" t="str">
        <f t="shared" si="1"/>
        <v>NA15</v>
      </c>
      <c r="C38" s="7">
        <f>averageResponseTimePorter(Dates!C$10,Dates!C$11,'Day4'!$B38)</f>
        <v>0</v>
      </c>
      <c r="D38" s="7">
        <f>averageResponseTimePorter(Dates!D$10,Dates!D$11,'Day4'!$B38)</f>
        <v>0</v>
      </c>
      <c r="E38" s="7">
        <f>averageResponseTimePorter(Dates!E$10,Dates!E$11,'Day4'!$B38)</f>
        <v>0</v>
      </c>
      <c r="F38" s="7">
        <f>averageResponseTimePorter(Dates!F$10,Dates!F$11,'Day4'!$B38)</f>
        <v>0</v>
      </c>
      <c r="G38" s="7">
        <f>averageResponseTimePorter(Dates!G$10,Dates!G$11,'Day4'!$B38)</f>
        <v>0</v>
      </c>
      <c r="H38" s="7">
        <f>averageResponseTimePorter(Dates!H$10,Dates!H$11,'Day4'!$B38)</f>
        <v>0</v>
      </c>
      <c r="I38" s="7">
        <f>averageResponseTimePorter(Dates!I$10,Dates!I$11,'Day4'!$B38)</f>
        <v>0</v>
      </c>
      <c r="J38" s="7">
        <f>averageResponseTimePorter(Dates!J$10,Dates!J$11,'Day4'!$B38)</f>
        <v>0</v>
      </c>
      <c r="K38" s="7">
        <f>averageResponseTimePorter(Dates!K$10,Dates!K$11,'Day4'!$B38)</f>
        <v>0</v>
      </c>
      <c r="L38" s="7">
        <f>averageResponseTimePorter(Dates!L$10,Dates!L$11,'Day4'!$B38)</f>
        <v>0</v>
      </c>
      <c r="M38" s="7">
        <f>averageResponseTimePorter(Dates!M$10,Dates!M$11,'Day4'!$B38)</f>
        <v>0</v>
      </c>
      <c r="N38" s="7">
        <f>averageResponseTimePorter(Dates!N$10,Dates!N$11,'Day4'!$B38)</f>
        <v>0</v>
      </c>
      <c r="O38" s="7">
        <f>averageResponseTimePorter(Dates!O$10,Dates!O$11,'Day4'!$B38)</f>
        <v>0</v>
      </c>
      <c r="P38" s="7">
        <f>averageResponseTimePorter(Dates!P$10,Dates!P$11,'Day4'!$B38)</f>
        <v>0</v>
      </c>
      <c r="Q38" s="7">
        <f>averageResponseTimePorter(Dates!Q$10,Dates!Q$11,'Day4'!$B38)</f>
        <v>0</v>
      </c>
      <c r="R38" s="7">
        <f>averageResponseTimePorter(Dates!R$10,Dates!R$11,'Day4'!$B38)</f>
        <v>0</v>
      </c>
      <c r="S38" s="7">
        <f>averageResponseTimePorter(Dates!S$10,Dates!S$11,'Day4'!$B38)</f>
        <v>0</v>
      </c>
      <c r="T38" s="7">
        <f>averageResponseTimePorter(Dates!T$10,Dates!T$11,'Day4'!$B38)</f>
        <v>0</v>
      </c>
      <c r="U38" s="7">
        <f>averageResponseTimePorter(Dates!$C$10,Dates!$T$11,'Day4'!$B15)</f>
        <v>0</v>
      </c>
    </row>
    <row r="39" spans="2:21" x14ac:dyDescent="0.3">
      <c r="B39" s="11" t="str">
        <f t="shared" si="1"/>
        <v>NA16</v>
      </c>
      <c r="C39" s="7">
        <f>averageResponseTimePorter(Dates!C$10,Dates!C$11,'Day4'!$B39)</f>
        <v>0</v>
      </c>
      <c r="D39" s="7">
        <f>averageResponseTimePorter(Dates!D$10,Dates!D$11,'Day4'!$B39)</f>
        <v>0</v>
      </c>
      <c r="E39" s="7">
        <f>averageResponseTimePorter(Dates!E$10,Dates!E$11,'Day4'!$B39)</f>
        <v>0</v>
      </c>
      <c r="F39" s="7">
        <f>averageResponseTimePorter(Dates!F$10,Dates!F$11,'Day4'!$B39)</f>
        <v>0</v>
      </c>
      <c r="G39" s="7">
        <f>averageResponseTimePorter(Dates!G$10,Dates!G$11,'Day4'!$B39)</f>
        <v>0</v>
      </c>
      <c r="H39" s="7">
        <f>averageResponseTimePorter(Dates!H$10,Dates!H$11,'Day4'!$B39)</f>
        <v>0</v>
      </c>
      <c r="I39" s="7">
        <f>averageResponseTimePorter(Dates!I$10,Dates!I$11,'Day4'!$B39)</f>
        <v>0</v>
      </c>
      <c r="J39" s="7">
        <f>averageResponseTimePorter(Dates!J$10,Dates!J$11,'Day4'!$B39)</f>
        <v>0</v>
      </c>
      <c r="K39" s="7">
        <f>averageResponseTimePorter(Dates!K$10,Dates!K$11,'Day4'!$B39)</f>
        <v>0</v>
      </c>
      <c r="L39" s="7">
        <f>averageResponseTimePorter(Dates!L$10,Dates!L$11,'Day4'!$B39)</f>
        <v>0</v>
      </c>
      <c r="M39" s="7">
        <f>averageResponseTimePorter(Dates!M$10,Dates!M$11,'Day4'!$B39)</f>
        <v>0</v>
      </c>
      <c r="N39" s="7">
        <f>averageResponseTimePorter(Dates!N$10,Dates!N$11,'Day4'!$B39)</f>
        <v>0</v>
      </c>
      <c r="O39" s="7">
        <f>averageResponseTimePorter(Dates!O$10,Dates!O$11,'Day4'!$B39)</f>
        <v>0</v>
      </c>
      <c r="P39" s="7">
        <f>averageResponseTimePorter(Dates!P$10,Dates!P$11,'Day4'!$B39)</f>
        <v>0</v>
      </c>
      <c r="Q39" s="7">
        <f>averageResponseTimePorter(Dates!Q$10,Dates!Q$11,'Day4'!$B39)</f>
        <v>0</v>
      </c>
      <c r="R39" s="7">
        <f>averageResponseTimePorter(Dates!R$10,Dates!R$11,'Day4'!$B39)</f>
        <v>0</v>
      </c>
      <c r="S39" s="7">
        <f>averageResponseTimePorter(Dates!S$10,Dates!S$11,'Day4'!$B39)</f>
        <v>0</v>
      </c>
      <c r="T39" s="7">
        <f>averageResponseTimePorter(Dates!T$10,Dates!T$11,'Day4'!$B39)</f>
        <v>0</v>
      </c>
      <c r="U39" s="7">
        <f>averageResponseTimePorter(Dates!$C$10,Dates!$T$11,'Day4'!$B16)</f>
        <v>0</v>
      </c>
    </row>
    <row r="40" spans="2:21" x14ac:dyDescent="0.3">
      <c r="B40" s="11" t="str">
        <f t="shared" si="1"/>
        <v>NA17</v>
      </c>
      <c r="C40" s="7">
        <f>averageResponseTimePorter(Dates!C$10,Dates!C$11,'Day4'!$B40)</f>
        <v>0</v>
      </c>
      <c r="D40" s="7">
        <f>averageResponseTimePorter(Dates!D$10,Dates!D$11,'Day4'!$B40)</f>
        <v>0</v>
      </c>
      <c r="E40" s="7">
        <f>averageResponseTimePorter(Dates!E$10,Dates!E$11,'Day4'!$B40)</f>
        <v>0</v>
      </c>
      <c r="F40" s="7">
        <f>averageResponseTimePorter(Dates!F$10,Dates!F$11,'Day4'!$B40)</f>
        <v>0</v>
      </c>
      <c r="G40" s="7">
        <f>averageResponseTimePorter(Dates!G$10,Dates!G$11,'Day4'!$B40)</f>
        <v>0</v>
      </c>
      <c r="H40" s="7">
        <f>averageResponseTimePorter(Dates!H$10,Dates!H$11,'Day4'!$B40)</f>
        <v>0</v>
      </c>
      <c r="I40" s="7">
        <f>averageResponseTimePorter(Dates!I$10,Dates!I$11,'Day4'!$B40)</f>
        <v>0</v>
      </c>
      <c r="J40" s="7">
        <f>averageResponseTimePorter(Dates!J$10,Dates!J$11,'Day4'!$B40)</f>
        <v>0</v>
      </c>
      <c r="K40" s="7">
        <f>averageResponseTimePorter(Dates!K$10,Dates!K$11,'Day4'!$B40)</f>
        <v>0</v>
      </c>
      <c r="L40" s="7">
        <f>averageResponseTimePorter(Dates!L$10,Dates!L$11,'Day4'!$B40)</f>
        <v>0</v>
      </c>
      <c r="M40" s="7">
        <f>averageResponseTimePorter(Dates!M$10,Dates!M$11,'Day4'!$B40)</f>
        <v>0</v>
      </c>
      <c r="N40" s="7">
        <f>averageResponseTimePorter(Dates!N$10,Dates!N$11,'Day4'!$B40)</f>
        <v>0</v>
      </c>
      <c r="O40" s="7">
        <f>averageResponseTimePorter(Dates!O$10,Dates!O$11,'Day4'!$B40)</f>
        <v>0</v>
      </c>
      <c r="P40" s="7">
        <f>averageResponseTimePorter(Dates!P$10,Dates!P$11,'Day4'!$B40)</f>
        <v>0</v>
      </c>
      <c r="Q40" s="7">
        <f>averageResponseTimePorter(Dates!Q$10,Dates!Q$11,'Day4'!$B40)</f>
        <v>0</v>
      </c>
      <c r="R40" s="7">
        <f>averageResponseTimePorter(Dates!R$10,Dates!R$11,'Day4'!$B40)</f>
        <v>0</v>
      </c>
      <c r="S40" s="7">
        <f>averageResponseTimePorter(Dates!S$10,Dates!S$11,'Day4'!$B40)</f>
        <v>0</v>
      </c>
      <c r="T40" s="7">
        <f>averageResponseTimePorter(Dates!T$10,Dates!T$11,'Day4'!$B40)</f>
        <v>0</v>
      </c>
      <c r="U40" s="7">
        <f>averageResponseTimePorter(Dates!$C$10,Dates!$T$11,'Day4'!$B17)</f>
        <v>0</v>
      </c>
    </row>
    <row r="41" spans="2:21" x14ac:dyDescent="0.3">
      <c r="B41" s="11" t="str">
        <f t="shared" si="1"/>
        <v>NA18</v>
      </c>
      <c r="C41" s="7">
        <f>averageResponseTimePorter(Dates!C$10,Dates!C$11,'Day4'!$B41)</f>
        <v>0</v>
      </c>
      <c r="D41" s="7">
        <f>averageResponseTimePorter(Dates!D$10,Dates!D$11,'Day4'!$B41)</f>
        <v>0</v>
      </c>
      <c r="E41" s="7">
        <f>averageResponseTimePorter(Dates!E$10,Dates!E$11,'Day4'!$B41)</f>
        <v>0</v>
      </c>
      <c r="F41" s="7">
        <f>averageResponseTimePorter(Dates!F$10,Dates!F$11,'Day4'!$B41)</f>
        <v>0</v>
      </c>
      <c r="G41" s="7">
        <f>averageResponseTimePorter(Dates!G$10,Dates!G$11,'Day4'!$B41)</f>
        <v>0</v>
      </c>
      <c r="H41" s="7">
        <f>averageResponseTimePorter(Dates!H$10,Dates!H$11,'Day4'!$B41)</f>
        <v>0</v>
      </c>
      <c r="I41" s="7">
        <f>averageResponseTimePorter(Dates!I$10,Dates!I$11,'Day4'!$B41)</f>
        <v>0</v>
      </c>
      <c r="J41" s="7">
        <f>averageResponseTimePorter(Dates!J$10,Dates!J$11,'Day4'!$B41)</f>
        <v>0</v>
      </c>
      <c r="K41" s="7">
        <f>averageResponseTimePorter(Dates!K$10,Dates!K$11,'Day4'!$B41)</f>
        <v>0</v>
      </c>
      <c r="L41" s="7">
        <f>averageResponseTimePorter(Dates!L$10,Dates!L$11,'Day4'!$B41)</f>
        <v>0</v>
      </c>
      <c r="M41" s="7">
        <f>averageResponseTimePorter(Dates!M$10,Dates!M$11,'Day4'!$B41)</f>
        <v>0</v>
      </c>
      <c r="N41" s="7">
        <f>averageResponseTimePorter(Dates!N$10,Dates!N$11,'Day4'!$B41)</f>
        <v>0</v>
      </c>
      <c r="O41" s="7">
        <f>averageResponseTimePorter(Dates!O$10,Dates!O$11,'Day4'!$B41)</f>
        <v>0</v>
      </c>
      <c r="P41" s="7">
        <f>averageResponseTimePorter(Dates!P$10,Dates!P$11,'Day4'!$B41)</f>
        <v>0</v>
      </c>
      <c r="Q41" s="7">
        <f>averageResponseTimePorter(Dates!Q$10,Dates!Q$11,'Day4'!$B41)</f>
        <v>0</v>
      </c>
      <c r="R41" s="7">
        <f>averageResponseTimePorter(Dates!R$10,Dates!R$11,'Day4'!$B41)</f>
        <v>0</v>
      </c>
      <c r="S41" s="7">
        <f>averageResponseTimePorter(Dates!S$10,Dates!S$11,'Day4'!$B41)</f>
        <v>0</v>
      </c>
      <c r="T41" s="7">
        <f>averageResponseTimePorter(Dates!T$10,Dates!T$11,'Day4'!$B41)</f>
        <v>0</v>
      </c>
      <c r="U41" s="7">
        <f>averageResponseTimePorter(Dates!$C$10,Dates!$T$11,'Day4'!$B18)</f>
        <v>0</v>
      </c>
    </row>
    <row r="42" spans="2:21" x14ac:dyDescent="0.3">
      <c r="B42" s="11" t="str">
        <f t="shared" si="1"/>
        <v>NA19</v>
      </c>
      <c r="C42" s="7">
        <f>averageResponseTimePorter(Dates!C$10,Dates!C$11,'Day4'!$B42)</f>
        <v>0</v>
      </c>
      <c r="D42" s="7">
        <f>averageResponseTimePorter(Dates!D$10,Dates!D$11,'Day4'!$B42)</f>
        <v>0</v>
      </c>
      <c r="E42" s="7">
        <f>averageResponseTimePorter(Dates!E$10,Dates!E$11,'Day4'!$B42)</f>
        <v>0</v>
      </c>
      <c r="F42" s="7">
        <f>averageResponseTimePorter(Dates!F$10,Dates!F$11,'Day4'!$B42)</f>
        <v>0</v>
      </c>
      <c r="G42" s="7">
        <f>averageResponseTimePorter(Dates!G$10,Dates!G$11,'Day4'!$B42)</f>
        <v>0</v>
      </c>
      <c r="H42" s="7">
        <f>averageResponseTimePorter(Dates!H$10,Dates!H$11,'Day4'!$B42)</f>
        <v>0</v>
      </c>
      <c r="I42" s="7">
        <f>averageResponseTimePorter(Dates!I$10,Dates!I$11,'Day4'!$B42)</f>
        <v>0</v>
      </c>
      <c r="J42" s="7">
        <f>averageResponseTimePorter(Dates!J$10,Dates!J$11,'Day4'!$B42)</f>
        <v>0</v>
      </c>
      <c r="K42" s="7">
        <f>averageResponseTimePorter(Dates!K$10,Dates!K$11,'Day4'!$B42)</f>
        <v>0</v>
      </c>
      <c r="L42" s="7">
        <f>averageResponseTimePorter(Dates!L$10,Dates!L$11,'Day4'!$B42)</f>
        <v>0</v>
      </c>
      <c r="M42" s="7">
        <f>averageResponseTimePorter(Dates!M$10,Dates!M$11,'Day4'!$B42)</f>
        <v>0</v>
      </c>
      <c r="N42" s="7">
        <f>averageResponseTimePorter(Dates!N$10,Dates!N$11,'Day4'!$B42)</f>
        <v>0</v>
      </c>
      <c r="O42" s="7">
        <f>averageResponseTimePorter(Dates!O$10,Dates!O$11,'Day4'!$B42)</f>
        <v>0</v>
      </c>
      <c r="P42" s="7">
        <f>averageResponseTimePorter(Dates!P$10,Dates!P$11,'Day4'!$B42)</f>
        <v>0</v>
      </c>
      <c r="Q42" s="7">
        <f>averageResponseTimePorter(Dates!Q$10,Dates!Q$11,'Day4'!$B42)</f>
        <v>0</v>
      </c>
      <c r="R42" s="7">
        <f>averageResponseTimePorter(Dates!R$10,Dates!R$11,'Day4'!$B42)</f>
        <v>0</v>
      </c>
      <c r="S42" s="7">
        <f>averageResponseTimePorter(Dates!S$10,Dates!S$11,'Day4'!$B42)</f>
        <v>0</v>
      </c>
      <c r="T42" s="7">
        <f>averageResponseTimePorter(Dates!T$10,Dates!T$11,'Day4'!$B42)</f>
        <v>0</v>
      </c>
      <c r="U42" s="7">
        <f>averageResponseTimePorter(Dates!$C$10,Dates!$T$11,'Day4'!$B19)</f>
        <v>0</v>
      </c>
    </row>
    <row r="43" spans="2:21" x14ac:dyDescent="0.3">
      <c r="B43" s="11" t="str">
        <f t="shared" si="1"/>
        <v>NA20</v>
      </c>
      <c r="C43" s="7">
        <f>averageResponseTimePorter(Dates!C$10,Dates!C$11,'Day4'!$B43)</f>
        <v>0</v>
      </c>
      <c r="D43" s="7">
        <f>averageResponseTimePorter(Dates!D$10,Dates!D$11,'Day4'!$B43)</f>
        <v>0</v>
      </c>
      <c r="E43" s="7">
        <f>averageResponseTimePorter(Dates!E$10,Dates!E$11,'Day4'!$B43)</f>
        <v>0</v>
      </c>
      <c r="F43" s="7">
        <f>averageResponseTimePorter(Dates!F$10,Dates!F$11,'Day4'!$B43)</f>
        <v>0</v>
      </c>
      <c r="G43" s="7">
        <f>averageResponseTimePorter(Dates!G$10,Dates!G$11,'Day4'!$B43)</f>
        <v>0</v>
      </c>
      <c r="H43" s="7">
        <f>averageResponseTimePorter(Dates!H$10,Dates!H$11,'Day4'!$B43)</f>
        <v>0</v>
      </c>
      <c r="I43" s="7">
        <f>averageResponseTimePorter(Dates!I$10,Dates!I$11,'Day4'!$B43)</f>
        <v>0</v>
      </c>
      <c r="J43" s="7">
        <f>averageResponseTimePorter(Dates!J$10,Dates!J$11,'Day4'!$B43)</f>
        <v>0</v>
      </c>
      <c r="K43" s="7">
        <f>averageResponseTimePorter(Dates!K$10,Dates!K$11,'Day4'!$B43)</f>
        <v>0</v>
      </c>
      <c r="L43" s="7">
        <f>averageResponseTimePorter(Dates!L$10,Dates!L$11,'Day4'!$B43)</f>
        <v>0</v>
      </c>
      <c r="M43" s="7">
        <f>averageResponseTimePorter(Dates!M$10,Dates!M$11,'Day4'!$B43)</f>
        <v>0</v>
      </c>
      <c r="N43" s="7">
        <f>averageResponseTimePorter(Dates!N$10,Dates!N$11,'Day4'!$B43)</f>
        <v>0</v>
      </c>
      <c r="O43" s="7">
        <f>averageResponseTimePorter(Dates!O$10,Dates!O$11,'Day4'!$B43)</f>
        <v>0</v>
      </c>
      <c r="P43" s="7">
        <f>averageResponseTimePorter(Dates!P$10,Dates!P$11,'Day4'!$B43)</f>
        <v>0</v>
      </c>
      <c r="Q43" s="7">
        <f>averageResponseTimePorter(Dates!Q$10,Dates!Q$11,'Day4'!$B43)</f>
        <v>0</v>
      </c>
      <c r="R43" s="7">
        <f>averageResponseTimePorter(Dates!R$10,Dates!R$11,'Day4'!$B43)</f>
        <v>0</v>
      </c>
      <c r="S43" s="7">
        <f>averageResponseTimePorter(Dates!S$10,Dates!S$11,'Day4'!$B43)</f>
        <v>0</v>
      </c>
      <c r="T43" s="7">
        <f>averageResponseTimePorter(Dates!T$10,Dates!T$11,'Day4'!$B43)</f>
        <v>0</v>
      </c>
      <c r="U43" s="7">
        <f>averageResponseTimePorter(Dates!$C$10,Dates!$T$11,'Day4'!$B20)</f>
        <v>0</v>
      </c>
    </row>
    <row r="44" spans="2:21" x14ac:dyDescent="0.3">
      <c r="B44" s="11" t="str">
        <f t="shared" si="1"/>
        <v>NA21</v>
      </c>
      <c r="C44" s="7">
        <f>averageResponseTimePorter(Dates!C$10,Dates!C$11,'Day4'!$B44)</f>
        <v>0</v>
      </c>
      <c r="D44" s="7">
        <f>averageResponseTimePorter(Dates!D$10,Dates!D$11,'Day4'!$B44)</f>
        <v>0</v>
      </c>
      <c r="E44" s="7">
        <f>averageResponseTimePorter(Dates!E$10,Dates!E$11,'Day4'!$B44)</f>
        <v>0</v>
      </c>
      <c r="F44" s="7">
        <f>averageResponseTimePorter(Dates!F$10,Dates!F$11,'Day4'!$B44)</f>
        <v>0</v>
      </c>
      <c r="G44" s="7">
        <f>averageResponseTimePorter(Dates!G$10,Dates!G$11,'Day4'!$B44)</f>
        <v>0</v>
      </c>
      <c r="H44" s="7">
        <f>averageResponseTimePorter(Dates!H$10,Dates!H$11,'Day4'!$B44)</f>
        <v>0</v>
      </c>
      <c r="I44" s="7">
        <f>averageResponseTimePorter(Dates!I$10,Dates!I$11,'Day4'!$B44)</f>
        <v>0</v>
      </c>
      <c r="J44" s="7">
        <f>averageResponseTimePorter(Dates!J$10,Dates!J$11,'Day4'!$B44)</f>
        <v>0</v>
      </c>
      <c r="K44" s="7">
        <f>averageResponseTimePorter(Dates!K$10,Dates!K$11,'Day4'!$B44)</f>
        <v>0</v>
      </c>
      <c r="L44" s="7">
        <f>averageResponseTimePorter(Dates!L$10,Dates!L$11,'Day4'!$B44)</f>
        <v>0</v>
      </c>
      <c r="M44" s="7">
        <f>averageResponseTimePorter(Dates!M$10,Dates!M$11,'Day4'!$B44)</f>
        <v>0</v>
      </c>
      <c r="N44" s="7">
        <f>averageResponseTimePorter(Dates!N$10,Dates!N$11,'Day4'!$B44)</f>
        <v>0</v>
      </c>
      <c r="O44" s="7">
        <f>averageResponseTimePorter(Dates!O$10,Dates!O$11,'Day4'!$B44)</f>
        <v>0</v>
      </c>
      <c r="P44" s="7">
        <f>averageResponseTimePorter(Dates!P$10,Dates!P$11,'Day4'!$B44)</f>
        <v>0</v>
      </c>
      <c r="Q44" s="7">
        <f>averageResponseTimePorter(Dates!Q$10,Dates!Q$11,'Day4'!$B44)</f>
        <v>0</v>
      </c>
      <c r="R44" s="7">
        <f>averageResponseTimePorter(Dates!R$10,Dates!R$11,'Day4'!$B44)</f>
        <v>0</v>
      </c>
      <c r="S44" s="7">
        <f>averageResponseTimePorter(Dates!S$10,Dates!S$11,'Day4'!$B44)</f>
        <v>0</v>
      </c>
      <c r="T44" s="7">
        <f>averageResponseTimePorter(Dates!T$10,Dates!T$11,'Day4'!$B44)</f>
        <v>0</v>
      </c>
      <c r="U44" s="7">
        <f>averageResponseTimePorter(Dates!$C$10,Dates!$T$11,'Day4'!$B21)</f>
        <v>0</v>
      </c>
    </row>
    <row r="45" spans="2:21" x14ac:dyDescent="0.3">
      <c r="B45" s="11" t="str">
        <f t="shared" si="1"/>
        <v>NA22</v>
      </c>
      <c r="C45" s="7">
        <f>averageResponseTimePorter(Dates!C$10,Dates!C$11,'Day4'!$B45)</f>
        <v>0</v>
      </c>
      <c r="D45" s="7">
        <f>averageResponseTimePorter(Dates!D$10,Dates!D$11,'Day4'!$B45)</f>
        <v>0</v>
      </c>
      <c r="E45" s="7">
        <f>averageResponseTimePorter(Dates!E$10,Dates!E$11,'Day4'!$B45)</f>
        <v>0</v>
      </c>
      <c r="F45" s="7">
        <f>averageResponseTimePorter(Dates!F$10,Dates!F$11,'Day4'!$B45)</f>
        <v>0</v>
      </c>
      <c r="G45" s="7">
        <f>averageResponseTimePorter(Dates!G$10,Dates!G$11,'Day4'!$B45)</f>
        <v>0</v>
      </c>
      <c r="H45" s="7">
        <f>averageResponseTimePorter(Dates!H$10,Dates!H$11,'Day4'!$B45)</f>
        <v>0</v>
      </c>
      <c r="I45" s="7">
        <f>averageResponseTimePorter(Dates!I$10,Dates!I$11,'Day4'!$B45)</f>
        <v>0</v>
      </c>
      <c r="J45" s="7">
        <f>averageResponseTimePorter(Dates!J$10,Dates!J$11,'Day4'!$B45)</f>
        <v>0</v>
      </c>
      <c r="K45" s="7">
        <f>averageResponseTimePorter(Dates!K$10,Dates!K$11,'Day4'!$B45)</f>
        <v>0</v>
      </c>
      <c r="L45" s="7">
        <f>averageResponseTimePorter(Dates!L$10,Dates!L$11,'Day4'!$B45)</f>
        <v>0</v>
      </c>
      <c r="M45" s="7">
        <f>averageResponseTimePorter(Dates!M$10,Dates!M$11,'Day4'!$B45)</f>
        <v>0</v>
      </c>
      <c r="N45" s="7">
        <f>averageResponseTimePorter(Dates!N$10,Dates!N$11,'Day4'!$B45)</f>
        <v>0</v>
      </c>
      <c r="O45" s="7">
        <f>averageResponseTimePorter(Dates!O$10,Dates!O$11,'Day4'!$B45)</f>
        <v>0</v>
      </c>
      <c r="P45" s="7">
        <f>averageResponseTimePorter(Dates!P$10,Dates!P$11,'Day4'!$B45)</f>
        <v>0</v>
      </c>
      <c r="Q45" s="7">
        <f>averageResponseTimePorter(Dates!Q$10,Dates!Q$11,'Day4'!$B45)</f>
        <v>0</v>
      </c>
      <c r="R45" s="7">
        <f>averageResponseTimePorter(Dates!R$10,Dates!R$11,'Day4'!$B45)</f>
        <v>0</v>
      </c>
      <c r="S45" s="7">
        <f>averageResponseTimePorter(Dates!S$10,Dates!S$11,'Day4'!$B45)</f>
        <v>0</v>
      </c>
      <c r="T45" s="7">
        <f>averageResponseTimePorter(Dates!T$10,Dates!T$11,'Day4'!$B45)</f>
        <v>0</v>
      </c>
      <c r="U45" s="7">
        <f>averageResponseTimePorter(Dates!$C$10,Dates!$T$11,'Day4'!$B22)</f>
        <v>0</v>
      </c>
    </row>
    <row r="46" spans="2:21" x14ac:dyDescent="0.3">
      <c r="B46" s="11" t="str">
        <f t="shared" si="1"/>
        <v>NA23</v>
      </c>
      <c r="C46" s="7">
        <f>averageResponseTimePorter(Dates!C$10,Dates!C$11,'Day4'!$B46)</f>
        <v>0</v>
      </c>
      <c r="D46" s="7">
        <f>averageResponseTimePorter(Dates!D$10,Dates!D$11,'Day4'!$B46)</f>
        <v>0</v>
      </c>
      <c r="E46" s="7">
        <f>averageResponseTimePorter(Dates!E$10,Dates!E$11,'Day4'!$B46)</f>
        <v>0</v>
      </c>
      <c r="F46" s="7">
        <f>averageResponseTimePorter(Dates!F$10,Dates!F$11,'Day4'!$B46)</f>
        <v>0</v>
      </c>
      <c r="G46" s="7">
        <f>averageResponseTimePorter(Dates!G$10,Dates!G$11,'Day4'!$B46)</f>
        <v>0</v>
      </c>
      <c r="H46" s="7">
        <f>averageResponseTimePorter(Dates!H$10,Dates!H$11,'Day4'!$B46)</f>
        <v>0</v>
      </c>
      <c r="I46" s="7">
        <f>averageResponseTimePorter(Dates!I$10,Dates!I$11,'Day4'!$B46)</f>
        <v>0</v>
      </c>
      <c r="J46" s="7">
        <f>averageResponseTimePorter(Dates!J$10,Dates!J$11,'Day4'!$B46)</f>
        <v>0</v>
      </c>
      <c r="K46" s="7">
        <f>averageResponseTimePorter(Dates!K$10,Dates!K$11,'Day4'!$B46)</f>
        <v>0</v>
      </c>
      <c r="L46" s="7">
        <f>averageResponseTimePorter(Dates!L$10,Dates!L$11,'Day4'!$B46)</f>
        <v>0</v>
      </c>
      <c r="M46" s="7">
        <f>averageResponseTimePorter(Dates!M$10,Dates!M$11,'Day4'!$B46)</f>
        <v>0</v>
      </c>
      <c r="N46" s="7">
        <f>averageResponseTimePorter(Dates!N$10,Dates!N$11,'Day4'!$B46)</f>
        <v>0</v>
      </c>
      <c r="O46" s="7">
        <f>averageResponseTimePorter(Dates!O$10,Dates!O$11,'Day4'!$B46)</f>
        <v>0</v>
      </c>
      <c r="P46" s="7">
        <f>averageResponseTimePorter(Dates!P$10,Dates!P$11,'Day4'!$B46)</f>
        <v>0</v>
      </c>
      <c r="Q46" s="7">
        <f>averageResponseTimePorter(Dates!Q$10,Dates!Q$11,'Day4'!$B46)</f>
        <v>0</v>
      </c>
      <c r="R46" s="7">
        <f>averageResponseTimePorter(Dates!R$10,Dates!R$11,'Day4'!$B46)</f>
        <v>0</v>
      </c>
      <c r="S46" s="7">
        <f>averageResponseTimePorter(Dates!S$10,Dates!S$11,'Day4'!$B46)</f>
        <v>0</v>
      </c>
      <c r="T46" s="7">
        <f>averageResponseTimePorter(Dates!T$10,Dates!T$11,'Day4'!$B46)</f>
        <v>0</v>
      </c>
      <c r="U46" s="7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topLeftCell="A22" workbookViewId="0">
      <selection activeCell="U45" sqref="U45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averageCompletionTime(Dates!C12,Dates!C13)</f>
        <v>0</v>
      </c>
      <c r="D2" s="7">
        <f>averageCompletionTime(Dates!D12,Dates!D13)</f>
        <v>0</v>
      </c>
      <c r="E2" s="7">
        <f>averageCompletionTime(Dates!E12,Dates!E13)</f>
        <v>0</v>
      </c>
      <c r="F2" s="7">
        <f>averageCompletionTime(Dates!F12,Dates!F13)</f>
        <v>0</v>
      </c>
      <c r="G2" s="7">
        <f>averageCompletionTime(Dates!G12,Dates!G13)</f>
        <v>0</v>
      </c>
      <c r="H2" s="7">
        <f>averageCompletionTime(Dates!H12,Dates!H13)</f>
        <v>0</v>
      </c>
      <c r="I2" s="7">
        <f>averageCompletionTime(Dates!I12,Dates!I13)</f>
        <v>0</v>
      </c>
      <c r="J2" s="7">
        <f>averageCompletionTime(Dates!J12,Dates!J13)</f>
        <v>0</v>
      </c>
      <c r="K2" s="7">
        <f>averageCompletionTime(Dates!K12,Dates!K13)</f>
        <v>0</v>
      </c>
      <c r="L2" s="7">
        <f>averageCompletionTime(Dates!L12,Dates!L13)</f>
        <v>0</v>
      </c>
      <c r="M2" s="7">
        <f>averageCompletionTime(Dates!M12,Dates!M13)</f>
        <v>0</v>
      </c>
      <c r="N2" s="7">
        <f>averageCompletionTime(Dates!N12,Dates!N13)</f>
        <v>0</v>
      </c>
      <c r="O2" s="7">
        <f>averageCompletionTime(Dates!O12,Dates!O13)</f>
        <v>0</v>
      </c>
      <c r="P2" s="7">
        <f>averageCompletionTime(Dates!P12,Dates!P13)</f>
        <v>0</v>
      </c>
      <c r="Q2" s="7">
        <f>averageCompletionTime(Dates!Q12,Dates!Q13)</f>
        <v>0</v>
      </c>
      <c r="R2" s="7">
        <f>averageCompletionTime(Dates!R12,Dates!R13)</f>
        <v>0</v>
      </c>
      <c r="S2" s="7">
        <f>averageCompletionTime(Dates!S12,Dates!S13)</f>
        <v>0</v>
      </c>
      <c r="T2" s="7">
        <f>averageCompletionTime(Dates!T12,Dates!T13)</f>
        <v>0</v>
      </c>
      <c r="U2" s="7">
        <f>averageCompletionTime(Dates!C12,Dates!T13)</f>
        <v>0</v>
      </c>
    </row>
    <row r="3" spans="1:21" x14ac:dyDescent="0.3">
      <c r="A3" s="10" t="s">
        <v>141</v>
      </c>
      <c r="B3" s="12">
        <v>3</v>
      </c>
      <c r="C3" s="7">
        <f>averageCompletionTimePorter(Dates!C$12,Dates!C$13,'Day5'!$B3)</f>
        <v>0</v>
      </c>
      <c r="D3" s="7">
        <f>averageCompletionTimePorter(Dates!D$12,Dates!D$13,'Day5'!$B3)</f>
        <v>0</v>
      </c>
      <c r="E3" s="7">
        <f>averageCompletionTimePorter(Dates!E$12,Dates!E$13,'Day5'!$B3)</f>
        <v>0</v>
      </c>
      <c r="F3" s="7">
        <f>averageCompletionTimePorter(Dates!F$12,Dates!F$13,'Day5'!$B3)</f>
        <v>0</v>
      </c>
      <c r="G3" s="7">
        <f>averageCompletionTimePorter(Dates!G$12,Dates!G$13,'Day5'!$B3)</f>
        <v>0</v>
      </c>
      <c r="H3" s="7">
        <f>averageCompletionTimePorter(Dates!H$12,Dates!H$13,'Day5'!$B3)</f>
        <v>0</v>
      </c>
      <c r="I3" s="7">
        <f>averageCompletionTimePorter(Dates!I$12,Dates!I$13,'Day5'!$B3)</f>
        <v>0</v>
      </c>
      <c r="J3" s="7">
        <f>averageCompletionTimePorter(Dates!J$12,Dates!J$13,'Day5'!$B3)</f>
        <v>0</v>
      </c>
      <c r="K3" s="7">
        <f>averageCompletionTimePorter(Dates!K$12,Dates!K$13,'Day5'!$B3)</f>
        <v>0</v>
      </c>
      <c r="L3" s="7">
        <f>averageCompletionTimePorter(Dates!L$12,Dates!L$13,'Day5'!$B3)</f>
        <v>0</v>
      </c>
      <c r="M3" s="7">
        <f>averageCompletionTimePorter(Dates!M$12,Dates!M$13,'Day5'!$B3)</f>
        <v>0</v>
      </c>
      <c r="N3" s="7">
        <f>averageCompletionTimePorter(Dates!N$12,Dates!N$13,'Day5'!$B3)</f>
        <v>0</v>
      </c>
      <c r="O3" s="7">
        <f>averageCompletionTimePorter(Dates!O$12,Dates!O$13,'Day5'!$B3)</f>
        <v>0</v>
      </c>
      <c r="P3" s="7">
        <f>averageCompletionTimePorter(Dates!P$12,Dates!P$13,'Day5'!$B3)</f>
        <v>0</v>
      </c>
      <c r="Q3" s="7">
        <f>averageCompletionTimePorter(Dates!Q$12,Dates!Q$13,'Day5'!$B3)</f>
        <v>0</v>
      </c>
      <c r="R3" s="7">
        <f>averageCompletionTimePorter(Dates!R$12,Dates!R$13,'Day5'!$B3)</f>
        <v>0</v>
      </c>
      <c r="S3" s="7">
        <f>averageCompletionTimePorter(Dates!S$12,Dates!S$13,'Day5'!$B3)</f>
        <v>0</v>
      </c>
      <c r="T3" s="7">
        <f>averageCompletionTimePorter(Dates!T$12,Dates!T$13,'Day5'!$B3)</f>
        <v>0</v>
      </c>
      <c r="U3" s="7">
        <f>averageCompletionTimePorter(Dates!$C$12,Dates!$T$13,'Day5'!$B3)</f>
        <v>0</v>
      </c>
    </row>
    <row r="4" spans="1:21" x14ac:dyDescent="0.3">
      <c r="A4" s="10"/>
      <c r="B4" s="12">
        <v>2</v>
      </c>
      <c r="C4" s="7">
        <f>averageCompletionTimePorter(Dates!C$12,Dates!C$13,'Day5'!$B4)</f>
        <v>0</v>
      </c>
      <c r="D4" s="7">
        <f>averageCompletionTimePorter(Dates!D$12,Dates!D$13,'Day5'!$B4)</f>
        <v>0</v>
      </c>
      <c r="E4" s="7">
        <f>averageCompletionTimePorter(Dates!E$12,Dates!E$13,'Day5'!$B4)</f>
        <v>0</v>
      </c>
      <c r="F4" s="7">
        <f>averageCompletionTimePorter(Dates!F$12,Dates!F$13,'Day5'!$B4)</f>
        <v>0</v>
      </c>
      <c r="G4" s="7">
        <f>averageCompletionTimePorter(Dates!G$12,Dates!G$13,'Day5'!$B4)</f>
        <v>0</v>
      </c>
      <c r="H4" s="7">
        <f>averageCompletionTimePorter(Dates!H$12,Dates!H$13,'Day5'!$B4)</f>
        <v>0</v>
      </c>
      <c r="I4" s="7">
        <f>averageCompletionTimePorter(Dates!I$12,Dates!I$13,'Day5'!$B4)</f>
        <v>0</v>
      </c>
      <c r="J4" s="7">
        <f>averageCompletionTimePorter(Dates!J$12,Dates!J$13,'Day5'!$B4)</f>
        <v>0</v>
      </c>
      <c r="K4" s="7">
        <f>averageCompletionTimePorter(Dates!K$12,Dates!K$13,'Day5'!$B4)</f>
        <v>0</v>
      </c>
      <c r="L4" s="7">
        <f>averageCompletionTimePorter(Dates!L$12,Dates!L$13,'Day5'!$B4)</f>
        <v>0</v>
      </c>
      <c r="M4" s="7">
        <f>averageCompletionTimePorter(Dates!M$12,Dates!M$13,'Day5'!$B4)</f>
        <v>0</v>
      </c>
      <c r="N4" s="7">
        <f>averageCompletionTimePorter(Dates!N$12,Dates!N$13,'Day5'!$B4)</f>
        <v>0</v>
      </c>
      <c r="O4" s="7">
        <f>averageCompletionTimePorter(Dates!O$12,Dates!O$13,'Day5'!$B4)</f>
        <v>0</v>
      </c>
      <c r="P4" s="7">
        <f>averageCompletionTimePorter(Dates!P$12,Dates!P$13,'Day5'!$B4)</f>
        <v>0</v>
      </c>
      <c r="Q4" s="7">
        <f>averageCompletionTimePorter(Dates!Q$12,Dates!Q$13,'Day5'!$B4)</f>
        <v>0</v>
      </c>
      <c r="R4" s="7">
        <f>averageCompletionTimePorter(Dates!R$12,Dates!R$13,'Day5'!$B4)</f>
        <v>0</v>
      </c>
      <c r="S4" s="7">
        <f>averageCompletionTimePorter(Dates!S$12,Dates!S$13,'Day5'!$B4)</f>
        <v>0</v>
      </c>
      <c r="T4" s="7">
        <f>averageCompletionTimePorter(Dates!T$12,Dates!T$13,'Day5'!$B4)</f>
        <v>0</v>
      </c>
      <c r="U4" s="7">
        <f>averageCompletionTimePorter(Dates!$C$12,Dates!$T$13,'Day5'!$B4)</f>
        <v>0</v>
      </c>
    </row>
    <row r="5" spans="1:21" x14ac:dyDescent="0.3">
      <c r="A5" s="10"/>
      <c r="B5" s="12">
        <v>5</v>
      </c>
      <c r="C5" s="7">
        <f>averageCompletionTimePorter(Dates!C$12,Dates!C$13,'Day5'!$B5)</f>
        <v>0</v>
      </c>
      <c r="D5" s="7">
        <f>averageCompletionTimePorter(Dates!D$12,Dates!D$13,'Day5'!$B5)</f>
        <v>0</v>
      </c>
      <c r="E5" s="7">
        <f>averageCompletionTimePorter(Dates!E$12,Dates!E$13,'Day5'!$B5)</f>
        <v>0</v>
      </c>
      <c r="F5" s="7">
        <f>averageCompletionTimePorter(Dates!F$12,Dates!F$13,'Day5'!$B5)</f>
        <v>0</v>
      </c>
      <c r="G5" s="7">
        <f>averageCompletionTimePorter(Dates!G$12,Dates!G$13,'Day5'!$B5)</f>
        <v>0</v>
      </c>
      <c r="H5" s="7">
        <f>averageCompletionTimePorter(Dates!H$12,Dates!H$13,'Day5'!$B5)</f>
        <v>0</v>
      </c>
      <c r="I5" s="7">
        <f>averageCompletionTimePorter(Dates!I$12,Dates!I$13,'Day5'!$B5)</f>
        <v>0</v>
      </c>
      <c r="J5" s="7">
        <f>averageCompletionTimePorter(Dates!J$12,Dates!J$13,'Day5'!$B5)</f>
        <v>0</v>
      </c>
      <c r="K5" s="7">
        <f>averageCompletionTimePorter(Dates!K$12,Dates!K$13,'Day5'!$B5)</f>
        <v>0</v>
      </c>
      <c r="L5" s="7">
        <f>averageCompletionTimePorter(Dates!L$12,Dates!L$13,'Day5'!$B5)</f>
        <v>0</v>
      </c>
      <c r="M5" s="7">
        <f>averageCompletionTimePorter(Dates!M$12,Dates!M$13,'Day5'!$B5)</f>
        <v>0</v>
      </c>
      <c r="N5" s="7">
        <f>averageCompletionTimePorter(Dates!N$12,Dates!N$13,'Day5'!$B5)</f>
        <v>0</v>
      </c>
      <c r="O5" s="7">
        <f>averageCompletionTimePorter(Dates!O$12,Dates!O$13,'Day5'!$B5)</f>
        <v>0</v>
      </c>
      <c r="P5" s="7">
        <f>averageCompletionTimePorter(Dates!P$12,Dates!P$13,'Day5'!$B5)</f>
        <v>0</v>
      </c>
      <c r="Q5" s="7">
        <f>averageCompletionTimePorter(Dates!Q$12,Dates!Q$13,'Day5'!$B5)</f>
        <v>0</v>
      </c>
      <c r="R5" s="7">
        <f>averageCompletionTimePorter(Dates!R$12,Dates!R$13,'Day5'!$B5)</f>
        <v>0</v>
      </c>
      <c r="S5" s="7">
        <f>averageCompletionTimePorter(Dates!S$12,Dates!S$13,'Day5'!$B5)</f>
        <v>0</v>
      </c>
      <c r="T5" s="7">
        <f>averageCompletionTimePorter(Dates!T$12,Dates!T$13,'Day5'!$B5)</f>
        <v>0</v>
      </c>
      <c r="U5" s="7">
        <f>averageCompletionTimePorter(Dates!$C$12,Dates!$T$13,'Day5'!$B5)</f>
        <v>0</v>
      </c>
    </row>
    <row r="6" spans="1:21" x14ac:dyDescent="0.3">
      <c r="A6" s="10"/>
      <c r="B6" s="12">
        <v>0</v>
      </c>
      <c r="C6" s="7">
        <f>averageCompletionTimePorter(Dates!C$12,Dates!C$13,'Day5'!$B6)</f>
        <v>0</v>
      </c>
      <c r="D6" s="7">
        <f>averageCompletionTimePorter(Dates!D$12,Dates!D$13,'Day5'!$B6)</f>
        <v>0</v>
      </c>
      <c r="E6" s="7">
        <f>averageCompletionTimePorter(Dates!E$12,Dates!E$13,'Day5'!$B6)</f>
        <v>0</v>
      </c>
      <c r="F6" s="7">
        <f>averageCompletionTimePorter(Dates!F$12,Dates!F$13,'Day5'!$B6)</f>
        <v>0</v>
      </c>
      <c r="G6" s="7">
        <f>averageCompletionTimePorter(Dates!G$12,Dates!G$13,'Day5'!$B6)</f>
        <v>0</v>
      </c>
      <c r="H6" s="7">
        <f>averageCompletionTimePorter(Dates!H$12,Dates!H$13,'Day5'!$B6)</f>
        <v>0</v>
      </c>
      <c r="I6" s="7">
        <f>averageCompletionTimePorter(Dates!I$12,Dates!I$13,'Day5'!$B6)</f>
        <v>0</v>
      </c>
      <c r="J6" s="7">
        <f>averageCompletionTimePorter(Dates!J$12,Dates!J$13,'Day5'!$B6)</f>
        <v>0</v>
      </c>
      <c r="K6" s="7">
        <f>averageCompletionTimePorter(Dates!K$12,Dates!K$13,'Day5'!$B6)</f>
        <v>0</v>
      </c>
      <c r="L6" s="7">
        <f>averageCompletionTimePorter(Dates!L$12,Dates!L$13,'Day5'!$B6)</f>
        <v>0</v>
      </c>
      <c r="M6" s="7">
        <f>averageCompletionTimePorter(Dates!M$12,Dates!M$13,'Day5'!$B6)</f>
        <v>0</v>
      </c>
      <c r="N6" s="7">
        <f>averageCompletionTimePorter(Dates!N$12,Dates!N$13,'Day5'!$B6)</f>
        <v>0</v>
      </c>
      <c r="O6" s="7">
        <f>averageCompletionTimePorter(Dates!O$12,Dates!O$13,'Day5'!$B6)</f>
        <v>0</v>
      </c>
      <c r="P6" s="7">
        <f>averageCompletionTimePorter(Dates!P$12,Dates!P$13,'Day5'!$B6)</f>
        <v>0</v>
      </c>
      <c r="Q6" s="7">
        <f>averageCompletionTimePorter(Dates!Q$12,Dates!Q$13,'Day5'!$B6)</f>
        <v>0</v>
      </c>
      <c r="R6" s="7">
        <f>averageCompletionTimePorter(Dates!R$12,Dates!R$13,'Day5'!$B6)</f>
        <v>0</v>
      </c>
      <c r="S6" s="7">
        <f>averageCompletionTimePorter(Dates!S$12,Dates!S$13,'Day5'!$B6)</f>
        <v>0</v>
      </c>
      <c r="T6" s="7">
        <f>averageCompletionTimePorter(Dates!T$12,Dates!T$13,'Day5'!$B6)</f>
        <v>0</v>
      </c>
      <c r="U6" s="7">
        <f>averageCompletionTimePorter(Dates!$C$12,Dates!$T$13,'Day5'!$B6)</f>
        <v>0</v>
      </c>
    </row>
    <row r="7" spans="1:21" x14ac:dyDescent="0.3">
      <c r="A7" s="10"/>
      <c r="B7" s="12">
        <v>4</v>
      </c>
      <c r="C7" s="7">
        <f>averageCompletionTimePorter(Dates!C$12,Dates!C$13,'Day5'!$B7)</f>
        <v>0</v>
      </c>
      <c r="D7" s="7">
        <f>averageCompletionTimePorter(Dates!D$12,Dates!D$13,'Day5'!$B7)</f>
        <v>0</v>
      </c>
      <c r="E7" s="7">
        <f>averageCompletionTimePorter(Dates!E$12,Dates!E$13,'Day5'!$B7)</f>
        <v>0</v>
      </c>
      <c r="F7" s="7">
        <f>averageCompletionTimePorter(Dates!F$12,Dates!F$13,'Day5'!$B7)</f>
        <v>0</v>
      </c>
      <c r="G7" s="7">
        <f>averageCompletionTimePorter(Dates!G$12,Dates!G$13,'Day5'!$B7)</f>
        <v>0</v>
      </c>
      <c r="H7" s="7">
        <f>averageCompletionTimePorter(Dates!H$12,Dates!H$13,'Day5'!$B7)</f>
        <v>0</v>
      </c>
      <c r="I7" s="7">
        <f>averageCompletionTimePorter(Dates!I$12,Dates!I$13,'Day5'!$B7)</f>
        <v>0</v>
      </c>
      <c r="J7" s="7">
        <f>averageCompletionTimePorter(Dates!J$12,Dates!J$13,'Day5'!$B7)</f>
        <v>0</v>
      </c>
      <c r="K7" s="7">
        <f>averageCompletionTimePorter(Dates!K$12,Dates!K$13,'Day5'!$B7)</f>
        <v>0</v>
      </c>
      <c r="L7" s="7">
        <f>averageCompletionTimePorter(Dates!L$12,Dates!L$13,'Day5'!$B7)</f>
        <v>0</v>
      </c>
      <c r="M7" s="7">
        <f>averageCompletionTimePorter(Dates!M$12,Dates!M$13,'Day5'!$B7)</f>
        <v>0</v>
      </c>
      <c r="N7" s="7">
        <f>averageCompletionTimePorter(Dates!N$12,Dates!N$13,'Day5'!$B7)</f>
        <v>0</v>
      </c>
      <c r="O7" s="7">
        <f>averageCompletionTimePorter(Dates!O$12,Dates!O$13,'Day5'!$B7)</f>
        <v>0</v>
      </c>
      <c r="P7" s="7">
        <f>averageCompletionTimePorter(Dates!P$12,Dates!P$13,'Day5'!$B7)</f>
        <v>0</v>
      </c>
      <c r="Q7" s="7">
        <f>averageCompletionTimePorter(Dates!Q$12,Dates!Q$13,'Day5'!$B7)</f>
        <v>0</v>
      </c>
      <c r="R7" s="7">
        <f>averageCompletionTimePorter(Dates!R$12,Dates!R$13,'Day5'!$B7)</f>
        <v>0</v>
      </c>
      <c r="S7" s="7">
        <f>averageCompletionTimePorter(Dates!S$12,Dates!S$13,'Day5'!$B7)</f>
        <v>0</v>
      </c>
      <c r="T7" s="7">
        <f>averageCompletionTimePorter(Dates!T$12,Dates!T$13,'Day5'!$B7)</f>
        <v>0</v>
      </c>
      <c r="U7" s="7">
        <f>averageCompletionTimePorter(Dates!$C$12,Dates!$T$13,'Day5'!$B7)</f>
        <v>0</v>
      </c>
    </row>
    <row r="8" spans="1:21" x14ac:dyDescent="0.3">
      <c r="A8" s="10"/>
      <c r="B8" s="12">
        <v>8</v>
      </c>
      <c r="C8" s="7">
        <f>averageCompletionTimePorter(Dates!C$12,Dates!C$13,'Day5'!$B8)</f>
        <v>0</v>
      </c>
      <c r="D8" s="7">
        <f>averageCompletionTimePorter(Dates!D$12,Dates!D$13,'Day5'!$B8)</f>
        <v>0</v>
      </c>
      <c r="E8" s="7">
        <f>averageCompletionTimePorter(Dates!E$12,Dates!E$13,'Day5'!$B8)</f>
        <v>0</v>
      </c>
      <c r="F8" s="7">
        <f>averageCompletionTimePorter(Dates!F$12,Dates!F$13,'Day5'!$B8)</f>
        <v>0</v>
      </c>
      <c r="G8" s="7">
        <f>averageCompletionTimePorter(Dates!G$12,Dates!G$13,'Day5'!$B8)</f>
        <v>0</v>
      </c>
      <c r="H8" s="7">
        <f>averageCompletionTimePorter(Dates!H$12,Dates!H$13,'Day5'!$B8)</f>
        <v>0</v>
      </c>
      <c r="I8" s="7">
        <f>averageCompletionTimePorter(Dates!I$12,Dates!I$13,'Day5'!$B8)</f>
        <v>0</v>
      </c>
      <c r="J8" s="7">
        <f>averageCompletionTimePorter(Dates!J$12,Dates!J$13,'Day5'!$B8)</f>
        <v>0</v>
      </c>
      <c r="K8" s="7">
        <f>averageCompletionTimePorter(Dates!K$12,Dates!K$13,'Day5'!$B8)</f>
        <v>0</v>
      </c>
      <c r="L8" s="7">
        <f>averageCompletionTimePorter(Dates!L$12,Dates!L$13,'Day5'!$B8)</f>
        <v>0</v>
      </c>
      <c r="M8" s="7">
        <f>averageCompletionTimePorter(Dates!M$12,Dates!M$13,'Day5'!$B8)</f>
        <v>0</v>
      </c>
      <c r="N8" s="7">
        <f>averageCompletionTimePorter(Dates!N$12,Dates!N$13,'Day5'!$B8)</f>
        <v>0</v>
      </c>
      <c r="O8" s="7">
        <f>averageCompletionTimePorter(Dates!O$12,Dates!O$13,'Day5'!$B8)</f>
        <v>0</v>
      </c>
      <c r="P8" s="7">
        <f>averageCompletionTimePorter(Dates!P$12,Dates!P$13,'Day5'!$B8)</f>
        <v>0</v>
      </c>
      <c r="Q8" s="7">
        <f>averageCompletionTimePorter(Dates!Q$12,Dates!Q$13,'Day5'!$B8)</f>
        <v>0</v>
      </c>
      <c r="R8" s="7">
        <f>averageCompletionTimePorter(Dates!R$12,Dates!R$13,'Day5'!$B8)</f>
        <v>0</v>
      </c>
      <c r="S8" s="7">
        <f>averageCompletionTimePorter(Dates!S$12,Dates!S$13,'Day5'!$B8)</f>
        <v>0</v>
      </c>
      <c r="T8" s="7">
        <f>averageCompletionTimePorter(Dates!T$12,Dates!T$13,'Day5'!$B8)</f>
        <v>0</v>
      </c>
      <c r="U8" s="7">
        <f>averageCompletionTimePorter(Dates!$C$12,Dates!$T$13,'Day5'!$B8)</f>
        <v>0</v>
      </c>
    </row>
    <row r="9" spans="1:21" x14ac:dyDescent="0.3">
      <c r="A9" s="10"/>
      <c r="B9" s="12">
        <v>6</v>
      </c>
      <c r="C9" s="7">
        <f>averageCompletionTimePorter(Dates!C$12,Dates!C$13,'Day5'!$B9)</f>
        <v>0</v>
      </c>
      <c r="D9" s="7">
        <f>averageCompletionTimePorter(Dates!D$12,Dates!D$13,'Day5'!$B9)</f>
        <v>0</v>
      </c>
      <c r="E9" s="7">
        <f>averageCompletionTimePorter(Dates!E$12,Dates!E$13,'Day5'!$B9)</f>
        <v>0</v>
      </c>
      <c r="F9" s="7">
        <f>averageCompletionTimePorter(Dates!F$12,Dates!F$13,'Day5'!$B9)</f>
        <v>0</v>
      </c>
      <c r="G9" s="7">
        <f>averageCompletionTimePorter(Dates!G$12,Dates!G$13,'Day5'!$B9)</f>
        <v>0</v>
      </c>
      <c r="H9" s="7">
        <f>averageCompletionTimePorter(Dates!H$12,Dates!H$13,'Day5'!$B9)</f>
        <v>0</v>
      </c>
      <c r="I9" s="7">
        <f>averageCompletionTimePorter(Dates!I$12,Dates!I$13,'Day5'!$B9)</f>
        <v>0</v>
      </c>
      <c r="J9" s="7">
        <f>averageCompletionTimePorter(Dates!J$12,Dates!J$13,'Day5'!$B9)</f>
        <v>0</v>
      </c>
      <c r="K9" s="7">
        <f>averageCompletionTimePorter(Dates!K$12,Dates!K$13,'Day5'!$B9)</f>
        <v>0</v>
      </c>
      <c r="L9" s="7">
        <f>averageCompletionTimePorter(Dates!L$12,Dates!L$13,'Day5'!$B9)</f>
        <v>0</v>
      </c>
      <c r="M9" s="7">
        <f>averageCompletionTimePorter(Dates!M$12,Dates!M$13,'Day5'!$B9)</f>
        <v>0</v>
      </c>
      <c r="N9" s="7">
        <f>averageCompletionTimePorter(Dates!N$12,Dates!N$13,'Day5'!$B9)</f>
        <v>0</v>
      </c>
      <c r="O9" s="7">
        <f>averageCompletionTimePorter(Dates!O$12,Dates!O$13,'Day5'!$B9)</f>
        <v>0</v>
      </c>
      <c r="P9" s="7">
        <f>averageCompletionTimePorter(Dates!P$12,Dates!P$13,'Day5'!$B9)</f>
        <v>0</v>
      </c>
      <c r="Q9" s="7">
        <f>averageCompletionTimePorter(Dates!Q$12,Dates!Q$13,'Day5'!$B9)</f>
        <v>0</v>
      </c>
      <c r="R9" s="7">
        <f>averageCompletionTimePorter(Dates!R$12,Dates!R$13,'Day5'!$B9)</f>
        <v>0</v>
      </c>
      <c r="S9" s="7">
        <f>averageCompletionTimePorter(Dates!S$12,Dates!S$13,'Day5'!$B9)</f>
        <v>0</v>
      </c>
      <c r="T9" s="7">
        <f>averageCompletionTimePorter(Dates!T$12,Dates!T$13,'Day5'!$B9)</f>
        <v>0</v>
      </c>
      <c r="U9" s="7">
        <f>averageCompletionTimePorter(Dates!$C$12,Dates!$T$13,'Day5'!$B9)</f>
        <v>0</v>
      </c>
    </row>
    <row r="10" spans="1:21" x14ac:dyDescent="0.3">
      <c r="A10" s="10"/>
      <c r="B10" s="12">
        <v>1</v>
      </c>
      <c r="C10" s="7">
        <f>averageCompletionTimePorter(Dates!C$12,Dates!C$13,'Day5'!$B10)</f>
        <v>0</v>
      </c>
      <c r="D10" s="7">
        <f>averageCompletionTimePorter(Dates!D$12,Dates!D$13,'Day5'!$B10)</f>
        <v>0</v>
      </c>
      <c r="E10" s="7">
        <f>averageCompletionTimePorter(Dates!E$12,Dates!E$13,'Day5'!$B10)</f>
        <v>0</v>
      </c>
      <c r="F10" s="7">
        <f>averageCompletionTimePorter(Dates!F$12,Dates!F$13,'Day5'!$B10)</f>
        <v>0</v>
      </c>
      <c r="G10" s="7">
        <f>averageCompletionTimePorter(Dates!G$12,Dates!G$13,'Day5'!$B10)</f>
        <v>0</v>
      </c>
      <c r="H10" s="7">
        <f>averageCompletionTimePorter(Dates!H$12,Dates!H$13,'Day5'!$B10)</f>
        <v>0</v>
      </c>
      <c r="I10" s="7">
        <f>averageCompletionTimePorter(Dates!I$12,Dates!I$13,'Day5'!$B10)</f>
        <v>0</v>
      </c>
      <c r="J10" s="7">
        <f>averageCompletionTimePorter(Dates!J$12,Dates!J$13,'Day5'!$B10)</f>
        <v>0</v>
      </c>
      <c r="K10" s="7">
        <f>averageCompletionTimePorter(Dates!K$12,Dates!K$13,'Day5'!$B10)</f>
        <v>0</v>
      </c>
      <c r="L10" s="7">
        <f>averageCompletionTimePorter(Dates!L$12,Dates!L$13,'Day5'!$B10)</f>
        <v>0</v>
      </c>
      <c r="M10" s="7">
        <f>averageCompletionTimePorter(Dates!M$12,Dates!M$13,'Day5'!$B10)</f>
        <v>0</v>
      </c>
      <c r="N10" s="7">
        <f>averageCompletionTimePorter(Dates!N$12,Dates!N$13,'Day5'!$B10)</f>
        <v>0</v>
      </c>
      <c r="O10" s="7">
        <f>averageCompletionTimePorter(Dates!O$12,Dates!O$13,'Day5'!$B10)</f>
        <v>0</v>
      </c>
      <c r="P10" s="7">
        <f>averageCompletionTimePorter(Dates!P$12,Dates!P$13,'Day5'!$B10)</f>
        <v>0</v>
      </c>
      <c r="Q10" s="7">
        <f>averageCompletionTimePorter(Dates!Q$12,Dates!Q$13,'Day5'!$B10)</f>
        <v>0</v>
      </c>
      <c r="R10" s="7">
        <f>averageCompletionTimePorter(Dates!R$12,Dates!R$13,'Day5'!$B10)</f>
        <v>0</v>
      </c>
      <c r="S10" s="7">
        <f>averageCompletionTimePorter(Dates!S$12,Dates!S$13,'Day5'!$B10)</f>
        <v>0</v>
      </c>
      <c r="T10" s="7">
        <f>averageCompletionTimePorter(Dates!T$12,Dates!T$13,'Day5'!$B10)</f>
        <v>0</v>
      </c>
      <c r="U10" s="7">
        <f>averageCompletionTimePorter(Dates!$C$12,Dates!$T$13,'Day5'!$B10)</f>
        <v>0</v>
      </c>
    </row>
    <row r="11" spans="1:21" x14ac:dyDescent="0.3">
      <c r="A11" s="10"/>
      <c r="B11" s="12">
        <v>10</v>
      </c>
      <c r="C11" s="7">
        <f>averageCompletionTimePorter(Dates!C$12,Dates!C$13,'Day5'!$B11)</f>
        <v>0</v>
      </c>
      <c r="D11" s="7">
        <f>averageCompletionTimePorter(Dates!D$12,Dates!D$13,'Day5'!$B11)</f>
        <v>0</v>
      </c>
      <c r="E11" s="7">
        <f>averageCompletionTimePorter(Dates!E$12,Dates!E$13,'Day5'!$B11)</f>
        <v>0</v>
      </c>
      <c r="F11" s="7">
        <f>averageCompletionTimePorter(Dates!F$12,Dates!F$13,'Day5'!$B11)</f>
        <v>0</v>
      </c>
      <c r="G11" s="7">
        <f>averageCompletionTimePorter(Dates!G$12,Dates!G$13,'Day5'!$B11)</f>
        <v>0</v>
      </c>
      <c r="H11" s="7">
        <f>averageCompletionTimePorter(Dates!H$12,Dates!H$13,'Day5'!$B11)</f>
        <v>0</v>
      </c>
      <c r="I11" s="7">
        <f>averageCompletionTimePorter(Dates!I$12,Dates!I$13,'Day5'!$B11)</f>
        <v>0</v>
      </c>
      <c r="J11" s="7">
        <f>averageCompletionTimePorter(Dates!J$12,Dates!J$13,'Day5'!$B11)</f>
        <v>0</v>
      </c>
      <c r="K11" s="7">
        <f>averageCompletionTimePorter(Dates!K$12,Dates!K$13,'Day5'!$B11)</f>
        <v>0</v>
      </c>
      <c r="L11" s="7">
        <f>averageCompletionTimePorter(Dates!L$12,Dates!L$13,'Day5'!$B11)</f>
        <v>0</v>
      </c>
      <c r="M11" s="7">
        <f>averageCompletionTimePorter(Dates!M$12,Dates!M$13,'Day5'!$B11)</f>
        <v>0</v>
      </c>
      <c r="N11" s="7">
        <f>averageCompletionTimePorter(Dates!N$12,Dates!N$13,'Day5'!$B11)</f>
        <v>0</v>
      </c>
      <c r="O11" s="7">
        <f>averageCompletionTimePorter(Dates!O$12,Dates!O$13,'Day5'!$B11)</f>
        <v>0</v>
      </c>
      <c r="P11" s="7">
        <f>averageCompletionTimePorter(Dates!P$12,Dates!P$13,'Day5'!$B11)</f>
        <v>0</v>
      </c>
      <c r="Q11" s="7">
        <f>averageCompletionTimePorter(Dates!Q$12,Dates!Q$13,'Day5'!$B11)</f>
        <v>0</v>
      </c>
      <c r="R11" s="7">
        <f>averageCompletionTimePorter(Dates!R$12,Dates!R$13,'Day5'!$B11)</f>
        <v>0</v>
      </c>
      <c r="S11" s="7">
        <f>averageCompletionTimePorter(Dates!S$12,Dates!S$13,'Day5'!$B11)</f>
        <v>0</v>
      </c>
      <c r="T11" s="7">
        <f>averageCompletionTimePorter(Dates!T$12,Dates!T$13,'Day5'!$B11)</f>
        <v>0</v>
      </c>
      <c r="U11" s="7">
        <f>averageCompletionTimePorter(Dates!$C$12,Dates!$T$13,'Day5'!$B11)</f>
        <v>0</v>
      </c>
    </row>
    <row r="12" spans="1:21" x14ac:dyDescent="0.3">
      <c r="A12" s="10"/>
      <c r="B12" s="12">
        <v>9</v>
      </c>
      <c r="C12" s="7">
        <f>averageCompletionTimePorter(Dates!C$12,Dates!C$13,'Day5'!$B12)</f>
        <v>0</v>
      </c>
      <c r="D12" s="7">
        <f>averageCompletionTimePorter(Dates!D$12,Dates!D$13,'Day5'!$B12)</f>
        <v>0</v>
      </c>
      <c r="E12" s="7">
        <f>averageCompletionTimePorter(Dates!E$12,Dates!E$13,'Day5'!$B12)</f>
        <v>0</v>
      </c>
      <c r="F12" s="7">
        <f>averageCompletionTimePorter(Dates!F$12,Dates!F$13,'Day5'!$B12)</f>
        <v>0</v>
      </c>
      <c r="G12" s="7">
        <f>averageCompletionTimePorter(Dates!G$12,Dates!G$13,'Day5'!$B12)</f>
        <v>0</v>
      </c>
      <c r="H12" s="7">
        <f>averageCompletionTimePorter(Dates!H$12,Dates!H$13,'Day5'!$B12)</f>
        <v>0</v>
      </c>
      <c r="I12" s="7">
        <f>averageCompletionTimePorter(Dates!I$12,Dates!I$13,'Day5'!$B12)</f>
        <v>0</v>
      </c>
      <c r="J12" s="7">
        <f>averageCompletionTimePorter(Dates!J$12,Dates!J$13,'Day5'!$B12)</f>
        <v>0</v>
      </c>
      <c r="K12" s="7">
        <f>averageCompletionTimePorter(Dates!K$12,Dates!K$13,'Day5'!$B12)</f>
        <v>0</v>
      </c>
      <c r="L12" s="7">
        <f>averageCompletionTimePorter(Dates!L$12,Dates!L$13,'Day5'!$B12)</f>
        <v>0</v>
      </c>
      <c r="M12" s="7">
        <f>averageCompletionTimePorter(Dates!M$12,Dates!M$13,'Day5'!$B12)</f>
        <v>0</v>
      </c>
      <c r="N12" s="7">
        <f>averageCompletionTimePorter(Dates!N$12,Dates!N$13,'Day5'!$B12)</f>
        <v>0</v>
      </c>
      <c r="O12" s="7">
        <f>averageCompletionTimePorter(Dates!O$12,Dates!O$13,'Day5'!$B12)</f>
        <v>0</v>
      </c>
      <c r="P12" s="7">
        <f>averageCompletionTimePorter(Dates!P$12,Dates!P$13,'Day5'!$B12)</f>
        <v>0</v>
      </c>
      <c r="Q12" s="7">
        <f>averageCompletionTimePorter(Dates!Q$12,Dates!Q$13,'Day5'!$B12)</f>
        <v>0</v>
      </c>
      <c r="R12" s="7">
        <f>averageCompletionTimePorter(Dates!R$12,Dates!R$13,'Day5'!$B12)</f>
        <v>0</v>
      </c>
      <c r="S12" s="7">
        <f>averageCompletionTimePorter(Dates!S$12,Dates!S$13,'Day5'!$B12)</f>
        <v>0</v>
      </c>
      <c r="T12" s="7">
        <f>averageCompletionTimePorter(Dates!T$12,Dates!T$13,'Day5'!$B12)</f>
        <v>0</v>
      </c>
      <c r="U12" s="7">
        <f>averageCompletionTimePorter(Dates!$C$12,Dates!$T$13,'Day5'!$B12)</f>
        <v>0</v>
      </c>
    </row>
    <row r="13" spans="1:21" x14ac:dyDescent="0.3">
      <c r="A13" s="10"/>
      <c r="B13" s="12">
        <v>7</v>
      </c>
      <c r="C13" s="7">
        <f>averageCompletionTimePorter(Dates!C$12,Dates!C$13,'Day5'!$B13)</f>
        <v>0</v>
      </c>
      <c r="D13" s="7">
        <f>averageCompletionTimePorter(Dates!D$12,Dates!D$13,'Day5'!$B13)</f>
        <v>0</v>
      </c>
      <c r="E13" s="7">
        <f>averageCompletionTimePorter(Dates!E$12,Dates!E$13,'Day5'!$B13)</f>
        <v>0</v>
      </c>
      <c r="F13" s="7">
        <f>averageCompletionTimePorter(Dates!F$12,Dates!F$13,'Day5'!$B13)</f>
        <v>0</v>
      </c>
      <c r="G13" s="7">
        <f>averageCompletionTimePorter(Dates!G$12,Dates!G$13,'Day5'!$B13)</f>
        <v>0</v>
      </c>
      <c r="H13" s="7">
        <f>averageCompletionTimePorter(Dates!H$12,Dates!H$13,'Day5'!$B13)</f>
        <v>0</v>
      </c>
      <c r="I13" s="7">
        <f>averageCompletionTimePorter(Dates!I$12,Dates!I$13,'Day5'!$B13)</f>
        <v>0</v>
      </c>
      <c r="J13" s="7">
        <f>averageCompletionTimePorter(Dates!J$12,Dates!J$13,'Day5'!$B13)</f>
        <v>0</v>
      </c>
      <c r="K13" s="7">
        <f>averageCompletionTimePorter(Dates!K$12,Dates!K$13,'Day5'!$B13)</f>
        <v>0</v>
      </c>
      <c r="L13" s="7">
        <f>averageCompletionTimePorter(Dates!L$12,Dates!L$13,'Day5'!$B13)</f>
        <v>0</v>
      </c>
      <c r="M13" s="7">
        <f>averageCompletionTimePorter(Dates!M$12,Dates!M$13,'Day5'!$B13)</f>
        <v>0</v>
      </c>
      <c r="N13" s="7">
        <f>averageCompletionTimePorter(Dates!N$12,Dates!N$13,'Day5'!$B13)</f>
        <v>0</v>
      </c>
      <c r="O13" s="7">
        <f>averageCompletionTimePorter(Dates!O$12,Dates!O$13,'Day5'!$B13)</f>
        <v>0</v>
      </c>
      <c r="P13" s="7">
        <f>averageCompletionTimePorter(Dates!P$12,Dates!P$13,'Day5'!$B13)</f>
        <v>0</v>
      </c>
      <c r="Q13" s="7">
        <f>averageCompletionTimePorter(Dates!Q$12,Dates!Q$13,'Day5'!$B13)</f>
        <v>0</v>
      </c>
      <c r="R13" s="7">
        <f>averageCompletionTimePorter(Dates!R$12,Dates!R$13,'Day5'!$B13)</f>
        <v>0</v>
      </c>
      <c r="S13" s="7">
        <f>averageCompletionTimePorter(Dates!S$12,Dates!S$13,'Day5'!$B13)</f>
        <v>0</v>
      </c>
      <c r="T13" s="7">
        <f>averageCompletionTimePorter(Dates!T$12,Dates!T$13,'Day5'!$B13)</f>
        <v>0</v>
      </c>
      <c r="U13" s="7">
        <f>averageCompletionTimePorter(Dates!$C$12,Dates!$T$13,'Day5'!$B13)</f>
        <v>0</v>
      </c>
    </row>
    <row r="14" spans="1:21" x14ac:dyDescent="0.3">
      <c r="B14" s="12" t="s">
        <v>149</v>
      </c>
      <c r="C14" s="7">
        <f>averageCompletionTimePorter(Dates!C$12,Dates!C$13,'Day5'!$B14)</f>
        <v>0</v>
      </c>
      <c r="D14" s="7">
        <f>averageCompletionTimePorter(Dates!D$12,Dates!D$13,'Day5'!$B14)</f>
        <v>0</v>
      </c>
      <c r="E14" s="7">
        <f>averageCompletionTimePorter(Dates!E$12,Dates!E$13,'Day5'!$B14)</f>
        <v>0</v>
      </c>
      <c r="F14" s="7">
        <f>averageCompletionTimePorter(Dates!F$12,Dates!F$13,'Day5'!$B14)</f>
        <v>0</v>
      </c>
      <c r="G14" s="7">
        <f>averageCompletionTimePorter(Dates!G$12,Dates!G$13,'Day5'!$B14)</f>
        <v>0</v>
      </c>
      <c r="H14" s="7">
        <f>averageCompletionTimePorter(Dates!H$12,Dates!H$13,'Day5'!$B14)</f>
        <v>0</v>
      </c>
      <c r="I14" s="7">
        <f>averageCompletionTimePorter(Dates!I$12,Dates!I$13,'Day5'!$B14)</f>
        <v>0</v>
      </c>
      <c r="J14" s="7">
        <f>averageCompletionTimePorter(Dates!J$12,Dates!J$13,'Day5'!$B14)</f>
        <v>0</v>
      </c>
      <c r="K14" s="7">
        <f>averageCompletionTimePorter(Dates!K$12,Dates!K$13,'Day5'!$B14)</f>
        <v>0</v>
      </c>
      <c r="L14" s="7">
        <f>averageCompletionTimePorter(Dates!L$12,Dates!L$13,'Day5'!$B14)</f>
        <v>0</v>
      </c>
      <c r="M14" s="7">
        <f>averageCompletionTimePorter(Dates!M$12,Dates!M$13,'Day5'!$B14)</f>
        <v>0</v>
      </c>
      <c r="N14" s="7">
        <f>averageCompletionTimePorter(Dates!N$12,Dates!N$13,'Day5'!$B14)</f>
        <v>0</v>
      </c>
      <c r="O14" s="7">
        <f>averageCompletionTimePorter(Dates!O$12,Dates!O$13,'Day5'!$B14)</f>
        <v>0</v>
      </c>
      <c r="P14" s="7">
        <f>averageCompletionTimePorter(Dates!P$12,Dates!P$13,'Day5'!$B14)</f>
        <v>0</v>
      </c>
      <c r="Q14" s="7">
        <f>averageCompletionTimePorter(Dates!Q$12,Dates!Q$13,'Day5'!$B14)</f>
        <v>0</v>
      </c>
      <c r="R14" s="7">
        <f>averageCompletionTimePorter(Dates!R$12,Dates!R$13,'Day5'!$B14)</f>
        <v>0</v>
      </c>
      <c r="S14" s="7">
        <f>averageCompletionTimePorter(Dates!S$12,Dates!S$13,'Day5'!$B14)</f>
        <v>0</v>
      </c>
      <c r="T14" s="7">
        <f>averageCompletionTimePorter(Dates!T$12,Dates!T$13,'Day5'!$B14)</f>
        <v>0</v>
      </c>
      <c r="U14" s="7">
        <f>averageCompletionTimePorter(Dates!$C$12,Dates!$T$13,'Day5'!$B14)</f>
        <v>0</v>
      </c>
    </row>
    <row r="15" spans="1:21" x14ac:dyDescent="0.3">
      <c r="B15" s="12" t="s">
        <v>150</v>
      </c>
      <c r="C15" s="7">
        <f>averageCompletionTimePorter(Dates!C$12,Dates!C$13,'Day5'!$B15)</f>
        <v>0</v>
      </c>
      <c r="D15" s="7">
        <f>averageCompletionTimePorter(Dates!D$12,Dates!D$13,'Day5'!$B15)</f>
        <v>0</v>
      </c>
      <c r="E15" s="7">
        <f>averageCompletionTimePorter(Dates!E$12,Dates!E$13,'Day5'!$B15)</f>
        <v>0</v>
      </c>
      <c r="F15" s="7">
        <f>averageCompletionTimePorter(Dates!F$12,Dates!F$13,'Day5'!$B15)</f>
        <v>0</v>
      </c>
      <c r="G15" s="7">
        <f>averageCompletionTimePorter(Dates!G$12,Dates!G$13,'Day5'!$B15)</f>
        <v>0</v>
      </c>
      <c r="H15" s="7">
        <f>averageCompletionTimePorter(Dates!H$12,Dates!H$13,'Day5'!$B15)</f>
        <v>0</v>
      </c>
      <c r="I15" s="7">
        <f>averageCompletionTimePorter(Dates!I$12,Dates!I$13,'Day5'!$B15)</f>
        <v>0</v>
      </c>
      <c r="J15" s="7">
        <f>averageCompletionTimePorter(Dates!J$12,Dates!J$13,'Day5'!$B15)</f>
        <v>0</v>
      </c>
      <c r="K15" s="7">
        <f>averageCompletionTimePorter(Dates!K$12,Dates!K$13,'Day5'!$B15)</f>
        <v>0</v>
      </c>
      <c r="L15" s="7">
        <f>averageCompletionTimePorter(Dates!L$12,Dates!L$13,'Day5'!$B15)</f>
        <v>0</v>
      </c>
      <c r="M15" s="7">
        <f>averageCompletionTimePorter(Dates!M$12,Dates!M$13,'Day5'!$B15)</f>
        <v>0</v>
      </c>
      <c r="N15" s="7">
        <f>averageCompletionTimePorter(Dates!N$12,Dates!N$13,'Day5'!$B15)</f>
        <v>0</v>
      </c>
      <c r="O15" s="7">
        <f>averageCompletionTimePorter(Dates!O$12,Dates!O$13,'Day5'!$B15)</f>
        <v>0</v>
      </c>
      <c r="P15" s="7">
        <f>averageCompletionTimePorter(Dates!P$12,Dates!P$13,'Day5'!$B15)</f>
        <v>0</v>
      </c>
      <c r="Q15" s="7">
        <f>averageCompletionTimePorter(Dates!Q$12,Dates!Q$13,'Day5'!$B15)</f>
        <v>0</v>
      </c>
      <c r="R15" s="7">
        <f>averageCompletionTimePorter(Dates!R$12,Dates!R$13,'Day5'!$B15)</f>
        <v>0</v>
      </c>
      <c r="S15" s="7">
        <f>averageCompletionTimePorter(Dates!S$12,Dates!S$13,'Day5'!$B15)</f>
        <v>0</v>
      </c>
      <c r="T15" s="7">
        <f>averageCompletionTimePorter(Dates!T$12,Dates!T$13,'Day5'!$B15)</f>
        <v>0</v>
      </c>
      <c r="U15" s="7">
        <f>averageCompletionTimePorter(Dates!$C$12,Dates!$T$13,'Day5'!$B15)</f>
        <v>0</v>
      </c>
    </row>
    <row r="16" spans="1:21" x14ac:dyDescent="0.3">
      <c r="B16" s="12" t="s">
        <v>151</v>
      </c>
      <c r="C16" s="7">
        <f>averageCompletionTimePorter(Dates!C$12,Dates!C$13,'Day5'!$B16)</f>
        <v>0</v>
      </c>
      <c r="D16" s="7">
        <f>averageCompletionTimePorter(Dates!D$12,Dates!D$13,'Day5'!$B16)</f>
        <v>0</v>
      </c>
      <c r="E16" s="7">
        <f>averageCompletionTimePorter(Dates!E$12,Dates!E$13,'Day5'!$B16)</f>
        <v>0</v>
      </c>
      <c r="F16" s="7">
        <f>averageCompletionTimePorter(Dates!F$12,Dates!F$13,'Day5'!$B16)</f>
        <v>0</v>
      </c>
      <c r="G16" s="7">
        <f>averageCompletionTimePorter(Dates!G$12,Dates!G$13,'Day5'!$B16)</f>
        <v>0</v>
      </c>
      <c r="H16" s="7">
        <f>averageCompletionTimePorter(Dates!H$12,Dates!H$13,'Day5'!$B16)</f>
        <v>0</v>
      </c>
      <c r="I16" s="7">
        <f>averageCompletionTimePorter(Dates!I$12,Dates!I$13,'Day5'!$B16)</f>
        <v>0</v>
      </c>
      <c r="J16" s="7">
        <f>averageCompletionTimePorter(Dates!J$12,Dates!J$13,'Day5'!$B16)</f>
        <v>0</v>
      </c>
      <c r="K16" s="7">
        <f>averageCompletionTimePorter(Dates!K$12,Dates!K$13,'Day5'!$B16)</f>
        <v>0</v>
      </c>
      <c r="L16" s="7">
        <f>averageCompletionTimePorter(Dates!L$12,Dates!L$13,'Day5'!$B16)</f>
        <v>0</v>
      </c>
      <c r="M16" s="7">
        <f>averageCompletionTimePorter(Dates!M$12,Dates!M$13,'Day5'!$B16)</f>
        <v>0</v>
      </c>
      <c r="N16" s="7">
        <f>averageCompletionTimePorter(Dates!N$12,Dates!N$13,'Day5'!$B16)</f>
        <v>0</v>
      </c>
      <c r="O16" s="7">
        <f>averageCompletionTimePorter(Dates!O$12,Dates!O$13,'Day5'!$B16)</f>
        <v>0</v>
      </c>
      <c r="P16" s="7">
        <f>averageCompletionTimePorter(Dates!P$12,Dates!P$13,'Day5'!$B16)</f>
        <v>0</v>
      </c>
      <c r="Q16" s="7">
        <f>averageCompletionTimePorter(Dates!Q$12,Dates!Q$13,'Day5'!$B16)</f>
        <v>0</v>
      </c>
      <c r="R16" s="7">
        <f>averageCompletionTimePorter(Dates!R$12,Dates!R$13,'Day5'!$B16)</f>
        <v>0</v>
      </c>
      <c r="S16" s="7">
        <f>averageCompletionTimePorter(Dates!S$12,Dates!S$13,'Day5'!$B16)</f>
        <v>0</v>
      </c>
      <c r="T16" s="7">
        <f>averageCompletionTimePorter(Dates!T$12,Dates!T$13,'Day5'!$B16)</f>
        <v>0</v>
      </c>
      <c r="U16" s="7">
        <f>averageCompletionTimePorter(Dates!$C$12,Dates!$T$13,'Day5'!$B16)</f>
        <v>0</v>
      </c>
    </row>
    <row r="17" spans="2:21" x14ac:dyDescent="0.3">
      <c r="B17" s="12" t="s">
        <v>152</v>
      </c>
      <c r="C17" s="7">
        <f>averageCompletionTimePorter(Dates!C$12,Dates!C$13,'Day5'!$B17)</f>
        <v>0</v>
      </c>
      <c r="D17" s="7">
        <f>averageCompletionTimePorter(Dates!D$12,Dates!D$13,'Day5'!$B17)</f>
        <v>0</v>
      </c>
      <c r="E17" s="7">
        <f>averageCompletionTimePorter(Dates!E$12,Dates!E$13,'Day5'!$B17)</f>
        <v>0</v>
      </c>
      <c r="F17" s="7">
        <f>averageCompletionTimePorter(Dates!F$12,Dates!F$13,'Day5'!$B17)</f>
        <v>0</v>
      </c>
      <c r="G17" s="7">
        <f>averageCompletionTimePorter(Dates!G$12,Dates!G$13,'Day5'!$B17)</f>
        <v>0</v>
      </c>
      <c r="H17" s="7">
        <f>averageCompletionTimePorter(Dates!H$12,Dates!H$13,'Day5'!$B17)</f>
        <v>0</v>
      </c>
      <c r="I17" s="7">
        <f>averageCompletionTimePorter(Dates!I$12,Dates!I$13,'Day5'!$B17)</f>
        <v>0</v>
      </c>
      <c r="J17" s="7">
        <f>averageCompletionTimePorter(Dates!J$12,Dates!J$13,'Day5'!$B17)</f>
        <v>0</v>
      </c>
      <c r="K17" s="7">
        <f>averageCompletionTimePorter(Dates!K$12,Dates!K$13,'Day5'!$B17)</f>
        <v>0</v>
      </c>
      <c r="L17" s="7">
        <f>averageCompletionTimePorter(Dates!L$12,Dates!L$13,'Day5'!$B17)</f>
        <v>0</v>
      </c>
      <c r="M17" s="7">
        <f>averageCompletionTimePorter(Dates!M$12,Dates!M$13,'Day5'!$B17)</f>
        <v>0</v>
      </c>
      <c r="N17" s="7">
        <f>averageCompletionTimePorter(Dates!N$12,Dates!N$13,'Day5'!$B17)</f>
        <v>0</v>
      </c>
      <c r="O17" s="7">
        <f>averageCompletionTimePorter(Dates!O$12,Dates!O$13,'Day5'!$B17)</f>
        <v>0</v>
      </c>
      <c r="P17" s="7">
        <f>averageCompletionTimePorter(Dates!P$12,Dates!P$13,'Day5'!$B17)</f>
        <v>0</v>
      </c>
      <c r="Q17" s="7">
        <f>averageCompletionTimePorter(Dates!Q$12,Dates!Q$13,'Day5'!$B17)</f>
        <v>0</v>
      </c>
      <c r="R17" s="7">
        <f>averageCompletionTimePorter(Dates!R$12,Dates!R$13,'Day5'!$B17)</f>
        <v>0</v>
      </c>
      <c r="S17" s="7">
        <f>averageCompletionTimePorter(Dates!S$12,Dates!S$13,'Day5'!$B17)</f>
        <v>0</v>
      </c>
      <c r="T17" s="7">
        <f>averageCompletionTimePorter(Dates!T$12,Dates!T$13,'Day5'!$B17)</f>
        <v>0</v>
      </c>
      <c r="U17" s="7">
        <f>averageCompletionTimePorter(Dates!$C$12,Dates!$T$13,'Day5'!$B17)</f>
        <v>0</v>
      </c>
    </row>
    <row r="18" spans="2:21" x14ac:dyDescent="0.3">
      <c r="B18" s="12" t="s">
        <v>153</v>
      </c>
      <c r="C18" s="7">
        <f>averageCompletionTimePorter(Dates!C$12,Dates!C$13,'Day5'!$B18)</f>
        <v>0</v>
      </c>
      <c r="D18" s="7">
        <f>averageCompletionTimePorter(Dates!D$12,Dates!D$13,'Day5'!$B18)</f>
        <v>0</v>
      </c>
      <c r="E18" s="7">
        <f>averageCompletionTimePorter(Dates!E$12,Dates!E$13,'Day5'!$B18)</f>
        <v>0</v>
      </c>
      <c r="F18" s="7">
        <f>averageCompletionTimePorter(Dates!F$12,Dates!F$13,'Day5'!$B18)</f>
        <v>0</v>
      </c>
      <c r="G18" s="7">
        <f>averageCompletionTimePorter(Dates!G$12,Dates!G$13,'Day5'!$B18)</f>
        <v>0</v>
      </c>
      <c r="H18" s="7">
        <f>averageCompletionTimePorter(Dates!H$12,Dates!H$13,'Day5'!$B18)</f>
        <v>0</v>
      </c>
      <c r="I18" s="7">
        <f>averageCompletionTimePorter(Dates!I$12,Dates!I$13,'Day5'!$B18)</f>
        <v>0</v>
      </c>
      <c r="J18" s="7">
        <f>averageCompletionTimePorter(Dates!J$12,Dates!J$13,'Day5'!$B18)</f>
        <v>0</v>
      </c>
      <c r="K18" s="7">
        <f>averageCompletionTimePorter(Dates!K$12,Dates!K$13,'Day5'!$B18)</f>
        <v>0</v>
      </c>
      <c r="L18" s="7">
        <f>averageCompletionTimePorter(Dates!L$12,Dates!L$13,'Day5'!$B18)</f>
        <v>0</v>
      </c>
      <c r="M18" s="7">
        <f>averageCompletionTimePorter(Dates!M$12,Dates!M$13,'Day5'!$B18)</f>
        <v>0</v>
      </c>
      <c r="N18" s="7">
        <f>averageCompletionTimePorter(Dates!N$12,Dates!N$13,'Day5'!$B18)</f>
        <v>0</v>
      </c>
      <c r="O18" s="7">
        <f>averageCompletionTimePorter(Dates!O$12,Dates!O$13,'Day5'!$B18)</f>
        <v>0</v>
      </c>
      <c r="P18" s="7">
        <f>averageCompletionTimePorter(Dates!P$12,Dates!P$13,'Day5'!$B18)</f>
        <v>0</v>
      </c>
      <c r="Q18" s="7">
        <f>averageCompletionTimePorter(Dates!Q$12,Dates!Q$13,'Day5'!$B18)</f>
        <v>0</v>
      </c>
      <c r="R18" s="7">
        <f>averageCompletionTimePorter(Dates!R$12,Dates!R$13,'Day5'!$B18)</f>
        <v>0</v>
      </c>
      <c r="S18" s="7">
        <f>averageCompletionTimePorter(Dates!S$12,Dates!S$13,'Day5'!$B18)</f>
        <v>0</v>
      </c>
      <c r="T18" s="7">
        <f>averageCompletionTimePorter(Dates!T$12,Dates!T$13,'Day5'!$B18)</f>
        <v>0</v>
      </c>
      <c r="U18" s="7">
        <f>averageCompletionTimePorter(Dates!$C$12,Dates!$T$13,'Day5'!$B18)</f>
        <v>0</v>
      </c>
    </row>
    <row r="19" spans="2:21" x14ac:dyDescent="0.3">
      <c r="B19" s="12" t="s">
        <v>154</v>
      </c>
      <c r="C19" s="7">
        <f>averageCompletionTimePorter(Dates!C$12,Dates!C$13,'Day5'!$B19)</f>
        <v>0</v>
      </c>
      <c r="D19" s="7">
        <f>averageCompletionTimePorter(Dates!D$12,Dates!D$13,'Day5'!$B19)</f>
        <v>0</v>
      </c>
      <c r="E19" s="7">
        <f>averageCompletionTimePorter(Dates!E$12,Dates!E$13,'Day5'!$B19)</f>
        <v>0</v>
      </c>
      <c r="F19" s="7">
        <f>averageCompletionTimePorter(Dates!F$12,Dates!F$13,'Day5'!$B19)</f>
        <v>0</v>
      </c>
      <c r="G19" s="7">
        <f>averageCompletionTimePorter(Dates!G$12,Dates!G$13,'Day5'!$B19)</f>
        <v>0</v>
      </c>
      <c r="H19" s="7">
        <f>averageCompletionTimePorter(Dates!H$12,Dates!H$13,'Day5'!$B19)</f>
        <v>0</v>
      </c>
      <c r="I19" s="7">
        <f>averageCompletionTimePorter(Dates!I$12,Dates!I$13,'Day5'!$B19)</f>
        <v>0</v>
      </c>
      <c r="J19" s="7">
        <f>averageCompletionTimePorter(Dates!J$12,Dates!J$13,'Day5'!$B19)</f>
        <v>0</v>
      </c>
      <c r="K19" s="7">
        <f>averageCompletionTimePorter(Dates!K$12,Dates!K$13,'Day5'!$B19)</f>
        <v>0</v>
      </c>
      <c r="L19" s="7">
        <f>averageCompletionTimePorter(Dates!L$12,Dates!L$13,'Day5'!$B19)</f>
        <v>0</v>
      </c>
      <c r="M19" s="7">
        <f>averageCompletionTimePorter(Dates!M$12,Dates!M$13,'Day5'!$B19)</f>
        <v>0</v>
      </c>
      <c r="N19" s="7">
        <f>averageCompletionTimePorter(Dates!N$12,Dates!N$13,'Day5'!$B19)</f>
        <v>0</v>
      </c>
      <c r="O19" s="7">
        <f>averageCompletionTimePorter(Dates!O$12,Dates!O$13,'Day5'!$B19)</f>
        <v>0</v>
      </c>
      <c r="P19" s="7">
        <f>averageCompletionTimePorter(Dates!P$12,Dates!P$13,'Day5'!$B19)</f>
        <v>0</v>
      </c>
      <c r="Q19" s="7">
        <f>averageCompletionTimePorter(Dates!Q$12,Dates!Q$13,'Day5'!$B19)</f>
        <v>0</v>
      </c>
      <c r="R19" s="7">
        <f>averageCompletionTimePorter(Dates!R$12,Dates!R$13,'Day5'!$B19)</f>
        <v>0</v>
      </c>
      <c r="S19" s="7">
        <f>averageCompletionTimePorter(Dates!S$12,Dates!S$13,'Day5'!$B19)</f>
        <v>0</v>
      </c>
      <c r="T19" s="7">
        <f>averageCompletionTimePorter(Dates!T$12,Dates!T$13,'Day5'!$B19)</f>
        <v>0</v>
      </c>
      <c r="U19" s="7">
        <f>averageCompletionTimePorter(Dates!$C$12,Dates!$T$13,'Day5'!$B19)</f>
        <v>0</v>
      </c>
    </row>
    <row r="20" spans="2:21" x14ac:dyDescent="0.3">
      <c r="B20" s="12" t="s">
        <v>155</v>
      </c>
      <c r="C20" s="7">
        <f>averageCompletionTimePorter(Dates!C$12,Dates!C$13,'Day5'!$B20)</f>
        <v>0</v>
      </c>
      <c r="D20" s="7">
        <f>averageCompletionTimePorter(Dates!D$12,Dates!D$13,'Day5'!$B20)</f>
        <v>0</v>
      </c>
      <c r="E20" s="7">
        <f>averageCompletionTimePorter(Dates!E$12,Dates!E$13,'Day5'!$B20)</f>
        <v>0</v>
      </c>
      <c r="F20" s="7">
        <f>averageCompletionTimePorter(Dates!F$12,Dates!F$13,'Day5'!$B20)</f>
        <v>0</v>
      </c>
      <c r="G20" s="7">
        <f>averageCompletionTimePorter(Dates!G$12,Dates!G$13,'Day5'!$B20)</f>
        <v>0</v>
      </c>
      <c r="H20" s="7">
        <f>averageCompletionTimePorter(Dates!H$12,Dates!H$13,'Day5'!$B20)</f>
        <v>0</v>
      </c>
      <c r="I20" s="7">
        <f>averageCompletionTimePorter(Dates!I$12,Dates!I$13,'Day5'!$B20)</f>
        <v>0</v>
      </c>
      <c r="J20" s="7">
        <f>averageCompletionTimePorter(Dates!J$12,Dates!J$13,'Day5'!$B20)</f>
        <v>0</v>
      </c>
      <c r="K20" s="7">
        <f>averageCompletionTimePorter(Dates!K$12,Dates!K$13,'Day5'!$B20)</f>
        <v>0</v>
      </c>
      <c r="L20" s="7">
        <f>averageCompletionTimePorter(Dates!L$12,Dates!L$13,'Day5'!$B20)</f>
        <v>0</v>
      </c>
      <c r="M20" s="7">
        <f>averageCompletionTimePorter(Dates!M$12,Dates!M$13,'Day5'!$B20)</f>
        <v>0</v>
      </c>
      <c r="N20" s="7">
        <f>averageCompletionTimePorter(Dates!N$12,Dates!N$13,'Day5'!$B20)</f>
        <v>0</v>
      </c>
      <c r="O20" s="7">
        <f>averageCompletionTimePorter(Dates!O$12,Dates!O$13,'Day5'!$B20)</f>
        <v>0</v>
      </c>
      <c r="P20" s="7">
        <f>averageCompletionTimePorter(Dates!P$12,Dates!P$13,'Day5'!$B20)</f>
        <v>0</v>
      </c>
      <c r="Q20" s="7">
        <f>averageCompletionTimePorter(Dates!Q$12,Dates!Q$13,'Day5'!$B20)</f>
        <v>0</v>
      </c>
      <c r="R20" s="7">
        <f>averageCompletionTimePorter(Dates!R$12,Dates!R$13,'Day5'!$B20)</f>
        <v>0</v>
      </c>
      <c r="S20" s="7">
        <f>averageCompletionTimePorter(Dates!S$12,Dates!S$13,'Day5'!$B20)</f>
        <v>0</v>
      </c>
      <c r="T20" s="7">
        <f>averageCompletionTimePorter(Dates!T$12,Dates!T$13,'Day5'!$B20)</f>
        <v>0</v>
      </c>
      <c r="U20" s="7">
        <f>averageCompletionTimePorter(Dates!$C$12,Dates!$T$13,'Day5'!$B20)</f>
        <v>0</v>
      </c>
    </row>
    <row r="21" spans="2:21" x14ac:dyDescent="0.3">
      <c r="B21" s="12" t="s">
        <v>156</v>
      </c>
      <c r="C21" s="7">
        <f>averageCompletionTimePorter(Dates!C$12,Dates!C$13,'Day5'!$B21)</f>
        <v>0</v>
      </c>
      <c r="D21" s="7">
        <f>averageCompletionTimePorter(Dates!D$12,Dates!D$13,'Day5'!$B21)</f>
        <v>0</v>
      </c>
      <c r="E21" s="7">
        <f>averageCompletionTimePorter(Dates!E$12,Dates!E$13,'Day5'!$B21)</f>
        <v>0</v>
      </c>
      <c r="F21" s="7">
        <f>averageCompletionTimePorter(Dates!F$12,Dates!F$13,'Day5'!$B21)</f>
        <v>0</v>
      </c>
      <c r="G21" s="7">
        <f>averageCompletionTimePorter(Dates!G$12,Dates!G$13,'Day5'!$B21)</f>
        <v>0</v>
      </c>
      <c r="H21" s="7">
        <f>averageCompletionTimePorter(Dates!H$12,Dates!H$13,'Day5'!$B21)</f>
        <v>0</v>
      </c>
      <c r="I21" s="7">
        <f>averageCompletionTimePorter(Dates!I$12,Dates!I$13,'Day5'!$B21)</f>
        <v>0</v>
      </c>
      <c r="J21" s="7">
        <f>averageCompletionTimePorter(Dates!J$12,Dates!J$13,'Day5'!$B21)</f>
        <v>0</v>
      </c>
      <c r="K21" s="7">
        <f>averageCompletionTimePorter(Dates!K$12,Dates!K$13,'Day5'!$B21)</f>
        <v>0</v>
      </c>
      <c r="L21" s="7">
        <f>averageCompletionTimePorter(Dates!L$12,Dates!L$13,'Day5'!$B21)</f>
        <v>0</v>
      </c>
      <c r="M21" s="7">
        <f>averageCompletionTimePorter(Dates!M$12,Dates!M$13,'Day5'!$B21)</f>
        <v>0</v>
      </c>
      <c r="N21" s="7">
        <f>averageCompletionTimePorter(Dates!N$12,Dates!N$13,'Day5'!$B21)</f>
        <v>0</v>
      </c>
      <c r="O21" s="7">
        <f>averageCompletionTimePorter(Dates!O$12,Dates!O$13,'Day5'!$B21)</f>
        <v>0</v>
      </c>
      <c r="P21" s="7">
        <f>averageCompletionTimePorter(Dates!P$12,Dates!P$13,'Day5'!$B21)</f>
        <v>0</v>
      </c>
      <c r="Q21" s="7">
        <f>averageCompletionTimePorter(Dates!Q$12,Dates!Q$13,'Day5'!$B21)</f>
        <v>0</v>
      </c>
      <c r="R21" s="7">
        <f>averageCompletionTimePorter(Dates!R$12,Dates!R$13,'Day5'!$B21)</f>
        <v>0</v>
      </c>
      <c r="S21" s="7">
        <f>averageCompletionTimePorter(Dates!S$12,Dates!S$13,'Day5'!$B21)</f>
        <v>0</v>
      </c>
      <c r="T21" s="7">
        <f>averageCompletionTimePorter(Dates!T$12,Dates!T$13,'Day5'!$B21)</f>
        <v>0</v>
      </c>
      <c r="U21" s="7">
        <f>averageCompletionTimePorter(Dates!$C$12,Dates!$T$13,'Day5'!$B21)</f>
        <v>0</v>
      </c>
    </row>
    <row r="22" spans="2:21" x14ac:dyDescent="0.3">
      <c r="B22" s="12" t="s">
        <v>157</v>
      </c>
      <c r="C22" s="7">
        <f>averageCompletionTimePorter(Dates!C$12,Dates!C$13,'Day5'!$B22)</f>
        <v>0</v>
      </c>
      <c r="D22" s="7">
        <f>averageCompletionTimePorter(Dates!D$12,Dates!D$13,'Day5'!$B22)</f>
        <v>0</v>
      </c>
      <c r="E22" s="7">
        <f>averageCompletionTimePorter(Dates!E$12,Dates!E$13,'Day5'!$B22)</f>
        <v>0</v>
      </c>
      <c r="F22" s="7">
        <f>averageCompletionTimePorter(Dates!F$12,Dates!F$13,'Day5'!$B22)</f>
        <v>0</v>
      </c>
      <c r="G22" s="7">
        <f>averageCompletionTimePorter(Dates!G$12,Dates!G$13,'Day5'!$B22)</f>
        <v>0</v>
      </c>
      <c r="H22" s="7">
        <f>averageCompletionTimePorter(Dates!H$12,Dates!H$13,'Day5'!$B22)</f>
        <v>0</v>
      </c>
      <c r="I22" s="7">
        <f>averageCompletionTimePorter(Dates!I$12,Dates!I$13,'Day5'!$B22)</f>
        <v>0</v>
      </c>
      <c r="J22" s="7">
        <f>averageCompletionTimePorter(Dates!J$12,Dates!J$13,'Day5'!$B22)</f>
        <v>0</v>
      </c>
      <c r="K22" s="7">
        <f>averageCompletionTimePorter(Dates!K$12,Dates!K$13,'Day5'!$B22)</f>
        <v>0</v>
      </c>
      <c r="L22" s="7">
        <f>averageCompletionTimePorter(Dates!L$12,Dates!L$13,'Day5'!$B22)</f>
        <v>0</v>
      </c>
      <c r="M22" s="7">
        <f>averageCompletionTimePorter(Dates!M$12,Dates!M$13,'Day5'!$B22)</f>
        <v>0</v>
      </c>
      <c r="N22" s="7">
        <f>averageCompletionTimePorter(Dates!N$12,Dates!N$13,'Day5'!$B22)</f>
        <v>0</v>
      </c>
      <c r="O22" s="7">
        <f>averageCompletionTimePorter(Dates!O$12,Dates!O$13,'Day5'!$B22)</f>
        <v>0</v>
      </c>
      <c r="P22" s="7">
        <f>averageCompletionTimePorter(Dates!P$12,Dates!P$13,'Day5'!$B22)</f>
        <v>0</v>
      </c>
      <c r="Q22" s="7">
        <f>averageCompletionTimePorter(Dates!Q$12,Dates!Q$13,'Day5'!$B22)</f>
        <v>0</v>
      </c>
      <c r="R22" s="7">
        <f>averageCompletionTimePorter(Dates!R$12,Dates!R$13,'Day5'!$B22)</f>
        <v>0</v>
      </c>
      <c r="S22" s="7">
        <f>averageCompletionTimePorter(Dates!S$12,Dates!S$13,'Day5'!$B22)</f>
        <v>0</v>
      </c>
      <c r="T22" s="7">
        <f>averageCompletionTimePorter(Dates!T$12,Dates!T$13,'Day5'!$B22)</f>
        <v>0</v>
      </c>
      <c r="U22" s="7">
        <f>averageCompletionTimePorter(Dates!$C$12,Dates!$T$13,'Day5'!$B22)</f>
        <v>0</v>
      </c>
    </row>
    <row r="23" spans="2:21" x14ac:dyDescent="0.3">
      <c r="B23" s="12" t="s">
        <v>158</v>
      </c>
      <c r="C23" s="7">
        <f>averageCompletionTimePorter(Dates!C$12,Dates!C$13,'Day5'!$B23)</f>
        <v>0</v>
      </c>
      <c r="D23" s="7">
        <f>averageCompletionTimePorter(Dates!D$12,Dates!D$13,'Day5'!$B23)</f>
        <v>0</v>
      </c>
      <c r="E23" s="7">
        <f>averageCompletionTimePorter(Dates!E$12,Dates!E$13,'Day5'!$B23)</f>
        <v>0</v>
      </c>
      <c r="F23" s="7">
        <f>averageCompletionTimePorter(Dates!F$12,Dates!F$13,'Day5'!$B23)</f>
        <v>0</v>
      </c>
      <c r="G23" s="7">
        <f>averageCompletionTimePorter(Dates!G$12,Dates!G$13,'Day5'!$B23)</f>
        <v>0</v>
      </c>
      <c r="H23" s="7">
        <f>averageCompletionTimePorter(Dates!H$12,Dates!H$13,'Day5'!$B23)</f>
        <v>0</v>
      </c>
      <c r="I23" s="7">
        <f>averageCompletionTimePorter(Dates!I$12,Dates!I$13,'Day5'!$B23)</f>
        <v>0</v>
      </c>
      <c r="J23" s="7">
        <f>averageCompletionTimePorter(Dates!J$12,Dates!J$13,'Day5'!$B23)</f>
        <v>0</v>
      </c>
      <c r="K23" s="7">
        <f>averageCompletionTimePorter(Dates!K$12,Dates!K$13,'Day5'!$B23)</f>
        <v>0</v>
      </c>
      <c r="L23" s="7">
        <f>averageCompletionTimePorter(Dates!L$12,Dates!L$13,'Day5'!$B23)</f>
        <v>0</v>
      </c>
      <c r="M23" s="7">
        <f>averageCompletionTimePorter(Dates!M$12,Dates!M$13,'Day5'!$B23)</f>
        <v>0</v>
      </c>
      <c r="N23" s="7">
        <f>averageCompletionTimePorter(Dates!N$12,Dates!N$13,'Day5'!$B23)</f>
        <v>0</v>
      </c>
      <c r="O23" s="7">
        <f>averageCompletionTimePorter(Dates!O$12,Dates!O$13,'Day5'!$B23)</f>
        <v>0</v>
      </c>
      <c r="P23" s="7">
        <f>averageCompletionTimePorter(Dates!P$12,Dates!P$13,'Day5'!$B23)</f>
        <v>0</v>
      </c>
      <c r="Q23" s="7">
        <f>averageCompletionTimePorter(Dates!Q$12,Dates!Q$13,'Day5'!$B23)</f>
        <v>0</v>
      </c>
      <c r="R23" s="7">
        <f>averageCompletionTimePorter(Dates!R$12,Dates!R$13,'Day5'!$B23)</f>
        <v>0</v>
      </c>
      <c r="S23" s="7">
        <f>averageCompletionTimePorter(Dates!S$12,Dates!S$13,'Day5'!$B23)</f>
        <v>0</v>
      </c>
      <c r="T23" s="7">
        <f>averageCompletionTimePorter(Dates!T$12,Dates!T$13,'Day5'!$B23)</f>
        <v>0</v>
      </c>
      <c r="U23" s="7">
        <f>averageCompletionTimePorter(Dates!$C$12,Dates!$T$13,'Day5'!$B23)</f>
        <v>0</v>
      </c>
    </row>
    <row r="25" spans="2:21" x14ac:dyDescent="0.3">
      <c r="B25" s="11" t="s">
        <v>148</v>
      </c>
      <c r="C25" s="7">
        <f>averageResponseTime(Dates!C12,Dates!C13)</f>
        <v>0</v>
      </c>
      <c r="D25" s="7">
        <f>averageResponseTime(Dates!D12,Dates!D13)</f>
        <v>0</v>
      </c>
      <c r="E25" s="7">
        <f>averageResponseTime(Dates!E12,Dates!E13)</f>
        <v>0</v>
      </c>
      <c r="F25" s="7">
        <f>averageResponseTime(Dates!F12,Dates!F13)</f>
        <v>0</v>
      </c>
      <c r="G25" s="7">
        <f>averageResponseTime(Dates!G12,Dates!G13)</f>
        <v>0</v>
      </c>
      <c r="H25" s="7">
        <f>averageResponseTime(Dates!H12,Dates!H13)</f>
        <v>0</v>
      </c>
      <c r="I25" s="7">
        <f>averageResponseTime(Dates!I12,Dates!I13)</f>
        <v>0</v>
      </c>
      <c r="J25" s="7">
        <f>averageResponseTime(Dates!J12,Dates!J13)</f>
        <v>0</v>
      </c>
      <c r="K25" s="7">
        <f>averageResponseTime(Dates!K12,Dates!K13)</f>
        <v>0</v>
      </c>
      <c r="L25" s="7">
        <f>averageResponseTime(Dates!L12,Dates!L13)</f>
        <v>0</v>
      </c>
      <c r="M25" s="7">
        <f>averageResponseTime(Dates!M12,Dates!M13)</f>
        <v>0</v>
      </c>
      <c r="N25" s="7">
        <f>averageResponseTime(Dates!N12,Dates!N13)</f>
        <v>0</v>
      </c>
      <c r="O25" s="7">
        <f>averageResponseTime(Dates!O12,Dates!O13)</f>
        <v>0</v>
      </c>
      <c r="P25" s="7">
        <f>averageResponseTime(Dates!P12,Dates!P13)</f>
        <v>0</v>
      </c>
      <c r="Q25" s="7">
        <f>averageResponseTime(Dates!Q12,Dates!Q13)</f>
        <v>0</v>
      </c>
      <c r="R25" s="7">
        <f>averageResponseTime(Dates!R12,Dates!R13)</f>
        <v>0</v>
      </c>
      <c r="S25" s="7">
        <f>averageResponseTime(Dates!S12,Dates!S13)</f>
        <v>0</v>
      </c>
      <c r="T25" s="7">
        <f>averageResponseTime(Dates!T12,Dates!T13)</f>
        <v>0</v>
      </c>
      <c r="U25" s="7">
        <f>averageResponseTime(Dates!C12,Dates!T13)</f>
        <v>0</v>
      </c>
    </row>
    <row r="26" spans="2:21" x14ac:dyDescent="0.3">
      <c r="B26" s="11">
        <f t="shared" ref="B26:B36" si="0">B3</f>
        <v>3</v>
      </c>
      <c r="C26" s="7">
        <f>averageResponseTimePorter(Dates!C$12,Dates!C$13,'Day5'!$B26)</f>
        <v>0</v>
      </c>
      <c r="D26" s="7">
        <f>averageResponseTimePorter(Dates!D$12,Dates!D$13,'Day5'!$B26)</f>
        <v>0</v>
      </c>
      <c r="E26" s="7">
        <f>averageResponseTimePorter(Dates!E$12,Dates!E$13,'Day5'!$B26)</f>
        <v>0</v>
      </c>
      <c r="F26" s="7">
        <f>averageResponseTimePorter(Dates!F$12,Dates!F$13,'Day5'!$B26)</f>
        <v>0</v>
      </c>
      <c r="G26" s="7">
        <f>averageResponseTimePorter(Dates!G$12,Dates!G$13,'Day5'!$B26)</f>
        <v>0</v>
      </c>
      <c r="H26" s="7">
        <f>averageResponseTimePorter(Dates!H$12,Dates!H$13,'Day5'!$B26)</f>
        <v>0</v>
      </c>
      <c r="I26" s="7">
        <f>averageResponseTimePorter(Dates!I$12,Dates!I$13,'Day5'!$B26)</f>
        <v>0</v>
      </c>
      <c r="J26" s="7">
        <f>averageResponseTimePorter(Dates!J$12,Dates!J$13,'Day5'!$B26)</f>
        <v>0</v>
      </c>
      <c r="K26" s="7">
        <f>averageResponseTimePorter(Dates!K$12,Dates!K$13,'Day5'!$B26)</f>
        <v>0</v>
      </c>
      <c r="L26" s="7">
        <f>averageResponseTimePorter(Dates!L$12,Dates!L$13,'Day5'!$B26)</f>
        <v>0</v>
      </c>
      <c r="M26" s="7">
        <f>averageResponseTimePorter(Dates!M$12,Dates!M$13,'Day5'!$B26)</f>
        <v>0</v>
      </c>
      <c r="N26" s="7">
        <f>averageResponseTimePorter(Dates!N$12,Dates!N$13,'Day5'!$B26)</f>
        <v>0</v>
      </c>
      <c r="O26" s="7">
        <f>averageResponseTimePorter(Dates!O$12,Dates!O$13,'Day5'!$B26)</f>
        <v>0</v>
      </c>
      <c r="P26" s="7">
        <f>averageResponseTimePorter(Dates!P$12,Dates!P$13,'Day5'!$B26)</f>
        <v>0</v>
      </c>
      <c r="Q26" s="7">
        <f>averageResponseTimePorter(Dates!Q$12,Dates!Q$13,'Day5'!$B26)</f>
        <v>0</v>
      </c>
      <c r="R26" s="7">
        <f>averageResponseTimePorter(Dates!R$12,Dates!R$13,'Day5'!$B26)</f>
        <v>0</v>
      </c>
      <c r="S26" s="7">
        <f>averageResponseTimePorter(Dates!S$12,Dates!S$13,'Day5'!$B26)</f>
        <v>0</v>
      </c>
      <c r="T26" s="7">
        <f>averageResponseTimePorter(Dates!T$12,Dates!T$13,'Day5'!$B26)</f>
        <v>0</v>
      </c>
      <c r="U26" s="7">
        <f>averageResponseTimePorter(Dates!$C$12,Dates!$T$13,'Day5'!$B3)</f>
        <v>0</v>
      </c>
    </row>
    <row r="27" spans="2:21" x14ac:dyDescent="0.3">
      <c r="B27" s="11">
        <f t="shared" si="0"/>
        <v>2</v>
      </c>
      <c r="C27" s="7">
        <f>averageResponseTimePorter(Dates!C$12,Dates!C$13,'Day5'!$B27)</f>
        <v>0</v>
      </c>
      <c r="D27" s="7">
        <f>averageResponseTimePorter(Dates!D$12,Dates!D$13,'Day5'!$B27)</f>
        <v>0</v>
      </c>
      <c r="E27" s="7">
        <f>averageResponseTimePorter(Dates!E$12,Dates!E$13,'Day5'!$B27)</f>
        <v>0</v>
      </c>
      <c r="F27" s="7">
        <f>averageResponseTimePorter(Dates!F$12,Dates!F$13,'Day5'!$B27)</f>
        <v>0</v>
      </c>
      <c r="G27" s="7">
        <f>averageResponseTimePorter(Dates!G$12,Dates!G$13,'Day5'!$B27)</f>
        <v>0</v>
      </c>
      <c r="H27" s="7">
        <f>averageResponseTimePorter(Dates!H$12,Dates!H$13,'Day5'!$B27)</f>
        <v>0</v>
      </c>
      <c r="I27" s="7">
        <f>averageResponseTimePorter(Dates!I$12,Dates!I$13,'Day5'!$B27)</f>
        <v>0</v>
      </c>
      <c r="J27" s="7">
        <f>averageResponseTimePorter(Dates!J$12,Dates!J$13,'Day5'!$B27)</f>
        <v>0</v>
      </c>
      <c r="K27" s="7">
        <f>averageResponseTimePorter(Dates!K$12,Dates!K$13,'Day5'!$B27)</f>
        <v>0</v>
      </c>
      <c r="L27" s="7">
        <f>averageResponseTimePorter(Dates!L$12,Dates!L$13,'Day5'!$B27)</f>
        <v>0</v>
      </c>
      <c r="M27" s="7">
        <f>averageResponseTimePorter(Dates!M$12,Dates!M$13,'Day5'!$B27)</f>
        <v>0</v>
      </c>
      <c r="N27" s="7">
        <f>averageResponseTimePorter(Dates!N$12,Dates!N$13,'Day5'!$B27)</f>
        <v>0</v>
      </c>
      <c r="O27" s="7">
        <f>averageResponseTimePorter(Dates!O$12,Dates!O$13,'Day5'!$B27)</f>
        <v>0</v>
      </c>
      <c r="P27" s="7">
        <f>averageResponseTimePorter(Dates!P$12,Dates!P$13,'Day5'!$B27)</f>
        <v>0</v>
      </c>
      <c r="Q27" s="7">
        <f>averageResponseTimePorter(Dates!Q$12,Dates!Q$13,'Day5'!$B27)</f>
        <v>0</v>
      </c>
      <c r="R27" s="7">
        <f>averageResponseTimePorter(Dates!R$12,Dates!R$13,'Day5'!$B27)</f>
        <v>0</v>
      </c>
      <c r="S27" s="7">
        <f>averageResponseTimePorter(Dates!S$12,Dates!S$13,'Day5'!$B27)</f>
        <v>0</v>
      </c>
      <c r="T27" s="7">
        <f>averageResponseTimePorter(Dates!T$12,Dates!T$13,'Day5'!$B27)</f>
        <v>0</v>
      </c>
      <c r="U27" s="7">
        <f>averageResponseTimePorter(Dates!$C$12,Dates!$T$13,'Day5'!$B4)</f>
        <v>0</v>
      </c>
    </row>
    <row r="28" spans="2:21" x14ac:dyDescent="0.3">
      <c r="B28" s="11">
        <f t="shared" si="0"/>
        <v>5</v>
      </c>
      <c r="C28" s="7">
        <f>averageResponseTimePorter(Dates!C$12,Dates!C$13,'Day5'!$B28)</f>
        <v>0</v>
      </c>
      <c r="D28" s="7">
        <f>averageResponseTimePorter(Dates!D$12,Dates!D$13,'Day5'!$B28)</f>
        <v>0</v>
      </c>
      <c r="E28" s="7">
        <f>averageResponseTimePorter(Dates!E$12,Dates!E$13,'Day5'!$B28)</f>
        <v>0</v>
      </c>
      <c r="F28" s="7">
        <f>averageResponseTimePorter(Dates!F$12,Dates!F$13,'Day5'!$B28)</f>
        <v>0</v>
      </c>
      <c r="G28" s="7">
        <f>averageResponseTimePorter(Dates!G$12,Dates!G$13,'Day5'!$B28)</f>
        <v>0</v>
      </c>
      <c r="H28" s="7">
        <f>averageResponseTimePorter(Dates!H$12,Dates!H$13,'Day5'!$B28)</f>
        <v>0</v>
      </c>
      <c r="I28" s="7">
        <f>averageResponseTimePorter(Dates!I$12,Dates!I$13,'Day5'!$B28)</f>
        <v>0</v>
      </c>
      <c r="J28" s="7">
        <f>averageResponseTimePorter(Dates!J$12,Dates!J$13,'Day5'!$B28)</f>
        <v>0</v>
      </c>
      <c r="K28" s="7">
        <f>averageResponseTimePorter(Dates!K$12,Dates!K$13,'Day5'!$B28)</f>
        <v>0</v>
      </c>
      <c r="L28" s="7">
        <f>averageResponseTimePorter(Dates!L$12,Dates!L$13,'Day5'!$B28)</f>
        <v>0</v>
      </c>
      <c r="M28" s="7">
        <f>averageResponseTimePorter(Dates!M$12,Dates!M$13,'Day5'!$B28)</f>
        <v>0</v>
      </c>
      <c r="N28" s="7">
        <f>averageResponseTimePorter(Dates!N$12,Dates!N$13,'Day5'!$B28)</f>
        <v>0</v>
      </c>
      <c r="O28" s="7">
        <f>averageResponseTimePorter(Dates!O$12,Dates!O$13,'Day5'!$B28)</f>
        <v>0</v>
      </c>
      <c r="P28" s="7">
        <f>averageResponseTimePorter(Dates!P$12,Dates!P$13,'Day5'!$B28)</f>
        <v>0</v>
      </c>
      <c r="Q28" s="7">
        <f>averageResponseTimePorter(Dates!Q$12,Dates!Q$13,'Day5'!$B28)</f>
        <v>0</v>
      </c>
      <c r="R28" s="7">
        <f>averageResponseTimePorter(Dates!R$12,Dates!R$13,'Day5'!$B28)</f>
        <v>0</v>
      </c>
      <c r="S28" s="7">
        <f>averageResponseTimePorter(Dates!S$12,Dates!S$13,'Day5'!$B28)</f>
        <v>0</v>
      </c>
      <c r="T28" s="7">
        <f>averageResponseTimePorter(Dates!T$12,Dates!T$13,'Day5'!$B28)</f>
        <v>0</v>
      </c>
      <c r="U28" s="7">
        <f>averageResponseTimePorter(Dates!$C$12,Dates!$T$13,'Day5'!$B5)</f>
        <v>0</v>
      </c>
    </row>
    <row r="29" spans="2:21" x14ac:dyDescent="0.3">
      <c r="B29" s="11">
        <f t="shared" si="0"/>
        <v>0</v>
      </c>
      <c r="C29" s="7">
        <f>averageResponseTimePorter(Dates!C$12,Dates!C$13,'Day5'!$B29)</f>
        <v>0</v>
      </c>
      <c r="D29" s="7">
        <f>averageResponseTimePorter(Dates!D$12,Dates!D$13,'Day5'!$B29)</f>
        <v>0</v>
      </c>
      <c r="E29" s="7">
        <f>averageResponseTimePorter(Dates!E$12,Dates!E$13,'Day5'!$B29)</f>
        <v>0</v>
      </c>
      <c r="F29" s="7">
        <f>averageResponseTimePorter(Dates!F$12,Dates!F$13,'Day5'!$B29)</f>
        <v>0</v>
      </c>
      <c r="G29" s="7">
        <f>averageResponseTimePorter(Dates!G$12,Dates!G$13,'Day5'!$B29)</f>
        <v>0</v>
      </c>
      <c r="H29" s="7">
        <f>averageResponseTimePorter(Dates!H$12,Dates!H$13,'Day5'!$B29)</f>
        <v>0</v>
      </c>
      <c r="I29" s="7">
        <f>averageResponseTimePorter(Dates!I$12,Dates!I$13,'Day5'!$B29)</f>
        <v>0</v>
      </c>
      <c r="J29" s="7">
        <f>averageResponseTimePorter(Dates!J$12,Dates!J$13,'Day5'!$B29)</f>
        <v>0</v>
      </c>
      <c r="K29" s="7">
        <f>averageResponseTimePorter(Dates!K$12,Dates!K$13,'Day5'!$B29)</f>
        <v>0</v>
      </c>
      <c r="L29" s="7">
        <f>averageResponseTimePorter(Dates!L$12,Dates!L$13,'Day5'!$B29)</f>
        <v>0</v>
      </c>
      <c r="M29" s="7">
        <f>averageResponseTimePorter(Dates!M$12,Dates!M$13,'Day5'!$B29)</f>
        <v>0</v>
      </c>
      <c r="N29" s="7">
        <f>averageResponseTimePorter(Dates!N$12,Dates!N$13,'Day5'!$B29)</f>
        <v>0</v>
      </c>
      <c r="O29" s="7">
        <f>averageResponseTimePorter(Dates!O$12,Dates!O$13,'Day5'!$B29)</f>
        <v>0</v>
      </c>
      <c r="P29" s="7">
        <f>averageResponseTimePorter(Dates!P$12,Dates!P$13,'Day5'!$B29)</f>
        <v>0</v>
      </c>
      <c r="Q29" s="7">
        <f>averageResponseTimePorter(Dates!Q$12,Dates!Q$13,'Day5'!$B29)</f>
        <v>0</v>
      </c>
      <c r="R29" s="7">
        <f>averageResponseTimePorter(Dates!R$12,Dates!R$13,'Day5'!$B29)</f>
        <v>0</v>
      </c>
      <c r="S29" s="7">
        <f>averageResponseTimePorter(Dates!S$12,Dates!S$13,'Day5'!$B29)</f>
        <v>0</v>
      </c>
      <c r="T29" s="7">
        <f>averageResponseTimePorter(Dates!T$12,Dates!T$13,'Day5'!$B29)</f>
        <v>0</v>
      </c>
      <c r="U29" s="7">
        <f>averageResponseTimePorter(Dates!$C$12,Dates!$T$13,'Day5'!$B6)</f>
        <v>0</v>
      </c>
    </row>
    <row r="30" spans="2:21" x14ac:dyDescent="0.3">
      <c r="B30" s="11">
        <f t="shared" si="0"/>
        <v>4</v>
      </c>
      <c r="C30" s="7">
        <f>averageResponseTimePorter(Dates!C$12,Dates!C$13,'Day5'!$B30)</f>
        <v>0</v>
      </c>
      <c r="D30" s="7">
        <f>averageResponseTimePorter(Dates!D$12,Dates!D$13,'Day5'!$B30)</f>
        <v>0</v>
      </c>
      <c r="E30" s="7">
        <f>averageResponseTimePorter(Dates!E$12,Dates!E$13,'Day5'!$B30)</f>
        <v>0</v>
      </c>
      <c r="F30" s="7">
        <f>averageResponseTimePorter(Dates!F$12,Dates!F$13,'Day5'!$B30)</f>
        <v>0</v>
      </c>
      <c r="G30" s="7">
        <f>averageResponseTimePorter(Dates!G$12,Dates!G$13,'Day5'!$B30)</f>
        <v>0</v>
      </c>
      <c r="H30" s="7">
        <f>averageResponseTimePorter(Dates!H$12,Dates!H$13,'Day5'!$B30)</f>
        <v>0</v>
      </c>
      <c r="I30" s="7">
        <f>averageResponseTimePorter(Dates!I$12,Dates!I$13,'Day5'!$B30)</f>
        <v>0</v>
      </c>
      <c r="J30" s="7">
        <f>averageResponseTimePorter(Dates!J$12,Dates!J$13,'Day5'!$B30)</f>
        <v>0</v>
      </c>
      <c r="K30" s="7">
        <f>averageResponseTimePorter(Dates!K$12,Dates!K$13,'Day5'!$B30)</f>
        <v>0</v>
      </c>
      <c r="L30" s="7">
        <f>averageResponseTimePorter(Dates!L$12,Dates!L$13,'Day5'!$B30)</f>
        <v>0</v>
      </c>
      <c r="M30" s="7">
        <f>averageResponseTimePorter(Dates!M$12,Dates!M$13,'Day5'!$B30)</f>
        <v>0</v>
      </c>
      <c r="N30" s="7">
        <f>averageResponseTimePorter(Dates!N$12,Dates!N$13,'Day5'!$B30)</f>
        <v>0</v>
      </c>
      <c r="O30" s="7">
        <f>averageResponseTimePorter(Dates!O$12,Dates!O$13,'Day5'!$B30)</f>
        <v>0</v>
      </c>
      <c r="P30" s="7">
        <f>averageResponseTimePorter(Dates!P$12,Dates!P$13,'Day5'!$B30)</f>
        <v>0</v>
      </c>
      <c r="Q30" s="7">
        <f>averageResponseTimePorter(Dates!Q$12,Dates!Q$13,'Day5'!$B30)</f>
        <v>0</v>
      </c>
      <c r="R30" s="7">
        <f>averageResponseTimePorter(Dates!R$12,Dates!R$13,'Day5'!$B30)</f>
        <v>0</v>
      </c>
      <c r="S30" s="7">
        <f>averageResponseTimePorter(Dates!S$12,Dates!S$13,'Day5'!$B30)</f>
        <v>0</v>
      </c>
      <c r="T30" s="7">
        <f>averageResponseTimePorter(Dates!T$12,Dates!T$13,'Day5'!$B30)</f>
        <v>0</v>
      </c>
      <c r="U30" s="7">
        <f>averageResponseTimePorter(Dates!$C$12,Dates!$T$13,'Day5'!$B7)</f>
        <v>0</v>
      </c>
    </row>
    <row r="31" spans="2:21" x14ac:dyDescent="0.3">
      <c r="B31" s="11">
        <f t="shared" si="0"/>
        <v>8</v>
      </c>
      <c r="C31" s="7">
        <f>averageResponseTimePorter(Dates!C$12,Dates!C$13,'Day5'!$B31)</f>
        <v>0</v>
      </c>
      <c r="D31" s="7">
        <f>averageResponseTimePorter(Dates!D$12,Dates!D$13,'Day5'!$B31)</f>
        <v>0</v>
      </c>
      <c r="E31" s="7">
        <f>averageResponseTimePorter(Dates!E$12,Dates!E$13,'Day5'!$B31)</f>
        <v>0</v>
      </c>
      <c r="F31" s="7">
        <f>averageResponseTimePorter(Dates!F$12,Dates!F$13,'Day5'!$B31)</f>
        <v>0</v>
      </c>
      <c r="G31" s="7">
        <f>averageResponseTimePorter(Dates!G$12,Dates!G$13,'Day5'!$B31)</f>
        <v>0</v>
      </c>
      <c r="H31" s="7">
        <f>averageResponseTimePorter(Dates!H$12,Dates!H$13,'Day5'!$B31)</f>
        <v>0</v>
      </c>
      <c r="I31" s="7">
        <f>averageResponseTimePorter(Dates!I$12,Dates!I$13,'Day5'!$B31)</f>
        <v>0</v>
      </c>
      <c r="J31" s="7">
        <f>averageResponseTimePorter(Dates!J$12,Dates!J$13,'Day5'!$B31)</f>
        <v>0</v>
      </c>
      <c r="K31" s="7">
        <f>averageResponseTimePorter(Dates!K$12,Dates!K$13,'Day5'!$B31)</f>
        <v>0</v>
      </c>
      <c r="L31" s="7">
        <f>averageResponseTimePorter(Dates!L$12,Dates!L$13,'Day5'!$B31)</f>
        <v>0</v>
      </c>
      <c r="M31" s="7">
        <f>averageResponseTimePorter(Dates!M$12,Dates!M$13,'Day5'!$B31)</f>
        <v>0</v>
      </c>
      <c r="N31" s="7">
        <f>averageResponseTimePorter(Dates!N$12,Dates!N$13,'Day5'!$B31)</f>
        <v>0</v>
      </c>
      <c r="O31" s="7">
        <f>averageResponseTimePorter(Dates!O$12,Dates!O$13,'Day5'!$B31)</f>
        <v>0</v>
      </c>
      <c r="P31" s="7">
        <f>averageResponseTimePorter(Dates!P$12,Dates!P$13,'Day5'!$B31)</f>
        <v>0</v>
      </c>
      <c r="Q31" s="7">
        <f>averageResponseTimePorter(Dates!Q$12,Dates!Q$13,'Day5'!$B31)</f>
        <v>0</v>
      </c>
      <c r="R31" s="7">
        <f>averageResponseTimePorter(Dates!R$12,Dates!R$13,'Day5'!$B31)</f>
        <v>0</v>
      </c>
      <c r="S31" s="7">
        <f>averageResponseTimePorter(Dates!S$12,Dates!S$13,'Day5'!$B31)</f>
        <v>0</v>
      </c>
      <c r="T31" s="7">
        <f>averageResponseTimePorter(Dates!T$12,Dates!T$13,'Day5'!$B31)</f>
        <v>0</v>
      </c>
      <c r="U31" s="7">
        <f>averageResponseTimePorter(Dates!$C$12,Dates!$T$13,'Day5'!$B8)</f>
        <v>0</v>
      </c>
    </row>
    <row r="32" spans="2:21" x14ac:dyDescent="0.3">
      <c r="B32" s="11">
        <f t="shared" si="0"/>
        <v>6</v>
      </c>
      <c r="C32" s="7">
        <f>averageResponseTimePorter(Dates!C$12,Dates!C$13,'Day5'!$B32)</f>
        <v>0</v>
      </c>
      <c r="D32" s="7">
        <f>averageResponseTimePorter(Dates!D$12,Dates!D$13,'Day5'!$B32)</f>
        <v>0</v>
      </c>
      <c r="E32" s="7">
        <f>averageResponseTimePorter(Dates!E$12,Dates!E$13,'Day5'!$B32)</f>
        <v>0</v>
      </c>
      <c r="F32" s="7">
        <f>averageResponseTimePorter(Dates!F$12,Dates!F$13,'Day5'!$B32)</f>
        <v>0</v>
      </c>
      <c r="G32" s="7">
        <f>averageResponseTimePorter(Dates!G$12,Dates!G$13,'Day5'!$B32)</f>
        <v>0</v>
      </c>
      <c r="H32" s="7">
        <f>averageResponseTimePorter(Dates!H$12,Dates!H$13,'Day5'!$B32)</f>
        <v>0</v>
      </c>
      <c r="I32" s="7">
        <f>averageResponseTimePorter(Dates!I$12,Dates!I$13,'Day5'!$B32)</f>
        <v>0</v>
      </c>
      <c r="J32" s="7">
        <f>averageResponseTimePorter(Dates!J$12,Dates!J$13,'Day5'!$B32)</f>
        <v>0</v>
      </c>
      <c r="K32" s="7">
        <f>averageResponseTimePorter(Dates!K$12,Dates!K$13,'Day5'!$B32)</f>
        <v>0</v>
      </c>
      <c r="L32" s="7">
        <f>averageResponseTimePorter(Dates!L$12,Dates!L$13,'Day5'!$B32)</f>
        <v>0</v>
      </c>
      <c r="M32" s="7">
        <f>averageResponseTimePorter(Dates!M$12,Dates!M$13,'Day5'!$B32)</f>
        <v>0</v>
      </c>
      <c r="N32" s="7">
        <f>averageResponseTimePorter(Dates!N$12,Dates!N$13,'Day5'!$B32)</f>
        <v>0</v>
      </c>
      <c r="O32" s="7">
        <f>averageResponseTimePorter(Dates!O$12,Dates!O$13,'Day5'!$B32)</f>
        <v>0</v>
      </c>
      <c r="P32" s="7">
        <f>averageResponseTimePorter(Dates!P$12,Dates!P$13,'Day5'!$B32)</f>
        <v>0</v>
      </c>
      <c r="Q32" s="7">
        <f>averageResponseTimePorter(Dates!Q$12,Dates!Q$13,'Day5'!$B32)</f>
        <v>0</v>
      </c>
      <c r="R32" s="7">
        <f>averageResponseTimePorter(Dates!R$12,Dates!R$13,'Day5'!$B32)</f>
        <v>0</v>
      </c>
      <c r="S32" s="7">
        <f>averageResponseTimePorter(Dates!S$12,Dates!S$13,'Day5'!$B32)</f>
        <v>0</v>
      </c>
      <c r="T32" s="7">
        <f>averageResponseTimePorter(Dates!T$12,Dates!T$13,'Day5'!$B32)</f>
        <v>0</v>
      </c>
      <c r="U32" s="7">
        <f>averageResponseTimePorter(Dates!$C$12,Dates!$T$13,'Day5'!$B9)</f>
        <v>0</v>
      </c>
    </row>
    <row r="33" spans="2:21" x14ac:dyDescent="0.3">
      <c r="B33" s="11">
        <f t="shared" si="0"/>
        <v>1</v>
      </c>
      <c r="C33" s="7">
        <f>averageResponseTimePorter(Dates!C$12,Dates!C$13,'Day5'!$B33)</f>
        <v>0</v>
      </c>
      <c r="D33" s="7">
        <f>averageResponseTimePorter(Dates!D$12,Dates!D$13,'Day5'!$B33)</f>
        <v>0</v>
      </c>
      <c r="E33" s="7">
        <f>averageResponseTimePorter(Dates!E$12,Dates!E$13,'Day5'!$B33)</f>
        <v>0</v>
      </c>
      <c r="F33" s="7">
        <f>averageResponseTimePorter(Dates!F$12,Dates!F$13,'Day5'!$B33)</f>
        <v>0</v>
      </c>
      <c r="G33" s="7">
        <f>averageResponseTimePorter(Dates!G$12,Dates!G$13,'Day5'!$B33)</f>
        <v>0</v>
      </c>
      <c r="H33" s="7">
        <f>averageResponseTimePorter(Dates!H$12,Dates!H$13,'Day5'!$B33)</f>
        <v>0</v>
      </c>
      <c r="I33" s="7">
        <f>averageResponseTimePorter(Dates!I$12,Dates!I$13,'Day5'!$B33)</f>
        <v>0</v>
      </c>
      <c r="J33" s="7">
        <f>averageResponseTimePorter(Dates!J$12,Dates!J$13,'Day5'!$B33)</f>
        <v>0</v>
      </c>
      <c r="K33" s="7">
        <f>averageResponseTimePorter(Dates!K$12,Dates!K$13,'Day5'!$B33)</f>
        <v>0</v>
      </c>
      <c r="L33" s="7">
        <f>averageResponseTimePorter(Dates!L$12,Dates!L$13,'Day5'!$B33)</f>
        <v>0</v>
      </c>
      <c r="M33" s="7">
        <f>averageResponseTimePorter(Dates!M$12,Dates!M$13,'Day5'!$B33)</f>
        <v>0</v>
      </c>
      <c r="N33" s="7">
        <f>averageResponseTimePorter(Dates!N$12,Dates!N$13,'Day5'!$B33)</f>
        <v>0</v>
      </c>
      <c r="O33" s="7">
        <f>averageResponseTimePorter(Dates!O$12,Dates!O$13,'Day5'!$B33)</f>
        <v>0</v>
      </c>
      <c r="P33" s="7">
        <f>averageResponseTimePorter(Dates!P$12,Dates!P$13,'Day5'!$B33)</f>
        <v>0</v>
      </c>
      <c r="Q33" s="7">
        <f>averageResponseTimePorter(Dates!Q$12,Dates!Q$13,'Day5'!$B33)</f>
        <v>0</v>
      </c>
      <c r="R33" s="7">
        <f>averageResponseTimePorter(Dates!R$12,Dates!R$13,'Day5'!$B33)</f>
        <v>0</v>
      </c>
      <c r="S33" s="7">
        <f>averageResponseTimePorter(Dates!S$12,Dates!S$13,'Day5'!$B33)</f>
        <v>0</v>
      </c>
      <c r="T33" s="7">
        <f>averageResponseTimePorter(Dates!T$12,Dates!T$13,'Day5'!$B33)</f>
        <v>0</v>
      </c>
      <c r="U33" s="7">
        <f>averageResponseTimePorter(Dates!$C$12,Dates!$T$13,'Day5'!$B10)</f>
        <v>0</v>
      </c>
    </row>
    <row r="34" spans="2:21" x14ac:dyDescent="0.3">
      <c r="B34" s="11">
        <f t="shared" si="0"/>
        <v>10</v>
      </c>
      <c r="C34" s="7">
        <f>averageResponseTimePorter(Dates!C$12,Dates!C$13,'Day5'!$B34)</f>
        <v>0</v>
      </c>
      <c r="D34" s="7">
        <f>averageResponseTimePorter(Dates!D$12,Dates!D$13,'Day5'!$B34)</f>
        <v>0</v>
      </c>
      <c r="E34" s="7">
        <f>averageResponseTimePorter(Dates!E$12,Dates!E$13,'Day5'!$B34)</f>
        <v>0</v>
      </c>
      <c r="F34" s="7">
        <f>averageResponseTimePorter(Dates!F$12,Dates!F$13,'Day5'!$B34)</f>
        <v>0</v>
      </c>
      <c r="G34" s="7">
        <f>averageResponseTimePorter(Dates!G$12,Dates!G$13,'Day5'!$B34)</f>
        <v>0</v>
      </c>
      <c r="H34" s="7">
        <f>averageResponseTimePorter(Dates!H$12,Dates!H$13,'Day5'!$B34)</f>
        <v>0</v>
      </c>
      <c r="I34" s="7">
        <f>averageResponseTimePorter(Dates!I$12,Dates!I$13,'Day5'!$B34)</f>
        <v>0</v>
      </c>
      <c r="J34" s="7">
        <f>averageResponseTimePorter(Dates!J$12,Dates!J$13,'Day5'!$B34)</f>
        <v>0</v>
      </c>
      <c r="K34" s="7">
        <f>averageResponseTimePorter(Dates!K$12,Dates!K$13,'Day5'!$B34)</f>
        <v>0</v>
      </c>
      <c r="L34" s="7">
        <f>averageResponseTimePorter(Dates!L$12,Dates!L$13,'Day5'!$B34)</f>
        <v>0</v>
      </c>
      <c r="M34" s="7">
        <f>averageResponseTimePorter(Dates!M$12,Dates!M$13,'Day5'!$B34)</f>
        <v>0</v>
      </c>
      <c r="N34" s="7">
        <f>averageResponseTimePorter(Dates!N$12,Dates!N$13,'Day5'!$B34)</f>
        <v>0</v>
      </c>
      <c r="O34" s="7">
        <f>averageResponseTimePorter(Dates!O$12,Dates!O$13,'Day5'!$B34)</f>
        <v>0</v>
      </c>
      <c r="P34" s="7">
        <f>averageResponseTimePorter(Dates!P$12,Dates!P$13,'Day5'!$B34)</f>
        <v>0</v>
      </c>
      <c r="Q34" s="7">
        <f>averageResponseTimePorter(Dates!Q$12,Dates!Q$13,'Day5'!$B34)</f>
        <v>0</v>
      </c>
      <c r="R34" s="7">
        <f>averageResponseTimePorter(Dates!R$12,Dates!R$13,'Day5'!$B34)</f>
        <v>0</v>
      </c>
      <c r="S34" s="7">
        <f>averageResponseTimePorter(Dates!S$12,Dates!S$13,'Day5'!$B34)</f>
        <v>0</v>
      </c>
      <c r="T34" s="7">
        <f>averageResponseTimePorter(Dates!T$12,Dates!T$13,'Day5'!$B34)</f>
        <v>0</v>
      </c>
      <c r="U34" s="7">
        <f>averageResponseTimePorter(Dates!$C$12,Dates!$T$13,'Day5'!$B11)</f>
        <v>0</v>
      </c>
    </row>
    <row r="35" spans="2:21" x14ac:dyDescent="0.3">
      <c r="B35" s="11">
        <f t="shared" si="0"/>
        <v>9</v>
      </c>
      <c r="C35" s="7">
        <f>averageResponseTimePorter(Dates!C$12,Dates!C$13,'Day5'!$B35)</f>
        <v>0</v>
      </c>
      <c r="D35" s="7">
        <f>averageResponseTimePorter(Dates!D$12,Dates!D$13,'Day5'!$B35)</f>
        <v>0</v>
      </c>
      <c r="E35" s="7">
        <f>averageResponseTimePorter(Dates!E$12,Dates!E$13,'Day5'!$B35)</f>
        <v>0</v>
      </c>
      <c r="F35" s="7">
        <f>averageResponseTimePorter(Dates!F$12,Dates!F$13,'Day5'!$B35)</f>
        <v>0</v>
      </c>
      <c r="G35" s="7">
        <f>averageResponseTimePorter(Dates!G$12,Dates!G$13,'Day5'!$B35)</f>
        <v>0</v>
      </c>
      <c r="H35" s="7">
        <f>averageResponseTimePorter(Dates!H$12,Dates!H$13,'Day5'!$B35)</f>
        <v>0</v>
      </c>
      <c r="I35" s="7">
        <f>averageResponseTimePorter(Dates!I$12,Dates!I$13,'Day5'!$B35)</f>
        <v>0</v>
      </c>
      <c r="J35" s="7">
        <f>averageResponseTimePorter(Dates!J$12,Dates!J$13,'Day5'!$B35)</f>
        <v>0</v>
      </c>
      <c r="K35" s="7">
        <f>averageResponseTimePorter(Dates!K$12,Dates!K$13,'Day5'!$B35)</f>
        <v>0</v>
      </c>
      <c r="L35" s="7">
        <f>averageResponseTimePorter(Dates!L$12,Dates!L$13,'Day5'!$B35)</f>
        <v>0</v>
      </c>
      <c r="M35" s="7">
        <f>averageResponseTimePorter(Dates!M$12,Dates!M$13,'Day5'!$B35)</f>
        <v>0</v>
      </c>
      <c r="N35" s="7">
        <f>averageResponseTimePorter(Dates!N$12,Dates!N$13,'Day5'!$B35)</f>
        <v>0</v>
      </c>
      <c r="O35" s="7">
        <f>averageResponseTimePorter(Dates!O$12,Dates!O$13,'Day5'!$B35)</f>
        <v>0</v>
      </c>
      <c r="P35" s="7">
        <f>averageResponseTimePorter(Dates!P$12,Dates!P$13,'Day5'!$B35)</f>
        <v>0</v>
      </c>
      <c r="Q35" s="7">
        <f>averageResponseTimePorter(Dates!Q$12,Dates!Q$13,'Day5'!$B35)</f>
        <v>0</v>
      </c>
      <c r="R35" s="7">
        <f>averageResponseTimePorter(Dates!R$12,Dates!R$13,'Day5'!$B35)</f>
        <v>0</v>
      </c>
      <c r="S35" s="7">
        <f>averageResponseTimePorter(Dates!S$12,Dates!S$13,'Day5'!$B35)</f>
        <v>0</v>
      </c>
      <c r="T35" s="7">
        <f>averageResponseTimePorter(Dates!T$12,Dates!T$13,'Day5'!$B35)</f>
        <v>0</v>
      </c>
      <c r="U35" s="7">
        <f>averageResponseTimePorter(Dates!$C$12,Dates!$T$13,'Day5'!$B12)</f>
        <v>0</v>
      </c>
    </row>
    <row r="36" spans="2:21" x14ac:dyDescent="0.3">
      <c r="B36" s="11">
        <f t="shared" si="0"/>
        <v>7</v>
      </c>
      <c r="C36" s="7">
        <f>averageResponseTimePorter(Dates!C$12,Dates!C$13,'Day5'!$B36)</f>
        <v>0</v>
      </c>
      <c r="D36" s="7">
        <f>averageResponseTimePorter(Dates!D$12,Dates!D$13,'Day5'!$B36)</f>
        <v>0</v>
      </c>
      <c r="E36" s="7">
        <f>averageResponseTimePorter(Dates!E$12,Dates!E$13,'Day5'!$B36)</f>
        <v>0</v>
      </c>
      <c r="F36" s="7">
        <f>averageResponseTimePorter(Dates!F$12,Dates!F$13,'Day5'!$B36)</f>
        <v>0</v>
      </c>
      <c r="G36" s="7">
        <f>averageResponseTimePorter(Dates!G$12,Dates!G$13,'Day5'!$B36)</f>
        <v>0</v>
      </c>
      <c r="H36" s="7">
        <f>averageResponseTimePorter(Dates!H$12,Dates!H$13,'Day5'!$B36)</f>
        <v>0</v>
      </c>
      <c r="I36" s="7">
        <f>averageResponseTimePorter(Dates!I$12,Dates!I$13,'Day5'!$B36)</f>
        <v>0</v>
      </c>
      <c r="J36" s="7">
        <f>averageResponseTimePorter(Dates!J$12,Dates!J$13,'Day5'!$B36)</f>
        <v>0</v>
      </c>
      <c r="K36" s="7">
        <f>averageResponseTimePorter(Dates!K$12,Dates!K$13,'Day5'!$B36)</f>
        <v>0</v>
      </c>
      <c r="L36" s="7">
        <f>averageResponseTimePorter(Dates!L$12,Dates!L$13,'Day5'!$B36)</f>
        <v>0</v>
      </c>
      <c r="M36" s="7">
        <f>averageResponseTimePorter(Dates!M$12,Dates!M$13,'Day5'!$B36)</f>
        <v>0</v>
      </c>
      <c r="N36" s="7">
        <f>averageResponseTimePorter(Dates!N$12,Dates!N$13,'Day5'!$B36)</f>
        <v>0</v>
      </c>
      <c r="O36" s="7">
        <f>averageResponseTimePorter(Dates!O$12,Dates!O$13,'Day5'!$B36)</f>
        <v>0</v>
      </c>
      <c r="P36" s="7">
        <f>averageResponseTimePorter(Dates!P$12,Dates!P$13,'Day5'!$B36)</f>
        <v>0</v>
      </c>
      <c r="Q36" s="7">
        <f>averageResponseTimePorter(Dates!Q$12,Dates!Q$13,'Day5'!$B36)</f>
        <v>0</v>
      </c>
      <c r="R36" s="7">
        <f>averageResponseTimePorter(Dates!R$12,Dates!R$13,'Day5'!$B36)</f>
        <v>0</v>
      </c>
      <c r="S36" s="7">
        <f>averageResponseTimePorter(Dates!S$12,Dates!S$13,'Day5'!$B36)</f>
        <v>0</v>
      </c>
      <c r="T36" s="7">
        <f>averageResponseTimePorter(Dates!T$12,Dates!T$13,'Day5'!$B36)</f>
        <v>0</v>
      </c>
      <c r="U36" s="7">
        <f>averageResponseTimePorter(Dates!$C$12,Dates!$T$13,'Day5'!$B13)</f>
        <v>0</v>
      </c>
    </row>
    <row r="37" spans="2:21" x14ac:dyDescent="0.3">
      <c r="B37" s="11" t="str">
        <f t="shared" ref="B37:B46" si="1">B14</f>
        <v>NA14</v>
      </c>
      <c r="C37" s="7">
        <f>averageResponseTimePorter(Dates!C$12,Dates!C$13,'Day5'!$B37)</f>
        <v>0</v>
      </c>
      <c r="D37" s="7">
        <f>averageResponseTimePorter(Dates!D$12,Dates!D$13,'Day5'!$B37)</f>
        <v>0</v>
      </c>
      <c r="E37" s="7">
        <f>averageResponseTimePorter(Dates!E$12,Dates!E$13,'Day5'!$B37)</f>
        <v>0</v>
      </c>
      <c r="F37" s="7">
        <f>averageResponseTimePorter(Dates!F$12,Dates!F$13,'Day5'!$B37)</f>
        <v>0</v>
      </c>
      <c r="G37" s="7">
        <f>averageResponseTimePorter(Dates!G$12,Dates!G$13,'Day5'!$B37)</f>
        <v>0</v>
      </c>
      <c r="H37" s="7">
        <f>averageResponseTimePorter(Dates!H$12,Dates!H$13,'Day5'!$B37)</f>
        <v>0</v>
      </c>
      <c r="I37" s="7">
        <f>averageResponseTimePorter(Dates!I$12,Dates!I$13,'Day5'!$B37)</f>
        <v>0</v>
      </c>
      <c r="J37" s="7">
        <f>averageResponseTimePorter(Dates!J$12,Dates!J$13,'Day5'!$B37)</f>
        <v>0</v>
      </c>
      <c r="K37" s="7">
        <f>averageResponseTimePorter(Dates!K$12,Dates!K$13,'Day5'!$B37)</f>
        <v>0</v>
      </c>
      <c r="L37" s="7">
        <f>averageResponseTimePorter(Dates!L$12,Dates!L$13,'Day5'!$B37)</f>
        <v>0</v>
      </c>
      <c r="M37" s="7">
        <f>averageResponseTimePorter(Dates!M$12,Dates!M$13,'Day5'!$B37)</f>
        <v>0</v>
      </c>
      <c r="N37" s="7">
        <f>averageResponseTimePorter(Dates!N$12,Dates!N$13,'Day5'!$B37)</f>
        <v>0</v>
      </c>
      <c r="O37" s="7">
        <f>averageResponseTimePorter(Dates!O$12,Dates!O$13,'Day5'!$B37)</f>
        <v>0</v>
      </c>
      <c r="P37" s="7">
        <f>averageResponseTimePorter(Dates!P$12,Dates!P$13,'Day5'!$B37)</f>
        <v>0</v>
      </c>
      <c r="Q37" s="7">
        <f>averageResponseTimePorter(Dates!Q$12,Dates!Q$13,'Day5'!$B37)</f>
        <v>0</v>
      </c>
      <c r="R37" s="7">
        <f>averageResponseTimePorter(Dates!R$12,Dates!R$13,'Day5'!$B37)</f>
        <v>0</v>
      </c>
      <c r="S37" s="7">
        <f>averageResponseTimePorter(Dates!S$12,Dates!S$13,'Day5'!$B37)</f>
        <v>0</v>
      </c>
      <c r="T37" s="7">
        <f>averageResponseTimePorter(Dates!T$12,Dates!T$13,'Day5'!$B37)</f>
        <v>0</v>
      </c>
      <c r="U37" s="7">
        <f>averageResponseTimePorter(Dates!$C$12,Dates!$T$13,'Day5'!$B14)</f>
        <v>0</v>
      </c>
    </row>
    <row r="38" spans="2:21" x14ac:dyDescent="0.3">
      <c r="B38" s="11" t="str">
        <f t="shared" si="1"/>
        <v>NA15</v>
      </c>
      <c r="C38" s="7">
        <f>averageResponseTimePorter(Dates!C$12,Dates!C$13,'Day5'!$B38)</f>
        <v>0</v>
      </c>
      <c r="D38" s="7">
        <f>averageResponseTimePorter(Dates!D$12,Dates!D$13,'Day5'!$B38)</f>
        <v>0</v>
      </c>
      <c r="E38" s="7">
        <f>averageResponseTimePorter(Dates!E$12,Dates!E$13,'Day5'!$B38)</f>
        <v>0</v>
      </c>
      <c r="F38" s="7">
        <f>averageResponseTimePorter(Dates!F$12,Dates!F$13,'Day5'!$B38)</f>
        <v>0</v>
      </c>
      <c r="G38" s="7">
        <f>averageResponseTimePorter(Dates!G$12,Dates!G$13,'Day5'!$B38)</f>
        <v>0</v>
      </c>
      <c r="H38" s="7">
        <f>averageResponseTimePorter(Dates!H$12,Dates!H$13,'Day5'!$B38)</f>
        <v>0</v>
      </c>
      <c r="I38" s="7">
        <f>averageResponseTimePorter(Dates!I$12,Dates!I$13,'Day5'!$B38)</f>
        <v>0</v>
      </c>
      <c r="J38" s="7">
        <f>averageResponseTimePorter(Dates!J$12,Dates!J$13,'Day5'!$B38)</f>
        <v>0</v>
      </c>
      <c r="K38" s="7">
        <f>averageResponseTimePorter(Dates!K$12,Dates!K$13,'Day5'!$B38)</f>
        <v>0</v>
      </c>
      <c r="L38" s="7">
        <f>averageResponseTimePorter(Dates!L$12,Dates!L$13,'Day5'!$B38)</f>
        <v>0</v>
      </c>
      <c r="M38" s="7">
        <f>averageResponseTimePorter(Dates!M$12,Dates!M$13,'Day5'!$B38)</f>
        <v>0</v>
      </c>
      <c r="N38" s="7">
        <f>averageResponseTimePorter(Dates!N$12,Dates!N$13,'Day5'!$B38)</f>
        <v>0</v>
      </c>
      <c r="O38" s="7">
        <f>averageResponseTimePorter(Dates!O$12,Dates!O$13,'Day5'!$B38)</f>
        <v>0</v>
      </c>
      <c r="P38" s="7">
        <f>averageResponseTimePorter(Dates!P$12,Dates!P$13,'Day5'!$B38)</f>
        <v>0</v>
      </c>
      <c r="Q38" s="7">
        <f>averageResponseTimePorter(Dates!Q$12,Dates!Q$13,'Day5'!$B38)</f>
        <v>0</v>
      </c>
      <c r="R38" s="7">
        <f>averageResponseTimePorter(Dates!R$12,Dates!R$13,'Day5'!$B38)</f>
        <v>0</v>
      </c>
      <c r="S38" s="7">
        <f>averageResponseTimePorter(Dates!S$12,Dates!S$13,'Day5'!$B38)</f>
        <v>0</v>
      </c>
      <c r="T38" s="7">
        <f>averageResponseTimePorter(Dates!T$12,Dates!T$13,'Day5'!$B38)</f>
        <v>0</v>
      </c>
      <c r="U38" s="7">
        <f>averageResponseTimePorter(Dates!$C$12,Dates!$T$13,'Day5'!$B15)</f>
        <v>0</v>
      </c>
    </row>
    <row r="39" spans="2:21" x14ac:dyDescent="0.3">
      <c r="B39" s="11" t="str">
        <f t="shared" si="1"/>
        <v>NA16</v>
      </c>
      <c r="C39" s="7">
        <f>averageResponseTimePorter(Dates!C$12,Dates!C$13,'Day5'!$B39)</f>
        <v>0</v>
      </c>
      <c r="D39" s="7">
        <f>averageResponseTimePorter(Dates!D$12,Dates!D$13,'Day5'!$B39)</f>
        <v>0</v>
      </c>
      <c r="E39" s="7">
        <f>averageResponseTimePorter(Dates!E$12,Dates!E$13,'Day5'!$B39)</f>
        <v>0</v>
      </c>
      <c r="F39" s="7">
        <f>averageResponseTimePorter(Dates!F$12,Dates!F$13,'Day5'!$B39)</f>
        <v>0</v>
      </c>
      <c r="G39" s="7">
        <f>averageResponseTimePorter(Dates!G$12,Dates!G$13,'Day5'!$B39)</f>
        <v>0</v>
      </c>
      <c r="H39" s="7">
        <f>averageResponseTimePorter(Dates!H$12,Dates!H$13,'Day5'!$B39)</f>
        <v>0</v>
      </c>
      <c r="I39" s="7">
        <f>averageResponseTimePorter(Dates!I$12,Dates!I$13,'Day5'!$B39)</f>
        <v>0</v>
      </c>
      <c r="J39" s="7">
        <f>averageResponseTimePorter(Dates!J$12,Dates!J$13,'Day5'!$B39)</f>
        <v>0</v>
      </c>
      <c r="K39" s="7">
        <f>averageResponseTimePorter(Dates!K$12,Dates!K$13,'Day5'!$B39)</f>
        <v>0</v>
      </c>
      <c r="L39" s="7">
        <f>averageResponseTimePorter(Dates!L$12,Dates!L$13,'Day5'!$B39)</f>
        <v>0</v>
      </c>
      <c r="M39" s="7">
        <f>averageResponseTimePorter(Dates!M$12,Dates!M$13,'Day5'!$B39)</f>
        <v>0</v>
      </c>
      <c r="N39" s="7">
        <f>averageResponseTimePorter(Dates!N$12,Dates!N$13,'Day5'!$B39)</f>
        <v>0</v>
      </c>
      <c r="O39" s="7">
        <f>averageResponseTimePorter(Dates!O$12,Dates!O$13,'Day5'!$B39)</f>
        <v>0</v>
      </c>
      <c r="P39" s="7">
        <f>averageResponseTimePorter(Dates!P$12,Dates!P$13,'Day5'!$B39)</f>
        <v>0</v>
      </c>
      <c r="Q39" s="7">
        <f>averageResponseTimePorter(Dates!Q$12,Dates!Q$13,'Day5'!$B39)</f>
        <v>0</v>
      </c>
      <c r="R39" s="7">
        <f>averageResponseTimePorter(Dates!R$12,Dates!R$13,'Day5'!$B39)</f>
        <v>0</v>
      </c>
      <c r="S39" s="7">
        <f>averageResponseTimePorter(Dates!S$12,Dates!S$13,'Day5'!$B39)</f>
        <v>0</v>
      </c>
      <c r="T39" s="7">
        <f>averageResponseTimePorter(Dates!T$12,Dates!T$13,'Day5'!$B39)</f>
        <v>0</v>
      </c>
      <c r="U39" s="7">
        <f>averageResponseTimePorter(Dates!$C$12,Dates!$T$13,'Day5'!$B16)</f>
        <v>0</v>
      </c>
    </row>
    <row r="40" spans="2:21" x14ac:dyDescent="0.3">
      <c r="B40" s="11" t="str">
        <f t="shared" si="1"/>
        <v>NA17</v>
      </c>
      <c r="C40" s="7">
        <f>averageResponseTimePorter(Dates!C$12,Dates!C$13,'Day5'!$B40)</f>
        <v>0</v>
      </c>
      <c r="D40" s="7">
        <f>averageResponseTimePorter(Dates!D$12,Dates!D$13,'Day5'!$B40)</f>
        <v>0</v>
      </c>
      <c r="E40" s="7">
        <f>averageResponseTimePorter(Dates!E$12,Dates!E$13,'Day5'!$B40)</f>
        <v>0</v>
      </c>
      <c r="F40" s="7">
        <f>averageResponseTimePorter(Dates!F$12,Dates!F$13,'Day5'!$B40)</f>
        <v>0</v>
      </c>
      <c r="G40" s="7">
        <f>averageResponseTimePorter(Dates!G$12,Dates!G$13,'Day5'!$B40)</f>
        <v>0</v>
      </c>
      <c r="H40" s="7">
        <f>averageResponseTimePorter(Dates!H$12,Dates!H$13,'Day5'!$B40)</f>
        <v>0</v>
      </c>
      <c r="I40" s="7">
        <f>averageResponseTimePorter(Dates!I$12,Dates!I$13,'Day5'!$B40)</f>
        <v>0</v>
      </c>
      <c r="J40" s="7">
        <f>averageResponseTimePorter(Dates!J$12,Dates!J$13,'Day5'!$B40)</f>
        <v>0</v>
      </c>
      <c r="K40" s="7">
        <f>averageResponseTimePorter(Dates!K$12,Dates!K$13,'Day5'!$B40)</f>
        <v>0</v>
      </c>
      <c r="L40" s="7">
        <f>averageResponseTimePorter(Dates!L$12,Dates!L$13,'Day5'!$B40)</f>
        <v>0</v>
      </c>
      <c r="M40" s="7">
        <f>averageResponseTimePorter(Dates!M$12,Dates!M$13,'Day5'!$B40)</f>
        <v>0</v>
      </c>
      <c r="N40" s="7">
        <f>averageResponseTimePorter(Dates!N$12,Dates!N$13,'Day5'!$B40)</f>
        <v>0</v>
      </c>
      <c r="O40" s="7">
        <f>averageResponseTimePorter(Dates!O$12,Dates!O$13,'Day5'!$B40)</f>
        <v>0</v>
      </c>
      <c r="P40" s="7">
        <f>averageResponseTimePorter(Dates!P$12,Dates!P$13,'Day5'!$B40)</f>
        <v>0</v>
      </c>
      <c r="Q40" s="7">
        <f>averageResponseTimePorter(Dates!Q$12,Dates!Q$13,'Day5'!$B40)</f>
        <v>0</v>
      </c>
      <c r="R40" s="7">
        <f>averageResponseTimePorter(Dates!R$12,Dates!R$13,'Day5'!$B40)</f>
        <v>0</v>
      </c>
      <c r="S40" s="7">
        <f>averageResponseTimePorter(Dates!S$12,Dates!S$13,'Day5'!$B40)</f>
        <v>0</v>
      </c>
      <c r="T40" s="7">
        <f>averageResponseTimePorter(Dates!T$12,Dates!T$13,'Day5'!$B40)</f>
        <v>0</v>
      </c>
      <c r="U40" s="7">
        <f>averageResponseTimePorter(Dates!$C$12,Dates!$T$13,'Day5'!$B17)</f>
        <v>0</v>
      </c>
    </row>
    <row r="41" spans="2:21" x14ac:dyDescent="0.3">
      <c r="B41" s="11" t="str">
        <f t="shared" si="1"/>
        <v>NA18</v>
      </c>
      <c r="C41" s="7">
        <f>averageResponseTimePorter(Dates!C$12,Dates!C$13,'Day5'!$B41)</f>
        <v>0</v>
      </c>
      <c r="D41" s="7">
        <f>averageResponseTimePorter(Dates!D$12,Dates!D$13,'Day5'!$B41)</f>
        <v>0</v>
      </c>
      <c r="E41" s="7">
        <f>averageResponseTimePorter(Dates!E$12,Dates!E$13,'Day5'!$B41)</f>
        <v>0</v>
      </c>
      <c r="F41" s="7">
        <f>averageResponseTimePorter(Dates!F$12,Dates!F$13,'Day5'!$B41)</f>
        <v>0</v>
      </c>
      <c r="G41" s="7">
        <f>averageResponseTimePorter(Dates!G$12,Dates!G$13,'Day5'!$B41)</f>
        <v>0</v>
      </c>
      <c r="H41" s="7">
        <f>averageResponseTimePorter(Dates!H$12,Dates!H$13,'Day5'!$B41)</f>
        <v>0</v>
      </c>
      <c r="I41" s="7">
        <f>averageResponseTimePorter(Dates!I$12,Dates!I$13,'Day5'!$B41)</f>
        <v>0</v>
      </c>
      <c r="J41" s="7">
        <f>averageResponseTimePorter(Dates!J$12,Dates!J$13,'Day5'!$B41)</f>
        <v>0</v>
      </c>
      <c r="K41" s="7">
        <f>averageResponseTimePorter(Dates!K$12,Dates!K$13,'Day5'!$B41)</f>
        <v>0</v>
      </c>
      <c r="L41" s="7">
        <f>averageResponseTimePorter(Dates!L$12,Dates!L$13,'Day5'!$B41)</f>
        <v>0</v>
      </c>
      <c r="M41" s="7">
        <f>averageResponseTimePorter(Dates!M$12,Dates!M$13,'Day5'!$B41)</f>
        <v>0</v>
      </c>
      <c r="N41" s="7">
        <f>averageResponseTimePorter(Dates!N$12,Dates!N$13,'Day5'!$B41)</f>
        <v>0</v>
      </c>
      <c r="O41" s="7">
        <f>averageResponseTimePorter(Dates!O$12,Dates!O$13,'Day5'!$B41)</f>
        <v>0</v>
      </c>
      <c r="P41" s="7">
        <f>averageResponseTimePorter(Dates!P$12,Dates!P$13,'Day5'!$B41)</f>
        <v>0</v>
      </c>
      <c r="Q41" s="7">
        <f>averageResponseTimePorter(Dates!Q$12,Dates!Q$13,'Day5'!$B41)</f>
        <v>0</v>
      </c>
      <c r="R41" s="7">
        <f>averageResponseTimePorter(Dates!R$12,Dates!R$13,'Day5'!$B41)</f>
        <v>0</v>
      </c>
      <c r="S41" s="7">
        <f>averageResponseTimePorter(Dates!S$12,Dates!S$13,'Day5'!$B41)</f>
        <v>0</v>
      </c>
      <c r="T41" s="7">
        <f>averageResponseTimePorter(Dates!T$12,Dates!T$13,'Day5'!$B41)</f>
        <v>0</v>
      </c>
      <c r="U41" s="7">
        <f>averageResponseTimePorter(Dates!$C$12,Dates!$T$13,'Day5'!$B18)</f>
        <v>0</v>
      </c>
    </row>
    <row r="42" spans="2:21" x14ac:dyDescent="0.3">
      <c r="B42" s="11" t="str">
        <f t="shared" si="1"/>
        <v>NA19</v>
      </c>
      <c r="C42" s="7">
        <f>averageResponseTimePorter(Dates!C$12,Dates!C$13,'Day5'!$B42)</f>
        <v>0</v>
      </c>
      <c r="D42" s="7">
        <f>averageResponseTimePorter(Dates!D$12,Dates!D$13,'Day5'!$B42)</f>
        <v>0</v>
      </c>
      <c r="E42" s="7">
        <f>averageResponseTimePorter(Dates!E$12,Dates!E$13,'Day5'!$B42)</f>
        <v>0</v>
      </c>
      <c r="F42" s="7">
        <f>averageResponseTimePorter(Dates!F$12,Dates!F$13,'Day5'!$B42)</f>
        <v>0</v>
      </c>
      <c r="G42" s="7">
        <f>averageResponseTimePorter(Dates!G$12,Dates!G$13,'Day5'!$B42)</f>
        <v>0</v>
      </c>
      <c r="H42" s="7">
        <f>averageResponseTimePorter(Dates!H$12,Dates!H$13,'Day5'!$B42)</f>
        <v>0</v>
      </c>
      <c r="I42" s="7">
        <f>averageResponseTimePorter(Dates!I$12,Dates!I$13,'Day5'!$B42)</f>
        <v>0</v>
      </c>
      <c r="J42" s="7">
        <f>averageResponseTimePorter(Dates!J$12,Dates!J$13,'Day5'!$B42)</f>
        <v>0</v>
      </c>
      <c r="K42" s="7">
        <f>averageResponseTimePorter(Dates!K$12,Dates!K$13,'Day5'!$B42)</f>
        <v>0</v>
      </c>
      <c r="L42" s="7">
        <f>averageResponseTimePorter(Dates!L$12,Dates!L$13,'Day5'!$B42)</f>
        <v>0</v>
      </c>
      <c r="M42" s="7">
        <f>averageResponseTimePorter(Dates!M$12,Dates!M$13,'Day5'!$B42)</f>
        <v>0</v>
      </c>
      <c r="N42" s="7">
        <f>averageResponseTimePorter(Dates!N$12,Dates!N$13,'Day5'!$B42)</f>
        <v>0</v>
      </c>
      <c r="O42" s="7">
        <f>averageResponseTimePorter(Dates!O$12,Dates!O$13,'Day5'!$B42)</f>
        <v>0</v>
      </c>
      <c r="P42" s="7">
        <f>averageResponseTimePorter(Dates!P$12,Dates!P$13,'Day5'!$B42)</f>
        <v>0</v>
      </c>
      <c r="Q42" s="7">
        <f>averageResponseTimePorter(Dates!Q$12,Dates!Q$13,'Day5'!$B42)</f>
        <v>0</v>
      </c>
      <c r="R42" s="7">
        <f>averageResponseTimePorter(Dates!R$12,Dates!R$13,'Day5'!$B42)</f>
        <v>0</v>
      </c>
      <c r="S42" s="7">
        <f>averageResponseTimePorter(Dates!S$12,Dates!S$13,'Day5'!$B42)</f>
        <v>0</v>
      </c>
      <c r="T42" s="7">
        <f>averageResponseTimePorter(Dates!T$12,Dates!T$13,'Day5'!$B42)</f>
        <v>0</v>
      </c>
      <c r="U42" s="7">
        <f>averageResponseTimePorter(Dates!$C$12,Dates!$T$13,'Day5'!$B19)</f>
        <v>0</v>
      </c>
    </row>
    <row r="43" spans="2:21" x14ac:dyDescent="0.3">
      <c r="B43" s="11" t="str">
        <f t="shared" si="1"/>
        <v>NA20</v>
      </c>
      <c r="C43" s="7">
        <f>averageResponseTimePorter(Dates!C$12,Dates!C$13,'Day5'!$B43)</f>
        <v>0</v>
      </c>
      <c r="D43" s="7">
        <f>averageResponseTimePorter(Dates!D$12,Dates!D$13,'Day5'!$B43)</f>
        <v>0</v>
      </c>
      <c r="E43" s="7">
        <f>averageResponseTimePorter(Dates!E$12,Dates!E$13,'Day5'!$B43)</f>
        <v>0</v>
      </c>
      <c r="F43" s="7">
        <f>averageResponseTimePorter(Dates!F$12,Dates!F$13,'Day5'!$B43)</f>
        <v>0</v>
      </c>
      <c r="G43" s="7">
        <f>averageResponseTimePorter(Dates!G$12,Dates!G$13,'Day5'!$B43)</f>
        <v>0</v>
      </c>
      <c r="H43" s="7">
        <f>averageResponseTimePorter(Dates!H$12,Dates!H$13,'Day5'!$B43)</f>
        <v>0</v>
      </c>
      <c r="I43" s="7">
        <f>averageResponseTimePorter(Dates!I$12,Dates!I$13,'Day5'!$B43)</f>
        <v>0</v>
      </c>
      <c r="J43" s="7">
        <f>averageResponseTimePorter(Dates!J$12,Dates!J$13,'Day5'!$B43)</f>
        <v>0</v>
      </c>
      <c r="K43" s="7">
        <f>averageResponseTimePorter(Dates!K$12,Dates!K$13,'Day5'!$B43)</f>
        <v>0</v>
      </c>
      <c r="L43" s="7">
        <f>averageResponseTimePorter(Dates!L$12,Dates!L$13,'Day5'!$B43)</f>
        <v>0</v>
      </c>
      <c r="M43" s="7">
        <f>averageResponseTimePorter(Dates!M$12,Dates!M$13,'Day5'!$B43)</f>
        <v>0</v>
      </c>
      <c r="N43" s="7">
        <f>averageResponseTimePorter(Dates!N$12,Dates!N$13,'Day5'!$B43)</f>
        <v>0</v>
      </c>
      <c r="O43" s="7">
        <f>averageResponseTimePorter(Dates!O$12,Dates!O$13,'Day5'!$B43)</f>
        <v>0</v>
      </c>
      <c r="P43" s="7">
        <f>averageResponseTimePorter(Dates!P$12,Dates!P$13,'Day5'!$B43)</f>
        <v>0</v>
      </c>
      <c r="Q43" s="7">
        <f>averageResponseTimePorter(Dates!Q$12,Dates!Q$13,'Day5'!$B43)</f>
        <v>0</v>
      </c>
      <c r="R43" s="7">
        <f>averageResponseTimePorter(Dates!R$12,Dates!R$13,'Day5'!$B43)</f>
        <v>0</v>
      </c>
      <c r="S43" s="7">
        <f>averageResponseTimePorter(Dates!S$12,Dates!S$13,'Day5'!$B43)</f>
        <v>0</v>
      </c>
      <c r="T43" s="7">
        <f>averageResponseTimePorter(Dates!T$12,Dates!T$13,'Day5'!$B43)</f>
        <v>0</v>
      </c>
      <c r="U43" s="7">
        <f>averageResponseTimePorter(Dates!$C$12,Dates!$T$13,'Day5'!$B20)</f>
        <v>0</v>
      </c>
    </row>
    <row r="44" spans="2:21" x14ac:dyDescent="0.3">
      <c r="B44" s="11" t="str">
        <f t="shared" si="1"/>
        <v>NA21</v>
      </c>
      <c r="C44" s="7">
        <f>averageResponseTimePorter(Dates!C$12,Dates!C$13,'Day5'!$B44)</f>
        <v>0</v>
      </c>
      <c r="D44" s="7">
        <f>averageResponseTimePorter(Dates!D$12,Dates!D$13,'Day5'!$B44)</f>
        <v>0</v>
      </c>
      <c r="E44" s="7">
        <f>averageResponseTimePorter(Dates!E$12,Dates!E$13,'Day5'!$B44)</f>
        <v>0</v>
      </c>
      <c r="F44" s="7">
        <f>averageResponseTimePorter(Dates!F$12,Dates!F$13,'Day5'!$B44)</f>
        <v>0</v>
      </c>
      <c r="G44" s="7">
        <f>averageResponseTimePorter(Dates!G$12,Dates!G$13,'Day5'!$B44)</f>
        <v>0</v>
      </c>
      <c r="H44" s="7">
        <f>averageResponseTimePorter(Dates!H$12,Dates!H$13,'Day5'!$B44)</f>
        <v>0</v>
      </c>
      <c r="I44" s="7">
        <f>averageResponseTimePorter(Dates!I$12,Dates!I$13,'Day5'!$B44)</f>
        <v>0</v>
      </c>
      <c r="J44" s="7">
        <f>averageResponseTimePorter(Dates!J$12,Dates!J$13,'Day5'!$B44)</f>
        <v>0</v>
      </c>
      <c r="K44" s="7">
        <f>averageResponseTimePorter(Dates!K$12,Dates!K$13,'Day5'!$B44)</f>
        <v>0</v>
      </c>
      <c r="L44" s="7">
        <f>averageResponseTimePorter(Dates!L$12,Dates!L$13,'Day5'!$B44)</f>
        <v>0</v>
      </c>
      <c r="M44" s="7">
        <f>averageResponseTimePorter(Dates!M$12,Dates!M$13,'Day5'!$B44)</f>
        <v>0</v>
      </c>
      <c r="N44" s="7">
        <f>averageResponseTimePorter(Dates!N$12,Dates!N$13,'Day5'!$B44)</f>
        <v>0</v>
      </c>
      <c r="O44" s="7">
        <f>averageResponseTimePorter(Dates!O$12,Dates!O$13,'Day5'!$B44)</f>
        <v>0</v>
      </c>
      <c r="P44" s="7">
        <f>averageResponseTimePorter(Dates!P$12,Dates!P$13,'Day5'!$B44)</f>
        <v>0</v>
      </c>
      <c r="Q44" s="7">
        <f>averageResponseTimePorter(Dates!Q$12,Dates!Q$13,'Day5'!$B44)</f>
        <v>0</v>
      </c>
      <c r="R44" s="7">
        <f>averageResponseTimePorter(Dates!R$12,Dates!R$13,'Day5'!$B44)</f>
        <v>0</v>
      </c>
      <c r="S44" s="7">
        <f>averageResponseTimePorter(Dates!S$12,Dates!S$13,'Day5'!$B44)</f>
        <v>0</v>
      </c>
      <c r="T44" s="7">
        <f>averageResponseTimePorter(Dates!T$12,Dates!T$13,'Day5'!$B44)</f>
        <v>0</v>
      </c>
      <c r="U44" s="7">
        <f>averageResponseTimePorter(Dates!$C$12,Dates!$T$13,'Day5'!$B21)</f>
        <v>0</v>
      </c>
    </row>
    <row r="45" spans="2:21" x14ac:dyDescent="0.3">
      <c r="B45" s="11" t="str">
        <f t="shared" si="1"/>
        <v>NA22</v>
      </c>
      <c r="C45" s="7">
        <f>averageResponseTimePorter(Dates!C$12,Dates!C$13,'Day5'!$B45)</f>
        <v>0</v>
      </c>
      <c r="D45" s="7">
        <f>averageResponseTimePorter(Dates!D$12,Dates!D$13,'Day5'!$B45)</f>
        <v>0</v>
      </c>
      <c r="E45" s="7">
        <f>averageResponseTimePorter(Dates!E$12,Dates!E$13,'Day5'!$B45)</f>
        <v>0</v>
      </c>
      <c r="F45" s="7">
        <f>averageResponseTimePorter(Dates!F$12,Dates!F$13,'Day5'!$B45)</f>
        <v>0</v>
      </c>
      <c r="G45" s="7">
        <f>averageResponseTimePorter(Dates!G$12,Dates!G$13,'Day5'!$B45)</f>
        <v>0</v>
      </c>
      <c r="H45" s="7">
        <f>averageResponseTimePorter(Dates!H$12,Dates!H$13,'Day5'!$B45)</f>
        <v>0</v>
      </c>
      <c r="I45" s="7">
        <f>averageResponseTimePorter(Dates!I$12,Dates!I$13,'Day5'!$B45)</f>
        <v>0</v>
      </c>
      <c r="J45" s="7">
        <f>averageResponseTimePorter(Dates!J$12,Dates!J$13,'Day5'!$B45)</f>
        <v>0</v>
      </c>
      <c r="K45" s="7">
        <f>averageResponseTimePorter(Dates!K$12,Dates!K$13,'Day5'!$B45)</f>
        <v>0</v>
      </c>
      <c r="L45" s="7">
        <f>averageResponseTimePorter(Dates!L$12,Dates!L$13,'Day5'!$B45)</f>
        <v>0</v>
      </c>
      <c r="M45" s="7">
        <f>averageResponseTimePorter(Dates!M$12,Dates!M$13,'Day5'!$B45)</f>
        <v>0</v>
      </c>
      <c r="N45" s="7">
        <f>averageResponseTimePorter(Dates!N$12,Dates!N$13,'Day5'!$B45)</f>
        <v>0</v>
      </c>
      <c r="O45" s="7">
        <f>averageResponseTimePorter(Dates!O$12,Dates!O$13,'Day5'!$B45)</f>
        <v>0</v>
      </c>
      <c r="P45" s="7">
        <f>averageResponseTimePorter(Dates!P$12,Dates!P$13,'Day5'!$B45)</f>
        <v>0</v>
      </c>
      <c r="Q45" s="7">
        <f>averageResponseTimePorter(Dates!Q$12,Dates!Q$13,'Day5'!$B45)</f>
        <v>0</v>
      </c>
      <c r="R45" s="7">
        <f>averageResponseTimePorter(Dates!R$12,Dates!R$13,'Day5'!$B45)</f>
        <v>0</v>
      </c>
      <c r="S45" s="7">
        <f>averageResponseTimePorter(Dates!S$12,Dates!S$13,'Day5'!$B45)</f>
        <v>0</v>
      </c>
      <c r="T45" s="7">
        <f>averageResponseTimePorter(Dates!T$12,Dates!T$13,'Day5'!$B45)</f>
        <v>0</v>
      </c>
      <c r="U45" s="7">
        <f>averageResponseTimePorter(Dates!$C$12,Dates!$T$13,'Day5'!$B22)</f>
        <v>0</v>
      </c>
    </row>
    <row r="46" spans="2:21" x14ac:dyDescent="0.3">
      <c r="B46" s="11" t="str">
        <f t="shared" si="1"/>
        <v>NA23</v>
      </c>
      <c r="C46" s="7">
        <f>averageResponseTimePorter(Dates!C$12,Dates!C$13,'Day5'!$B46)</f>
        <v>0</v>
      </c>
      <c r="D46" s="7">
        <f>averageResponseTimePorter(Dates!D$12,Dates!D$13,'Day5'!$B46)</f>
        <v>0</v>
      </c>
      <c r="E46" s="7">
        <f>averageResponseTimePorter(Dates!E$12,Dates!E$13,'Day5'!$B46)</f>
        <v>0</v>
      </c>
      <c r="F46" s="7">
        <f>averageResponseTimePorter(Dates!F$12,Dates!F$13,'Day5'!$B46)</f>
        <v>0</v>
      </c>
      <c r="G46" s="7">
        <f>averageResponseTimePorter(Dates!G$12,Dates!G$13,'Day5'!$B46)</f>
        <v>0</v>
      </c>
      <c r="H46" s="7">
        <f>averageResponseTimePorter(Dates!H$12,Dates!H$13,'Day5'!$B46)</f>
        <v>0</v>
      </c>
      <c r="I46" s="7">
        <f>averageResponseTimePorter(Dates!I$12,Dates!I$13,'Day5'!$B46)</f>
        <v>0</v>
      </c>
      <c r="J46" s="7">
        <f>averageResponseTimePorter(Dates!J$12,Dates!J$13,'Day5'!$B46)</f>
        <v>0</v>
      </c>
      <c r="K46" s="7">
        <f>averageResponseTimePorter(Dates!K$12,Dates!K$13,'Day5'!$B46)</f>
        <v>0</v>
      </c>
      <c r="L46" s="7">
        <f>averageResponseTimePorter(Dates!L$12,Dates!L$13,'Day5'!$B46)</f>
        <v>0</v>
      </c>
      <c r="M46" s="7">
        <f>averageResponseTimePorter(Dates!M$12,Dates!M$13,'Day5'!$B46)</f>
        <v>0</v>
      </c>
      <c r="N46" s="7">
        <f>averageResponseTimePorter(Dates!N$12,Dates!N$13,'Day5'!$B46)</f>
        <v>0</v>
      </c>
      <c r="O46" s="7">
        <f>averageResponseTimePorter(Dates!O$12,Dates!O$13,'Day5'!$B46)</f>
        <v>0</v>
      </c>
      <c r="P46" s="7">
        <f>averageResponseTimePorter(Dates!P$12,Dates!P$13,'Day5'!$B46)</f>
        <v>0</v>
      </c>
      <c r="Q46" s="7">
        <f>averageResponseTimePorter(Dates!Q$12,Dates!Q$13,'Day5'!$B46)</f>
        <v>0</v>
      </c>
      <c r="R46" s="7">
        <f>averageResponseTimePorter(Dates!R$12,Dates!R$13,'Day5'!$B46)</f>
        <v>0</v>
      </c>
      <c r="S46" s="7">
        <f>averageResponseTimePorter(Dates!S$12,Dates!S$13,'Day5'!$B46)</f>
        <v>0</v>
      </c>
      <c r="T46" s="7">
        <f>averageResponseTimePorter(Dates!T$12,Dates!T$13,'Day5'!$B46)</f>
        <v>0</v>
      </c>
      <c r="U46" s="7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80" zoomScaleNormal="80" workbookViewId="0">
      <selection activeCell="N3" sqref="N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163</v>
      </c>
      <c r="H1" s="17"/>
      <c r="I1" s="17"/>
      <c r="J1" s="17"/>
      <c r="K1" s="17"/>
      <c r="L1" s="17"/>
    </row>
    <row r="2" spans="2:19" ht="18" x14ac:dyDescent="0.35">
      <c r="G2" s="18" t="s">
        <v>160</v>
      </c>
      <c r="H2" s="18">
        <v>1</v>
      </c>
      <c r="I2" s="18">
        <v>2</v>
      </c>
      <c r="J2" s="18">
        <v>3</v>
      </c>
      <c r="K2" s="18">
        <v>4</v>
      </c>
      <c r="L2" s="18">
        <v>5</v>
      </c>
    </row>
    <row r="3" spans="2:19" ht="18" x14ac:dyDescent="0.35">
      <c r="G3" s="18" t="s">
        <v>161</v>
      </c>
      <c r="H3" s="19">
        <f>'Day1'!$U$2</f>
        <v>53</v>
      </c>
      <c r="I3" s="19">
        <f>'Day2'!$U$2</f>
        <v>0</v>
      </c>
      <c r="J3" s="19">
        <f>'Day3'!$U$2</f>
        <v>0</v>
      </c>
      <c r="K3" s="19">
        <f>'Day4'!$U$2</f>
        <v>0</v>
      </c>
      <c r="L3" s="19">
        <f>'Day5'!$U$2</f>
        <v>0</v>
      </c>
    </row>
    <row r="4" spans="2:19" ht="18" x14ac:dyDescent="0.35">
      <c r="G4" s="18" t="s">
        <v>162</v>
      </c>
      <c r="H4" s="19">
        <f>'Day1'!$U$25</f>
        <v>8</v>
      </c>
      <c r="I4" s="19">
        <f>'Day2'!$U$25</f>
        <v>0</v>
      </c>
      <c r="J4" s="19">
        <f>'Day3'!$U$25</f>
        <v>0</v>
      </c>
      <c r="K4" s="19">
        <f>'Day4'!$U$25</f>
        <v>0</v>
      </c>
      <c r="L4" s="19">
        <f>'Day5'!$U$25</f>
        <v>0</v>
      </c>
    </row>
    <row r="6" spans="2:19" ht="23.4" x14ac:dyDescent="0.45">
      <c r="B6" s="14" t="s">
        <v>159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2014-03-04T02:59:36Z</dcterms:modified>
</cp:coreProperties>
</file>