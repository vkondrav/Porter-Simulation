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8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9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0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3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4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rc\Simulation\"/>
    </mc:Choice>
  </mc:AlternateContent>
  <bookViews>
    <workbookView xWindow="0" yWindow="0" windowWidth="16320" windowHeight="6456" firstSheet="9" activeTab="9"/>
  </bookViews>
  <sheets>
    <sheet name="Sheet1" sheetId="1" state="hidden" r:id="rId1"/>
    <sheet name="Dates" sheetId="2" state="hidden" r:id="rId2"/>
    <sheet name="Day1" sheetId="3" state="hidden" r:id="rId3"/>
    <sheet name="Day2" sheetId="26" state="hidden" r:id="rId4"/>
    <sheet name="Day3" sheetId="29" state="hidden" r:id="rId5"/>
    <sheet name="Day4" sheetId="30" state="hidden" r:id="rId6"/>
    <sheet name="Day5" sheetId="31" state="hidden" r:id="rId7"/>
    <sheet name="Day6" sheetId="32" state="hidden" r:id="rId8"/>
    <sheet name="Day7" sheetId="28" state="hidden" r:id="rId9"/>
    <sheet name="Dashboard D1" sheetId="12" r:id="rId10"/>
    <sheet name="Dashboard D2" sheetId="33" r:id="rId11"/>
    <sheet name="Dashboard D3" sheetId="34" r:id="rId12"/>
    <sheet name="Dashboard D4" sheetId="35" r:id="rId13"/>
    <sheet name="Dashboard D5" sheetId="36" r:id="rId14"/>
    <sheet name="Dashboard D6" sheetId="37" r:id="rId15"/>
    <sheet name="Dashboard D7" sheetId="38" r:id="rId16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5" i="28" l="1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C15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C14" i="32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C15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C14" i="31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C15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C14" i="30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C15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C14" i="29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C15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C14" i="26"/>
  <c r="C15" i="3" l="1"/>
  <c r="D15" i="3"/>
  <c r="E15" i="3"/>
  <c r="F15" i="3"/>
  <c r="G15" i="3"/>
  <c r="H15" i="3"/>
  <c r="I15" i="3"/>
  <c r="J15" i="3"/>
  <c r="K15" i="3"/>
  <c r="L15" i="3"/>
  <c r="M15" i="3"/>
  <c r="N15" i="3"/>
  <c r="O14" i="3"/>
  <c r="O15" i="3"/>
  <c r="Q15" i="3"/>
  <c r="R15" i="3"/>
  <c r="S15" i="3"/>
  <c r="T15" i="3"/>
  <c r="T14" i="3"/>
  <c r="S14" i="3"/>
  <c r="R14" i="3"/>
  <c r="Q14" i="3"/>
  <c r="P14" i="3"/>
  <c r="N14" i="3"/>
  <c r="M14" i="3"/>
  <c r="L14" i="3"/>
  <c r="K14" i="3"/>
  <c r="J14" i="3"/>
  <c r="I14" i="3"/>
  <c r="H14" i="3"/>
  <c r="G14" i="3"/>
  <c r="F14" i="3"/>
  <c r="E14" i="3"/>
  <c r="E14" i="2" l="1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D17" i="2"/>
  <c r="D16" i="2"/>
  <c r="D15" i="2"/>
  <c r="D14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E13" i="2"/>
  <c r="E12" i="2"/>
  <c r="D13" i="2"/>
  <c r="D12" i="2"/>
  <c r="P15" i="3"/>
  <c r="D14" i="3"/>
  <c r="C14" i="3"/>
  <c r="D2" i="3"/>
  <c r="C2" i="3"/>
  <c r="C17" i="2" l="1"/>
  <c r="C16" i="2"/>
  <c r="C15" i="2"/>
  <c r="C14" i="2"/>
  <c r="C13" i="2"/>
  <c r="C12" i="2"/>
  <c r="T17" i="2" l="1"/>
  <c r="T16" i="2"/>
  <c r="T15" i="2"/>
  <c r="T14" i="2"/>
  <c r="T13" i="2" l="1"/>
  <c r="T4" i="28"/>
  <c r="T9" i="28"/>
  <c r="T4" i="32"/>
  <c r="T2" i="28"/>
  <c r="M13" i="30"/>
  <c r="O12" i="30"/>
  <c r="Q11" i="30"/>
  <c r="T10" i="30"/>
  <c r="D10" i="30"/>
  <c r="G9" i="30"/>
  <c r="J8" i="30"/>
  <c r="M7" i="30"/>
  <c r="P6" i="30"/>
  <c r="S5" i="30"/>
  <c r="C5" i="30"/>
  <c r="F4" i="30"/>
  <c r="I3" i="30"/>
  <c r="T11" i="32"/>
  <c r="T5" i="28"/>
  <c r="T11" i="31"/>
  <c r="T9" i="32"/>
  <c r="T7" i="28"/>
  <c r="T2" i="32"/>
  <c r="Q13" i="30"/>
  <c r="S12" i="30"/>
  <c r="C12" i="30"/>
  <c r="E11" i="30"/>
  <c r="H10" i="30"/>
  <c r="K9" i="30"/>
  <c r="N8" i="30"/>
  <c r="Q7" i="30"/>
  <c r="T6" i="30"/>
  <c r="D6" i="30"/>
  <c r="G5" i="30"/>
  <c r="J4" i="30"/>
  <c r="M3" i="30"/>
  <c r="T8" i="32"/>
  <c r="T6" i="28"/>
  <c r="T3" i="31"/>
  <c r="K12" i="30"/>
  <c r="P10" i="30"/>
  <c r="C9" i="30"/>
  <c r="I7" i="30"/>
  <c r="O5" i="30"/>
  <c r="U3" i="30"/>
  <c r="T11" i="28"/>
  <c r="T6" i="32"/>
  <c r="T13" i="30"/>
  <c r="D13" i="30"/>
  <c r="F12" i="30"/>
  <c r="H11" i="30"/>
  <c r="K10" i="30"/>
  <c r="N9" i="30"/>
  <c r="Q8" i="30"/>
  <c r="T7" i="30"/>
  <c r="D7" i="30"/>
  <c r="G6" i="30"/>
  <c r="T9" i="31"/>
  <c r="K13" i="30"/>
  <c r="M12" i="30"/>
  <c r="O11" i="30"/>
  <c r="R10" i="30"/>
  <c r="U9" i="30"/>
  <c r="E9" i="30"/>
  <c r="H8" i="30"/>
  <c r="K7" i="30"/>
  <c r="N6" i="30"/>
  <c r="Q5" i="30"/>
  <c r="T4" i="30"/>
  <c r="T7" i="32"/>
  <c r="G12" i="30"/>
  <c r="L10" i="30"/>
  <c r="R8" i="30"/>
  <c r="E7" i="30"/>
  <c r="K5" i="30"/>
  <c r="Q3" i="30"/>
  <c r="P13" i="30"/>
  <c r="R12" i="30"/>
  <c r="T11" i="30"/>
  <c r="D11" i="30"/>
  <c r="G10" i="30"/>
  <c r="J9" i="30"/>
  <c r="M8" i="30"/>
  <c r="P7" i="30"/>
  <c r="S6" i="30"/>
  <c r="C6" i="30"/>
  <c r="T10" i="32"/>
  <c r="G13" i="30"/>
  <c r="I12" i="30"/>
  <c r="K11" i="30"/>
  <c r="N10" i="30"/>
  <c r="Q9" i="30"/>
  <c r="T8" i="30"/>
  <c r="D8" i="30"/>
  <c r="G7" i="30"/>
  <c r="J6" i="30"/>
  <c r="M5" i="30"/>
  <c r="P4" i="30"/>
  <c r="S3" i="30"/>
  <c r="J13" i="30"/>
  <c r="T8" i="28"/>
  <c r="T3" i="32"/>
  <c r="T12" i="32"/>
  <c r="I13" i="30"/>
  <c r="M11" i="30"/>
  <c r="S9" i="30"/>
  <c r="F8" i="30"/>
  <c r="L6" i="30"/>
  <c r="R4" i="30"/>
  <c r="E3" i="30"/>
  <c r="T10" i="31"/>
  <c r="T4" i="31"/>
  <c r="L13" i="30"/>
  <c r="N12" i="30"/>
  <c r="P11" i="30"/>
  <c r="S10" i="30"/>
  <c r="C10" i="30"/>
  <c r="F9" i="30"/>
  <c r="I8" i="30"/>
  <c r="L7" i="30"/>
  <c r="O6" i="30"/>
  <c r="R5" i="30"/>
  <c r="S13" i="30"/>
  <c r="C13" i="30"/>
  <c r="E12" i="30"/>
  <c r="G11" i="30"/>
  <c r="J10" i="30"/>
  <c r="M9" i="30"/>
  <c r="P8" i="30"/>
  <c r="S7" i="30"/>
  <c r="C7" i="30"/>
  <c r="F6" i="30"/>
  <c r="I5" i="30"/>
  <c r="L4" i="30"/>
  <c r="T12" i="28"/>
  <c r="T10" i="28"/>
  <c r="T5" i="32"/>
  <c r="T7" i="31"/>
  <c r="E13" i="30"/>
  <c r="I11" i="30"/>
  <c r="O9" i="30"/>
  <c r="U7" i="30"/>
  <c r="H6" i="30"/>
  <c r="N4" i="30"/>
  <c r="T2" i="30"/>
  <c r="T12" i="31"/>
  <c r="T8" i="31"/>
  <c r="H13" i="30"/>
  <c r="J12" i="30"/>
  <c r="L11" i="30"/>
  <c r="O10" i="30"/>
  <c r="R9" i="30"/>
  <c r="U8" i="30"/>
  <c r="E8" i="30"/>
  <c r="H7" i="30"/>
  <c r="K6" i="30"/>
  <c r="N5" i="30"/>
  <c r="T5" i="31"/>
  <c r="O13" i="30"/>
  <c r="Q12" i="30"/>
  <c r="S11" i="30"/>
  <c r="C11" i="30"/>
  <c r="F10" i="30"/>
  <c r="I9" i="30"/>
  <c r="L8" i="30"/>
  <c r="O7" i="30"/>
  <c r="R6" i="30"/>
  <c r="U5" i="30"/>
  <c r="E5" i="30"/>
  <c r="H4" i="30"/>
  <c r="N11" i="30"/>
  <c r="G8" i="30"/>
  <c r="F5" i="30"/>
  <c r="N3" i="30"/>
  <c r="M2" i="30"/>
  <c r="D4" i="30"/>
  <c r="T9" i="30"/>
  <c r="P5" i="30"/>
  <c r="H3" i="30"/>
  <c r="E2" i="30"/>
  <c r="G13" i="29"/>
  <c r="I12" i="29"/>
  <c r="K11" i="29"/>
  <c r="N10" i="29"/>
  <c r="Q9" i="29"/>
  <c r="T8" i="29"/>
  <c r="D8" i="29"/>
  <c r="G7" i="29"/>
  <c r="J6" i="29"/>
  <c r="M5" i="29"/>
  <c r="P4" i="29"/>
  <c r="S3" i="29"/>
  <c r="C3" i="29"/>
  <c r="F2" i="29"/>
  <c r="K8" i="30"/>
  <c r="N2" i="30"/>
  <c r="T11" i="29"/>
  <c r="R9" i="29"/>
  <c r="H7" i="29"/>
  <c r="Q4" i="29"/>
  <c r="G2" i="29"/>
  <c r="F13" i="30"/>
  <c r="P9" i="30"/>
  <c r="I6" i="30"/>
  <c r="G4" i="30"/>
  <c r="U2" i="30"/>
  <c r="D2" i="30"/>
  <c r="F13" i="29"/>
  <c r="H12" i="29"/>
  <c r="J11" i="29"/>
  <c r="M10" i="29"/>
  <c r="P9" i="29"/>
  <c r="S8" i="29"/>
  <c r="C8" i="29"/>
  <c r="F7" i="29"/>
  <c r="I6" i="29"/>
  <c r="L5" i="29"/>
  <c r="O4" i="29"/>
  <c r="R3" i="29"/>
  <c r="U2" i="29"/>
  <c r="E2" i="29"/>
  <c r="H9" i="30"/>
  <c r="R2" i="30"/>
  <c r="F12" i="29"/>
  <c r="N9" i="29"/>
  <c r="D7" i="29"/>
  <c r="M4" i="29"/>
  <c r="T6" i="31"/>
  <c r="D12" i="30"/>
  <c r="O8" i="30"/>
  <c r="J5" i="30"/>
  <c r="P3" i="30"/>
  <c r="O2" i="30"/>
  <c r="Q13" i="29"/>
  <c r="S12" i="29"/>
  <c r="C12" i="29"/>
  <c r="E11" i="29"/>
  <c r="H10" i="29"/>
  <c r="K9" i="29"/>
  <c r="N8" i="29"/>
  <c r="Q7" i="29"/>
  <c r="T6" i="29"/>
  <c r="D6" i="29"/>
  <c r="G5" i="29"/>
  <c r="J4" i="29"/>
  <c r="M3" i="29"/>
  <c r="P2" i="29"/>
  <c r="E10" i="30"/>
  <c r="D3" i="30"/>
  <c r="J12" i="29"/>
  <c r="J9" i="29"/>
  <c r="S6" i="29"/>
  <c r="I4" i="29"/>
  <c r="C2" i="29"/>
  <c r="G13" i="26"/>
  <c r="I11" i="26"/>
  <c r="L10" i="26"/>
  <c r="O9" i="26"/>
  <c r="R8" i="26"/>
  <c r="U7" i="26"/>
  <c r="E7" i="26"/>
  <c r="H6" i="26"/>
  <c r="K5" i="26"/>
  <c r="N4" i="26"/>
  <c r="Q3" i="26"/>
  <c r="T2" i="26"/>
  <c r="D2" i="26"/>
  <c r="F12" i="26"/>
  <c r="M10" i="26"/>
  <c r="G8" i="26"/>
  <c r="T5" i="26"/>
  <c r="J3" i="26"/>
  <c r="R13" i="26"/>
  <c r="T11" i="26"/>
  <c r="D11" i="26"/>
  <c r="G10" i="26"/>
  <c r="J9" i="26"/>
  <c r="M8" i="26"/>
  <c r="P7" i="26"/>
  <c r="S6" i="26"/>
  <c r="C6" i="26"/>
  <c r="F5" i="26"/>
  <c r="I4" i="26"/>
  <c r="L3" i="26"/>
  <c r="O2" i="26"/>
  <c r="Q12" i="26"/>
  <c r="P13" i="26"/>
  <c r="E10" i="26"/>
  <c r="D9" i="30"/>
  <c r="Q4" i="30"/>
  <c r="C3" i="30"/>
  <c r="S13" i="29"/>
  <c r="C13" i="29"/>
  <c r="E12" i="29"/>
  <c r="G11" i="29"/>
  <c r="J10" i="29"/>
  <c r="M9" i="29"/>
  <c r="P8" i="29"/>
  <c r="S7" i="29"/>
  <c r="C7" i="29"/>
  <c r="F6" i="29"/>
  <c r="I5" i="29"/>
  <c r="L4" i="29"/>
  <c r="O3" i="29"/>
  <c r="R2" i="29"/>
  <c r="T3" i="28"/>
  <c r="T5" i="30"/>
  <c r="T13" i="29"/>
  <c r="L11" i="29"/>
  <c r="F9" i="29"/>
  <c r="O6" i="29"/>
  <c r="E4" i="29"/>
  <c r="H12" i="30"/>
  <c r="S8" i="30"/>
  <c r="L5" i="30"/>
  <c r="R3" i="30"/>
  <c r="P2" i="30"/>
  <c r="R13" i="29"/>
  <c r="T12" i="29"/>
  <c r="D12" i="29"/>
  <c r="F11" i="29"/>
  <c r="I10" i="29"/>
  <c r="L9" i="29"/>
  <c r="O8" i="29"/>
  <c r="R7" i="29"/>
  <c r="U6" i="29"/>
  <c r="E6" i="29"/>
  <c r="H5" i="29"/>
  <c r="K4" i="29"/>
  <c r="N3" i="29"/>
  <c r="Q2" i="29"/>
  <c r="Q6" i="30"/>
  <c r="F2" i="30"/>
  <c r="H11" i="29"/>
  <c r="U8" i="29"/>
  <c r="K6" i="29"/>
  <c r="T3" i="29"/>
  <c r="F11" i="30"/>
  <c r="R7" i="30"/>
  <c r="U4" i="30"/>
  <c r="K3" i="30"/>
  <c r="K2" i="30"/>
  <c r="M13" i="29"/>
  <c r="O12" i="29"/>
  <c r="Q11" i="29"/>
  <c r="T10" i="29"/>
  <c r="D10" i="29"/>
  <c r="G9" i="29"/>
  <c r="J8" i="29"/>
  <c r="M7" i="29"/>
  <c r="P6" i="29"/>
  <c r="S5" i="29"/>
  <c r="C5" i="29"/>
  <c r="F4" i="29"/>
  <c r="I3" i="29"/>
  <c r="L2" i="29"/>
  <c r="N7" i="30"/>
  <c r="J2" i="30"/>
  <c r="P11" i="29"/>
  <c r="Q8" i="29"/>
  <c r="G6" i="29"/>
  <c r="P3" i="29"/>
  <c r="S13" i="26"/>
  <c r="C13" i="26"/>
  <c r="E11" i="26"/>
  <c r="H10" i="26"/>
  <c r="K9" i="26"/>
  <c r="N8" i="26"/>
  <c r="Q7" i="26"/>
  <c r="T6" i="26"/>
  <c r="D6" i="26"/>
  <c r="G5" i="26"/>
  <c r="J4" i="26"/>
  <c r="M3" i="26"/>
  <c r="P2" i="26"/>
  <c r="R12" i="26"/>
  <c r="L13" i="26"/>
  <c r="T9" i="26"/>
  <c r="N7" i="26"/>
  <c r="H5" i="26"/>
  <c r="Q2" i="26"/>
  <c r="N13" i="26"/>
  <c r="P11" i="26"/>
  <c r="S10" i="26"/>
  <c r="C10" i="26"/>
  <c r="F9" i="26"/>
  <c r="I8" i="26"/>
  <c r="L7" i="26"/>
  <c r="O6" i="26"/>
  <c r="R5" i="26"/>
  <c r="U4" i="26"/>
  <c r="E4" i="26"/>
  <c r="H3" i="26"/>
  <c r="K2" i="26"/>
  <c r="M12" i="26"/>
  <c r="R11" i="26"/>
  <c r="H9" i="26"/>
  <c r="Q6" i="26"/>
  <c r="G4" i="26"/>
  <c r="O12" i="26"/>
  <c r="I13" i="26"/>
  <c r="K11" i="26"/>
  <c r="N10" i="26"/>
  <c r="Q9" i="26"/>
  <c r="T8" i="26"/>
  <c r="D8" i="26"/>
  <c r="G7" i="26"/>
  <c r="J6" i="26"/>
  <c r="M5" i="26"/>
  <c r="P4" i="26"/>
  <c r="S3" i="26"/>
  <c r="C3" i="26"/>
  <c r="F2" i="26"/>
  <c r="H12" i="26"/>
  <c r="J11" i="26"/>
  <c r="S8" i="26"/>
  <c r="I6" i="26"/>
  <c r="L12" i="30"/>
  <c r="Q10" i="30"/>
  <c r="M6" i="30"/>
  <c r="T3" i="30"/>
  <c r="I2" i="30"/>
  <c r="K13" i="29"/>
  <c r="M12" i="29"/>
  <c r="O11" i="29"/>
  <c r="R10" i="29"/>
  <c r="U9" i="29"/>
  <c r="E9" i="29"/>
  <c r="H8" i="29"/>
  <c r="K7" i="29"/>
  <c r="N6" i="29"/>
  <c r="Q5" i="29"/>
  <c r="T4" i="29"/>
  <c r="D4" i="29"/>
  <c r="G3" i="29"/>
  <c r="J2" i="29"/>
  <c r="U10" i="30"/>
  <c r="J3" i="30"/>
  <c r="N12" i="29"/>
  <c r="C10" i="29"/>
  <c r="T7" i="29"/>
  <c r="J5" i="29"/>
  <c r="S2" i="29"/>
  <c r="M10" i="30"/>
  <c r="F7" i="30"/>
  <c r="O4" i="30"/>
  <c r="G3" i="30"/>
  <c r="H2" i="30"/>
  <c r="J13" i="29"/>
  <c r="L12" i="29"/>
  <c r="N11" i="29"/>
  <c r="Q10" i="29"/>
  <c r="T9" i="29"/>
  <c r="D9" i="29"/>
  <c r="G8" i="29"/>
  <c r="J7" i="29"/>
  <c r="M6" i="29"/>
  <c r="P5" i="29"/>
  <c r="S4" i="29"/>
  <c r="C4" i="29"/>
  <c r="F3" i="29"/>
  <c r="I2" i="29"/>
  <c r="R11" i="30"/>
  <c r="O3" i="30"/>
  <c r="R12" i="29"/>
  <c r="G10" i="29"/>
  <c r="P7" i="29"/>
  <c r="F5" i="29"/>
  <c r="O2" i="29"/>
  <c r="T12" i="30"/>
  <c r="L9" i="30"/>
  <c r="E6" i="30"/>
  <c r="E4" i="30"/>
  <c r="S2" i="30"/>
  <c r="C2" i="30"/>
  <c r="E13" i="29"/>
  <c r="G12" i="29"/>
  <c r="I11" i="29"/>
  <c r="L10" i="29"/>
  <c r="O9" i="29"/>
  <c r="R8" i="29"/>
  <c r="U7" i="29"/>
  <c r="E7" i="29"/>
  <c r="H6" i="29"/>
  <c r="K5" i="29"/>
  <c r="N4" i="29"/>
  <c r="Q3" i="29"/>
  <c r="T2" i="29"/>
  <c r="D2" i="29"/>
  <c r="P12" i="30"/>
  <c r="C4" i="30"/>
  <c r="D13" i="29"/>
  <c r="K10" i="29"/>
  <c r="L7" i="29"/>
  <c r="U4" i="29"/>
  <c r="K2" i="29"/>
  <c r="K13" i="26"/>
  <c r="M11" i="26"/>
  <c r="P10" i="26"/>
  <c r="S9" i="26"/>
  <c r="C9" i="26"/>
  <c r="F8" i="26"/>
  <c r="I7" i="26"/>
  <c r="L6" i="26"/>
  <c r="O5" i="26"/>
  <c r="R4" i="26"/>
  <c r="U3" i="26"/>
  <c r="E3" i="26"/>
  <c r="H2" i="26"/>
  <c r="J12" i="26"/>
  <c r="F11" i="26"/>
  <c r="D9" i="26"/>
  <c r="M6" i="26"/>
  <c r="C4" i="26"/>
  <c r="C12" i="26"/>
  <c r="F13" i="26"/>
  <c r="H11" i="26"/>
  <c r="K10" i="26"/>
  <c r="N9" i="26"/>
  <c r="Q8" i="26"/>
  <c r="T7" i="26"/>
  <c r="D7" i="26"/>
  <c r="G6" i="26"/>
  <c r="J5" i="26"/>
  <c r="M4" i="26"/>
  <c r="P3" i="26"/>
  <c r="S2" i="26"/>
  <c r="C2" i="26"/>
  <c r="E12" i="26"/>
  <c r="Q10" i="26"/>
  <c r="C8" i="26"/>
  <c r="P5" i="26"/>
  <c r="U2" i="26"/>
  <c r="Q13" i="26"/>
  <c r="S11" i="26"/>
  <c r="C11" i="26"/>
  <c r="F10" i="26"/>
  <c r="I9" i="26"/>
  <c r="L8" i="26"/>
  <c r="O7" i="26"/>
  <c r="R6" i="26"/>
  <c r="U5" i="26"/>
  <c r="E5" i="26"/>
  <c r="H4" i="26"/>
  <c r="K3" i="26"/>
  <c r="N2" i="26"/>
  <c r="P12" i="26"/>
  <c r="T13" i="26"/>
  <c r="I10" i="26"/>
  <c r="R7" i="26"/>
  <c r="S4" i="26"/>
  <c r="M2" i="26"/>
  <c r="S13" i="3"/>
  <c r="O13" i="3"/>
  <c r="K13" i="3"/>
  <c r="G13" i="3"/>
  <c r="J7" i="30"/>
  <c r="Q12" i="29"/>
  <c r="I9" i="29"/>
  <c r="U5" i="29"/>
  <c r="N2" i="29"/>
  <c r="H13" i="29"/>
  <c r="L3" i="29"/>
  <c r="D5" i="30"/>
  <c r="P12" i="29"/>
  <c r="H9" i="29"/>
  <c r="T5" i="29"/>
  <c r="M2" i="29"/>
  <c r="L13" i="29"/>
  <c r="H3" i="29"/>
  <c r="M4" i="30"/>
  <c r="K12" i="29"/>
  <c r="C9" i="29"/>
  <c r="O5" i="29"/>
  <c r="H2" i="29"/>
  <c r="P13" i="29"/>
  <c r="D3" i="29"/>
  <c r="D10" i="26"/>
  <c r="P6" i="26"/>
  <c r="I3" i="26"/>
  <c r="P9" i="26"/>
  <c r="J13" i="26"/>
  <c r="U8" i="26"/>
  <c r="N5" i="26"/>
  <c r="G2" i="26"/>
  <c r="J7" i="26"/>
  <c r="I2" i="26"/>
  <c r="O11" i="26"/>
  <c r="U9" i="26"/>
  <c r="H8" i="26"/>
  <c r="N6" i="26"/>
  <c r="T4" i="26"/>
  <c r="G3" i="26"/>
  <c r="L12" i="26"/>
  <c r="L9" i="26"/>
  <c r="K4" i="26"/>
  <c r="G12" i="26"/>
  <c r="P13" i="3"/>
  <c r="J13" i="3"/>
  <c r="E13" i="3"/>
  <c r="S11" i="3"/>
  <c r="O11" i="3"/>
  <c r="K11" i="3"/>
  <c r="G11" i="3"/>
  <c r="C11" i="3"/>
  <c r="R10" i="3"/>
  <c r="N10" i="3"/>
  <c r="J10" i="3"/>
  <c r="F10" i="3"/>
  <c r="T9" i="3"/>
  <c r="P9" i="3"/>
  <c r="L9" i="3"/>
  <c r="H9" i="3"/>
  <c r="D9" i="3"/>
  <c r="R8" i="3"/>
  <c r="N8" i="3"/>
  <c r="J8" i="3"/>
  <c r="F8" i="3"/>
  <c r="T7" i="3"/>
  <c r="P7" i="3"/>
  <c r="L7" i="3"/>
  <c r="H7" i="3"/>
  <c r="D7" i="3"/>
  <c r="R6" i="3"/>
  <c r="N6" i="3"/>
  <c r="J6" i="3"/>
  <c r="F6" i="3"/>
  <c r="T5" i="3"/>
  <c r="P5" i="3"/>
  <c r="L5" i="3"/>
  <c r="H5" i="3"/>
  <c r="D5" i="3"/>
  <c r="R4" i="3"/>
  <c r="N4" i="3"/>
  <c r="J4" i="3"/>
  <c r="F4" i="3"/>
  <c r="T3" i="3"/>
  <c r="P3" i="3"/>
  <c r="L3" i="3"/>
  <c r="H3" i="3"/>
  <c r="D3" i="3"/>
  <c r="R2" i="3"/>
  <c r="N2" i="3"/>
  <c r="J2" i="3"/>
  <c r="Q12" i="3"/>
  <c r="M12" i="3"/>
  <c r="I12" i="3"/>
  <c r="E12" i="3"/>
  <c r="C6" i="3"/>
  <c r="C8" i="3"/>
  <c r="E2" i="3"/>
  <c r="I4" i="30"/>
  <c r="S11" i="29"/>
  <c r="L8" i="29"/>
  <c r="E5" i="29"/>
  <c r="S10" i="29"/>
  <c r="T2" i="31"/>
  <c r="L3" i="30"/>
  <c r="R11" i="29"/>
  <c r="K8" i="29"/>
  <c r="D5" i="29"/>
  <c r="O10" i="29"/>
  <c r="R13" i="30"/>
  <c r="F3" i="30"/>
  <c r="M11" i="29"/>
  <c r="F8" i="29"/>
  <c r="R4" i="29"/>
  <c r="D11" i="29"/>
  <c r="O13" i="26"/>
  <c r="G9" i="26"/>
  <c r="S5" i="26"/>
  <c r="L2" i="26"/>
  <c r="F7" i="26"/>
  <c r="L11" i="26"/>
  <c r="E8" i="26"/>
  <c r="Q4" i="26"/>
  <c r="I12" i="26"/>
  <c r="E6" i="26"/>
  <c r="K12" i="26"/>
  <c r="G11" i="26"/>
  <c r="M9" i="26"/>
  <c r="S7" i="26"/>
  <c r="F6" i="26"/>
  <c r="L4" i="26"/>
  <c r="R2" i="26"/>
  <c r="D12" i="26"/>
  <c r="K8" i="26"/>
  <c r="R3" i="26"/>
  <c r="T13" i="3"/>
  <c r="N13" i="3"/>
  <c r="I13" i="3"/>
  <c r="D13" i="3"/>
  <c r="R11" i="3"/>
  <c r="N11" i="3"/>
  <c r="J11" i="3"/>
  <c r="F11" i="3"/>
  <c r="U10" i="3"/>
  <c r="Q10" i="3"/>
  <c r="M10" i="3"/>
  <c r="I10" i="3"/>
  <c r="E10" i="3"/>
  <c r="S9" i="3"/>
  <c r="O9" i="3"/>
  <c r="K9" i="3"/>
  <c r="G9" i="3"/>
  <c r="U8" i="3"/>
  <c r="Q8" i="3"/>
  <c r="M8" i="3"/>
  <c r="I8" i="3"/>
  <c r="E8" i="3"/>
  <c r="S7" i="3"/>
  <c r="O7" i="3"/>
  <c r="K7" i="3"/>
  <c r="G7" i="3"/>
  <c r="U6" i="3"/>
  <c r="Q6" i="3"/>
  <c r="M6" i="3"/>
  <c r="I6" i="3"/>
  <c r="E6" i="3"/>
  <c r="S5" i="3"/>
  <c r="O5" i="3"/>
  <c r="K5" i="3"/>
  <c r="G5" i="3"/>
  <c r="U4" i="3"/>
  <c r="Q4" i="3"/>
  <c r="M4" i="3"/>
  <c r="I4" i="3"/>
  <c r="E4" i="3"/>
  <c r="S3" i="3"/>
  <c r="O3" i="3"/>
  <c r="K3" i="3"/>
  <c r="G3" i="3"/>
  <c r="U2" i="3"/>
  <c r="Q2" i="3"/>
  <c r="M2" i="3"/>
  <c r="T12" i="3"/>
  <c r="P12" i="3"/>
  <c r="L12" i="3"/>
  <c r="H12" i="3"/>
  <c r="D12" i="3"/>
  <c r="C3" i="3"/>
  <c r="C4" i="3"/>
  <c r="F2" i="3"/>
  <c r="F10" i="29"/>
  <c r="K3" i="29"/>
  <c r="C6" i="29"/>
  <c r="C8" i="30"/>
  <c r="E10" i="29"/>
  <c r="J3" i="29"/>
  <c r="R5" i="29"/>
  <c r="U6" i="30"/>
  <c r="S9" i="29"/>
  <c r="H5" i="30"/>
  <c r="T10" i="26"/>
  <c r="F4" i="26"/>
  <c r="E2" i="26"/>
  <c r="K6" i="26"/>
  <c r="N3" i="26"/>
  <c r="J10" i="26"/>
  <c r="C7" i="26"/>
  <c r="O3" i="26"/>
  <c r="U10" i="26"/>
  <c r="S12" i="26"/>
  <c r="L13" i="3"/>
  <c r="P11" i="3"/>
  <c r="H11" i="3"/>
  <c r="S10" i="3"/>
  <c r="K10" i="3"/>
  <c r="U9" i="3"/>
  <c r="M9" i="3"/>
  <c r="Q2" i="30"/>
  <c r="C11" i="29"/>
  <c r="O7" i="29"/>
  <c r="H4" i="29"/>
  <c r="M8" i="29"/>
  <c r="J11" i="30"/>
  <c r="L2" i="30"/>
  <c r="U10" i="29"/>
  <c r="N7" i="29"/>
  <c r="G4" i="29"/>
  <c r="N13" i="30"/>
  <c r="I8" i="29"/>
  <c r="I10" i="30"/>
  <c r="G2" i="30"/>
  <c r="P10" i="29"/>
  <c r="I7" i="29"/>
  <c r="U3" i="29"/>
  <c r="E8" i="29"/>
  <c r="Q11" i="26"/>
  <c r="J8" i="26"/>
  <c r="C5" i="26"/>
  <c r="N12" i="26"/>
  <c r="O4" i="26"/>
  <c r="O10" i="26"/>
  <c r="H7" i="26"/>
  <c r="T3" i="26"/>
  <c r="N11" i="26"/>
  <c r="D5" i="26"/>
  <c r="M13" i="26"/>
  <c r="R10" i="26"/>
  <c r="E9" i="26"/>
  <c r="K7" i="26"/>
  <c r="Q5" i="26"/>
  <c r="D4" i="26"/>
  <c r="J2" i="26"/>
  <c r="D13" i="26"/>
  <c r="U6" i="26"/>
  <c r="F3" i="26"/>
  <c r="R13" i="3"/>
  <c r="M13" i="3"/>
  <c r="H13" i="3"/>
  <c r="C13" i="3"/>
  <c r="Q11" i="3"/>
  <c r="M11" i="3"/>
  <c r="I11" i="3"/>
  <c r="E11" i="3"/>
  <c r="T10" i="3"/>
  <c r="P10" i="3"/>
  <c r="L10" i="3"/>
  <c r="H10" i="3"/>
  <c r="D10" i="3"/>
  <c r="R9" i="3"/>
  <c r="N9" i="3"/>
  <c r="J9" i="3"/>
  <c r="F9" i="3"/>
  <c r="T8" i="3"/>
  <c r="P8" i="3"/>
  <c r="L8" i="3"/>
  <c r="H8" i="3"/>
  <c r="D8" i="3"/>
  <c r="R7" i="3"/>
  <c r="N7" i="3"/>
  <c r="J7" i="3"/>
  <c r="F7" i="3"/>
  <c r="T6" i="3"/>
  <c r="P6" i="3"/>
  <c r="L6" i="3"/>
  <c r="H6" i="3"/>
  <c r="D6" i="3"/>
  <c r="R5" i="3"/>
  <c r="N5" i="3"/>
  <c r="J5" i="3"/>
  <c r="F5" i="3"/>
  <c r="T4" i="3"/>
  <c r="P4" i="3"/>
  <c r="L4" i="3"/>
  <c r="H4" i="3"/>
  <c r="D4" i="3"/>
  <c r="R3" i="3"/>
  <c r="N3" i="3"/>
  <c r="J3" i="3"/>
  <c r="F3" i="3"/>
  <c r="T2" i="3"/>
  <c r="P2" i="3"/>
  <c r="L2" i="3"/>
  <c r="S12" i="3"/>
  <c r="O12" i="3"/>
  <c r="K12" i="3"/>
  <c r="G12" i="3"/>
  <c r="C12" i="3"/>
  <c r="C9" i="3"/>
  <c r="C7" i="3"/>
  <c r="H2" i="3"/>
  <c r="O13" i="29"/>
  <c r="R6" i="29"/>
  <c r="K4" i="30"/>
  <c r="N13" i="29"/>
  <c r="Q6" i="29"/>
  <c r="S4" i="30"/>
  <c r="I13" i="29"/>
  <c r="L6" i="29"/>
  <c r="E3" i="29"/>
  <c r="N5" i="29"/>
  <c r="M7" i="26"/>
  <c r="H13" i="26"/>
  <c r="R9" i="26"/>
  <c r="D3" i="26"/>
  <c r="O8" i="26"/>
  <c r="E13" i="26"/>
  <c r="P8" i="26"/>
  <c r="I5" i="26"/>
  <c r="T12" i="26"/>
  <c r="L5" i="26"/>
  <c r="Q13" i="3"/>
  <c r="F13" i="3"/>
  <c r="T11" i="3"/>
  <c r="L11" i="3"/>
  <c r="D11" i="3"/>
  <c r="O10" i="3"/>
  <c r="G10" i="3"/>
  <c r="Q9" i="3"/>
  <c r="I9" i="3"/>
  <c r="K8" i="3"/>
  <c r="M7" i="3"/>
  <c r="O6" i="3"/>
  <c r="Q5" i="3"/>
  <c r="S4" i="3"/>
  <c r="U3" i="3"/>
  <c r="E3" i="3"/>
  <c r="R12" i="3"/>
  <c r="C10" i="3"/>
  <c r="G2" i="3"/>
  <c r="N12" i="3"/>
  <c r="E5" i="3"/>
  <c r="K2" i="3"/>
  <c r="E9" i="3"/>
  <c r="G8" i="3"/>
  <c r="I7" i="3"/>
  <c r="K6" i="3"/>
  <c r="M5" i="3"/>
  <c r="O4" i="3"/>
  <c r="Q3" i="3"/>
  <c r="S2" i="3"/>
  <c r="C5" i="3"/>
  <c r="G4" i="3"/>
  <c r="F12" i="3"/>
  <c r="S8" i="3"/>
  <c r="U7" i="3"/>
  <c r="E7" i="3"/>
  <c r="G6" i="3"/>
  <c r="I5" i="3"/>
  <c r="K4" i="3"/>
  <c r="M3" i="3"/>
  <c r="O2" i="3"/>
  <c r="J12" i="3"/>
  <c r="I2" i="3"/>
  <c r="O8" i="3"/>
  <c r="Q7" i="3"/>
  <c r="S6" i="3"/>
  <c r="U5" i="3"/>
  <c r="I3" i="3"/>
  <c r="R10" i="28"/>
  <c r="K7" i="28"/>
  <c r="D4" i="28"/>
  <c r="N12" i="32"/>
  <c r="F9" i="32"/>
  <c r="R5" i="32"/>
  <c r="K2" i="32"/>
  <c r="J13" i="28"/>
  <c r="M6" i="28"/>
  <c r="F3" i="28"/>
  <c r="O11" i="32"/>
  <c r="H8" i="32"/>
  <c r="L13" i="31"/>
  <c r="E13" i="28"/>
  <c r="O9" i="28"/>
  <c r="H6" i="28"/>
  <c r="J11" i="32"/>
  <c r="C8" i="32"/>
  <c r="O4" i="32"/>
  <c r="G13" i="31"/>
  <c r="K10" i="28"/>
  <c r="R8" i="32"/>
  <c r="C10" i="31"/>
  <c r="O6" i="31"/>
  <c r="H3" i="31"/>
  <c r="G13" i="28"/>
  <c r="C11" i="28"/>
  <c r="O7" i="28"/>
  <c r="H4" i="28"/>
  <c r="R12" i="32"/>
  <c r="J9" i="32"/>
  <c r="C6" i="32"/>
  <c r="O2" i="32"/>
  <c r="N13" i="28"/>
  <c r="E10" i="28"/>
  <c r="Q6" i="28"/>
  <c r="J3" i="28"/>
  <c r="S11" i="32"/>
  <c r="L8" i="32"/>
  <c r="E5" i="32"/>
  <c r="P13" i="31"/>
  <c r="I13" i="28"/>
  <c r="S9" i="28"/>
  <c r="L6" i="28"/>
  <c r="E3" i="28"/>
  <c r="N11" i="32"/>
  <c r="G8" i="32"/>
  <c r="S4" i="32"/>
  <c r="K13" i="31"/>
  <c r="H11" i="28"/>
  <c r="O9" i="32"/>
  <c r="G10" i="31"/>
  <c r="S6" i="31"/>
  <c r="L3" i="31"/>
  <c r="S13" i="28"/>
  <c r="J6" i="28"/>
  <c r="L11" i="32"/>
  <c r="Q4" i="32"/>
  <c r="H12" i="28"/>
  <c r="L5" i="28"/>
  <c r="N10" i="32"/>
  <c r="S3" i="32"/>
  <c r="C12" i="28"/>
  <c r="G5" i="28"/>
  <c r="I10" i="32"/>
  <c r="N3" i="32"/>
  <c r="G6" i="28"/>
  <c r="U8" i="31"/>
  <c r="G2" i="31"/>
  <c r="M8" i="28"/>
  <c r="M9" i="31"/>
  <c r="F6" i="31"/>
  <c r="R2" i="31"/>
  <c r="C10" i="28"/>
  <c r="J8" i="32"/>
  <c r="M6" i="31"/>
  <c r="F3" i="31"/>
  <c r="S7" i="28"/>
  <c r="D13" i="32"/>
  <c r="G6" i="32"/>
  <c r="R13" i="28"/>
  <c r="U6" i="28"/>
  <c r="E12" i="32"/>
  <c r="I5" i="32"/>
  <c r="M13" i="28"/>
  <c r="P6" i="28"/>
  <c r="R11" i="32"/>
  <c r="D5" i="32"/>
  <c r="F12" i="28"/>
  <c r="K10" i="31"/>
  <c r="P3" i="31"/>
  <c r="D11" i="28"/>
  <c r="K9" i="32"/>
  <c r="F10" i="31"/>
  <c r="R6" i="31"/>
  <c r="K3" i="31"/>
  <c r="N12" i="28"/>
  <c r="M10" i="31"/>
  <c r="F7" i="31"/>
  <c r="R3" i="31"/>
  <c r="J13" i="31"/>
  <c r="I12" i="28"/>
  <c r="M5" i="28"/>
  <c r="O10" i="32"/>
  <c r="J11" i="28"/>
  <c r="O4" i="28"/>
  <c r="Q9" i="32"/>
  <c r="C3" i="32"/>
  <c r="E11" i="28"/>
  <c r="J4" i="28"/>
  <c r="L9" i="32"/>
  <c r="Q2" i="32"/>
  <c r="S2" i="28"/>
  <c r="E8" i="31"/>
  <c r="S6" i="28"/>
  <c r="G5" i="32"/>
  <c r="E9" i="31"/>
  <c r="Q5" i="31"/>
  <c r="J2" i="31"/>
  <c r="I8" i="28"/>
  <c r="P6" i="32"/>
  <c r="L9" i="31"/>
  <c r="E6" i="31"/>
  <c r="Q2" i="31"/>
  <c r="P8" i="28"/>
  <c r="T13" i="32"/>
  <c r="D7" i="32"/>
  <c r="K13" i="28"/>
  <c r="M12" i="28"/>
  <c r="E9" i="28"/>
  <c r="Q5" i="28"/>
  <c r="J2" i="28"/>
  <c r="S10" i="32"/>
  <c r="L7" i="32"/>
  <c r="E4" i="32"/>
  <c r="O12" i="31"/>
  <c r="N11" i="28"/>
  <c r="G8" i="28"/>
  <c r="S4" i="28"/>
  <c r="K13" i="32"/>
  <c r="U9" i="32"/>
  <c r="N6" i="32"/>
  <c r="G3" i="32"/>
  <c r="P11" i="31"/>
  <c r="I11" i="28"/>
  <c r="U7" i="28"/>
  <c r="N4" i="28"/>
  <c r="F13" i="32"/>
  <c r="P9" i="32"/>
  <c r="I6" i="32"/>
  <c r="U2" i="32"/>
  <c r="K11" i="31"/>
  <c r="P3" i="28"/>
  <c r="D2" i="32"/>
  <c r="I8" i="31"/>
  <c r="U4" i="31"/>
  <c r="Q12" i="28"/>
  <c r="I9" i="28"/>
  <c r="U5" i="28"/>
  <c r="N2" i="28"/>
  <c r="D11" i="32"/>
  <c r="P7" i="32"/>
  <c r="I4" i="32"/>
  <c r="S12" i="31"/>
  <c r="R11" i="28"/>
  <c r="K8" i="28"/>
  <c r="D5" i="28"/>
  <c r="O13" i="32"/>
  <c r="F10" i="32"/>
  <c r="R6" i="32"/>
  <c r="K3" i="32"/>
  <c r="M11" i="28"/>
  <c r="F8" i="28"/>
  <c r="R4" i="28"/>
  <c r="J13" i="32"/>
  <c r="M6" i="32"/>
  <c r="F3" i="32"/>
  <c r="O11" i="31"/>
  <c r="M4" i="28"/>
  <c r="M8" i="31"/>
  <c r="F5" i="31"/>
  <c r="Q9" i="28"/>
  <c r="C3" i="28"/>
  <c r="E8" i="32"/>
  <c r="I13" i="31"/>
  <c r="S8" i="28"/>
  <c r="E2" i="28"/>
  <c r="G7" i="32"/>
  <c r="J12" i="31"/>
  <c r="N8" i="28"/>
  <c r="R13" i="32"/>
  <c r="U6" i="32"/>
  <c r="E12" i="31"/>
  <c r="N4" i="32"/>
  <c r="N5" i="31"/>
  <c r="Q13" i="32"/>
  <c r="D12" i="31"/>
  <c r="S7" i="31"/>
  <c r="L4" i="31"/>
  <c r="H3" i="28"/>
  <c r="N13" i="31"/>
  <c r="G8" i="31"/>
  <c r="S4" i="31"/>
  <c r="G11" i="28"/>
  <c r="L4" i="28"/>
  <c r="N9" i="32"/>
  <c r="S2" i="32"/>
  <c r="I10" i="28"/>
  <c r="N3" i="28"/>
  <c r="P8" i="32"/>
  <c r="T13" i="31"/>
  <c r="D10" i="28"/>
  <c r="I3" i="28"/>
  <c r="K8" i="32"/>
  <c r="O13" i="31"/>
  <c r="L10" i="32"/>
  <c r="D7" i="31"/>
  <c r="I4" i="28"/>
  <c r="P2" i="32"/>
  <c r="L8" i="31"/>
  <c r="E5" i="31"/>
  <c r="R5" i="28"/>
  <c r="F4" i="32"/>
  <c r="S8" i="31"/>
  <c r="L5" i="31"/>
  <c r="E2" i="31"/>
  <c r="R4" i="31"/>
  <c r="F2" i="28"/>
  <c r="H7" i="32"/>
  <c r="K12" i="31"/>
  <c r="C8" i="28"/>
  <c r="G13" i="32"/>
  <c r="J6" i="32"/>
  <c r="L11" i="31"/>
  <c r="Q7" i="28"/>
  <c r="E6" i="32"/>
  <c r="G11" i="31"/>
  <c r="F13" i="31"/>
  <c r="Q4" i="31"/>
  <c r="C12" i="32"/>
  <c r="K7" i="31"/>
  <c r="D4" i="31"/>
  <c r="M13" i="32"/>
  <c r="R11" i="31"/>
  <c r="R7" i="31"/>
  <c r="K4" i="31"/>
  <c r="E12" i="28"/>
  <c r="I5" i="28"/>
  <c r="K10" i="32"/>
  <c r="P3" i="32"/>
  <c r="F11" i="28"/>
  <c r="O11" i="28"/>
  <c r="H8" i="28"/>
  <c r="L13" i="32"/>
  <c r="C10" i="32"/>
  <c r="O6" i="32"/>
  <c r="H3" i="32"/>
  <c r="Q11" i="31"/>
  <c r="Q10" i="28"/>
  <c r="J7" i="28"/>
  <c r="C4" i="28"/>
  <c r="M12" i="32"/>
  <c r="E9" i="32"/>
  <c r="Q5" i="32"/>
  <c r="J2" i="32"/>
  <c r="S10" i="31"/>
  <c r="L10" i="28"/>
  <c r="E7" i="28"/>
  <c r="Q3" i="28"/>
  <c r="H12" i="32"/>
  <c r="S8" i="32"/>
  <c r="L5" i="32"/>
  <c r="E2" i="32"/>
  <c r="T13" i="28"/>
  <c r="G12" i="32"/>
  <c r="U10" i="31"/>
  <c r="L7" i="31"/>
  <c r="E4" i="31"/>
  <c r="R12" i="28"/>
  <c r="S11" i="28"/>
  <c r="L8" i="28"/>
  <c r="E5" i="28"/>
  <c r="P13" i="32"/>
  <c r="G10" i="32"/>
  <c r="S6" i="32"/>
  <c r="L3" i="32"/>
  <c r="C12" i="31"/>
  <c r="U10" i="28"/>
  <c r="N7" i="28"/>
  <c r="G4" i="28"/>
  <c r="Q12" i="32"/>
  <c r="I9" i="32"/>
  <c r="U5" i="32"/>
  <c r="N2" i="32"/>
  <c r="D11" i="31"/>
  <c r="P10" i="28"/>
  <c r="I7" i="28"/>
  <c r="U3" i="28"/>
  <c r="L12" i="32"/>
  <c r="D9" i="32"/>
  <c r="P5" i="32"/>
  <c r="I2" i="32"/>
  <c r="R10" i="31"/>
  <c r="E13" i="32"/>
  <c r="J11" i="31"/>
  <c r="P7" i="31"/>
  <c r="I4" i="31"/>
  <c r="P13" i="28"/>
  <c r="D8" i="28"/>
  <c r="H13" i="32"/>
  <c r="K6" i="32"/>
  <c r="M11" i="31"/>
  <c r="F7" i="28"/>
  <c r="I12" i="32"/>
  <c r="M5" i="32"/>
  <c r="Q13" i="28"/>
  <c r="D12" i="32"/>
  <c r="H5" i="32"/>
  <c r="D13" i="28"/>
  <c r="O10" i="31"/>
  <c r="H10" i="32"/>
  <c r="J10" i="31"/>
  <c r="C7" i="31"/>
  <c r="O3" i="31"/>
  <c r="L13" i="28"/>
  <c r="Q11" i="32"/>
  <c r="Q10" i="31"/>
  <c r="J7" i="31"/>
  <c r="C4" i="31"/>
  <c r="M9" i="28"/>
  <c r="R2" i="28"/>
  <c r="E13" i="31"/>
  <c r="O8" i="28"/>
  <c r="S13" i="32"/>
  <c r="C7" i="32"/>
  <c r="F12" i="31"/>
  <c r="J8" i="28"/>
  <c r="N13" i="32"/>
  <c r="Q6" i="32"/>
  <c r="S11" i="31"/>
  <c r="Q3" i="32"/>
  <c r="J5" i="31"/>
  <c r="S12" i="32"/>
  <c r="I11" i="31"/>
  <c r="O7" i="31"/>
  <c r="H4" i="31"/>
  <c r="K2" i="28"/>
  <c r="P12" i="31"/>
  <c r="C8" i="31"/>
  <c r="O4" i="31"/>
  <c r="D3" i="28"/>
  <c r="G7" i="28"/>
  <c r="J12" i="32"/>
  <c r="N5" i="32"/>
  <c r="F13" i="28"/>
  <c r="I6" i="28"/>
  <c r="K11" i="32"/>
  <c r="P4" i="32"/>
  <c r="S12" i="28"/>
  <c r="D6" i="28"/>
  <c r="F11" i="32"/>
  <c r="K4" i="32"/>
  <c r="N9" i="28"/>
  <c r="R9" i="31"/>
  <c r="D3" i="31"/>
  <c r="G10" i="28"/>
  <c r="N8" i="32"/>
  <c r="U9" i="31"/>
  <c r="N6" i="31"/>
  <c r="G3" i="31"/>
  <c r="P11" i="28"/>
  <c r="D10" i="32"/>
  <c r="I10" i="31"/>
  <c r="U6" i="31"/>
  <c r="U9" i="28"/>
  <c r="P11" i="32"/>
  <c r="L12" i="28"/>
  <c r="I2" i="28"/>
  <c r="D4" i="32"/>
  <c r="K5" i="28"/>
  <c r="F7" i="32"/>
  <c r="K5" i="32"/>
  <c r="K3" i="28"/>
  <c r="Q13" i="31"/>
  <c r="M2" i="28"/>
  <c r="R12" i="31"/>
  <c r="O5" i="28"/>
  <c r="J7" i="32"/>
  <c r="H6" i="32"/>
  <c r="O2" i="31"/>
  <c r="R9" i="32"/>
  <c r="M3" i="28"/>
  <c r="H7" i="31"/>
  <c r="P8" i="31"/>
  <c r="O6" i="28"/>
  <c r="P5" i="31"/>
  <c r="J10" i="32"/>
  <c r="E10" i="32"/>
  <c r="C2" i="31"/>
  <c r="D6" i="32"/>
  <c r="M7" i="32"/>
  <c r="F8" i="31"/>
  <c r="S3" i="28"/>
  <c r="P9" i="28"/>
  <c r="K9" i="28"/>
  <c r="C13" i="31"/>
  <c r="H5" i="31"/>
  <c r="C7" i="28"/>
  <c r="J5" i="32"/>
  <c r="L9" i="28"/>
  <c r="Q2" i="28"/>
  <c r="S7" i="32"/>
  <c r="D13" i="31"/>
  <c r="G9" i="28"/>
  <c r="L2" i="28"/>
  <c r="N7" i="32"/>
  <c r="Q12" i="31"/>
  <c r="E7" i="32"/>
  <c r="G6" i="31"/>
  <c r="O2" i="28"/>
  <c r="D8" i="31"/>
  <c r="P4" i="31"/>
  <c r="E4" i="28"/>
  <c r="L2" i="32"/>
  <c r="K8" i="31"/>
  <c r="D5" i="31"/>
  <c r="R9" i="28"/>
  <c r="E3" i="31"/>
  <c r="U3" i="31"/>
  <c r="L12" i="31"/>
  <c r="H10" i="31"/>
  <c r="E7" i="31"/>
  <c r="D6" i="31"/>
  <c r="M11" i="32"/>
  <c r="O5" i="31"/>
  <c r="U3" i="32"/>
  <c r="N11" i="31"/>
  <c r="H2" i="32"/>
  <c r="O5" i="32"/>
  <c r="C9" i="32"/>
  <c r="L2" i="31"/>
  <c r="O9" i="31"/>
  <c r="M13" i="31"/>
  <c r="C9" i="28"/>
  <c r="P4" i="28"/>
  <c r="I11" i="32"/>
  <c r="D9" i="31"/>
  <c r="C5" i="28"/>
  <c r="N2" i="31"/>
  <c r="H13" i="31"/>
  <c r="R13" i="31"/>
  <c r="J10" i="28"/>
  <c r="M9" i="32"/>
  <c r="M2" i="32"/>
  <c r="C6" i="28"/>
  <c r="F2" i="31"/>
  <c r="H9" i="31"/>
  <c r="L6" i="31"/>
  <c r="P6" i="31"/>
  <c r="K9" i="31"/>
  <c r="R4" i="32"/>
  <c r="D2" i="31"/>
  <c r="I13" i="32"/>
  <c r="I7" i="32"/>
  <c r="N6" i="28"/>
  <c r="I8" i="32"/>
  <c r="R10" i="32"/>
  <c r="N12" i="31"/>
  <c r="R3" i="32"/>
  <c r="F9" i="31"/>
  <c r="O13" i="28"/>
  <c r="P12" i="28"/>
  <c r="C11" i="32"/>
  <c r="H2" i="28"/>
  <c r="C4" i="32"/>
  <c r="D3" i="32"/>
  <c r="F2" i="32"/>
  <c r="O8" i="32"/>
  <c r="F5" i="28"/>
  <c r="I5" i="31"/>
  <c r="C5" i="32"/>
  <c r="I2" i="31"/>
  <c r="C13" i="28"/>
  <c r="M4" i="32"/>
  <c r="O3" i="32"/>
  <c r="J3" i="32"/>
  <c r="I9" i="31"/>
  <c r="P9" i="31"/>
  <c r="U8" i="32"/>
  <c r="U2" i="28"/>
  <c r="P2" i="28"/>
  <c r="U7" i="32"/>
  <c r="H8" i="31"/>
  <c r="U4" i="28"/>
  <c r="N3" i="31"/>
  <c r="O3" i="28"/>
  <c r="C2" i="32"/>
  <c r="R7" i="28"/>
  <c r="C13" i="32"/>
  <c r="F6" i="32"/>
  <c r="H11" i="31"/>
  <c r="M7" i="28"/>
  <c r="P12" i="32"/>
  <c r="C11" i="31"/>
  <c r="H12" i="31"/>
  <c r="M4" i="31"/>
  <c r="E11" i="32"/>
  <c r="N10" i="31"/>
  <c r="G7" i="31"/>
  <c r="S3" i="31"/>
  <c r="O12" i="32"/>
  <c r="F11" i="31"/>
  <c r="N7" i="31"/>
  <c r="G4" i="31"/>
  <c r="F8" i="32"/>
  <c r="U7" i="31"/>
  <c r="K6" i="28"/>
  <c r="J12" i="28"/>
  <c r="Q3" i="31"/>
  <c r="H7" i="28"/>
  <c r="E8" i="28"/>
  <c r="P2" i="31"/>
  <c r="K12" i="32"/>
  <c r="I7" i="31"/>
  <c r="R8" i="31"/>
  <c r="Q7" i="31"/>
  <c r="I3" i="31"/>
  <c r="N8" i="31"/>
  <c r="P5" i="28"/>
  <c r="H5" i="28"/>
  <c r="U2" i="31"/>
  <c r="R7" i="32"/>
  <c r="K4" i="28"/>
  <c r="F4" i="28"/>
  <c r="C2" i="28"/>
  <c r="M5" i="31"/>
  <c r="S5" i="32"/>
  <c r="M7" i="31"/>
  <c r="S9" i="32"/>
  <c r="H2" i="31"/>
  <c r="N5" i="28"/>
  <c r="U4" i="32"/>
  <c r="D9" i="28"/>
  <c r="K7" i="32"/>
  <c r="G12" i="28"/>
  <c r="D2" i="28"/>
  <c r="I12" i="31"/>
  <c r="R5" i="31"/>
  <c r="F10" i="28"/>
  <c r="M8" i="32"/>
  <c r="H9" i="28"/>
  <c r="O7" i="32"/>
  <c r="K12" i="28"/>
  <c r="Q10" i="32"/>
  <c r="M12" i="31"/>
  <c r="J9" i="31"/>
  <c r="K11" i="28"/>
  <c r="M10" i="28"/>
  <c r="H10" i="28"/>
  <c r="S13" i="31"/>
  <c r="F6" i="28"/>
  <c r="D12" i="28"/>
  <c r="Q11" i="28"/>
  <c r="J5" i="28"/>
  <c r="U5" i="31"/>
  <c r="F9" i="28"/>
  <c r="I6" i="31"/>
  <c r="N10" i="28"/>
  <c r="D8" i="32"/>
  <c r="K6" i="31"/>
  <c r="L3" i="28"/>
  <c r="I3" i="32"/>
  <c r="H13" i="28"/>
  <c r="F12" i="32"/>
  <c r="G12" i="31"/>
  <c r="E6" i="28"/>
  <c r="G11" i="32"/>
  <c r="L4" i="32"/>
  <c r="O12" i="28"/>
  <c r="S5" i="28"/>
  <c r="U10" i="32"/>
  <c r="G4" i="32"/>
  <c r="Q8" i="28"/>
  <c r="N9" i="31"/>
  <c r="S2" i="31"/>
  <c r="J9" i="28"/>
  <c r="Q7" i="32"/>
  <c r="Q9" i="31"/>
  <c r="J6" i="31"/>
  <c r="C3" i="31"/>
  <c r="S10" i="28"/>
  <c r="G9" i="32"/>
  <c r="E10" i="31"/>
  <c r="Q6" i="31"/>
  <c r="J3" i="31"/>
  <c r="S9" i="31"/>
  <c r="N4" i="31"/>
  <c r="L11" i="28"/>
  <c r="M3" i="31"/>
  <c r="O10" i="28"/>
  <c r="C9" i="31"/>
  <c r="S5" i="31"/>
  <c r="P10" i="32"/>
  <c r="F4" i="31"/>
  <c r="L6" i="32"/>
  <c r="C5" i="31"/>
  <c r="K5" i="31"/>
  <c r="J4" i="31"/>
  <c r="H6" i="31"/>
  <c r="G5" i="31"/>
  <c r="U8" i="28"/>
  <c r="Q4" i="28"/>
  <c r="G3" i="28"/>
  <c r="R8" i="28"/>
  <c r="M10" i="32"/>
  <c r="D7" i="28"/>
  <c r="K2" i="31"/>
  <c r="R6" i="28"/>
  <c r="F5" i="32"/>
  <c r="H4" i="32"/>
  <c r="C6" i="31"/>
  <c r="R3" i="28"/>
  <c r="M3" i="32"/>
  <c r="H11" i="32"/>
  <c r="Q8" i="31"/>
  <c r="P7" i="28"/>
  <c r="G2" i="32"/>
  <c r="O8" i="31"/>
  <c r="Q8" i="32"/>
  <c r="R2" i="32"/>
  <c r="H9" i="32"/>
  <c r="J4" i="32"/>
  <c r="L7" i="28"/>
  <c r="M2" i="31"/>
  <c r="P10" i="31"/>
  <c r="G2" i="28"/>
  <c r="J8" i="31"/>
  <c r="L10" i="31"/>
  <c r="D10" i="31"/>
  <c r="G9" i="31"/>
  <c r="E11" i="31"/>
  <c r="E3" i="32"/>
  <c r="U11" i="29" l="1"/>
  <c r="U11" i="26"/>
  <c r="U11" i="30"/>
  <c r="U11" i="31"/>
  <c r="U11" i="32"/>
  <c r="U11" i="28"/>
  <c r="T5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U11" i="3" l="1"/>
</calcChain>
</file>

<file path=xl/sharedStrings.xml><?xml version="1.0" encoding="utf-8"?>
<sst xmlns="http://schemas.openxmlformats.org/spreadsheetml/2006/main" count="282" uniqueCount="65">
  <si>
    <t>Start Time</t>
  </si>
  <si>
    <t>Day Origin</t>
  </si>
  <si>
    <t>0-6</t>
  </si>
  <si>
    <t>End Time</t>
  </si>
  <si>
    <t>Day 1</t>
  </si>
  <si>
    <t>Day 2</t>
  </si>
  <si>
    <t>Day 3</t>
  </si>
  <si>
    <t>Day 4</t>
  </si>
  <si>
    <t>Day 5</t>
  </si>
  <si>
    <t>Total</t>
  </si>
  <si>
    <t>DAY 1</t>
  </si>
  <si>
    <t>Average Response Time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</si>
  <si>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</si>
  <si>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</si>
  <si>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</si>
  <si>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</si>
  <si>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</si>
  <si>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</si>
  <si>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</si>
  <si>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</si>
  <si>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</si>
  <si>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</si>
  <si>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</si>
  <si>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</si>
  <si>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</si>
  <si>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</si>
  <si>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</si>
  <si>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</si>
  <si>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</si>
  <si>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</si>
  <si>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</si>
  <si>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</si>
  <si>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</si>
  <si>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</si>
  <si>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</si>
  <si>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</si>
  <si>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</si>
  <si>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</si>
  <si>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</si>
  <si>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</si>
  <si>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</si>
  <si>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</si>
  <si>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</si>
  <si>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</si>
  <si>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</si>
  <si>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</si>
  <si>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</si>
  <si>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</si>
  <si>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</si>
  <si>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Highest Transaction Time</t>
  </si>
  <si>
    <t>Lowest Transaction Time</t>
  </si>
  <si>
    <t>Highest Response Time</t>
  </si>
  <si>
    <t>Lowest Response Time</t>
  </si>
  <si>
    <t>Average In Progress Time</t>
  </si>
  <si>
    <t>Highest In Progress Time</t>
  </si>
  <si>
    <t>Lowest In Progress Time</t>
  </si>
  <si>
    <t xml:space="preserve">Average Transaction Time </t>
  </si>
  <si>
    <t>Day 6</t>
  </si>
  <si>
    <t>Day 7</t>
  </si>
  <si>
    <t>DAY 6</t>
  </si>
  <si>
    <t>DAY 7</t>
  </si>
  <si>
    <t>Number of Jobs Created</t>
  </si>
  <si>
    <t>Number of Jobs Responded To</t>
  </si>
  <si>
    <t>Number of Completed Jobs</t>
  </si>
  <si>
    <t>Number of Created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</si>
</sst>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6" fontId="1" fillId="0" borderId="0" xfId="0" quotePrefix="1" applyNumberFormat="1" applyFont="1"/>
    <xf numFmtId="0" fontId="1" fillId="0" borderId="0" xfId="0" quotePrefix="1" applyFont="1"/>
    <xf numFmtId="0" fontId="5" fillId="0" borderId="0" xfId="0" applyFont="1" applyFill="1" applyBorder="1" applyAlignment="1" applyProtection="1"/>
    <xf numFmtId="0" fontId="3" fillId="0" borderId="0" xfId="0" applyFont="1" applyBorder="1"/>
    <xf numFmtId="2" fontId="3" fillId="0" borderId="0" xfId="0" applyNumberFormat="1" applyFont="1" applyBorder="1"/>
    <xf numFmtId="0" fontId="3" fillId="0" borderId="0" xfId="0" applyFont="1" applyBorder="1" applyAlignme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'Day1'!$B$11</c:f>
              <c:strCache>
                <c:ptCount val="1"/>
                <c:pt idx="0">
                  <c:v>Number of Completed Jobs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'Day1'!$B$14</c:f>
              <c:strCache>
                <c:ptCount val="1"/>
                <c:pt idx="0">
                  <c:v>Number of Created Jobs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85336064"/>
        <c:axId val="1185339872"/>
      </c:barChart>
      <c:catAx>
        <c:axId val="11853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339872"/>
        <c:crosses val="autoZero"/>
        <c:auto val="1"/>
        <c:lblAlgn val="ctr"/>
        <c:lblOffset val="100"/>
        <c:noMultiLvlLbl val="0"/>
      </c:catAx>
      <c:valAx>
        <c:axId val="118533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3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5343136"/>
        <c:axId val="118534041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345312"/>
        <c:axId val="1185337152"/>
      </c:lineChart>
      <c:valAx>
        <c:axId val="118533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Time in 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345312"/>
        <c:crosses val="autoZero"/>
        <c:crossBetween val="between"/>
      </c:valAx>
      <c:catAx>
        <c:axId val="1185345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337152"/>
        <c:crosses val="autoZero"/>
        <c:auto val="1"/>
        <c:lblAlgn val="ctr"/>
        <c:lblOffset val="100"/>
        <c:noMultiLvlLbl val="0"/>
      </c:catAx>
      <c:valAx>
        <c:axId val="11853404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343136"/>
        <c:crosses val="max"/>
        <c:crossBetween val="between"/>
      </c:valAx>
      <c:catAx>
        <c:axId val="1185343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8534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335552"/>
        <c:axId val="1375330112"/>
      </c:lineChart>
      <c:catAx>
        <c:axId val="137533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0112"/>
        <c:crosses val="autoZero"/>
        <c:auto val="1"/>
        <c:lblAlgn val="ctr"/>
        <c:lblOffset val="100"/>
        <c:noMultiLvlLbl val="0"/>
      </c:catAx>
      <c:valAx>
        <c:axId val="13753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331200"/>
        <c:axId val="1375337728"/>
      </c:lineChart>
      <c:catAx>
        <c:axId val="137533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7728"/>
        <c:crosses val="autoZero"/>
        <c:auto val="1"/>
        <c:lblAlgn val="ctr"/>
        <c:lblOffset val="100"/>
        <c:noMultiLvlLbl val="0"/>
      </c:catAx>
      <c:valAx>
        <c:axId val="13753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338272"/>
        <c:axId val="1375333376"/>
      </c:lineChart>
      <c:catAx>
        <c:axId val="137533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3376"/>
        <c:crosses val="autoZero"/>
        <c:auto val="1"/>
        <c:lblAlgn val="ctr"/>
        <c:lblOffset val="100"/>
        <c:noMultiLvlLbl val="0"/>
      </c:catAx>
      <c:valAx>
        <c:axId val="137533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331744"/>
        <c:axId val="1375342080"/>
      </c:lineChart>
      <c:catAx>
        <c:axId val="137533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42080"/>
        <c:crosses val="autoZero"/>
        <c:auto val="1"/>
        <c:lblAlgn val="ctr"/>
        <c:lblOffset val="100"/>
        <c:noMultiLvlLbl val="0"/>
      </c:catAx>
      <c:valAx>
        <c:axId val="13753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333920"/>
        <c:axId val="137533446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339904"/>
        <c:axId val="1375332832"/>
      </c:lineChart>
      <c:valAx>
        <c:axId val="137533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9904"/>
        <c:crosses val="autoZero"/>
        <c:crossBetween val="between"/>
      </c:valAx>
      <c:catAx>
        <c:axId val="13753399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2832"/>
        <c:crosses val="autoZero"/>
        <c:auto val="1"/>
        <c:lblAlgn val="ctr"/>
        <c:lblOffset val="100"/>
        <c:noMultiLvlLbl val="0"/>
      </c:catAx>
      <c:valAx>
        <c:axId val="13753344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3920"/>
        <c:crosses val="max"/>
        <c:crossBetween val="between"/>
      </c:valAx>
      <c:catAx>
        <c:axId val="13753339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334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340992"/>
        <c:axId val="1375335008"/>
      </c:lineChart>
      <c:catAx>
        <c:axId val="137534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35008"/>
        <c:crosses val="autoZero"/>
        <c:auto val="1"/>
        <c:lblAlgn val="ctr"/>
        <c:lblOffset val="100"/>
        <c:noMultiLvlLbl val="0"/>
      </c:catAx>
      <c:valAx>
        <c:axId val="13753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4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327392"/>
        <c:axId val="1375327936"/>
      </c:lineChart>
      <c:catAx>
        <c:axId val="137532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27936"/>
        <c:crosses val="autoZero"/>
        <c:auto val="1"/>
        <c:lblAlgn val="ctr"/>
        <c:lblOffset val="100"/>
        <c:noMultiLvlLbl val="0"/>
      </c:catAx>
      <c:valAx>
        <c:axId val="137532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32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714656"/>
        <c:axId val="1375717376"/>
      </c:lineChart>
      <c:catAx>
        <c:axId val="137571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7376"/>
        <c:crosses val="autoZero"/>
        <c:auto val="1"/>
        <c:lblAlgn val="ctr"/>
        <c:lblOffset val="100"/>
        <c:noMultiLvlLbl val="0"/>
      </c:catAx>
      <c:valAx>
        <c:axId val="137571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'Day2'!$B$8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'Day2'!$B$9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'Day2'!$B$10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712480"/>
        <c:axId val="1375716288"/>
      </c:lineChart>
      <c:catAx>
        <c:axId val="137571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6288"/>
        <c:crosses val="autoZero"/>
        <c:auto val="1"/>
        <c:lblAlgn val="ctr"/>
        <c:lblOffset val="100"/>
        <c:noMultiLvlLbl val="0"/>
      </c:catAx>
      <c:valAx>
        <c:axId val="137571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75713024"/>
        <c:axId val="1375722816"/>
      </c:barChart>
      <c:catAx>
        <c:axId val="137571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22816"/>
        <c:crosses val="autoZero"/>
        <c:auto val="1"/>
        <c:lblAlgn val="ctr"/>
        <c:lblOffset val="100"/>
        <c:noMultiLvlLbl val="0"/>
      </c:catAx>
      <c:valAx>
        <c:axId val="13757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715200"/>
        <c:axId val="137571846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5726080"/>
        <c:axId val="1375716832"/>
      </c:lineChart>
      <c:valAx>
        <c:axId val="137571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26080"/>
        <c:crosses val="autoZero"/>
        <c:crossBetween val="between"/>
      </c:valAx>
      <c:catAx>
        <c:axId val="1375726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6832"/>
        <c:crosses val="autoZero"/>
        <c:auto val="1"/>
        <c:lblAlgn val="ctr"/>
        <c:lblOffset val="100"/>
        <c:noMultiLvlLbl val="0"/>
      </c:catAx>
      <c:valAx>
        <c:axId val="13757184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5200"/>
        <c:crosses val="max"/>
        <c:crossBetween val="between"/>
      </c:valAx>
      <c:catAx>
        <c:axId val="13757152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7184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725536"/>
        <c:axId val="1375721728"/>
      </c:lineChart>
      <c:catAx>
        <c:axId val="137572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21728"/>
        <c:crosses val="autoZero"/>
        <c:auto val="1"/>
        <c:lblAlgn val="ctr"/>
        <c:lblOffset val="100"/>
        <c:noMultiLvlLbl val="0"/>
      </c:catAx>
      <c:valAx>
        <c:axId val="137572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2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723904"/>
        <c:axId val="1375722272"/>
      </c:lineChart>
      <c:catAx>
        <c:axId val="137572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22272"/>
        <c:crosses val="autoZero"/>
        <c:auto val="1"/>
        <c:lblAlgn val="ctr"/>
        <c:lblOffset val="100"/>
        <c:noMultiLvlLbl val="0"/>
      </c:catAx>
      <c:valAx>
        <c:axId val="137572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2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715744"/>
        <c:axId val="1377648464"/>
      </c:lineChart>
      <c:catAx>
        <c:axId val="137571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48464"/>
        <c:crosses val="autoZero"/>
        <c:auto val="1"/>
        <c:lblAlgn val="ctr"/>
        <c:lblOffset val="100"/>
        <c:noMultiLvlLbl val="0"/>
      </c:catAx>
      <c:valAx>
        <c:axId val="13776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1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'Day3'!$B$8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'Day3'!$B$9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'Day3'!$B$10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647376"/>
        <c:axId val="1377652272"/>
      </c:lineChart>
      <c:catAx>
        <c:axId val="137764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2272"/>
        <c:crosses val="autoZero"/>
        <c:auto val="1"/>
        <c:lblAlgn val="ctr"/>
        <c:lblOffset val="100"/>
        <c:noMultiLvlLbl val="0"/>
      </c:catAx>
      <c:valAx>
        <c:axId val="137765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77656080"/>
        <c:axId val="1377650640"/>
      </c:barChart>
      <c:catAx>
        <c:axId val="137765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0640"/>
        <c:crosses val="autoZero"/>
        <c:auto val="1"/>
        <c:lblAlgn val="ctr"/>
        <c:lblOffset val="100"/>
        <c:noMultiLvlLbl val="0"/>
      </c:catAx>
      <c:valAx>
        <c:axId val="137765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7652816"/>
        <c:axId val="137765444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658800"/>
        <c:axId val="1377657712"/>
      </c:lineChart>
      <c:valAx>
        <c:axId val="137765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8800"/>
        <c:crosses val="autoZero"/>
        <c:crossBetween val="between"/>
      </c:valAx>
      <c:catAx>
        <c:axId val="13776588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7712"/>
        <c:crosses val="autoZero"/>
        <c:auto val="1"/>
        <c:lblAlgn val="ctr"/>
        <c:lblOffset val="100"/>
        <c:noMultiLvlLbl val="0"/>
      </c:catAx>
      <c:valAx>
        <c:axId val="13776544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2816"/>
        <c:crosses val="max"/>
        <c:crossBetween val="between"/>
      </c:valAx>
      <c:catAx>
        <c:axId val="13776528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7654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'Day2'!$C$13:$T$13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651184"/>
        <c:axId val="1377653904"/>
      </c:lineChart>
      <c:catAx>
        <c:axId val="137765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3904"/>
        <c:crosses val="autoZero"/>
        <c:auto val="1"/>
        <c:lblAlgn val="ctr"/>
        <c:lblOffset val="100"/>
        <c:noMultiLvlLbl val="0"/>
      </c:catAx>
      <c:valAx>
        <c:axId val="137765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649008"/>
        <c:axId val="1377647920"/>
      </c:lineChart>
      <c:catAx>
        <c:axId val="137764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47920"/>
        <c:crosses val="autoZero"/>
        <c:auto val="1"/>
        <c:lblAlgn val="ctr"/>
        <c:lblOffset val="100"/>
        <c:noMultiLvlLbl val="0"/>
      </c:catAx>
      <c:valAx>
        <c:axId val="13776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4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644656"/>
        <c:axId val="1377658256"/>
      </c:lineChart>
      <c:catAx>
        <c:axId val="137764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58256"/>
        <c:crosses val="autoZero"/>
        <c:auto val="1"/>
        <c:lblAlgn val="ctr"/>
        <c:lblOffset val="100"/>
        <c:noMultiLvlLbl val="0"/>
      </c:catAx>
      <c:valAx>
        <c:axId val="137765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4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'Day4'!$B$8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'Day4'!$B$9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'Day4'!$B$10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47600"/>
        <c:axId val="1378042704"/>
      </c:lineChart>
      <c:catAx>
        <c:axId val="137804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2704"/>
        <c:crosses val="autoZero"/>
        <c:auto val="1"/>
        <c:lblAlgn val="ctr"/>
        <c:lblOffset val="100"/>
        <c:noMultiLvlLbl val="0"/>
      </c:catAx>
      <c:valAx>
        <c:axId val="137804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78043248"/>
        <c:axId val="1378045968"/>
      </c:barChart>
      <c:catAx>
        <c:axId val="137804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5968"/>
        <c:crosses val="autoZero"/>
        <c:auto val="1"/>
        <c:lblAlgn val="ctr"/>
        <c:lblOffset val="100"/>
        <c:noMultiLvlLbl val="0"/>
      </c:catAx>
      <c:valAx>
        <c:axId val="137804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043792"/>
        <c:axId val="137804488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037264"/>
        <c:axId val="1378036720"/>
      </c:lineChart>
      <c:valAx>
        <c:axId val="13780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37264"/>
        <c:crosses val="autoZero"/>
        <c:crossBetween val="between"/>
      </c:valAx>
      <c:catAx>
        <c:axId val="1378037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36720"/>
        <c:crosses val="autoZero"/>
        <c:auto val="1"/>
        <c:lblAlgn val="ctr"/>
        <c:lblOffset val="100"/>
        <c:noMultiLvlLbl val="0"/>
      </c:catAx>
      <c:valAx>
        <c:axId val="13780448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3792"/>
        <c:crosses val="max"/>
        <c:crossBetween val="between"/>
      </c:valAx>
      <c:catAx>
        <c:axId val="13780437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8044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46512"/>
        <c:axId val="1378035088"/>
      </c:lineChart>
      <c:catAx>
        <c:axId val="137804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35088"/>
        <c:crosses val="autoZero"/>
        <c:auto val="1"/>
        <c:lblAlgn val="ctr"/>
        <c:lblOffset val="100"/>
        <c:noMultiLvlLbl val="0"/>
      </c:catAx>
      <c:valAx>
        <c:axId val="137803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38352"/>
        <c:axId val="1378038896"/>
      </c:lineChart>
      <c:catAx>
        <c:axId val="13780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38896"/>
        <c:crosses val="autoZero"/>
        <c:auto val="1"/>
        <c:lblAlgn val="ctr"/>
        <c:lblOffset val="100"/>
        <c:noMultiLvlLbl val="0"/>
      </c:catAx>
      <c:valAx>
        <c:axId val="13780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45424"/>
        <c:axId val="1378048144"/>
      </c:lineChart>
      <c:catAx>
        <c:axId val="137804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8144"/>
        <c:crosses val="autoZero"/>
        <c:auto val="1"/>
        <c:lblAlgn val="ctr"/>
        <c:lblOffset val="100"/>
        <c:noMultiLvlLbl val="0"/>
      </c:catAx>
      <c:valAx>
        <c:axId val="13780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'Day5'!$B$8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'Day5'!$B$9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'Day5'!$B$10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041072"/>
        <c:axId val="1378041616"/>
      </c:lineChart>
      <c:catAx>
        <c:axId val="137804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1616"/>
        <c:crosses val="autoZero"/>
        <c:auto val="1"/>
        <c:lblAlgn val="ctr"/>
        <c:lblOffset val="100"/>
        <c:noMultiLvlLbl val="0"/>
      </c:catAx>
      <c:valAx>
        <c:axId val="13780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04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78309408"/>
        <c:axId val="1378321920"/>
      </c:barChart>
      <c:catAx>
        <c:axId val="137830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21920"/>
        <c:crosses val="autoZero"/>
        <c:auto val="1"/>
        <c:lblAlgn val="ctr"/>
        <c:lblOffset val="100"/>
        <c:noMultiLvlLbl val="0"/>
      </c:catAx>
      <c:valAx>
        <c:axId val="137832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0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'Day6'!$C$12:$T$12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314848"/>
        <c:axId val="137831756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10496"/>
        <c:axId val="1378323008"/>
      </c:lineChart>
      <c:valAx>
        <c:axId val="13783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0496"/>
        <c:crosses val="autoZero"/>
        <c:crossBetween val="between"/>
      </c:valAx>
      <c:catAx>
        <c:axId val="1378310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23008"/>
        <c:crosses val="autoZero"/>
        <c:auto val="1"/>
        <c:lblAlgn val="ctr"/>
        <c:lblOffset val="100"/>
        <c:noMultiLvlLbl val="0"/>
      </c:catAx>
      <c:valAx>
        <c:axId val="137831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4848"/>
        <c:crosses val="max"/>
        <c:crossBetween val="between"/>
      </c:valAx>
      <c:catAx>
        <c:axId val="1378314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831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15392"/>
        <c:axId val="1378311040"/>
      </c:lineChart>
      <c:catAx>
        <c:axId val="137831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1040"/>
        <c:crosses val="autoZero"/>
        <c:auto val="1"/>
        <c:lblAlgn val="ctr"/>
        <c:lblOffset val="100"/>
        <c:noMultiLvlLbl val="0"/>
      </c:catAx>
      <c:valAx>
        <c:axId val="137831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12128"/>
        <c:axId val="1378319744"/>
      </c:lineChart>
      <c:catAx>
        <c:axId val="13783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9744"/>
        <c:crosses val="autoZero"/>
        <c:auto val="1"/>
        <c:lblAlgn val="ctr"/>
        <c:lblOffset val="100"/>
        <c:noMultiLvlLbl val="0"/>
      </c:catAx>
      <c:valAx>
        <c:axId val="13783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09952"/>
        <c:axId val="1378312672"/>
      </c:lineChart>
      <c:catAx>
        <c:axId val="137830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2672"/>
        <c:crosses val="autoZero"/>
        <c:auto val="1"/>
        <c:lblAlgn val="ctr"/>
        <c:lblOffset val="100"/>
        <c:noMultiLvlLbl val="0"/>
      </c:catAx>
      <c:valAx>
        <c:axId val="137831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0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'Day6'!$B$8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'Day6'!$B$9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'Day6'!$B$10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'Day6'!$C$10:$T$10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16480"/>
        <c:axId val="1378318112"/>
      </c:lineChart>
      <c:catAx>
        <c:axId val="137831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8112"/>
        <c:crosses val="autoZero"/>
        <c:auto val="1"/>
        <c:lblAlgn val="ctr"/>
        <c:lblOffset val="100"/>
        <c:noMultiLvlLbl val="0"/>
      </c:catAx>
      <c:valAx>
        <c:axId val="137831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1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'Day6'!$B$11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'Day6'!$B$14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'Day6'!$B$15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78320288"/>
        <c:axId val="1378320832"/>
      </c:barChart>
      <c:catAx>
        <c:axId val="137832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20832"/>
        <c:crosses val="autoZero"/>
        <c:auto val="1"/>
        <c:lblAlgn val="ctr"/>
        <c:lblOffset val="100"/>
        <c:noMultiLvlLbl val="0"/>
      </c:catAx>
      <c:valAx>
        <c:axId val="137832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2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'Day7'!$C$11:$T$11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'Day7'!$C$12:$T$12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4586592"/>
        <c:axId val="141459366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594208"/>
        <c:axId val="1414596384"/>
      </c:lineChart>
      <c:valAx>
        <c:axId val="14145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4208"/>
        <c:crosses val="autoZero"/>
        <c:crossBetween val="between"/>
      </c:valAx>
      <c:catAx>
        <c:axId val="1414594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6384"/>
        <c:crosses val="autoZero"/>
        <c:auto val="1"/>
        <c:lblAlgn val="ctr"/>
        <c:lblOffset val="100"/>
        <c:noMultiLvlLbl val="0"/>
      </c:catAx>
      <c:valAx>
        <c:axId val="14145936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86592"/>
        <c:crosses val="max"/>
        <c:crossBetween val="between"/>
      </c:valAx>
      <c:catAx>
        <c:axId val="1414586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14593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'Day7'!$C$13:$T$13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591488"/>
        <c:axId val="1414592032"/>
      </c:lineChart>
      <c:catAx>
        <c:axId val="141459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2032"/>
        <c:crosses val="autoZero"/>
        <c:auto val="1"/>
        <c:lblAlgn val="ctr"/>
        <c:lblOffset val="100"/>
        <c:noMultiLvlLbl val="0"/>
      </c:catAx>
      <c:valAx>
        <c:axId val="14145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'Day7'!$B$2</c:f>
              <c:strCache>
                <c:ptCount val="1"/>
                <c:pt idx="0">
                  <c:v>Average Transaction Time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'Day7'!$B$3</c:f>
              <c:strCache>
                <c:ptCount val="1"/>
                <c:pt idx="0">
                  <c:v>Highest Transaction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'Day7'!$B$4</c:f>
              <c:strCache>
                <c:ptCount val="1"/>
                <c:pt idx="0">
                  <c:v>Lowest Transaction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596928"/>
        <c:axId val="1414589312"/>
      </c:lineChart>
      <c:catAx>
        <c:axId val="14145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89312"/>
        <c:crosses val="autoZero"/>
        <c:auto val="1"/>
        <c:lblAlgn val="ctr"/>
        <c:lblOffset val="100"/>
        <c:noMultiLvlLbl val="0"/>
      </c:catAx>
      <c:valAx>
        <c:axId val="141458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'Day7'!$B$5</c:f>
              <c:strCache>
                <c:ptCount val="1"/>
                <c:pt idx="0">
                  <c:v>Average Response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'Day7'!$B$6</c:f>
              <c:strCache>
                <c:ptCount val="1"/>
                <c:pt idx="0">
                  <c:v>Highest Response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'Day7'!$B$7</c:f>
              <c:strCache>
                <c:ptCount val="1"/>
                <c:pt idx="0">
                  <c:v>Lowest Response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597472"/>
        <c:axId val="1414598016"/>
      </c:lineChart>
      <c:catAx>
        <c:axId val="141459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8016"/>
        <c:crosses val="autoZero"/>
        <c:auto val="1"/>
        <c:lblAlgn val="ctr"/>
        <c:lblOffset val="100"/>
        <c:noMultiLvlLbl val="0"/>
      </c:catAx>
      <c:valAx>
        <c:axId val="141459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In Progress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'Day7'!$B$8</c:f>
              <c:strCache>
                <c:ptCount val="1"/>
                <c:pt idx="0">
                  <c:v>Average In Progress Time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'Day7'!$B$9</c:f>
              <c:strCache>
                <c:ptCount val="1"/>
                <c:pt idx="0">
                  <c:v>Highest In Progress Time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'Day7'!$B$10</c:f>
              <c:strCache>
                <c:ptCount val="1"/>
                <c:pt idx="0">
                  <c:v>Lowest In Progress Time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'Day7'!$C$10:$T$10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4587136"/>
        <c:axId val="1414585504"/>
      </c:lineChart>
      <c:catAx>
        <c:axId val="14145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85504"/>
        <c:crosses val="autoZero"/>
        <c:auto val="1"/>
        <c:lblAlgn val="ctr"/>
        <c:lblOffset val="100"/>
        <c:noMultiLvlLbl val="0"/>
      </c:catAx>
      <c:valAx>
        <c:axId val="14145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8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Job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'Day6'!$B$11</c:f>
              <c:strCache>
                <c:ptCount val="1"/>
                <c:pt idx="0">
                  <c:v>Total Number Of Jobs Completed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'Day6'!$C$11:$T$11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'Day6'!$B$14</c:f>
              <c:strCache>
                <c:ptCount val="1"/>
                <c:pt idx="0">
                  <c:v>Number of Jobs Created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'Day6'!$C$14:$T$14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'Day6'!$B$15</c:f>
              <c:strCache>
                <c:ptCount val="1"/>
                <c:pt idx="0">
                  <c:v>Number of Jobs Responded 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'Day6'!$C$1:$T$1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'Day6'!$C$15:$T$15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14586048"/>
        <c:axId val="1414590944"/>
      </c:barChart>
      <c:catAx>
        <c:axId val="141458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90944"/>
        <c:crosses val="autoZero"/>
        <c:auto val="1"/>
        <c:lblAlgn val="ctr"/>
        <c:lblOffset val="100"/>
        <c:noMultiLvlLbl val="0"/>
      </c:catAx>
      <c:valAx>
        <c:axId val="141459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58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282303</xdr:colOff>
      <xdr:row>92</xdr:row>
      <xdr:rowOff>112486</xdr:rowOff>
    </xdr:from>
    <xdr:to>
      <xdr:col>19</xdr:col>
      <xdr:colOff>556863</xdr:colOff>
      <xdr:row>120</xdr:row>
      <xdr:rowOff>175846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261257</xdr:colOff>
      <xdr:row>92</xdr:row>
      <xdr:rowOff>76200</xdr:rowOff>
    </xdr:from>
    <xdr:to>
      <xdr:col>19</xdr:col>
      <xdr:colOff>535817</xdr:colOff>
      <xdr:row>120</xdr:row>
      <xdr:rowOff>139560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272143</xdr:colOff>
      <xdr:row>92</xdr:row>
      <xdr:rowOff>119743</xdr:rowOff>
    </xdr:from>
    <xdr:to>
      <xdr:col>19</xdr:col>
      <xdr:colOff>546703</xdr:colOff>
      <xdr:row>120</xdr:row>
      <xdr:rowOff>183103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283029</xdr:colOff>
      <xdr:row>92</xdr:row>
      <xdr:rowOff>97972</xdr:rowOff>
    </xdr:from>
    <xdr:to>
      <xdr:col>19</xdr:col>
      <xdr:colOff>557589</xdr:colOff>
      <xdr:row>120</xdr:row>
      <xdr:rowOff>161332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261258</xdr:colOff>
      <xdr:row>92</xdr:row>
      <xdr:rowOff>54428</xdr:rowOff>
    </xdr:from>
    <xdr:to>
      <xdr:col>19</xdr:col>
      <xdr:colOff>535818</xdr:colOff>
      <xdr:row>120</xdr:row>
      <xdr:rowOff>117788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272144</xdr:colOff>
      <xdr:row>92</xdr:row>
      <xdr:rowOff>76199</xdr:rowOff>
    </xdr:from>
    <xdr:to>
      <xdr:col>19</xdr:col>
      <xdr:colOff>546704</xdr:colOff>
      <xdr:row>120</xdr:row>
      <xdr:rowOff>139559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279762</xdr:colOff>
      <xdr:row>121</xdr:row>
      <xdr:rowOff>102325</xdr:rowOff>
    </xdr:from>
    <xdr:to>
      <xdr:col>19</xdr:col>
      <xdr:colOff>554322</xdr:colOff>
      <xdr:row>149</xdr:row>
      <xdr:rowOff>167862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265613</xdr:colOff>
      <xdr:row>150</xdr:row>
      <xdr:rowOff>64226</xdr:rowOff>
    </xdr:from>
    <xdr:to>
      <xdr:col>19</xdr:col>
      <xdr:colOff>540173</xdr:colOff>
      <xdr:row>178</xdr:row>
      <xdr:rowOff>129763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259080</xdr:colOff>
      <xdr:row>6</xdr:row>
      <xdr:rowOff>91440</xdr:rowOff>
    </xdr:from>
    <xdr:to>
      <xdr:col>19</xdr:col>
      <xdr:colOff>533640</xdr:colOff>
      <xdr:row>34</xdr:row>
      <xdr:rowOff>154800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259080</xdr:colOff>
      <xdr:row>35</xdr:row>
      <xdr:rowOff>60960</xdr:rowOff>
    </xdr:from>
    <xdr:to>
      <xdr:col>19</xdr:col>
      <xdr:colOff>533640</xdr:colOff>
      <xdr:row>63</xdr:row>
      <xdr:rowOff>124320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250372</xdr:colOff>
      <xdr:row>64</xdr:row>
      <xdr:rowOff>0</xdr:rowOff>
    </xdr:from>
    <xdr:to>
      <xdr:col>19</xdr:col>
      <xdr:colOff>529286</xdr:colOff>
      <xdr:row>92</xdr:row>
      <xdr:rowOff>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261257</xdr:colOff>
      <xdr:row>92</xdr:row>
      <xdr:rowOff>87085</xdr:rowOff>
    </xdr:from>
    <xdr:to>
      <xdr:col>19</xdr:col>
      <xdr:colOff>535817</xdr:colOff>
      <xdr:row>120</xdr:row>
      <xdr:rowOff>150445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224"/>
  <sheetViews>
    <sheetView workbookViewId="0">
      <selection activeCell="D27" sqref="D27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17</v>
      </c>
      <c r="G1" s="11" t="s">
        <v>18</v>
      </c>
      <c r="H1" s="11" t="s">
        <v>0</v>
      </c>
      <c r="I1" s="11" t="s">
        <v>19</v>
      </c>
      <c r="J1" s="11" t="s">
        <v>20</v>
      </c>
      <c r="K1" s="11" t="s">
        <v>21</v>
      </c>
      <c r="L1" s="11" t="s">
        <v>22</v>
      </c>
      <c r="M1" s="11" t="s">
        <v>23</v>
      </c>
      <c r="N1" s="11" t="s">
        <v>24</v>
      </c>
    </row>
    <row r="2" spans="1:14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</row>
    <row r="5" spans="1:1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</row>
    <row r="6" spans="1:1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</row>
    <row r="7" spans="1:14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1:1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</row>
    <row r="9" spans="1:1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</row>
    <row r="10" spans="1:1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</row>
    <row r="11" spans="1:1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</row>
    <row r="12" spans="1:14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</row>
    <row r="13" spans="1:14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</row>
    <row r="14" spans="1:1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</row>
    <row r="15" spans="1:1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</row>
    <row r="16" spans="1:1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</row>
    <row r="17" spans="1:1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</row>
    <row r="18" spans="1:1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</row>
    <row r="19" spans="1:14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</row>
    <row r="20" spans="1:1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</row>
    <row r="21" spans="1:1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</row>
    <row r="22" spans="1:1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</row>
    <row r="23" spans="1:1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1:1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1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</row>
    <row r="26" spans="1:1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1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</row>
    <row r="28" spans="1:1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  <row r="31" spans="1:1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</row>
    <row r="32" spans="1:1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</row>
    <row r="33" spans="1:1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</row>
    <row r="37" spans="1:1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</row>
    <row r="38" spans="1:14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</row>
    <row r="39" spans="1:1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</row>
    <row r="43" spans="1:1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</row>
    <row r="48" spans="1:1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</row>
    <row r="50" spans="1:1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</row>
    <row r="54" spans="1:1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</row>
    <row r="56" spans="1:1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</row>
    <row r="60" spans="1:1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1:1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</row>
    <row r="64" spans="1:1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</row>
    <row r="68" spans="1:1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</row>
    <row r="70" spans="1:1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</row>
    <row r="74" spans="1:1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  <row r="79" spans="1:1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</row>
    <row r="80" spans="1:1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</row>
    <row r="81" spans="1:1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</row>
    <row r="82" spans="1:1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</row>
    <row r="83" spans="1:1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</row>
    <row r="84" spans="1:1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</row>
    <row r="85" spans="1:1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</row>
    <row r="86" spans="1:1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</row>
    <row r="87" spans="1:1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</row>
    <row r="88" spans="1:1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</row>
    <row r="89" spans="1:1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</row>
    <row r="90" spans="1:1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</row>
    <row r="92" spans="1:1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</row>
    <row r="93" spans="1:1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</row>
    <row r="94" spans="1:1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</row>
    <row r="95" spans="1:1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</row>
    <row r="96" spans="1:1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</row>
    <row r="97" spans="1:1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</row>
    <row r="98" spans="1:1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</row>
    <row r="99" spans="1:1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</row>
    <row r="100" spans="1:1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</row>
    <row r="101" spans="1:1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</row>
    <row r="102" spans="1:1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</row>
    <row r="103" spans="1:1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</row>
    <row r="104" spans="1:1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</row>
    <row r="105" spans="1:1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</row>
    <row r="106" spans="1:1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</row>
    <row r="107" spans="1:1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</row>
    <row r="110" spans="1:1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</row>
    <row r="111" spans="1:1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</row>
    <row r="112" spans="1:1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</row>
    <row r="113" spans="1:1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</row>
    <row r="114" spans="1:1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</row>
    <row r="115" spans="1:1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</row>
    <row r="116" spans="1:1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</row>
    <row r="117" spans="1:1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</row>
    <row r="118" spans="1:1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</row>
    <row r="119" spans="1:1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</row>
    <row r="120" spans="1:1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</row>
    <row r="121" spans="1:1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</row>
    <row r="122" spans="1:1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1:1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</row>
    <row r="124" spans="1:1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</row>
    <row r="125" spans="1:1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</row>
    <row r="126" spans="1:1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</row>
    <row r="127" spans="1:1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</row>
    <row r="128" spans="1:1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</row>
    <row r="129" spans="1:1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</row>
    <row r="130" spans="1:1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</row>
    <row r="131" spans="1:1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</row>
    <row r="132" spans="1:1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</row>
    <row r="133" spans="1:1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</row>
    <row r="135" spans="1:1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</row>
    <row r="136" spans="1:1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</row>
    <row r="137" spans="1:1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</row>
    <row r="138" spans="1:1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</row>
    <row r="139" spans="1:1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</row>
    <row r="140" spans="1:1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</row>
    <row r="141" spans="1:1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</row>
    <row r="142" spans="1:1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</row>
    <row r="143" spans="1:1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</row>
    <row r="144" spans="1:1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</row>
    <row r="145" spans="1:1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</row>
    <row r="146" spans="1:1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</row>
    <row r="147" spans="1:1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</row>
    <row r="148" spans="1:1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</row>
    <row r="149" spans="1:1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</row>
    <row r="150" spans="1:1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</row>
    <row r="151" spans="1:1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</row>
    <row r="152" spans="1:1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</row>
    <row r="154" spans="1:1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</row>
    <row r="155" spans="1:1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</row>
    <row r="156" spans="1:1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</row>
    <row r="157" spans="1:1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</row>
    <row r="158" spans="1:1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</row>
    <row r="159" spans="1:1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</row>
    <row r="160" spans="1:1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</row>
    <row r="161" spans="1:14" x14ac:dyDescent="0.3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</row>
    <row r="162" spans="1:14" x14ac:dyDescent="0.3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</row>
    <row r="163" spans="1:14" x14ac:dyDescent="0.3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</row>
    <row r="164" spans="1:14" x14ac:dyDescent="0.3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</row>
    <row r="165" spans="1:14" x14ac:dyDescent="0.3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</row>
    <row r="166" spans="1:14" x14ac:dyDescent="0.3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</row>
    <row r="167" spans="1:14" x14ac:dyDescent="0.3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</row>
    <row r="168" spans="1:14" x14ac:dyDescent="0.3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</row>
    <row r="169" spans="1:14" x14ac:dyDescent="0.3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</row>
    <row r="170" spans="1:14" x14ac:dyDescent="0.3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</row>
    <row r="171" spans="1:14" x14ac:dyDescent="0.3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</row>
    <row r="172" spans="1:14" x14ac:dyDescent="0.3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</row>
    <row r="173" spans="1:14" x14ac:dyDescent="0.3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</row>
    <row r="174" spans="1:14" x14ac:dyDescent="0.3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</row>
    <row r="175" spans="1:14" x14ac:dyDescent="0.3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</row>
    <row r="176" spans="1:14" x14ac:dyDescent="0.3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</row>
    <row r="177" spans="1:14" x14ac:dyDescent="0.3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</row>
    <row r="178" spans="1:14" x14ac:dyDescent="0.3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</row>
    <row r="179" spans="1:14" x14ac:dyDescent="0.3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</row>
    <row r="180" spans="1:14" x14ac:dyDescent="0.3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</row>
    <row r="181" spans="1:14" x14ac:dyDescent="0.3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</row>
    <row r="182" spans="1:14" x14ac:dyDescent="0.3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</row>
    <row r="183" spans="1:14" x14ac:dyDescent="0.3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</row>
    <row r="184" spans="1:14" x14ac:dyDescent="0.3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</row>
    <row r="185" spans="1:14" x14ac:dyDescent="0.3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</row>
    <row r="186" spans="1:14" x14ac:dyDescent="0.3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</row>
    <row r="187" spans="1:14" x14ac:dyDescent="0.3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</row>
    <row r="188" spans="1:14" x14ac:dyDescent="0.3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</row>
    <row r="189" spans="1:14" x14ac:dyDescent="0.3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</row>
    <row r="190" spans="1:14" x14ac:dyDescent="0.3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</row>
    <row r="191" spans="1:14" x14ac:dyDescent="0.3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</row>
    <row r="192" spans="1:14" x14ac:dyDescent="0.3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</row>
    <row r="193" spans="1:14" x14ac:dyDescent="0.3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</row>
    <row r="194" spans="1:14" x14ac:dyDescent="0.3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</row>
    <row r="195" spans="1:14" x14ac:dyDescent="0.3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</row>
    <row r="196" spans="1:14" x14ac:dyDescent="0.3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</row>
    <row r="197" spans="1:14" x14ac:dyDescent="0.3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</row>
    <row r="198" spans="1:14" x14ac:dyDescent="0.3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</row>
    <row r="199" spans="1:14" x14ac:dyDescent="0.3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</row>
    <row r="200" spans="1:14" x14ac:dyDescent="0.3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</row>
    <row r="201" spans="1:14" x14ac:dyDescent="0.3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</row>
    <row r="202" spans="1:14" x14ac:dyDescent="0.3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</row>
    <row r="203" spans="1:14" x14ac:dyDescent="0.3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</row>
    <row r="204" spans="1:14" x14ac:dyDescent="0.3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</row>
    <row r="205" spans="1:14" x14ac:dyDescent="0.3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</row>
    <row r="206" spans="1:14" x14ac:dyDescent="0.3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</row>
    <row r="207" spans="1:14" x14ac:dyDescent="0.3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</row>
    <row r="208" spans="1:14" x14ac:dyDescent="0.3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</row>
    <row r="209" spans="1:14" x14ac:dyDescent="0.3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</row>
    <row r="210" spans="1:14" x14ac:dyDescent="0.3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</row>
    <row r="211" spans="1:14" x14ac:dyDescent="0.3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</row>
    <row r="212" spans="1:14" x14ac:dyDescent="0.3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</row>
    <row r="213" spans="1:14" x14ac:dyDescent="0.3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</row>
    <row r="214" spans="1:14" x14ac:dyDescent="0.3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</row>
    <row r="215" spans="1:14" x14ac:dyDescent="0.3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</row>
    <row r="216" spans="1:14" x14ac:dyDescent="0.3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</row>
    <row r="217" spans="1:14" x14ac:dyDescent="0.3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</row>
    <row r="218" spans="1:14" x14ac:dyDescent="0.3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</row>
    <row r="219" spans="1:14" x14ac:dyDescent="0.3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</row>
    <row r="220" spans="1:14" x14ac:dyDescent="0.3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</row>
    <row r="221" spans="1:14" x14ac:dyDescent="0.3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</row>
    <row r="222" spans="1:14" x14ac:dyDescent="0.3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</row>
    <row r="223" spans="1:14" x14ac:dyDescent="0.3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</row>
    <row r="224" spans="1:14" x14ac:dyDescent="0.3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</row>
    <row r="225" spans="1:14" x14ac:dyDescent="0.3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</row>
    <row r="226" spans="1:14" x14ac:dyDescent="0.3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</row>
    <row r="227" spans="1:14" x14ac:dyDescent="0.3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</row>
    <row r="228" spans="1:14" x14ac:dyDescent="0.3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</row>
    <row r="229" spans="1:14" x14ac:dyDescent="0.3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</row>
    <row r="230" spans="1:14" x14ac:dyDescent="0.3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</row>
    <row r="231" spans="1:14" x14ac:dyDescent="0.3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</row>
    <row r="232" spans="1:14" x14ac:dyDescent="0.3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</row>
    <row r="233" spans="1:14" x14ac:dyDescent="0.3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</row>
    <row r="234" spans="1:14" x14ac:dyDescent="0.3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</row>
    <row r="235" spans="1:14" x14ac:dyDescent="0.3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</row>
    <row r="236" spans="1:14" x14ac:dyDescent="0.3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</row>
    <row r="237" spans="1:14" x14ac:dyDescent="0.3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</row>
    <row r="238" spans="1:14" x14ac:dyDescent="0.3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</row>
    <row r="239" spans="1:14" x14ac:dyDescent="0.3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</row>
    <row r="240" spans="1:14" x14ac:dyDescent="0.3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</row>
    <row r="241" spans="1:14" x14ac:dyDescent="0.3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</row>
    <row r="242" spans="1:14" x14ac:dyDescent="0.3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</row>
    <row r="243" spans="1:14" x14ac:dyDescent="0.3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</row>
    <row r="244" spans="1:14" x14ac:dyDescent="0.3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</row>
    <row r="245" spans="1:14" x14ac:dyDescent="0.3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</row>
    <row r="246" spans="1:14" x14ac:dyDescent="0.3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</row>
    <row r="247" spans="1:14" x14ac:dyDescent="0.3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</row>
    <row r="248" spans="1:14" x14ac:dyDescent="0.3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</row>
    <row r="249" spans="1:14" x14ac:dyDescent="0.3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</row>
    <row r="250" spans="1:14" x14ac:dyDescent="0.3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</row>
    <row r="251" spans="1:14" x14ac:dyDescent="0.3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</row>
    <row r="252" spans="1:14" x14ac:dyDescent="0.3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</row>
    <row r="253" spans="1:14" x14ac:dyDescent="0.3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</row>
    <row r="254" spans="1:14" x14ac:dyDescent="0.3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</row>
    <row r="255" spans="1:14" x14ac:dyDescent="0.3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</row>
    <row r="256" spans="1:14" x14ac:dyDescent="0.3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</row>
    <row r="257" spans="1:14" x14ac:dyDescent="0.3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</row>
    <row r="258" spans="1:14" x14ac:dyDescent="0.3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</row>
    <row r="259" spans="1:14" x14ac:dyDescent="0.3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</row>
    <row r="260" spans="1:14" x14ac:dyDescent="0.3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</row>
    <row r="261" spans="1:14" x14ac:dyDescent="0.3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</row>
    <row r="262" spans="1:14" x14ac:dyDescent="0.3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</row>
    <row r="263" spans="1:14" x14ac:dyDescent="0.3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</row>
    <row r="264" spans="1:14" x14ac:dyDescent="0.3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</row>
    <row r="265" spans="1:14" x14ac:dyDescent="0.3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</row>
    <row r="266" spans="1:14" x14ac:dyDescent="0.3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</row>
    <row r="267" spans="1:14" x14ac:dyDescent="0.3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</row>
    <row r="268" spans="1:14" x14ac:dyDescent="0.3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</row>
    <row r="269" spans="1:14" x14ac:dyDescent="0.3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</row>
    <row r="270" spans="1:14" x14ac:dyDescent="0.3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</row>
    <row r="271" spans="1:14" x14ac:dyDescent="0.3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</row>
    <row r="272" spans="1:14" x14ac:dyDescent="0.3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</row>
    <row r="273" spans="1:14" x14ac:dyDescent="0.3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</row>
    <row r="274" spans="1:14" x14ac:dyDescent="0.3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</row>
    <row r="275" spans="1:14" x14ac:dyDescent="0.3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</row>
    <row r="276" spans="1:14" x14ac:dyDescent="0.3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</row>
    <row r="277" spans="1:14" x14ac:dyDescent="0.3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</row>
    <row r="278" spans="1:14" x14ac:dyDescent="0.3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</row>
    <row r="279" spans="1:14" x14ac:dyDescent="0.3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</row>
    <row r="280" spans="1:14" x14ac:dyDescent="0.3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</row>
    <row r="281" spans="1:14" x14ac:dyDescent="0.3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</row>
    <row r="282" spans="1:14" x14ac:dyDescent="0.3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</row>
    <row r="283" spans="1:14" x14ac:dyDescent="0.3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</row>
    <row r="284" spans="1:14" x14ac:dyDescent="0.3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</row>
    <row r="285" spans="1:14" x14ac:dyDescent="0.3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</row>
    <row r="286" spans="1:14" x14ac:dyDescent="0.3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</row>
    <row r="287" spans="1:14" x14ac:dyDescent="0.3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</row>
    <row r="288" spans="1:14" x14ac:dyDescent="0.3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</row>
    <row r="289" spans="1:14" x14ac:dyDescent="0.3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</row>
    <row r="290" spans="1:14" x14ac:dyDescent="0.3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</row>
    <row r="291" spans="1:14" x14ac:dyDescent="0.3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</row>
    <row r="292" spans="1:14" x14ac:dyDescent="0.3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</row>
    <row r="293" spans="1:14" x14ac:dyDescent="0.3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</row>
    <row r="294" spans="1:14" x14ac:dyDescent="0.3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</row>
    <row r="295" spans="1:14" x14ac:dyDescent="0.3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</row>
    <row r="296" spans="1:14" x14ac:dyDescent="0.3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</row>
    <row r="297" spans="1:14" x14ac:dyDescent="0.3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</row>
    <row r="298" spans="1:14" x14ac:dyDescent="0.3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</row>
    <row r="299" spans="1:14" x14ac:dyDescent="0.3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</row>
    <row r="300" spans="1:14" x14ac:dyDescent="0.3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</row>
    <row r="301" spans="1:14" x14ac:dyDescent="0.3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</row>
    <row r="302" spans="1:14" x14ac:dyDescent="0.3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</row>
    <row r="303" spans="1:14" x14ac:dyDescent="0.3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</row>
    <row r="304" spans="1:14" x14ac:dyDescent="0.3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</row>
    <row r="305" spans="1:14" x14ac:dyDescent="0.3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</row>
    <row r="306" spans="1:14" x14ac:dyDescent="0.3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</row>
    <row r="307" spans="1:14" x14ac:dyDescent="0.3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</row>
    <row r="308" spans="1:14" x14ac:dyDescent="0.3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</row>
    <row r="309" spans="1:14" x14ac:dyDescent="0.3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</row>
    <row r="310" spans="1:14" x14ac:dyDescent="0.3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</row>
    <row r="311" spans="1:14" x14ac:dyDescent="0.3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</row>
    <row r="312" spans="1:14" x14ac:dyDescent="0.3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</row>
    <row r="313" spans="1:14" x14ac:dyDescent="0.3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</row>
    <row r="314" spans="1:14" x14ac:dyDescent="0.3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</row>
    <row r="315" spans="1:14" x14ac:dyDescent="0.3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</row>
    <row r="316" spans="1:14" x14ac:dyDescent="0.3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</row>
    <row r="317" spans="1:14" x14ac:dyDescent="0.3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</row>
    <row r="318" spans="1:14" x14ac:dyDescent="0.3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</row>
    <row r="319" spans="1:14" x14ac:dyDescent="0.3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</row>
    <row r="320" spans="1:14" x14ac:dyDescent="0.3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</row>
    <row r="321" spans="1:14" x14ac:dyDescent="0.3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</row>
    <row r="322" spans="1:14" x14ac:dyDescent="0.3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</row>
    <row r="323" spans="1:14" x14ac:dyDescent="0.3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</row>
    <row r="324" spans="1:14" x14ac:dyDescent="0.3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</row>
    <row r="325" spans="1:14" x14ac:dyDescent="0.3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</row>
    <row r="326" spans="1:14" x14ac:dyDescent="0.3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</row>
    <row r="327" spans="1:14" x14ac:dyDescent="0.3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</row>
    <row r="328" spans="1:14" x14ac:dyDescent="0.3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</row>
    <row r="329" spans="1:14" x14ac:dyDescent="0.3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</row>
    <row r="330" spans="1:14" x14ac:dyDescent="0.3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</row>
    <row r="331" spans="1:14" x14ac:dyDescent="0.3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</row>
    <row r="332" spans="1:14" x14ac:dyDescent="0.3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</row>
    <row r="333" spans="1:14" x14ac:dyDescent="0.3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</row>
    <row r="334" spans="1:14" x14ac:dyDescent="0.3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</row>
    <row r="335" spans="1:14" x14ac:dyDescent="0.3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</row>
    <row r="336" spans="1:14" x14ac:dyDescent="0.3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</row>
    <row r="337" spans="1:14" x14ac:dyDescent="0.3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</row>
    <row r="338" spans="1:14" x14ac:dyDescent="0.3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</row>
    <row r="339" spans="1:14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</row>
    <row r="340" spans="1:14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</row>
    <row r="341" spans="1:14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</row>
    <row r="342" spans="1:14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</row>
    <row r="343" spans="1:14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</row>
    <row r="344" spans="1:14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</row>
    <row r="345" spans="1:14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</row>
    <row r="346" spans="1:14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</row>
    <row r="347" spans="1:14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</row>
    <row r="348" spans="1:14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</row>
    <row r="349" spans="1:14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</row>
    <row r="350" spans="1:14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</row>
    <row r="351" spans="1:14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</row>
    <row r="352" spans="1:14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</row>
    <row r="353" spans="1:14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</row>
    <row r="354" spans="1:14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</row>
    <row r="355" spans="1:14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</row>
    <row r="356" spans="1:14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</row>
    <row r="357" spans="1:14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</row>
    <row r="358" spans="1:14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</row>
    <row r="359" spans="1:14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</row>
    <row r="360" spans="1:14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</row>
    <row r="361" spans="1:14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</row>
    <row r="362" spans="1:14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</row>
    <row r="363" spans="1:14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</row>
    <row r="364" spans="1:14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</row>
    <row r="365" spans="1:14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</row>
    <row r="366" spans="1:14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</row>
    <row r="367" spans="1:14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</row>
    <row r="368" spans="1:14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</row>
    <row r="369" spans="1:14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</row>
    <row r="370" spans="1:14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</row>
    <row r="371" spans="1:14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</row>
    <row r="372" spans="1:14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</row>
    <row r="373" spans="1:14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</row>
    <row r="374" spans="1:14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</row>
    <row r="375" spans="1:14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</row>
    <row r="376" spans="1:14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</row>
    <row r="377" spans="1:14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</row>
    <row r="378" spans="1:14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</row>
    <row r="379" spans="1:14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</row>
    <row r="380" spans="1:14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</row>
    <row r="381" spans="1:14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</row>
    <row r="382" spans="1:14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</row>
    <row r="383" spans="1:14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</row>
    <row r="384" spans="1:14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</row>
    <row r="385" spans="1:14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</row>
    <row r="386" spans="1:14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</row>
    <row r="387" spans="1:14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</row>
    <row r="388" spans="1:14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</row>
    <row r="389" spans="1:14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</row>
    <row r="390" spans="1:14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</row>
    <row r="391" spans="1:14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</row>
    <row r="392" spans="1:14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</row>
    <row r="393" spans="1:14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</row>
    <row r="394" spans="1:14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</row>
    <row r="395" spans="1:14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</row>
    <row r="396" spans="1:14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</row>
    <row r="397" spans="1:14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</row>
    <row r="398" spans="1:14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</row>
    <row r="399" spans="1:14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</row>
    <row r="400" spans="1:14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</row>
    <row r="401" spans="1:14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</row>
    <row r="402" spans="1:14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</row>
    <row r="403" spans="1:14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</row>
    <row r="404" spans="1:14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</row>
    <row r="405" spans="1:14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</row>
    <row r="406" spans="1:14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</row>
    <row r="407" spans="1:14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</row>
    <row r="408" spans="1:14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</row>
    <row r="409" spans="1:14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</row>
    <row r="410" spans="1:14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</row>
    <row r="411" spans="1:14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</row>
    <row r="412" spans="1:14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</row>
    <row r="413" spans="1:14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</row>
    <row r="414" spans="1:14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</row>
    <row r="415" spans="1:14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</row>
    <row r="416" spans="1:14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</row>
    <row r="417" spans="1:14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</row>
    <row r="418" spans="1:14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</row>
    <row r="419" spans="1:14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</row>
    <row r="420" spans="1:14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</row>
    <row r="421" spans="1:14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</row>
    <row r="422" spans="1:14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</row>
    <row r="423" spans="1:14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</row>
    <row r="424" spans="1:14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</row>
    <row r="425" spans="1:14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</row>
    <row r="426" spans="1:14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</row>
    <row r="427" spans="1:14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</row>
    <row r="428" spans="1:14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</row>
    <row r="429" spans="1:14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</row>
    <row r="430" spans="1:14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</row>
    <row r="431" spans="1:14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</row>
    <row r="432" spans="1:14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</row>
    <row r="433" spans="1:14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</row>
    <row r="434" spans="1:14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</row>
    <row r="435" spans="1:14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</row>
    <row r="436" spans="1:14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</row>
    <row r="437" spans="1:14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</row>
    <row r="438" spans="1:14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</row>
    <row r="439" spans="1:14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</row>
    <row r="440" spans="1:14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</row>
    <row r="441" spans="1:14" x14ac:dyDescent="0.3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</row>
    <row r="442" spans="1:14" x14ac:dyDescent="0.3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</row>
    <row r="443" spans="1:14" x14ac:dyDescent="0.3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</row>
    <row r="444" spans="1:14" x14ac:dyDescent="0.3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</row>
    <row r="445" spans="1:14" x14ac:dyDescent="0.3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</row>
    <row r="446" spans="1:14" x14ac:dyDescent="0.3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</row>
    <row r="447" spans="1:14" x14ac:dyDescent="0.3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</row>
    <row r="448" spans="1:14" x14ac:dyDescent="0.3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</row>
    <row r="449" spans="1:14" x14ac:dyDescent="0.3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</row>
    <row r="450" spans="1:14" x14ac:dyDescent="0.3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</row>
    <row r="451" spans="1:14" x14ac:dyDescent="0.3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</row>
    <row r="452" spans="1:14" x14ac:dyDescent="0.3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</row>
    <row r="453" spans="1:14" x14ac:dyDescent="0.3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</row>
    <row r="454" spans="1:14" x14ac:dyDescent="0.3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</row>
    <row r="455" spans="1:14" x14ac:dyDescent="0.3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</row>
    <row r="456" spans="1:14" x14ac:dyDescent="0.3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</row>
    <row r="457" spans="1:14" x14ac:dyDescent="0.3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</row>
    <row r="458" spans="1:14" x14ac:dyDescent="0.3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</row>
    <row r="459" spans="1:14" x14ac:dyDescent="0.3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</row>
    <row r="460" spans="1:14" x14ac:dyDescent="0.3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</row>
    <row r="461" spans="1:14" x14ac:dyDescent="0.3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</row>
    <row r="462" spans="1:14" x14ac:dyDescent="0.3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</row>
    <row r="463" spans="1:14" x14ac:dyDescent="0.3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</row>
    <row r="464" spans="1:14" x14ac:dyDescent="0.3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</row>
    <row r="465" spans="1:14" x14ac:dyDescent="0.3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</row>
    <row r="466" spans="1:14" x14ac:dyDescent="0.3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</row>
    <row r="467" spans="1:14" x14ac:dyDescent="0.3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</row>
    <row r="468" spans="1:14" x14ac:dyDescent="0.3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</row>
    <row r="469" spans="1:14" x14ac:dyDescent="0.3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</row>
    <row r="470" spans="1:14" x14ac:dyDescent="0.3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</row>
    <row r="471" spans="1:14" x14ac:dyDescent="0.3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</row>
    <row r="472" spans="1:14" x14ac:dyDescent="0.3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</row>
    <row r="473" spans="1:14" x14ac:dyDescent="0.3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</row>
    <row r="474" spans="1:14" x14ac:dyDescent="0.3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</row>
    <row r="475" spans="1:14" x14ac:dyDescent="0.3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</row>
    <row r="476" spans="1:14" x14ac:dyDescent="0.3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</row>
    <row r="477" spans="1:14" x14ac:dyDescent="0.3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</row>
    <row r="478" spans="1:14" x14ac:dyDescent="0.3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</row>
    <row r="479" spans="1:14" x14ac:dyDescent="0.3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</row>
    <row r="480" spans="1:14" x14ac:dyDescent="0.3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</row>
    <row r="481" spans="1:14" x14ac:dyDescent="0.3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</row>
    <row r="482" spans="1:14" x14ac:dyDescent="0.3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</row>
    <row r="483" spans="1:14" x14ac:dyDescent="0.3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</row>
    <row r="484" spans="1:14" x14ac:dyDescent="0.3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</row>
    <row r="485" spans="1:14" x14ac:dyDescent="0.3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</row>
    <row r="486" spans="1:14" x14ac:dyDescent="0.3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</row>
    <row r="487" spans="1:14" x14ac:dyDescent="0.3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</row>
    <row r="488" spans="1:14" x14ac:dyDescent="0.3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</row>
    <row r="489" spans="1:14" x14ac:dyDescent="0.3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</row>
    <row r="490" spans="1:14" x14ac:dyDescent="0.3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</row>
    <row r="491" spans="1:14" x14ac:dyDescent="0.3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</row>
    <row r="492" spans="1:14" x14ac:dyDescent="0.3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</row>
    <row r="493" spans="1:14" x14ac:dyDescent="0.3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</row>
    <row r="494" spans="1:14" x14ac:dyDescent="0.3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</row>
    <row r="495" spans="1:14" x14ac:dyDescent="0.3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</row>
    <row r="496" spans="1:14" x14ac:dyDescent="0.3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</row>
    <row r="497" spans="1:14" x14ac:dyDescent="0.3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</row>
    <row r="498" spans="1:14" x14ac:dyDescent="0.3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</row>
    <row r="499" spans="1:14" x14ac:dyDescent="0.3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</row>
    <row r="500" spans="1:14" x14ac:dyDescent="0.3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</row>
    <row r="501" spans="1:14" x14ac:dyDescent="0.3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</row>
    <row r="502" spans="1:14" x14ac:dyDescent="0.3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</row>
    <row r="503" spans="1:14" x14ac:dyDescent="0.3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</row>
    <row r="504" spans="1:14" x14ac:dyDescent="0.3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</row>
    <row r="505" spans="1:14" x14ac:dyDescent="0.3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</row>
    <row r="506" spans="1:14" x14ac:dyDescent="0.3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</row>
    <row r="507" spans="1:14" x14ac:dyDescent="0.3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</row>
    <row r="508" spans="1:14" x14ac:dyDescent="0.3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</row>
    <row r="509" spans="1:14" x14ac:dyDescent="0.3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</row>
    <row r="510" spans="1:14" x14ac:dyDescent="0.3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</row>
    <row r="511" spans="1:14" x14ac:dyDescent="0.3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</row>
    <row r="512" spans="1:14" x14ac:dyDescent="0.3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</row>
    <row r="513" spans="1:14" x14ac:dyDescent="0.3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</row>
    <row r="514" spans="1:14" x14ac:dyDescent="0.3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</row>
    <row r="515" spans="1:14" x14ac:dyDescent="0.3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</row>
    <row r="516" spans="1:14" x14ac:dyDescent="0.3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</row>
    <row r="517" spans="1:14" x14ac:dyDescent="0.3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</row>
    <row r="518" spans="1:14" x14ac:dyDescent="0.3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</row>
    <row r="519" spans="1:14" x14ac:dyDescent="0.3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</row>
    <row r="520" spans="1:14" x14ac:dyDescent="0.3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</row>
    <row r="521" spans="1:14" x14ac:dyDescent="0.3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</row>
    <row r="522" spans="1:14" x14ac:dyDescent="0.3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</row>
    <row r="523" spans="1:14" x14ac:dyDescent="0.3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</row>
    <row r="524" spans="1:14" x14ac:dyDescent="0.3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</row>
    <row r="525" spans="1:14" x14ac:dyDescent="0.3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</row>
    <row r="526" spans="1:14" x14ac:dyDescent="0.3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</row>
    <row r="527" spans="1:14" x14ac:dyDescent="0.3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</row>
    <row r="528" spans="1:14" x14ac:dyDescent="0.3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</row>
    <row r="529" spans="1:14" x14ac:dyDescent="0.3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</row>
    <row r="530" spans="1:14" x14ac:dyDescent="0.3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</row>
    <row r="531" spans="1:14" x14ac:dyDescent="0.3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</row>
    <row r="532" spans="1:14" x14ac:dyDescent="0.3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</row>
    <row r="533" spans="1:14" x14ac:dyDescent="0.3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</row>
    <row r="534" spans="1:14" x14ac:dyDescent="0.3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</row>
    <row r="535" spans="1:14" x14ac:dyDescent="0.3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</row>
    <row r="536" spans="1:14" x14ac:dyDescent="0.3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</row>
    <row r="537" spans="1:14" x14ac:dyDescent="0.3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</row>
    <row r="538" spans="1:14" x14ac:dyDescent="0.3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</row>
    <row r="539" spans="1:14" x14ac:dyDescent="0.3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</row>
    <row r="540" spans="1:14" x14ac:dyDescent="0.3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</row>
    <row r="541" spans="1:14" x14ac:dyDescent="0.3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</row>
    <row r="542" spans="1:14" x14ac:dyDescent="0.3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</row>
    <row r="543" spans="1:14" x14ac:dyDescent="0.3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</row>
    <row r="544" spans="1:14" x14ac:dyDescent="0.3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</row>
    <row r="545" spans="1:14" x14ac:dyDescent="0.3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</row>
    <row r="546" spans="1:14" x14ac:dyDescent="0.3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</row>
    <row r="547" spans="1:14" x14ac:dyDescent="0.3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</row>
    <row r="548" spans="1:14" x14ac:dyDescent="0.3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</row>
    <row r="549" spans="1:14" x14ac:dyDescent="0.3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</row>
    <row r="550" spans="1:14" x14ac:dyDescent="0.3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</row>
    <row r="551" spans="1:14" x14ac:dyDescent="0.3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</row>
    <row r="552" spans="1:14" x14ac:dyDescent="0.3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</row>
    <row r="553" spans="1:14" x14ac:dyDescent="0.3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</row>
    <row r="554" spans="1:14" x14ac:dyDescent="0.3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</row>
    <row r="555" spans="1:14" x14ac:dyDescent="0.3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</row>
    <row r="556" spans="1:14" x14ac:dyDescent="0.3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</row>
    <row r="557" spans="1:14" x14ac:dyDescent="0.3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</row>
    <row r="558" spans="1:14" x14ac:dyDescent="0.3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</row>
    <row r="559" spans="1:14" x14ac:dyDescent="0.3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</row>
    <row r="560" spans="1:14" x14ac:dyDescent="0.3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</row>
    <row r="561" spans="1:14" x14ac:dyDescent="0.3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</row>
    <row r="562" spans="1:14" x14ac:dyDescent="0.3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</row>
    <row r="563" spans="1:14" x14ac:dyDescent="0.3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</row>
    <row r="564" spans="1:14" x14ac:dyDescent="0.3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</row>
    <row r="565" spans="1:14" x14ac:dyDescent="0.3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</row>
    <row r="566" spans="1:14" x14ac:dyDescent="0.3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</row>
    <row r="567" spans="1:14" x14ac:dyDescent="0.3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</row>
    <row r="568" spans="1:14" x14ac:dyDescent="0.3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</row>
    <row r="569" spans="1:14" x14ac:dyDescent="0.3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</row>
    <row r="570" spans="1:14" x14ac:dyDescent="0.3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</row>
    <row r="571" spans="1:14" x14ac:dyDescent="0.3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</row>
    <row r="572" spans="1:14" x14ac:dyDescent="0.3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</row>
    <row r="573" spans="1:14" x14ac:dyDescent="0.3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</row>
    <row r="574" spans="1:14" x14ac:dyDescent="0.3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</row>
    <row r="575" spans="1:14" x14ac:dyDescent="0.3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</row>
    <row r="576" spans="1:14" x14ac:dyDescent="0.3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</row>
    <row r="577" spans="1:14" x14ac:dyDescent="0.3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</row>
    <row r="578" spans="1:14" x14ac:dyDescent="0.3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</row>
    <row r="579" spans="1:14" x14ac:dyDescent="0.3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</row>
    <row r="580" spans="1:14" x14ac:dyDescent="0.3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</row>
    <row r="581" spans="1:14" x14ac:dyDescent="0.3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</row>
    <row r="582" spans="1:14" x14ac:dyDescent="0.3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</row>
    <row r="583" spans="1:14" x14ac:dyDescent="0.3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</row>
    <row r="584" spans="1:14" x14ac:dyDescent="0.3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</row>
    <row r="585" spans="1:14" x14ac:dyDescent="0.3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</row>
    <row r="586" spans="1:14" x14ac:dyDescent="0.3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</row>
    <row r="587" spans="1:14" x14ac:dyDescent="0.3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</row>
    <row r="588" spans="1:14" x14ac:dyDescent="0.3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</row>
    <row r="589" spans="1:14" x14ac:dyDescent="0.3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</row>
    <row r="590" spans="1:14" x14ac:dyDescent="0.3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</row>
    <row r="591" spans="1:14" x14ac:dyDescent="0.3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</row>
    <row r="592" spans="1:14" x14ac:dyDescent="0.3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</row>
    <row r="593" spans="1:14" x14ac:dyDescent="0.3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</row>
    <row r="594" spans="1:14" x14ac:dyDescent="0.3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</row>
    <row r="595" spans="1:14" x14ac:dyDescent="0.3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</row>
    <row r="596" spans="1:14" x14ac:dyDescent="0.3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</row>
    <row r="597" spans="1:14" x14ac:dyDescent="0.3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</row>
    <row r="598" spans="1:14" x14ac:dyDescent="0.3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</row>
    <row r="599" spans="1:14" x14ac:dyDescent="0.3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</row>
    <row r="600" spans="1:14" x14ac:dyDescent="0.3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</row>
    <row r="601" spans="1:14" x14ac:dyDescent="0.3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</row>
    <row r="602" spans="1:14" x14ac:dyDescent="0.3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</row>
    <row r="603" spans="1:14" x14ac:dyDescent="0.3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</row>
    <row r="604" spans="1:14" x14ac:dyDescent="0.3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</row>
    <row r="605" spans="1:14" x14ac:dyDescent="0.3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</row>
    <row r="606" spans="1:14" x14ac:dyDescent="0.3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</row>
    <row r="607" spans="1:14" x14ac:dyDescent="0.3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</row>
    <row r="608" spans="1:14" x14ac:dyDescent="0.3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</row>
    <row r="609" spans="1:14" x14ac:dyDescent="0.3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</row>
    <row r="610" spans="1:14" x14ac:dyDescent="0.3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</row>
    <row r="611" spans="1:14" x14ac:dyDescent="0.3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</row>
    <row r="612" spans="1:14" x14ac:dyDescent="0.3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</row>
    <row r="613" spans="1:14" x14ac:dyDescent="0.3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</row>
    <row r="614" spans="1:14" x14ac:dyDescent="0.3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</row>
    <row r="615" spans="1:14" x14ac:dyDescent="0.3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</row>
    <row r="616" spans="1:14" x14ac:dyDescent="0.3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</row>
    <row r="617" spans="1:14" x14ac:dyDescent="0.3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</row>
    <row r="618" spans="1:14" x14ac:dyDescent="0.3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</row>
    <row r="619" spans="1:14" x14ac:dyDescent="0.3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</row>
    <row r="620" spans="1:14" x14ac:dyDescent="0.3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</row>
    <row r="621" spans="1:14" x14ac:dyDescent="0.3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</row>
    <row r="622" spans="1:14" x14ac:dyDescent="0.3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</row>
    <row r="623" spans="1:14" x14ac:dyDescent="0.3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</row>
    <row r="624" spans="1:14" x14ac:dyDescent="0.3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</row>
    <row r="625" spans="1:14" x14ac:dyDescent="0.3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</row>
    <row r="626" spans="1:14" x14ac:dyDescent="0.3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</row>
    <row r="627" spans="1:14" x14ac:dyDescent="0.3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</row>
    <row r="628" spans="1:14" x14ac:dyDescent="0.3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</row>
    <row r="629" spans="1:14" x14ac:dyDescent="0.3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</row>
    <row r="630" spans="1:14" x14ac:dyDescent="0.3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</row>
    <row r="631" spans="1:14" x14ac:dyDescent="0.3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</row>
    <row r="632" spans="1:14" x14ac:dyDescent="0.3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</row>
    <row r="633" spans="1:14" x14ac:dyDescent="0.3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</row>
    <row r="634" spans="1:14" x14ac:dyDescent="0.3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</row>
    <row r="635" spans="1:14" x14ac:dyDescent="0.3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</row>
    <row r="636" spans="1:14" x14ac:dyDescent="0.3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</row>
    <row r="637" spans="1:14" x14ac:dyDescent="0.3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</row>
    <row r="638" spans="1:14" x14ac:dyDescent="0.3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</row>
    <row r="639" spans="1:14" x14ac:dyDescent="0.3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</row>
    <row r="640" spans="1:14" x14ac:dyDescent="0.3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</row>
    <row r="641" spans="1:14" x14ac:dyDescent="0.3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</row>
    <row r="642" spans="1:14" x14ac:dyDescent="0.3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</row>
    <row r="643" spans="1:14" x14ac:dyDescent="0.3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</row>
    <row r="644" spans="1:14" x14ac:dyDescent="0.3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</row>
    <row r="645" spans="1:14" x14ac:dyDescent="0.3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</row>
    <row r="646" spans="1:14" x14ac:dyDescent="0.3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</row>
    <row r="647" spans="1:14" x14ac:dyDescent="0.3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</row>
    <row r="648" spans="1:14" x14ac:dyDescent="0.3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</row>
    <row r="649" spans="1:14" x14ac:dyDescent="0.3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</row>
    <row r="650" spans="1:14" x14ac:dyDescent="0.3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</row>
    <row r="651" spans="1:14" x14ac:dyDescent="0.3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</row>
    <row r="652" spans="1:14" x14ac:dyDescent="0.3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</row>
    <row r="653" spans="1:14" x14ac:dyDescent="0.3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</row>
    <row r="654" spans="1:14" x14ac:dyDescent="0.3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</row>
    <row r="655" spans="1:14" x14ac:dyDescent="0.3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</row>
    <row r="656" spans="1:14" x14ac:dyDescent="0.3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</row>
    <row r="657" spans="1:14" x14ac:dyDescent="0.3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</row>
    <row r="658" spans="1:14" x14ac:dyDescent="0.3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</row>
    <row r="659" spans="1:14" x14ac:dyDescent="0.3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</row>
    <row r="660" spans="1:14" x14ac:dyDescent="0.3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</row>
    <row r="661" spans="1:14" x14ac:dyDescent="0.3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</row>
    <row r="662" spans="1:14" x14ac:dyDescent="0.3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</row>
    <row r="663" spans="1:14" x14ac:dyDescent="0.3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</row>
    <row r="664" spans="1:14" x14ac:dyDescent="0.3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</row>
    <row r="665" spans="1:14" x14ac:dyDescent="0.3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</row>
    <row r="666" spans="1:14" x14ac:dyDescent="0.3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</row>
    <row r="667" spans="1:14" x14ac:dyDescent="0.3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</row>
    <row r="668" spans="1:14" x14ac:dyDescent="0.3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</row>
    <row r="669" spans="1:14" x14ac:dyDescent="0.3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</row>
    <row r="670" spans="1:14" x14ac:dyDescent="0.3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</row>
    <row r="671" spans="1:14" x14ac:dyDescent="0.3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</row>
    <row r="672" spans="1:14" x14ac:dyDescent="0.3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</row>
    <row r="673" spans="1:14" x14ac:dyDescent="0.3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</row>
    <row r="674" spans="1:14" x14ac:dyDescent="0.3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</row>
    <row r="675" spans="1:14" x14ac:dyDescent="0.3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</row>
    <row r="676" spans="1:14" x14ac:dyDescent="0.3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</row>
    <row r="677" spans="1:14" x14ac:dyDescent="0.3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</row>
    <row r="678" spans="1:14" x14ac:dyDescent="0.3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</row>
    <row r="679" spans="1:14" x14ac:dyDescent="0.3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</row>
    <row r="680" spans="1:14" x14ac:dyDescent="0.3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</row>
    <row r="681" spans="1:14" x14ac:dyDescent="0.3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</row>
    <row r="682" spans="1:14" x14ac:dyDescent="0.3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</row>
    <row r="683" spans="1:14" x14ac:dyDescent="0.3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</row>
    <row r="684" spans="1:14" x14ac:dyDescent="0.3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</row>
    <row r="685" spans="1:14" x14ac:dyDescent="0.3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</row>
    <row r="686" spans="1:14" x14ac:dyDescent="0.3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</row>
    <row r="687" spans="1:14" x14ac:dyDescent="0.3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</row>
    <row r="688" spans="1:14" x14ac:dyDescent="0.3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</row>
    <row r="689" spans="1:14" x14ac:dyDescent="0.3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</row>
    <row r="690" spans="1:14" x14ac:dyDescent="0.3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</row>
    <row r="691" spans="1:14" x14ac:dyDescent="0.3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</row>
    <row r="692" spans="1:14" x14ac:dyDescent="0.3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</row>
    <row r="693" spans="1:14" x14ac:dyDescent="0.3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</row>
    <row r="694" spans="1:14" x14ac:dyDescent="0.3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</row>
    <row r="695" spans="1:14" x14ac:dyDescent="0.3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</row>
    <row r="696" spans="1:14" x14ac:dyDescent="0.3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</row>
    <row r="697" spans="1:14" x14ac:dyDescent="0.3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</row>
    <row r="698" spans="1:14" x14ac:dyDescent="0.3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</row>
    <row r="699" spans="1:14" x14ac:dyDescent="0.3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</row>
    <row r="700" spans="1:14" x14ac:dyDescent="0.3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</row>
    <row r="701" spans="1:14" x14ac:dyDescent="0.3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</row>
    <row r="702" spans="1:14" x14ac:dyDescent="0.3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</row>
    <row r="703" spans="1:14" x14ac:dyDescent="0.3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</row>
    <row r="704" spans="1:14" x14ac:dyDescent="0.3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</row>
    <row r="705" spans="1:14" x14ac:dyDescent="0.3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</row>
    <row r="706" spans="1:14" x14ac:dyDescent="0.3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</row>
    <row r="707" spans="1:14" x14ac:dyDescent="0.3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</row>
    <row r="708" spans="1:14" x14ac:dyDescent="0.3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</row>
    <row r="709" spans="1:14" x14ac:dyDescent="0.3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</row>
    <row r="710" spans="1:14" x14ac:dyDescent="0.3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</row>
    <row r="711" spans="1:14" x14ac:dyDescent="0.3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</row>
    <row r="712" spans="1:14" x14ac:dyDescent="0.3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</row>
    <row r="713" spans="1:14" x14ac:dyDescent="0.3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</row>
    <row r="714" spans="1:14" x14ac:dyDescent="0.3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</row>
    <row r="715" spans="1:14" x14ac:dyDescent="0.3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</row>
    <row r="716" spans="1:14" x14ac:dyDescent="0.3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</row>
    <row r="717" spans="1:14" x14ac:dyDescent="0.3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</row>
    <row r="718" spans="1:14" x14ac:dyDescent="0.3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</row>
    <row r="719" spans="1:14" x14ac:dyDescent="0.3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</row>
    <row r="720" spans="1:14" x14ac:dyDescent="0.3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</row>
    <row r="721" spans="1:14" x14ac:dyDescent="0.3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</row>
    <row r="722" spans="1:14" x14ac:dyDescent="0.3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</row>
    <row r="723" spans="1:14" x14ac:dyDescent="0.3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</row>
    <row r="724" spans="1:14" x14ac:dyDescent="0.3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</row>
    <row r="725" spans="1:14" x14ac:dyDescent="0.3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</row>
    <row r="726" spans="1:14" x14ac:dyDescent="0.3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</row>
    <row r="727" spans="1:14" x14ac:dyDescent="0.3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</row>
    <row r="728" spans="1:14" x14ac:dyDescent="0.3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</row>
    <row r="729" spans="1:14" x14ac:dyDescent="0.3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</row>
    <row r="730" spans="1:14" x14ac:dyDescent="0.3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</row>
    <row r="731" spans="1:14" x14ac:dyDescent="0.3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</row>
    <row r="732" spans="1:14" x14ac:dyDescent="0.3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</row>
    <row r="733" spans="1:14" x14ac:dyDescent="0.3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</row>
    <row r="734" spans="1:14" x14ac:dyDescent="0.3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</row>
    <row r="735" spans="1:14" x14ac:dyDescent="0.3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</row>
    <row r="736" spans="1:14" x14ac:dyDescent="0.3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</row>
    <row r="737" spans="1:14" x14ac:dyDescent="0.3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</row>
    <row r="738" spans="1:14" x14ac:dyDescent="0.3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</row>
    <row r="739" spans="1:14" x14ac:dyDescent="0.3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</row>
    <row r="740" spans="1:14" x14ac:dyDescent="0.3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</row>
    <row r="741" spans="1:14" x14ac:dyDescent="0.3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</row>
    <row r="742" spans="1:14" x14ac:dyDescent="0.3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</row>
    <row r="743" spans="1:14" x14ac:dyDescent="0.3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</row>
    <row r="744" spans="1:14" x14ac:dyDescent="0.3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</row>
    <row r="745" spans="1:14" x14ac:dyDescent="0.3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</row>
    <row r="746" spans="1:14" x14ac:dyDescent="0.3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</row>
    <row r="747" spans="1:14" x14ac:dyDescent="0.3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</row>
    <row r="748" spans="1:14" x14ac:dyDescent="0.3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</row>
    <row r="749" spans="1:14" x14ac:dyDescent="0.3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</row>
    <row r="750" spans="1:14" x14ac:dyDescent="0.3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</row>
    <row r="751" spans="1:14" x14ac:dyDescent="0.3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</row>
    <row r="752" spans="1:14" x14ac:dyDescent="0.3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</row>
    <row r="753" spans="1:14" x14ac:dyDescent="0.3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</row>
    <row r="754" spans="1:14" x14ac:dyDescent="0.3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</row>
    <row r="755" spans="1:14" x14ac:dyDescent="0.3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</row>
    <row r="756" spans="1:14" x14ac:dyDescent="0.3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</row>
    <row r="757" spans="1:14" x14ac:dyDescent="0.3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</row>
    <row r="758" spans="1:14" x14ac:dyDescent="0.3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</row>
    <row r="759" spans="1:14" x14ac:dyDescent="0.3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</row>
    <row r="760" spans="1:14" x14ac:dyDescent="0.3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</row>
    <row r="761" spans="1:14" x14ac:dyDescent="0.3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</row>
    <row r="762" spans="1:14" x14ac:dyDescent="0.3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</row>
    <row r="763" spans="1:14" x14ac:dyDescent="0.3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</row>
    <row r="764" spans="1:14" x14ac:dyDescent="0.3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</row>
    <row r="765" spans="1:14" x14ac:dyDescent="0.3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</row>
    <row r="766" spans="1:14" x14ac:dyDescent="0.3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</row>
    <row r="767" spans="1:14" x14ac:dyDescent="0.3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</row>
    <row r="768" spans="1:14" x14ac:dyDescent="0.3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</row>
    <row r="769" spans="1:14" x14ac:dyDescent="0.3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</row>
    <row r="770" spans="1:14" x14ac:dyDescent="0.3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</row>
    <row r="771" spans="1:14" x14ac:dyDescent="0.3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</row>
    <row r="772" spans="1:14" x14ac:dyDescent="0.3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</row>
    <row r="773" spans="1:14" x14ac:dyDescent="0.3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</row>
    <row r="774" spans="1:14" x14ac:dyDescent="0.3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</row>
    <row r="775" spans="1:14" x14ac:dyDescent="0.3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</row>
    <row r="776" spans="1:14" x14ac:dyDescent="0.3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</row>
    <row r="777" spans="1:14" x14ac:dyDescent="0.3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</row>
    <row r="778" spans="1:14" x14ac:dyDescent="0.3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</row>
    <row r="779" spans="1:14" x14ac:dyDescent="0.3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</row>
    <row r="780" spans="1:14" x14ac:dyDescent="0.3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</row>
    <row r="781" spans="1:14" x14ac:dyDescent="0.3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</row>
    <row r="782" spans="1:14" x14ac:dyDescent="0.3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</row>
    <row r="783" spans="1:14" x14ac:dyDescent="0.3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</row>
    <row r="784" spans="1:14" x14ac:dyDescent="0.3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</row>
    <row r="785" spans="1:14" x14ac:dyDescent="0.3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</row>
    <row r="786" spans="1:14" x14ac:dyDescent="0.3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</row>
    <row r="787" spans="1:14" x14ac:dyDescent="0.3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</row>
    <row r="788" spans="1:14" x14ac:dyDescent="0.3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</row>
    <row r="789" spans="1:14" x14ac:dyDescent="0.3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</row>
    <row r="790" spans="1:14" x14ac:dyDescent="0.3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</row>
    <row r="791" spans="1:14" x14ac:dyDescent="0.3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</row>
    <row r="792" spans="1:14" x14ac:dyDescent="0.3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</row>
    <row r="793" spans="1:14" x14ac:dyDescent="0.3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</row>
    <row r="794" spans="1:14" x14ac:dyDescent="0.3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</row>
    <row r="795" spans="1:14" x14ac:dyDescent="0.3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</row>
    <row r="796" spans="1:14" x14ac:dyDescent="0.3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</row>
    <row r="797" spans="1:14" x14ac:dyDescent="0.3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</row>
    <row r="798" spans="1:14" x14ac:dyDescent="0.3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</row>
    <row r="799" spans="1:14" x14ac:dyDescent="0.3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</row>
    <row r="800" spans="1:14" x14ac:dyDescent="0.3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</row>
    <row r="801" spans="1:14" x14ac:dyDescent="0.3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</row>
    <row r="802" spans="1:14" x14ac:dyDescent="0.3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</row>
    <row r="803" spans="1:14" x14ac:dyDescent="0.3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</row>
    <row r="804" spans="1:14" x14ac:dyDescent="0.3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</row>
    <row r="805" spans="1:14" x14ac:dyDescent="0.3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</row>
    <row r="806" spans="1:14" x14ac:dyDescent="0.3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</row>
    <row r="807" spans="1:14" x14ac:dyDescent="0.3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</row>
    <row r="808" spans="1:14" x14ac:dyDescent="0.3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</row>
    <row r="809" spans="1:14" x14ac:dyDescent="0.3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</row>
    <row r="810" spans="1:14" x14ac:dyDescent="0.3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</row>
    <row r="811" spans="1:14" x14ac:dyDescent="0.3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</row>
    <row r="812" spans="1:14" x14ac:dyDescent="0.3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</row>
    <row r="813" spans="1:14" x14ac:dyDescent="0.3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</row>
    <row r="814" spans="1:14" x14ac:dyDescent="0.3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</row>
    <row r="815" spans="1:14" x14ac:dyDescent="0.3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</row>
    <row r="816" spans="1:14" x14ac:dyDescent="0.3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</row>
    <row r="817" spans="1:14" x14ac:dyDescent="0.3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</row>
    <row r="818" spans="1:14" x14ac:dyDescent="0.3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</row>
    <row r="819" spans="1:14" x14ac:dyDescent="0.3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</row>
    <row r="820" spans="1:14" x14ac:dyDescent="0.3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</row>
    <row r="821" spans="1:14" x14ac:dyDescent="0.3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</row>
    <row r="822" spans="1:14" x14ac:dyDescent="0.3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</row>
    <row r="823" spans="1:14" x14ac:dyDescent="0.3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</row>
    <row r="824" spans="1:14" x14ac:dyDescent="0.3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</row>
    <row r="825" spans="1:14" x14ac:dyDescent="0.3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</row>
    <row r="826" spans="1:14" x14ac:dyDescent="0.3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</row>
    <row r="827" spans="1:14" x14ac:dyDescent="0.3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</row>
    <row r="828" spans="1:14" x14ac:dyDescent="0.3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</row>
    <row r="829" spans="1:14" x14ac:dyDescent="0.3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</row>
    <row r="830" spans="1:14" x14ac:dyDescent="0.3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</row>
    <row r="831" spans="1:14" x14ac:dyDescent="0.3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</row>
    <row r="832" spans="1:14" x14ac:dyDescent="0.3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</row>
    <row r="833" spans="1:14" x14ac:dyDescent="0.3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</row>
    <row r="834" spans="1:14" x14ac:dyDescent="0.3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</row>
    <row r="835" spans="1:14" x14ac:dyDescent="0.3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</row>
    <row r="836" spans="1:14" x14ac:dyDescent="0.3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</row>
    <row r="837" spans="1:14" x14ac:dyDescent="0.3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</row>
    <row r="838" spans="1:14" x14ac:dyDescent="0.3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</row>
    <row r="839" spans="1:14" x14ac:dyDescent="0.3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</row>
    <row r="840" spans="1:14" x14ac:dyDescent="0.3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</row>
    <row r="841" spans="1:14" x14ac:dyDescent="0.3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</row>
    <row r="842" spans="1:14" x14ac:dyDescent="0.3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</row>
    <row r="843" spans="1:14" x14ac:dyDescent="0.3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</row>
    <row r="844" spans="1:14" x14ac:dyDescent="0.3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</row>
    <row r="845" spans="1:14" x14ac:dyDescent="0.3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</row>
    <row r="846" spans="1:14" x14ac:dyDescent="0.3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</row>
    <row r="847" spans="1:14" x14ac:dyDescent="0.3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</row>
    <row r="848" spans="1:14" x14ac:dyDescent="0.3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</row>
    <row r="849" spans="1:14" x14ac:dyDescent="0.3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</row>
    <row r="850" spans="1:14" x14ac:dyDescent="0.3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</row>
    <row r="851" spans="1:14" x14ac:dyDescent="0.3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</row>
    <row r="852" spans="1:14" x14ac:dyDescent="0.3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</row>
    <row r="853" spans="1:14" x14ac:dyDescent="0.3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</row>
    <row r="854" spans="1:14" x14ac:dyDescent="0.3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</row>
    <row r="855" spans="1:14" x14ac:dyDescent="0.3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</row>
    <row r="856" spans="1:14" x14ac:dyDescent="0.3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</row>
    <row r="857" spans="1:14" x14ac:dyDescent="0.3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</row>
    <row r="858" spans="1:14" x14ac:dyDescent="0.3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</row>
    <row r="859" spans="1:14" x14ac:dyDescent="0.3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</row>
    <row r="860" spans="1:14" x14ac:dyDescent="0.3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</row>
    <row r="861" spans="1:14" x14ac:dyDescent="0.3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</row>
    <row r="862" spans="1:14" x14ac:dyDescent="0.3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</row>
    <row r="863" spans="1:14" x14ac:dyDescent="0.3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</row>
    <row r="864" spans="1:14" x14ac:dyDescent="0.3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</row>
    <row r="865" spans="1:14" x14ac:dyDescent="0.3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</row>
    <row r="866" spans="1:14" x14ac:dyDescent="0.3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</row>
    <row r="867" spans="1:14" x14ac:dyDescent="0.3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</row>
    <row r="868" spans="1:14" x14ac:dyDescent="0.3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</row>
    <row r="869" spans="1:14" x14ac:dyDescent="0.3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</row>
    <row r="870" spans="1:14" x14ac:dyDescent="0.3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</row>
    <row r="871" spans="1:14" x14ac:dyDescent="0.3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</row>
    <row r="872" spans="1:14" x14ac:dyDescent="0.3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</row>
    <row r="873" spans="1:14" x14ac:dyDescent="0.3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</row>
    <row r="874" spans="1:14" x14ac:dyDescent="0.3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</row>
    <row r="875" spans="1:14" x14ac:dyDescent="0.3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</row>
    <row r="876" spans="1:14" x14ac:dyDescent="0.3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</row>
    <row r="877" spans="1:14" x14ac:dyDescent="0.3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</row>
    <row r="878" spans="1:14" x14ac:dyDescent="0.3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</row>
    <row r="879" spans="1:14" x14ac:dyDescent="0.3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</row>
    <row r="880" spans="1:14" x14ac:dyDescent="0.3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</row>
    <row r="881" spans="1:14" x14ac:dyDescent="0.3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</row>
    <row r="882" spans="1:14" x14ac:dyDescent="0.3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</row>
    <row r="883" spans="1:14" x14ac:dyDescent="0.3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</row>
    <row r="884" spans="1:14" x14ac:dyDescent="0.3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</row>
    <row r="885" spans="1:14" x14ac:dyDescent="0.3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</row>
    <row r="886" spans="1:14" x14ac:dyDescent="0.3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</row>
    <row r="887" spans="1:14" x14ac:dyDescent="0.3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</row>
    <row r="888" spans="1:14" x14ac:dyDescent="0.3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</row>
    <row r="889" spans="1:14" x14ac:dyDescent="0.3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</row>
    <row r="890" spans="1:14" x14ac:dyDescent="0.3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</row>
    <row r="891" spans="1:14" x14ac:dyDescent="0.3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</row>
    <row r="892" spans="1:14" x14ac:dyDescent="0.3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</row>
    <row r="893" spans="1:14" x14ac:dyDescent="0.3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</row>
    <row r="894" spans="1:14" x14ac:dyDescent="0.3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</row>
    <row r="895" spans="1:14" x14ac:dyDescent="0.3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</row>
    <row r="896" spans="1:14" x14ac:dyDescent="0.3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</row>
    <row r="897" spans="1:14" x14ac:dyDescent="0.3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</row>
    <row r="898" spans="1:14" x14ac:dyDescent="0.3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</row>
    <row r="899" spans="1:14" x14ac:dyDescent="0.3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</row>
    <row r="900" spans="1:14" x14ac:dyDescent="0.3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</row>
    <row r="901" spans="1:14" x14ac:dyDescent="0.3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</row>
    <row r="902" spans="1:14" x14ac:dyDescent="0.3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</row>
    <row r="903" spans="1:14" x14ac:dyDescent="0.3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</row>
    <row r="904" spans="1:14" x14ac:dyDescent="0.3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</row>
    <row r="905" spans="1:14" x14ac:dyDescent="0.3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</row>
    <row r="906" spans="1:14" x14ac:dyDescent="0.3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</row>
    <row r="907" spans="1:14" x14ac:dyDescent="0.3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</row>
    <row r="908" spans="1:14" x14ac:dyDescent="0.3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</row>
    <row r="909" spans="1:14" x14ac:dyDescent="0.3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</row>
    <row r="910" spans="1:14" x14ac:dyDescent="0.3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</row>
    <row r="911" spans="1:14" x14ac:dyDescent="0.3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</row>
    <row r="912" spans="1:14" x14ac:dyDescent="0.3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</row>
    <row r="913" spans="1:14" x14ac:dyDescent="0.3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</row>
    <row r="914" spans="1:14" x14ac:dyDescent="0.3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</row>
    <row r="915" spans="1:14" x14ac:dyDescent="0.3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</row>
    <row r="916" spans="1:14" x14ac:dyDescent="0.3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</row>
    <row r="917" spans="1:14" x14ac:dyDescent="0.3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</row>
    <row r="918" spans="1:14" x14ac:dyDescent="0.3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</row>
    <row r="919" spans="1:14" x14ac:dyDescent="0.3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</row>
    <row r="920" spans="1:14" x14ac:dyDescent="0.3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</row>
    <row r="921" spans="1:14" x14ac:dyDescent="0.3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</row>
    <row r="922" spans="1:14" x14ac:dyDescent="0.3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</row>
    <row r="923" spans="1:14" x14ac:dyDescent="0.3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</row>
    <row r="924" spans="1:14" x14ac:dyDescent="0.3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</row>
    <row r="925" spans="1:14" x14ac:dyDescent="0.3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</row>
    <row r="926" spans="1:14" x14ac:dyDescent="0.3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</row>
    <row r="927" spans="1:14" x14ac:dyDescent="0.3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</row>
    <row r="928" spans="1:14" x14ac:dyDescent="0.3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</row>
    <row r="929" spans="1:14" x14ac:dyDescent="0.3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</row>
    <row r="930" spans="1:14" x14ac:dyDescent="0.3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</row>
    <row r="931" spans="1:14" x14ac:dyDescent="0.3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</row>
    <row r="932" spans="1:14" x14ac:dyDescent="0.3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</row>
    <row r="933" spans="1:14" x14ac:dyDescent="0.3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</row>
    <row r="934" spans="1:14" x14ac:dyDescent="0.3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</row>
    <row r="935" spans="1:14" x14ac:dyDescent="0.3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</row>
    <row r="936" spans="1:14" x14ac:dyDescent="0.3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</row>
    <row r="937" spans="1:14" x14ac:dyDescent="0.3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</row>
    <row r="938" spans="1:14" x14ac:dyDescent="0.3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</row>
    <row r="939" spans="1:14" x14ac:dyDescent="0.3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</row>
    <row r="940" spans="1:14" x14ac:dyDescent="0.3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</row>
    <row r="941" spans="1:14" x14ac:dyDescent="0.3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</row>
    <row r="942" spans="1:14" x14ac:dyDescent="0.3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</row>
    <row r="943" spans="1:14" x14ac:dyDescent="0.3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</row>
    <row r="944" spans="1:14" x14ac:dyDescent="0.3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</row>
    <row r="945" spans="1:14" x14ac:dyDescent="0.3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</row>
    <row r="946" spans="1:14" x14ac:dyDescent="0.3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</row>
    <row r="947" spans="1:14" x14ac:dyDescent="0.3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</row>
    <row r="948" spans="1:14" x14ac:dyDescent="0.3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</row>
    <row r="949" spans="1:14" x14ac:dyDescent="0.3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</row>
    <row r="950" spans="1:14" x14ac:dyDescent="0.3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</row>
    <row r="951" spans="1:14" x14ac:dyDescent="0.3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</row>
    <row r="952" spans="1:14" x14ac:dyDescent="0.3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</row>
    <row r="953" spans="1:14" x14ac:dyDescent="0.3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</row>
    <row r="954" spans="1:14" x14ac:dyDescent="0.3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</row>
    <row r="955" spans="1:14" x14ac:dyDescent="0.3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</row>
    <row r="956" spans="1:14" x14ac:dyDescent="0.3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</row>
    <row r="957" spans="1:14" x14ac:dyDescent="0.3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</row>
    <row r="958" spans="1:14" x14ac:dyDescent="0.3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</row>
    <row r="959" spans="1:14" x14ac:dyDescent="0.3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</row>
    <row r="960" spans="1:14" x14ac:dyDescent="0.3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</row>
    <row r="961" spans="1:14" x14ac:dyDescent="0.3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</row>
    <row r="962" spans="1:14" x14ac:dyDescent="0.3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</row>
    <row r="963" spans="1:14" x14ac:dyDescent="0.3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</row>
    <row r="964" spans="1:14" x14ac:dyDescent="0.3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</row>
    <row r="965" spans="1:14" x14ac:dyDescent="0.3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</row>
    <row r="966" spans="1:14" x14ac:dyDescent="0.3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</row>
    <row r="967" spans="1:14" x14ac:dyDescent="0.3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</row>
    <row r="968" spans="1:14" x14ac:dyDescent="0.3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</row>
    <row r="969" spans="1:14" x14ac:dyDescent="0.3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</row>
    <row r="970" spans="1:14" x14ac:dyDescent="0.3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</row>
    <row r="971" spans="1:14" x14ac:dyDescent="0.3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</row>
    <row r="972" spans="1:14" x14ac:dyDescent="0.3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</row>
    <row r="973" spans="1:14" x14ac:dyDescent="0.3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</row>
    <row r="974" spans="1:14" x14ac:dyDescent="0.3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</row>
    <row r="975" spans="1:14" x14ac:dyDescent="0.3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</row>
    <row r="976" spans="1:14" x14ac:dyDescent="0.3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</row>
    <row r="977" spans="1:14" x14ac:dyDescent="0.3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</row>
    <row r="978" spans="1:14" x14ac:dyDescent="0.3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</row>
    <row r="979" spans="1:14" x14ac:dyDescent="0.3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</row>
    <row r="980" spans="1:14" x14ac:dyDescent="0.3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</row>
    <row r="981" spans="1:14" x14ac:dyDescent="0.3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</row>
    <row r="982" spans="1:14" x14ac:dyDescent="0.3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</row>
    <row r="983" spans="1:14" x14ac:dyDescent="0.3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</row>
    <row r="984" spans="1:14" x14ac:dyDescent="0.3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</row>
    <row r="985" spans="1:14" x14ac:dyDescent="0.3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</row>
    <row r="986" spans="1:14" x14ac:dyDescent="0.3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</row>
    <row r="987" spans="1:14" x14ac:dyDescent="0.3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</row>
    <row r="988" spans="1:14" x14ac:dyDescent="0.3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</row>
    <row r="989" spans="1:14" x14ac:dyDescent="0.3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</row>
    <row r="990" spans="1:14" x14ac:dyDescent="0.3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</row>
    <row r="991" spans="1:14" x14ac:dyDescent="0.3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</row>
    <row r="992" spans="1:14" x14ac:dyDescent="0.3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</row>
    <row r="993" spans="1:14" x14ac:dyDescent="0.3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</row>
    <row r="994" spans="1:14" x14ac:dyDescent="0.3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</row>
    <row r="995" spans="1:14" x14ac:dyDescent="0.3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</row>
    <row r="996" spans="1:14" x14ac:dyDescent="0.3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</row>
    <row r="997" spans="1:14" x14ac:dyDescent="0.3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</row>
    <row r="998" spans="1:14" x14ac:dyDescent="0.3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</row>
    <row r="999" spans="1:14" x14ac:dyDescent="0.3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</row>
    <row r="1000" spans="1:14" x14ac:dyDescent="0.3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</row>
    <row r="1001" spans="1:14" x14ac:dyDescent="0.3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</row>
    <row r="1002" spans="1:14" x14ac:dyDescent="0.3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</row>
    <row r="1003" spans="1:14" x14ac:dyDescent="0.3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</row>
    <row r="1004" spans="1:14" x14ac:dyDescent="0.3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</row>
    <row r="1005" spans="1:14" x14ac:dyDescent="0.3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</row>
    <row r="1006" spans="1:14" x14ac:dyDescent="0.3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</row>
    <row r="1007" spans="1:14" x14ac:dyDescent="0.3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</row>
    <row r="1008" spans="1:14" x14ac:dyDescent="0.3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</row>
    <row r="1009" spans="1:14" x14ac:dyDescent="0.3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</row>
    <row r="1010" spans="1:14" x14ac:dyDescent="0.3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</row>
    <row r="1011" spans="1:14" x14ac:dyDescent="0.3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</row>
    <row r="1012" spans="1:14" x14ac:dyDescent="0.3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</row>
    <row r="1013" spans="1:14" x14ac:dyDescent="0.3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</row>
    <row r="1014" spans="1:14" x14ac:dyDescent="0.3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</row>
    <row r="1015" spans="1:14" x14ac:dyDescent="0.3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</row>
    <row r="1016" spans="1:14" x14ac:dyDescent="0.3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</row>
    <row r="1017" spans="1:14" x14ac:dyDescent="0.3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</row>
    <row r="1018" spans="1:14" x14ac:dyDescent="0.3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</row>
    <row r="1019" spans="1:14" x14ac:dyDescent="0.3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</row>
    <row r="1020" spans="1:14" x14ac:dyDescent="0.3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</row>
    <row r="1021" spans="1:14" x14ac:dyDescent="0.3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</row>
    <row r="1022" spans="1:14" x14ac:dyDescent="0.3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</row>
    <row r="1023" spans="1:14" x14ac:dyDescent="0.3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</row>
    <row r="1024" spans="1:14" x14ac:dyDescent="0.3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</row>
    <row r="1025" spans="1:14" x14ac:dyDescent="0.3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</row>
    <row r="1026" spans="1:14" x14ac:dyDescent="0.3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</row>
    <row r="1027" spans="1:14" x14ac:dyDescent="0.3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</row>
    <row r="1028" spans="1:14" x14ac:dyDescent="0.3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</row>
    <row r="1029" spans="1:14" x14ac:dyDescent="0.3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</row>
    <row r="1030" spans="1:14" x14ac:dyDescent="0.3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</row>
    <row r="1031" spans="1:14" x14ac:dyDescent="0.3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</row>
    <row r="1032" spans="1:14" x14ac:dyDescent="0.3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</row>
    <row r="1033" spans="1:14" x14ac:dyDescent="0.3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</row>
    <row r="1034" spans="1:14" x14ac:dyDescent="0.3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</row>
    <row r="1035" spans="1:14" x14ac:dyDescent="0.3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</row>
    <row r="1036" spans="1:14" x14ac:dyDescent="0.3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</row>
    <row r="1037" spans="1:14" x14ac:dyDescent="0.3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</row>
    <row r="1038" spans="1:14" x14ac:dyDescent="0.3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</row>
    <row r="1039" spans="1:14" x14ac:dyDescent="0.3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</row>
    <row r="1040" spans="1:14" x14ac:dyDescent="0.3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</row>
    <row r="1041" spans="1:14" x14ac:dyDescent="0.3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</row>
    <row r="1042" spans="1:14" x14ac:dyDescent="0.3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</row>
    <row r="1043" spans="1:14" x14ac:dyDescent="0.3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</row>
    <row r="1044" spans="1:14" x14ac:dyDescent="0.3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</row>
    <row r="1045" spans="1:14" x14ac:dyDescent="0.3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</row>
    <row r="1046" spans="1:14" x14ac:dyDescent="0.3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</row>
    <row r="1047" spans="1:14" x14ac:dyDescent="0.3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</row>
    <row r="1048" spans="1:14" x14ac:dyDescent="0.3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</row>
    <row r="1049" spans="1:14" x14ac:dyDescent="0.3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</row>
    <row r="1050" spans="1:14" x14ac:dyDescent="0.3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</row>
    <row r="1051" spans="1:14" x14ac:dyDescent="0.3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</row>
    <row r="1052" spans="1:14" x14ac:dyDescent="0.3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</row>
    <row r="1053" spans="1:14" x14ac:dyDescent="0.3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</row>
    <row r="1054" spans="1:14" x14ac:dyDescent="0.3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</row>
    <row r="1055" spans="1:14" x14ac:dyDescent="0.3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</row>
    <row r="1056" spans="1:14" x14ac:dyDescent="0.3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</row>
    <row r="1057" spans="1:14" x14ac:dyDescent="0.3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</row>
    <row r="1058" spans="1:14" x14ac:dyDescent="0.3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</row>
    <row r="1059" spans="1:14" x14ac:dyDescent="0.3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</row>
    <row r="1060" spans="1:14" x14ac:dyDescent="0.3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</row>
    <row r="1061" spans="1:14" x14ac:dyDescent="0.3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</row>
    <row r="1062" spans="1:14" x14ac:dyDescent="0.3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</row>
    <row r="1063" spans="1:14" x14ac:dyDescent="0.3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</row>
    <row r="1064" spans="1:14" x14ac:dyDescent="0.3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</row>
    <row r="1065" spans="1:14" x14ac:dyDescent="0.3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</row>
    <row r="1066" spans="1:14" x14ac:dyDescent="0.3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</row>
    <row r="1067" spans="1:14" x14ac:dyDescent="0.3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</row>
    <row r="1068" spans="1:14" x14ac:dyDescent="0.3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</row>
    <row r="1069" spans="1:14" x14ac:dyDescent="0.3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</row>
    <row r="1070" spans="1:14" x14ac:dyDescent="0.3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</row>
    <row r="1071" spans="1:14" x14ac:dyDescent="0.3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</row>
    <row r="1072" spans="1:14" x14ac:dyDescent="0.3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</row>
    <row r="1073" spans="1:14" x14ac:dyDescent="0.3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</row>
    <row r="1074" spans="1:14" x14ac:dyDescent="0.3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</row>
    <row r="1075" spans="1:14" x14ac:dyDescent="0.3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</row>
    <row r="1076" spans="1:14" x14ac:dyDescent="0.3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</row>
    <row r="1077" spans="1:14" x14ac:dyDescent="0.3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</row>
    <row r="1078" spans="1:14" x14ac:dyDescent="0.3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</row>
    <row r="1079" spans="1:14" x14ac:dyDescent="0.3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</row>
    <row r="1080" spans="1:14" x14ac:dyDescent="0.3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</row>
    <row r="1081" spans="1:14" x14ac:dyDescent="0.3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</row>
    <row r="1082" spans="1:14" x14ac:dyDescent="0.3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</row>
    <row r="1083" spans="1:14" x14ac:dyDescent="0.3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</row>
    <row r="1084" spans="1:14" x14ac:dyDescent="0.3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</row>
    <row r="1085" spans="1:14" x14ac:dyDescent="0.3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</row>
    <row r="1086" spans="1:14" x14ac:dyDescent="0.3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</row>
    <row r="1087" spans="1:14" x14ac:dyDescent="0.3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</row>
    <row r="1088" spans="1:14" x14ac:dyDescent="0.3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</row>
    <row r="1089" spans="1:14" x14ac:dyDescent="0.3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</row>
    <row r="1090" spans="1:14" x14ac:dyDescent="0.3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</row>
    <row r="1091" spans="1:14" x14ac:dyDescent="0.3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</row>
    <row r="1092" spans="1:14" x14ac:dyDescent="0.3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</row>
    <row r="1093" spans="1:14" x14ac:dyDescent="0.3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</row>
    <row r="1094" spans="1:14" x14ac:dyDescent="0.3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</row>
    <row r="1095" spans="1:14" x14ac:dyDescent="0.3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</row>
    <row r="1096" spans="1:14" x14ac:dyDescent="0.3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</row>
    <row r="1097" spans="1:14" x14ac:dyDescent="0.3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</row>
    <row r="1098" spans="1:14" x14ac:dyDescent="0.3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</row>
    <row r="1099" spans="1:14" x14ac:dyDescent="0.3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</row>
    <row r="1100" spans="1:14" x14ac:dyDescent="0.3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</row>
    <row r="1101" spans="1:14" x14ac:dyDescent="0.3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</row>
    <row r="1102" spans="1:14" x14ac:dyDescent="0.3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</row>
    <row r="1103" spans="1:14" x14ac:dyDescent="0.3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</row>
    <row r="1104" spans="1:14" x14ac:dyDescent="0.3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</row>
    <row r="1105" spans="1:14" x14ac:dyDescent="0.3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</row>
    <row r="1106" spans="1:14" x14ac:dyDescent="0.3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</row>
    <row r="1107" spans="1:14" x14ac:dyDescent="0.3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</row>
    <row r="1108" spans="1:14" x14ac:dyDescent="0.3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</row>
    <row r="1109" spans="1:14" x14ac:dyDescent="0.3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</row>
    <row r="1110" spans="1:14" x14ac:dyDescent="0.3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</row>
    <row r="1111" spans="1:14" x14ac:dyDescent="0.3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</row>
    <row r="1112" spans="1:14" x14ac:dyDescent="0.3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</row>
    <row r="1113" spans="1:14" x14ac:dyDescent="0.3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</row>
    <row r="1114" spans="1:14" x14ac:dyDescent="0.3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</row>
    <row r="1115" spans="1:14" x14ac:dyDescent="0.3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</row>
    <row r="1116" spans="1:14" x14ac:dyDescent="0.3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</row>
    <row r="1117" spans="1:14" x14ac:dyDescent="0.3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</row>
    <row r="1118" spans="1:14" x14ac:dyDescent="0.3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</row>
    <row r="1119" spans="1:14" x14ac:dyDescent="0.3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</row>
    <row r="1120" spans="1:14" x14ac:dyDescent="0.3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</row>
    <row r="1121" spans="1:14" x14ac:dyDescent="0.3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</row>
    <row r="1122" spans="1:14" x14ac:dyDescent="0.3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</row>
    <row r="1123" spans="1:14" x14ac:dyDescent="0.3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</row>
    <row r="1124" spans="1:14" x14ac:dyDescent="0.3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</row>
    <row r="1125" spans="1:14" x14ac:dyDescent="0.3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</row>
    <row r="1126" spans="1:14" x14ac:dyDescent="0.3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</row>
    <row r="1127" spans="1:14" x14ac:dyDescent="0.3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</row>
    <row r="1128" spans="1:14" x14ac:dyDescent="0.3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</row>
    <row r="1129" spans="1:14" x14ac:dyDescent="0.3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</row>
    <row r="1130" spans="1:14" x14ac:dyDescent="0.3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</row>
    <row r="1131" spans="1:14" x14ac:dyDescent="0.3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</row>
    <row r="1132" spans="1:14" x14ac:dyDescent="0.3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</row>
    <row r="1133" spans="1:14" x14ac:dyDescent="0.3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</row>
    <row r="1134" spans="1:14" x14ac:dyDescent="0.3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</row>
    <row r="1135" spans="1:14" x14ac:dyDescent="0.3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</row>
    <row r="1136" spans="1:14" x14ac:dyDescent="0.3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</row>
    <row r="1137" spans="1:14" x14ac:dyDescent="0.3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</row>
    <row r="1138" spans="1:14" x14ac:dyDescent="0.3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</row>
    <row r="1139" spans="1:14" x14ac:dyDescent="0.3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</row>
    <row r="1140" spans="1:14" x14ac:dyDescent="0.3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</row>
    <row r="1141" spans="1:14" x14ac:dyDescent="0.3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</row>
    <row r="1142" spans="1:14" x14ac:dyDescent="0.3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</row>
    <row r="1143" spans="1:14" x14ac:dyDescent="0.3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</row>
    <row r="1144" spans="1:14" x14ac:dyDescent="0.3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</row>
    <row r="1145" spans="1:14" x14ac:dyDescent="0.3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</row>
    <row r="1146" spans="1:14" x14ac:dyDescent="0.3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</row>
    <row r="1147" spans="1:14" x14ac:dyDescent="0.3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</row>
    <row r="1148" spans="1:14" x14ac:dyDescent="0.3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</row>
    <row r="1149" spans="1:14" x14ac:dyDescent="0.3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</row>
    <row r="1150" spans="1:14" x14ac:dyDescent="0.3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</row>
    <row r="1151" spans="1:14" x14ac:dyDescent="0.3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</row>
    <row r="1152" spans="1:14" x14ac:dyDescent="0.3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</row>
    <row r="1153" spans="1:14" x14ac:dyDescent="0.3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</row>
    <row r="1154" spans="1:14" x14ac:dyDescent="0.3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</row>
    <row r="1155" spans="1:14" x14ac:dyDescent="0.3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</row>
    <row r="1156" spans="1:14" x14ac:dyDescent="0.3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</row>
    <row r="1157" spans="1:14" x14ac:dyDescent="0.3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</row>
    <row r="1158" spans="1:14" x14ac:dyDescent="0.3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</row>
    <row r="1159" spans="1:14" x14ac:dyDescent="0.3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</row>
    <row r="1160" spans="1:14" x14ac:dyDescent="0.3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</row>
    <row r="1161" spans="1:14" x14ac:dyDescent="0.3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</row>
    <row r="1162" spans="1:14" x14ac:dyDescent="0.3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</row>
    <row r="1163" spans="1:14" x14ac:dyDescent="0.3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</row>
    <row r="1164" spans="1:14" x14ac:dyDescent="0.3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</row>
    <row r="1165" spans="1:14" x14ac:dyDescent="0.3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</row>
    <row r="1166" spans="1:14" x14ac:dyDescent="0.3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</row>
    <row r="1167" spans="1:14" x14ac:dyDescent="0.3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</row>
    <row r="1168" spans="1:14" x14ac:dyDescent="0.3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</row>
    <row r="1169" spans="1:14" x14ac:dyDescent="0.3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</row>
    <row r="1170" spans="1:14" x14ac:dyDescent="0.3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</row>
    <row r="1171" spans="1:14" x14ac:dyDescent="0.3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</row>
    <row r="1172" spans="1:14" x14ac:dyDescent="0.3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</row>
    <row r="1173" spans="1:14" x14ac:dyDescent="0.3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</row>
    <row r="1174" spans="1:14" x14ac:dyDescent="0.3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</row>
    <row r="1175" spans="1:14" x14ac:dyDescent="0.3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</row>
    <row r="1176" spans="1:14" x14ac:dyDescent="0.3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</row>
    <row r="1177" spans="1:14" x14ac:dyDescent="0.3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</row>
    <row r="1178" spans="1:14" x14ac:dyDescent="0.3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</row>
    <row r="1179" spans="1:14" x14ac:dyDescent="0.3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</row>
    <row r="1180" spans="1:14" x14ac:dyDescent="0.3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</row>
    <row r="1181" spans="1:14" x14ac:dyDescent="0.3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</row>
    <row r="1182" spans="1:14" x14ac:dyDescent="0.3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</row>
    <row r="1183" spans="1:14" x14ac:dyDescent="0.3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</row>
    <row r="1184" spans="1:14" x14ac:dyDescent="0.3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</row>
    <row r="1185" spans="1:14" x14ac:dyDescent="0.3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</row>
    <row r="1186" spans="1:14" x14ac:dyDescent="0.3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</row>
    <row r="1187" spans="1:14" x14ac:dyDescent="0.3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</row>
    <row r="1188" spans="1:14" x14ac:dyDescent="0.3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</row>
    <row r="1189" spans="1:14" x14ac:dyDescent="0.3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</row>
    <row r="1190" spans="1:14" x14ac:dyDescent="0.3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</row>
    <row r="1191" spans="1:14" x14ac:dyDescent="0.3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</row>
    <row r="1192" spans="1:14" x14ac:dyDescent="0.3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</row>
    <row r="1193" spans="1:14" x14ac:dyDescent="0.3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</row>
    <row r="1194" spans="1:14" x14ac:dyDescent="0.3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</row>
    <row r="1195" spans="1:14" x14ac:dyDescent="0.3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</row>
    <row r="1196" spans="1:14" x14ac:dyDescent="0.3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</row>
    <row r="1197" spans="1:14" x14ac:dyDescent="0.3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</row>
    <row r="1198" spans="1:14" x14ac:dyDescent="0.3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</row>
    <row r="1199" spans="1:14" x14ac:dyDescent="0.3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</row>
    <row r="1200" spans="1:14" x14ac:dyDescent="0.3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</row>
    <row r="1201" spans="1:14" x14ac:dyDescent="0.3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</row>
    <row r="1202" spans="1:14" x14ac:dyDescent="0.3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</row>
    <row r="1203" spans="1:14" x14ac:dyDescent="0.3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</row>
    <row r="1204" spans="1:14" x14ac:dyDescent="0.3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</row>
    <row r="1205" spans="1:14" x14ac:dyDescent="0.3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</row>
    <row r="1206" spans="1:14" x14ac:dyDescent="0.3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</row>
    <row r="1207" spans="1:14" x14ac:dyDescent="0.3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</row>
    <row r="1208" spans="1:14" x14ac:dyDescent="0.3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</row>
    <row r="1209" spans="1:14" x14ac:dyDescent="0.3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</row>
    <row r="1210" spans="1:14" x14ac:dyDescent="0.3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</row>
    <row r="1211" spans="1:14" x14ac:dyDescent="0.3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</row>
    <row r="1212" spans="1:14" x14ac:dyDescent="0.3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</row>
    <row r="1213" spans="1:14" x14ac:dyDescent="0.3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</row>
    <row r="1214" spans="1:14" x14ac:dyDescent="0.3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</row>
    <row r="1215" spans="1:14" x14ac:dyDescent="0.3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</row>
    <row r="1216" spans="1:14" x14ac:dyDescent="0.3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</row>
    <row r="1217" spans="1:14" x14ac:dyDescent="0.3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</row>
    <row r="1218" spans="1:14" x14ac:dyDescent="0.3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</row>
    <row r="1219" spans="1:14" x14ac:dyDescent="0.3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</row>
    <row r="1220" spans="1:14" x14ac:dyDescent="0.3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</row>
    <row r="1221" spans="1:14" x14ac:dyDescent="0.3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</row>
    <row r="1222" spans="1:14" x14ac:dyDescent="0.3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</row>
    <row r="1223" spans="1:14" x14ac:dyDescent="0.3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</row>
    <row r="1224" spans="1:14" x14ac:dyDescent="0.3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"/>
  <sheetViews>
    <sheetView zoomScaleNormal="100" workbookViewId="0">
      <selection activeCell="R16" sqref="R16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5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5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5" t="s">
        <v>5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5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5" t="s">
        <v>6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5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5" t="s">
        <v>7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5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5" t="s">
        <v>8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>DATE(YEAR($B$1),MONTH($B$1),DAY($B$1)+4) + TIME(HOUR($B$1) + E$3,MINUTE($B$1) + 0,SECOND($B$1) + 0)</f>
        <v>41644.333333333336</v>
      </c>
      <c r="F12" s="1">
        <f t="shared" ref="F12:S12" si="8">DATE(YEAR($B$1),MONTH($B$1),DAY($B$1)+4) + TIME(HOUR($B$1) + F$3,MINUTE($B$1) + 0,SECOND($B$1) + 0)</f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ref="T12" si="9">DATE(YEAR($B$1),MONTH($B$1),DAY($B$1)+4) + TIME(HOUR($B$1) + T$3,MINUTE($B$1) + 0,SECOND($B$1) + 0)</f>
        <v>41644.958333333336</v>
      </c>
    </row>
    <row r="13" spans="1:20" x14ac:dyDescent="0.3">
      <c r="A13" s="15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>DATE(YEAR($B$1),MONTH($B$1),DAY($B$1)+4) + TIME(HOUR($B$1) + F$3,MINUTE($B$1) + 0,SECOND($B$1) + 0)</f>
        <v>41644.375</v>
      </c>
      <c r="F13" s="1">
        <f t="shared" ref="F13:S13" si="10">DATE(YEAR($B$1),MONTH($B$1),DAY($B$1)+4) + TIME(HOUR($B$1) + G$3,MINUTE($B$1) + 0,SECOND($B$1) + 0)</f>
        <v>41644.416666666664</v>
      </c>
      <c r="G13" s="1">
        <f t="shared" si="10"/>
        <v>41644.458333333336</v>
      </c>
      <c r="H13" s="1">
        <f t="shared" si="10"/>
        <v>41644.5</v>
      </c>
      <c r="I13" s="1">
        <f t="shared" si="10"/>
        <v>41644.541666666664</v>
      </c>
      <c r="J13" s="1">
        <f t="shared" si="10"/>
        <v>41644.583333333336</v>
      </c>
      <c r="K13" s="1">
        <f t="shared" si="10"/>
        <v>41644.625</v>
      </c>
      <c r="L13" s="1">
        <f t="shared" si="10"/>
        <v>41644.666666666664</v>
      </c>
      <c r="M13" s="1">
        <f t="shared" si="10"/>
        <v>41644.708333333336</v>
      </c>
      <c r="N13" s="1">
        <f t="shared" si="10"/>
        <v>41644.75</v>
      </c>
      <c r="O13" s="1">
        <f t="shared" si="10"/>
        <v>41644.791666666664</v>
      </c>
      <c r="P13" s="1">
        <f t="shared" si="10"/>
        <v>41644.833333333336</v>
      </c>
      <c r="Q13" s="1">
        <f t="shared" si="10"/>
        <v>41644.875</v>
      </c>
      <c r="R13" s="1">
        <f t="shared" si="10"/>
        <v>41644.916666666664</v>
      </c>
      <c r="S13" s="1">
        <f t="shared" si="10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A14" s="15" t="s">
        <v>57</v>
      </c>
      <c r="B14" t="s">
        <v>0</v>
      </c>
      <c r="C14" s="1">
        <f>DATE(YEAR($B$1),MONTH($B$1),DAY($B$1)+5) + TIME(HOUR($B$1) + 0,MINUTE($B$1) + 0,SECOND($B$1) + 0)</f>
        <v>41645</v>
      </c>
      <c r="D14" s="1">
        <f>DATE(YEAR($B$1),MONTH($B$1),DAY($B$1)+5) + TIME(HOUR($B$1) + D$3,MINUTE($B$1) + 0,SECOND($B$1) + 0)</f>
        <v>41645.291666666664</v>
      </c>
      <c r="E14" s="1">
        <f t="shared" ref="E14:S14" si="11">DATE(YEAR($B$1),MONTH($B$1),DAY($B$1)+5) + TIME(HOUR($B$1) + E$3,MINUTE($B$1) + 0,SECOND($B$1) + 0)</f>
        <v>41645.333333333336</v>
      </c>
      <c r="F14" s="1">
        <f t="shared" si="11"/>
        <v>41645.375</v>
      </c>
      <c r="G14" s="1">
        <f t="shared" si="11"/>
        <v>41645.416666666664</v>
      </c>
      <c r="H14" s="1">
        <f t="shared" si="11"/>
        <v>41645.458333333336</v>
      </c>
      <c r="I14" s="1">
        <f t="shared" si="11"/>
        <v>41645.5</v>
      </c>
      <c r="J14" s="1">
        <f t="shared" si="11"/>
        <v>41645.541666666664</v>
      </c>
      <c r="K14" s="1">
        <f t="shared" si="11"/>
        <v>41645.583333333336</v>
      </c>
      <c r="L14" s="1">
        <f t="shared" si="11"/>
        <v>41645.625</v>
      </c>
      <c r="M14" s="1">
        <f t="shared" si="11"/>
        <v>41645.666666666664</v>
      </c>
      <c r="N14" s="1">
        <f t="shared" si="11"/>
        <v>41645.708333333336</v>
      </c>
      <c r="O14" s="1">
        <f t="shared" si="11"/>
        <v>41645.75</v>
      </c>
      <c r="P14" s="1">
        <f t="shared" si="11"/>
        <v>41645.791666666664</v>
      </c>
      <c r="Q14" s="1">
        <f t="shared" si="11"/>
        <v>41645.833333333336</v>
      </c>
      <c r="R14" s="1">
        <f t="shared" si="11"/>
        <v>41645.875</v>
      </c>
      <c r="S14" s="1">
        <f t="shared" si="11"/>
        <v>41645.916666666664</v>
      </c>
      <c r="T14" s="1">
        <f>DATE(YEAR($B$1),MONTH($B$1),DAY($B$1)+5) + TIME(HOUR($B$1) + T$3,MINUTE($B$1) + 0,SECOND($B$1) + 0)</f>
        <v>41645.958333333336</v>
      </c>
    </row>
    <row r="15" spans="1:20" x14ac:dyDescent="0.3">
      <c r="A15" s="15"/>
      <c r="B15" t="s">
        <v>3</v>
      </c>
      <c r="C15" s="1">
        <f>DATE(YEAR($B$1),MONTH($B$1),DAY($B$1)+5) + TIME(HOUR($B$1) + 6,MINUTE($B$1) + 0,SECOND($B$1) + 0)</f>
        <v>41645.25</v>
      </c>
      <c r="D15" s="1">
        <f>DATE(YEAR($B$1),MONTH($B$1),DAY($B$1)+5) + TIME(HOUR($B$1) + E$3,MINUTE($B$1) + 0,SECOND($B$1) + 0)</f>
        <v>41645.333333333336</v>
      </c>
      <c r="E15" s="1">
        <f t="shared" ref="E15:S15" si="12">DATE(YEAR($B$1),MONTH($B$1),DAY($B$1)+5) + TIME(HOUR($B$1) + F$3,MINUTE($B$1) + 0,SECOND($B$1) + 0)</f>
        <v>41645.375</v>
      </c>
      <c r="F15" s="1">
        <f t="shared" si="12"/>
        <v>41645.416666666664</v>
      </c>
      <c r="G15" s="1">
        <f t="shared" si="12"/>
        <v>41645.458333333336</v>
      </c>
      <c r="H15" s="1">
        <f t="shared" si="12"/>
        <v>41645.5</v>
      </c>
      <c r="I15" s="1">
        <f t="shared" si="12"/>
        <v>41645.541666666664</v>
      </c>
      <c r="J15" s="1">
        <f t="shared" si="12"/>
        <v>41645.583333333336</v>
      </c>
      <c r="K15" s="1">
        <f t="shared" si="12"/>
        <v>41645.625</v>
      </c>
      <c r="L15" s="1">
        <f t="shared" si="12"/>
        <v>41645.666666666664</v>
      </c>
      <c r="M15" s="1">
        <f t="shared" si="12"/>
        <v>41645.708333333336</v>
      </c>
      <c r="N15" s="1">
        <f t="shared" si="12"/>
        <v>41645.75</v>
      </c>
      <c r="O15" s="1">
        <f t="shared" si="12"/>
        <v>41645.791666666664</v>
      </c>
      <c r="P15" s="1">
        <f t="shared" si="12"/>
        <v>41645.833333333336</v>
      </c>
      <c r="Q15" s="1">
        <f t="shared" si="12"/>
        <v>41645.875</v>
      </c>
      <c r="R15" s="1">
        <f t="shared" si="12"/>
        <v>41645.916666666664</v>
      </c>
      <c r="S15" s="1">
        <f t="shared" si="12"/>
        <v>41645.958333333336</v>
      </c>
      <c r="T15" s="1">
        <f>DATE(YEAR($B$1),MONTH($B$1),DAY($B$1)+5) + TIME(HOUR($B$1) + 23,MINUTE($B$1) + 59,SECOND($B$1) + 59)</f>
        <v>41645.999988425923</v>
      </c>
    </row>
    <row r="16" spans="1:20" x14ac:dyDescent="0.3">
      <c r="A16" s="15" t="s">
        <v>58</v>
      </c>
      <c r="B16" t="s">
        <v>0</v>
      </c>
      <c r="C16" s="1">
        <f>DATE(YEAR($B$1),MONTH($B$1),DAY($B$1)+6) + TIME(HOUR($B$1) + 0,MINUTE($B$1) + 0,SECOND($B$1) + 0)</f>
        <v>41646</v>
      </c>
      <c r="D16" s="1">
        <f>DATE(YEAR($B$1),MONTH($B$1),DAY($B$1)+6) + TIME(HOUR($B$1) + D$3,MINUTE($B$1) + 0,SECOND($B$1) + 0)</f>
        <v>41646.291666666664</v>
      </c>
      <c r="E16" s="1">
        <f t="shared" ref="E16:S16" si="13">DATE(YEAR($B$1),MONTH($B$1),DAY($B$1)+6) + TIME(HOUR($B$1) + E$3,MINUTE($B$1) + 0,SECOND($B$1) + 0)</f>
        <v>41646.333333333336</v>
      </c>
      <c r="F16" s="1">
        <f t="shared" si="13"/>
        <v>41646.375</v>
      </c>
      <c r="G16" s="1">
        <f t="shared" si="13"/>
        <v>41646.416666666664</v>
      </c>
      <c r="H16" s="1">
        <f t="shared" si="13"/>
        <v>41646.458333333336</v>
      </c>
      <c r="I16" s="1">
        <f t="shared" si="13"/>
        <v>41646.5</v>
      </c>
      <c r="J16" s="1">
        <f t="shared" si="13"/>
        <v>41646.541666666664</v>
      </c>
      <c r="K16" s="1">
        <f t="shared" si="13"/>
        <v>41646.583333333336</v>
      </c>
      <c r="L16" s="1">
        <f t="shared" si="13"/>
        <v>41646.625</v>
      </c>
      <c r="M16" s="1">
        <f t="shared" si="13"/>
        <v>41646.666666666664</v>
      </c>
      <c r="N16" s="1">
        <f t="shared" si="13"/>
        <v>41646.708333333336</v>
      </c>
      <c r="O16" s="1">
        <f t="shared" si="13"/>
        <v>41646.75</v>
      </c>
      <c r="P16" s="1">
        <f t="shared" si="13"/>
        <v>41646.791666666664</v>
      </c>
      <c r="Q16" s="1">
        <f t="shared" si="13"/>
        <v>41646.833333333336</v>
      </c>
      <c r="R16" s="1">
        <f t="shared" si="13"/>
        <v>41646.875</v>
      </c>
      <c r="S16" s="1">
        <f t="shared" si="13"/>
        <v>41646.916666666664</v>
      </c>
      <c r="T16" s="1">
        <f>DATE(YEAR($B$1),MONTH($B$1),DAY($B$1)+6) + TIME(HOUR($B$1) + T$3,MINUTE($B$1) + 0,SECOND($B$1) + 0)</f>
        <v>41646.958333333336</v>
      </c>
    </row>
    <row r="17" spans="1:20" x14ac:dyDescent="0.3">
      <c r="A17" s="15"/>
      <c r="B17" t="s">
        <v>3</v>
      </c>
      <c r="C17" s="1">
        <f>DATE(YEAR($B$1),MONTH($B$1),DAY($B$1)+6) + TIME(HOUR($B$1) + 6,MINUTE($B$1) + 0,SECOND($B$1) + 0)</f>
        <v>41646.25</v>
      </c>
      <c r="D17" s="1">
        <f>DATE(YEAR($B$1),MONTH($B$1),DAY($B$1)+6) + TIME(HOUR($B$1) + E$3,MINUTE($B$1) + 0,SECOND($B$1) + 0)</f>
        <v>41646.333333333336</v>
      </c>
      <c r="E17" s="1">
        <f t="shared" ref="E17:S17" si="14">DATE(YEAR($B$1),MONTH($B$1),DAY($B$1)+6) + TIME(HOUR($B$1) + F$3,MINUTE($B$1) + 0,SECOND($B$1) + 0)</f>
        <v>41646.375</v>
      </c>
      <c r="F17" s="1">
        <f t="shared" si="14"/>
        <v>41646.416666666664</v>
      </c>
      <c r="G17" s="1">
        <f t="shared" si="14"/>
        <v>41646.458333333336</v>
      </c>
      <c r="H17" s="1">
        <f t="shared" si="14"/>
        <v>41646.5</v>
      </c>
      <c r="I17" s="1">
        <f t="shared" si="14"/>
        <v>41646.541666666664</v>
      </c>
      <c r="J17" s="1">
        <f t="shared" si="14"/>
        <v>41646.583333333336</v>
      </c>
      <c r="K17" s="1">
        <f t="shared" si="14"/>
        <v>41646.625</v>
      </c>
      <c r="L17" s="1">
        <f t="shared" si="14"/>
        <v>41646.666666666664</v>
      </c>
      <c r="M17" s="1">
        <f t="shared" si="14"/>
        <v>41646.708333333336</v>
      </c>
      <c r="N17" s="1">
        <f t="shared" si="14"/>
        <v>41646.75</v>
      </c>
      <c r="O17" s="1">
        <f t="shared" si="14"/>
        <v>41646.791666666664</v>
      </c>
      <c r="P17" s="1">
        <f t="shared" si="14"/>
        <v>41646.833333333336</v>
      </c>
      <c r="Q17" s="1">
        <f t="shared" si="14"/>
        <v>41646.875</v>
      </c>
      <c r="R17" s="1">
        <f t="shared" si="14"/>
        <v>41646.916666666664</v>
      </c>
      <c r="S17" s="1">
        <f t="shared" si="14"/>
        <v>41646.958333333336</v>
      </c>
      <c r="T17" s="1">
        <f>DATE(YEAR($B$1),MONTH($B$1),DAY($B$1)+6) + TIME(HOUR($B$1) + 23,MINUTE($B$1) + 59,SECOND($B$1) + 59)</f>
        <v>41646.999988425923</v>
      </c>
    </row>
  </sheetData>
  <mergeCells count="7">
    <mergeCell ref="A14:A15"/>
    <mergeCell ref="A16:A17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1"/>
  <sheetViews>
    <sheetView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averageCompletionTime(Dates!C$4,Dates!C$5, 1)</f>
        <v>0</v>
      </c>
      <c r="D2" s="5">
        <f>averageCompletionTime(Dates!D$4,Dates!D$5, 1)</f>
        <v>0</v>
      </c>
      <c r="E2" s="5">
        <f>averageCompletionTime(Dates!E$4,Dates!E$5, 1)</f>
        <v>0</v>
      </c>
      <c r="F2" s="5">
        <f>averageCompletionTime(Dates!F$4,Dates!F$5, 1)</f>
        <v>0</v>
      </c>
      <c r="G2" s="5">
        <f>averageCompletionTime(Dates!G$4,Dates!G$5, 1)</f>
        <v>0</v>
      </c>
      <c r="H2" s="5">
        <f>averageCompletionTime(Dates!H$4,Dates!H$5, 1)</f>
        <v>0</v>
      </c>
      <c r="I2" s="5">
        <f>averageCompletionTime(Dates!I$4,Dates!I$5, 1)</f>
        <v>0</v>
      </c>
      <c r="J2" s="5">
        <f>averageCompletionTime(Dates!J$4,Dates!J$5, 1)</f>
        <v>0</v>
      </c>
      <c r="K2" s="5">
        <f>averageCompletionTime(Dates!K$4,Dates!K$5, 1)</f>
        <v>0</v>
      </c>
      <c r="L2" s="5">
        <f>averageCompletionTime(Dates!L$4,Dates!L$5, 1)</f>
        <v>0</v>
      </c>
      <c r="M2" s="5">
        <f>averageCompletionTime(Dates!M$4,Dates!M$5, 1)</f>
        <v>0</v>
      </c>
      <c r="N2" s="5">
        <f>averageCompletionTime(Dates!N$4,Dates!N$5, 1)</f>
        <v>0</v>
      </c>
      <c r="O2" s="5">
        <f>averageCompletionTime(Dates!O$4,Dates!O$5, 1)</f>
        <v>0</v>
      </c>
      <c r="P2" s="5">
        <f>averageCompletionTime(Dates!P$4,Dates!P$5, 1)</f>
        <v>0</v>
      </c>
      <c r="Q2" s="5">
        <f>averageCompletionTime(Dates!Q$4,Dates!Q$5, 1)</f>
        <v>0</v>
      </c>
      <c r="R2" s="5">
        <f>averageCompletionTime(Dates!R$4,Dates!R$5, 1)</f>
        <v>0</v>
      </c>
      <c r="S2" s="5">
        <f>averageCompletionTime(Dates!S$4,Dates!S$5, 1)</f>
        <v>0</v>
      </c>
      <c r="T2" s="5">
        <f>averageCompletionTime(Dates!T$4,Dates!T$5, 1)</f>
        <v>0</v>
      </c>
      <c r="U2" s="5">
        <f>averageCompletionTime(Dates!C$4,Dates!T$5, 1)</f>
        <v>0</v>
      </c>
    </row>
    <row r="3" spans="1:22" x14ac:dyDescent="0.3">
      <c r="A3" s="6"/>
      <c r="B3" s="8" t="s">
        <v>49</v>
      </c>
      <c r="C3" s="5">
        <f>averageCompletionTime(Dates!C$4,Dates!C$5, 2)</f>
        <v>0</v>
      </c>
      <c r="D3" s="5">
        <f>averageCompletionTime(Dates!D$4,Dates!D$5, 2)</f>
        <v>0</v>
      </c>
      <c r="E3" s="5">
        <f>averageCompletionTime(Dates!E$4,Dates!E$5, 2)</f>
        <v>0</v>
      </c>
      <c r="F3" s="5">
        <f>averageCompletionTime(Dates!F$4,Dates!F$5, 2)</f>
        <v>0</v>
      </c>
      <c r="G3" s="5">
        <f>averageCompletionTime(Dates!G$4,Dates!G$5, 2)</f>
        <v>0</v>
      </c>
      <c r="H3" s="5">
        <f>averageCompletionTime(Dates!H$4,Dates!H$5, 2)</f>
        <v>0</v>
      </c>
      <c r="I3" s="5">
        <f>averageCompletionTime(Dates!I$4,Dates!I$5, 2)</f>
        <v>0</v>
      </c>
      <c r="J3" s="5">
        <f>averageCompletionTime(Dates!J$4,Dates!J$5, 2)</f>
        <v>0</v>
      </c>
      <c r="K3" s="5">
        <f>averageCompletionTime(Dates!K$4,Dates!K$5, 2)</f>
        <v>0</v>
      </c>
      <c r="L3" s="5">
        <f>averageCompletionTime(Dates!L$4,Dates!L$5, 2)</f>
        <v>0</v>
      </c>
      <c r="M3" s="5">
        <f>averageCompletionTime(Dates!M$4,Dates!M$5, 2)</f>
        <v>0</v>
      </c>
      <c r="N3" s="5">
        <f>averageCompletionTime(Dates!N$4,Dates!N$5, 2)</f>
        <v>0</v>
      </c>
      <c r="O3" s="5">
        <f>averageCompletionTime(Dates!O$4,Dates!O$5, 2)</f>
        <v>0</v>
      </c>
      <c r="P3" s="5">
        <f>averageCompletionTime(Dates!P$4,Dates!P$5, 2)</f>
        <v>0</v>
      </c>
      <c r="Q3" s="5">
        <f>averageCompletionTime(Dates!Q$4,Dates!Q$5, 2)</f>
        <v>0</v>
      </c>
      <c r="R3" s="5">
        <f>averageCompletionTime(Dates!R$4,Dates!R$5, 2)</f>
        <v>0</v>
      </c>
      <c r="S3" s="5">
        <f>averageCompletionTime(Dates!S$4,Dates!S$5, 2)</f>
        <v>0</v>
      </c>
      <c r="T3" s="5">
        <f>averageCompletionTime(Dates!T$4,Dates!T$5, 2)</f>
        <v>0</v>
      </c>
      <c r="U3" s="5">
        <f>averageCompletionTime(Dates!C$4,Dates!T$5, 2)</f>
        <v>0</v>
      </c>
      <c r="V3" s="5"/>
    </row>
    <row r="4" spans="1:22" x14ac:dyDescent="0.3">
      <c r="A4" s="6"/>
      <c r="B4" s="7" t="s">
        <v>50</v>
      </c>
      <c r="C4" s="5">
        <f>averageCompletionTime(Dates!C$4,Dates!C$5, 3)</f>
        <v>0</v>
      </c>
      <c r="D4" s="5">
        <f>averageCompletionTime(Dates!D$4,Dates!D$5, 3)</f>
        <v>0</v>
      </c>
      <c r="E4" s="5">
        <f>averageCompletionTime(Dates!E$4,Dates!E$5, 3)</f>
        <v>0</v>
      </c>
      <c r="F4" s="5">
        <f>averageCompletionTime(Dates!F$4,Dates!F$5, 3)</f>
        <v>0</v>
      </c>
      <c r="G4" s="5">
        <f>averageCompletionTime(Dates!G$4,Dates!G$5, 3)</f>
        <v>0</v>
      </c>
      <c r="H4" s="5">
        <f>averageCompletionTime(Dates!H$4,Dates!H$5, 3)</f>
        <v>0</v>
      </c>
      <c r="I4" s="5">
        <f>averageCompletionTime(Dates!I$4,Dates!I$5, 3)</f>
        <v>0</v>
      </c>
      <c r="J4" s="5">
        <f>averageCompletionTime(Dates!J$4,Dates!J$5, 3)</f>
        <v>0</v>
      </c>
      <c r="K4" s="5">
        <f>averageCompletionTime(Dates!K$4,Dates!K$5, 3)</f>
        <v>0</v>
      </c>
      <c r="L4" s="5">
        <f>averageCompletionTime(Dates!L$4,Dates!L$5, 3)</f>
        <v>0</v>
      </c>
      <c r="M4" s="5">
        <f>averageCompletionTime(Dates!M$4,Dates!M$5, 3)</f>
        <v>0</v>
      </c>
      <c r="N4" s="5">
        <f>averageCompletionTime(Dates!N$4,Dates!N$5, 3)</f>
        <v>0</v>
      </c>
      <c r="O4" s="5">
        <f>averageCompletionTime(Dates!O$4,Dates!O$5, 3)</f>
        <v>0</v>
      </c>
      <c r="P4" s="5">
        <f>averageCompletionTime(Dates!P$4,Dates!P$5, 3)</f>
        <v>0</v>
      </c>
      <c r="Q4" s="5">
        <f>averageCompletionTime(Dates!Q$4,Dates!Q$5, 3)</f>
        <v>0</v>
      </c>
      <c r="R4" s="5">
        <f>averageCompletionTime(Dates!R$4,Dates!R$5, 3)</f>
        <v>0</v>
      </c>
      <c r="S4" s="5">
        <f>averageCompletionTime(Dates!S$4,Dates!S$5, 3)</f>
        <v>0</v>
      </c>
      <c r="T4" s="5">
        <f>averageCompletionTime(Dates!T$4,Dates!T$5, 3)</f>
        <v>0</v>
      </c>
      <c r="U4" s="5">
        <f>averageCompletionTime(Dates!C$4,Dates!T$5, 3)</f>
        <v>0</v>
      </c>
    </row>
    <row r="5" spans="1:22" x14ac:dyDescent="0.3">
      <c r="A5" s="6"/>
      <c r="B5" s="7" t="s">
        <v>11</v>
      </c>
      <c r="C5" s="5">
        <f>averageResponseTime(Dates!C$4,Dates!C$5, 1)</f>
        <v>0</v>
      </c>
      <c r="D5" s="5">
        <f>averageResponseTime(Dates!D$4,Dates!D$5, 1)</f>
        <v>0</v>
      </c>
      <c r="E5" s="5">
        <f>averageResponseTime(Dates!E$4,Dates!E$5, 1)</f>
        <v>0</v>
      </c>
      <c r="F5" s="5">
        <f>averageResponseTime(Dates!F$4,Dates!F$5, 1)</f>
        <v>0</v>
      </c>
      <c r="G5" s="5">
        <f>averageResponseTime(Dates!G$4,Dates!G$5, 1)</f>
        <v>0</v>
      </c>
      <c r="H5" s="5">
        <f>averageResponseTime(Dates!H$4,Dates!H$5, 1)</f>
        <v>0</v>
      </c>
      <c r="I5" s="5">
        <f>averageResponseTime(Dates!I$4,Dates!I$5, 1)</f>
        <v>0</v>
      </c>
      <c r="J5" s="5">
        <f>averageResponseTime(Dates!J$4,Dates!J$5, 1)</f>
        <v>0</v>
      </c>
      <c r="K5" s="5">
        <f>averageResponseTime(Dates!K$4,Dates!K$5, 1)</f>
        <v>0</v>
      </c>
      <c r="L5" s="5">
        <f>averageResponseTime(Dates!L$4,Dates!L$5, 1)</f>
        <v>0</v>
      </c>
      <c r="M5" s="5">
        <f>averageResponseTime(Dates!M$4,Dates!M$5, 1)</f>
        <v>0</v>
      </c>
      <c r="N5" s="5">
        <f>averageResponseTime(Dates!N$4,Dates!N$5, 1)</f>
        <v>0</v>
      </c>
      <c r="O5" s="5">
        <f>averageResponseTime(Dates!O$4,Dates!O$5, 1)</f>
        <v>0</v>
      </c>
      <c r="P5" s="5">
        <f>averageResponseTime(Dates!P$4,Dates!P$5, 1)</f>
        <v>0</v>
      </c>
      <c r="Q5" s="5">
        <f>averageResponseTime(Dates!Q$4,Dates!Q$5, 1)</f>
        <v>0</v>
      </c>
      <c r="R5" s="5">
        <f>averageResponseTime(Dates!R$4,Dates!R$5, 1)</f>
        <v>0</v>
      </c>
      <c r="S5" s="5">
        <f>averageResponseTime(Dates!S$4,Dates!S$5, 1)</f>
        <v>0</v>
      </c>
      <c r="T5" s="5">
        <f>averageResponseTime(Dates!T$4,Dates!T$5, 1)</f>
        <v>0</v>
      </c>
      <c r="U5" s="5">
        <f>averageResponseTime(Dates!C$4,Dates!T$5, 1)</f>
        <v>0</v>
      </c>
    </row>
    <row r="6" spans="1:22" x14ac:dyDescent="0.3">
      <c r="A6" s="6"/>
      <c r="B6" s="7" t="s">
        <v>51</v>
      </c>
      <c r="C6" s="5">
        <f>averageResponseTime(Dates!C$4,Dates!C$5, 2)</f>
        <v>0</v>
      </c>
      <c r="D6" s="5">
        <f>averageResponseTime(Dates!D$4,Dates!D$5, 2)</f>
        <v>0</v>
      </c>
      <c r="E6" s="5">
        <f>averageResponseTime(Dates!E$4,Dates!E$5, 2)</f>
        <v>0</v>
      </c>
      <c r="F6" s="5">
        <f>averageResponseTime(Dates!F$4,Dates!F$5, 2)</f>
        <v>0</v>
      </c>
      <c r="G6" s="5">
        <f>averageResponseTime(Dates!G$4,Dates!G$5, 2)</f>
        <v>0</v>
      </c>
      <c r="H6" s="5">
        <f>averageResponseTime(Dates!H$4,Dates!H$5, 2)</f>
        <v>0</v>
      </c>
      <c r="I6" s="5">
        <f>averageResponseTime(Dates!I$4,Dates!I$5, 2)</f>
        <v>0</v>
      </c>
      <c r="J6" s="5">
        <f>averageResponseTime(Dates!J$4,Dates!J$5, 2)</f>
        <v>0</v>
      </c>
      <c r="K6" s="5">
        <f>averageResponseTime(Dates!K$4,Dates!K$5, 2)</f>
        <v>0</v>
      </c>
      <c r="L6" s="5">
        <f>averageResponseTime(Dates!L$4,Dates!L$5, 2)</f>
        <v>0</v>
      </c>
      <c r="M6" s="5">
        <f>averageResponseTime(Dates!M$4,Dates!M$5, 2)</f>
        <v>0</v>
      </c>
      <c r="N6" s="5">
        <f>averageResponseTime(Dates!N$4,Dates!N$5, 2)</f>
        <v>0</v>
      </c>
      <c r="O6" s="5">
        <f>averageResponseTime(Dates!O$4,Dates!O$5, 2)</f>
        <v>0</v>
      </c>
      <c r="P6" s="5">
        <f>averageResponseTime(Dates!P$4,Dates!P$5, 2)</f>
        <v>0</v>
      </c>
      <c r="Q6" s="5">
        <f>averageResponseTime(Dates!Q$4,Dates!Q$5, 2)</f>
        <v>0</v>
      </c>
      <c r="R6" s="5">
        <f>averageResponseTime(Dates!R$4,Dates!R$5, 2)</f>
        <v>0</v>
      </c>
      <c r="S6" s="5">
        <f>averageResponseTime(Dates!S$4,Dates!S$5, 2)</f>
        <v>0</v>
      </c>
      <c r="T6" s="5">
        <f>averageResponseTime(Dates!T$4,Dates!T$5, 2)</f>
        <v>0</v>
      </c>
      <c r="U6" s="5">
        <f>averageResponseTime(Dates!C$4,Dates!T$5, 2)</f>
        <v>0</v>
      </c>
    </row>
    <row r="7" spans="1:22" x14ac:dyDescent="0.3">
      <c r="A7" s="6"/>
      <c r="B7" s="7" t="s">
        <v>52</v>
      </c>
      <c r="C7" s="5">
        <f>averageResponseTime(Dates!C$4,Dates!C$5, 3)</f>
        <v>0</v>
      </c>
      <c r="D7" s="5">
        <f>averageResponseTime(Dates!D$4,Dates!D$5, 3)</f>
        <v>0</v>
      </c>
      <c r="E7" s="5">
        <f>averageResponseTime(Dates!E$4,Dates!E$5, 3)</f>
        <v>0</v>
      </c>
      <c r="F7" s="5">
        <f>averageResponseTime(Dates!F$4,Dates!F$5, 3)</f>
        <v>0</v>
      </c>
      <c r="G7" s="5">
        <f>averageResponseTime(Dates!G$4,Dates!G$5, 3)</f>
        <v>0</v>
      </c>
      <c r="H7" s="5">
        <f>averageResponseTime(Dates!H$4,Dates!H$5, 3)</f>
        <v>0</v>
      </c>
      <c r="I7" s="5">
        <f>averageResponseTime(Dates!I$4,Dates!I$5, 3)</f>
        <v>0</v>
      </c>
      <c r="J7" s="5">
        <f>averageResponseTime(Dates!J$4,Dates!J$5, 3)</f>
        <v>0</v>
      </c>
      <c r="K7" s="5">
        <f>averageResponseTime(Dates!K$4,Dates!K$5, 3)</f>
        <v>0</v>
      </c>
      <c r="L7" s="5">
        <f>averageResponseTime(Dates!L$4,Dates!L$5, 3)</f>
        <v>0</v>
      </c>
      <c r="M7" s="5">
        <f>averageResponseTime(Dates!M$4,Dates!M$5, 3)</f>
        <v>0</v>
      </c>
      <c r="N7" s="5">
        <f>averageResponseTime(Dates!N$4,Dates!N$5, 3)</f>
        <v>0</v>
      </c>
      <c r="O7" s="5">
        <f>averageResponseTime(Dates!O$4,Dates!O$5, 3)</f>
        <v>0</v>
      </c>
      <c r="P7" s="5">
        <f>averageResponseTime(Dates!P$4,Dates!P$5, 3)</f>
        <v>0</v>
      </c>
      <c r="Q7" s="5">
        <f>averageResponseTime(Dates!Q$4,Dates!Q$5, 3)</f>
        <v>0</v>
      </c>
      <c r="R7" s="5">
        <f>averageResponseTime(Dates!R$4,Dates!R$5, 3)</f>
        <v>0</v>
      </c>
      <c r="S7" s="5">
        <f>averageResponseTime(Dates!S$4,Dates!S$5, 3)</f>
        <v>0</v>
      </c>
      <c r="T7" s="5">
        <f>averageResponseTime(Dates!T$4,Dates!T$5, 3)</f>
        <v>0</v>
      </c>
      <c r="U7" s="5">
        <f>averageResponseTime(Dates!C$4,Dates!T$5, 3)</f>
        <v>0</v>
      </c>
    </row>
    <row r="8" spans="1:22" x14ac:dyDescent="0.3">
      <c r="A8" s="6"/>
      <c r="B8" s="7" t="s">
        <v>53</v>
      </c>
      <c r="C8" s="5">
        <f>averageInProgressTime(Dates!C$4,Dates!C$5, 1)</f>
        <v>0</v>
      </c>
      <c r="D8" s="5">
        <f>averageInProgressTime(Dates!D$4,Dates!D$5, 1)</f>
        <v>0</v>
      </c>
      <c r="E8" s="5">
        <f>averageInProgressTime(Dates!E$4,Dates!E$5, 1)</f>
        <v>0</v>
      </c>
      <c r="F8" s="5">
        <f>averageInProgressTime(Dates!F$4,Dates!F$5, 1)</f>
        <v>0</v>
      </c>
      <c r="G8" s="5">
        <f>averageInProgressTime(Dates!G$4,Dates!G$5, 1)</f>
        <v>0</v>
      </c>
      <c r="H8" s="5">
        <f>averageInProgressTime(Dates!H$4,Dates!H$5, 1)</f>
        <v>0</v>
      </c>
      <c r="I8" s="5">
        <f>averageInProgressTime(Dates!I$4,Dates!I$5, 1)</f>
        <v>0</v>
      </c>
      <c r="J8" s="5">
        <f>averageInProgressTime(Dates!J$4,Dates!J$5, 1)</f>
        <v>0</v>
      </c>
      <c r="K8" s="5">
        <f>averageInProgressTime(Dates!K$4,Dates!K$5, 1)</f>
        <v>0</v>
      </c>
      <c r="L8" s="5">
        <f>averageInProgressTime(Dates!L$4,Dates!L$5, 1)</f>
        <v>0</v>
      </c>
      <c r="M8" s="5">
        <f>averageInProgressTime(Dates!M$4,Dates!M$5, 1)</f>
        <v>0</v>
      </c>
      <c r="N8" s="5">
        <f>averageInProgressTime(Dates!N$4,Dates!N$5, 1)</f>
        <v>0</v>
      </c>
      <c r="O8" s="5">
        <f>averageInProgressTime(Dates!O$4,Dates!O$5, 1)</f>
        <v>0</v>
      </c>
      <c r="P8" s="5">
        <f>averageInProgressTime(Dates!P$4,Dates!P$5, 1)</f>
        <v>0</v>
      </c>
      <c r="Q8" s="5">
        <f>averageInProgressTime(Dates!Q$4,Dates!Q$5, 1)</f>
        <v>0</v>
      </c>
      <c r="R8" s="5">
        <f>averageInProgressTime(Dates!R$4,Dates!R$5, 1)</f>
        <v>0</v>
      </c>
      <c r="S8" s="5">
        <f>averageInProgressTime(Dates!S$4,Dates!S$5, 1)</f>
        <v>0</v>
      </c>
      <c r="T8" s="5">
        <f>averageInProgressTime(Dates!T$4,Dates!T$5, 1)</f>
        <v>0</v>
      </c>
      <c r="U8" s="5">
        <f>averageInProgressTime(Dates!C$4,Dates!T$5, 1)</f>
        <v>0</v>
      </c>
    </row>
    <row r="9" spans="1:22" x14ac:dyDescent="0.3">
      <c r="A9" s="6"/>
      <c r="B9" s="7" t="s">
        <v>54</v>
      </c>
      <c r="C9" s="5">
        <f>averageInProgressTime(Dates!C$4,Dates!C$5, 2)</f>
        <v>0</v>
      </c>
      <c r="D9" s="5">
        <f>averageInProgressTime(Dates!D$4,Dates!D$5, 2)</f>
        <v>0</v>
      </c>
      <c r="E9" s="5">
        <f>averageInProgressTime(Dates!E$4,Dates!E$5, 2)</f>
        <v>0</v>
      </c>
      <c r="F9" s="5">
        <f>averageInProgressTime(Dates!F$4,Dates!F$5, 2)</f>
        <v>0</v>
      </c>
      <c r="G9" s="5">
        <f>averageInProgressTime(Dates!G$4,Dates!G$5, 2)</f>
        <v>0</v>
      </c>
      <c r="H9" s="5">
        <f>averageInProgressTime(Dates!H$4,Dates!H$5, 2)</f>
        <v>0</v>
      </c>
      <c r="I9" s="5">
        <f>averageInProgressTime(Dates!I$4,Dates!I$5, 2)</f>
        <v>0</v>
      </c>
      <c r="J9" s="5">
        <f>averageInProgressTime(Dates!J$4,Dates!J$5, 2)</f>
        <v>0</v>
      </c>
      <c r="K9" s="5">
        <f>averageInProgressTime(Dates!K$4,Dates!K$5, 2)</f>
        <v>0</v>
      </c>
      <c r="L9" s="5">
        <f>averageInProgressTime(Dates!L$4,Dates!L$5, 2)</f>
        <v>0</v>
      </c>
      <c r="M9" s="5">
        <f>averageInProgressTime(Dates!M$4,Dates!M$5, 2)</f>
        <v>0</v>
      </c>
      <c r="N9" s="5">
        <f>averageInProgressTime(Dates!N$4,Dates!N$5, 2)</f>
        <v>0</v>
      </c>
      <c r="O9" s="5">
        <f>averageInProgressTime(Dates!O$4,Dates!O$5, 2)</f>
        <v>0</v>
      </c>
      <c r="P9" s="5">
        <f>averageInProgressTime(Dates!P$4,Dates!P$5, 2)</f>
        <v>0</v>
      </c>
      <c r="Q9" s="5">
        <f>averageInProgressTime(Dates!Q$4,Dates!Q$5, 2)</f>
        <v>0</v>
      </c>
      <c r="R9" s="5">
        <f>averageInProgressTime(Dates!R$4,Dates!R$5, 2)</f>
        <v>0</v>
      </c>
      <c r="S9" s="5">
        <f>averageInProgressTime(Dates!S$4,Dates!S$5, 2)</f>
        <v>0</v>
      </c>
      <c r="T9" s="5">
        <f>averageInProgressTime(Dates!T$4,Dates!T$5, 2)</f>
        <v>0</v>
      </c>
      <c r="U9" s="5">
        <f>averageInProgressTime(Dates!C$4,Dates!T$5, 2)</f>
        <v>0</v>
      </c>
    </row>
    <row r="10" spans="1:22" x14ac:dyDescent="0.3">
      <c r="A10" s="6"/>
      <c r="B10" s="7" t="s">
        <v>55</v>
      </c>
      <c r="C10" s="5">
        <f>averageInProgressTime(Dates!C$4,Dates!C$5, 3)</f>
        <v>0</v>
      </c>
      <c r="D10" s="5">
        <f>averageInProgressTime(Dates!D$4,Dates!D$5, 3)</f>
        <v>0</v>
      </c>
      <c r="E10" s="5">
        <f>averageInProgressTime(Dates!E$4,Dates!E$5, 3)</f>
        <v>0</v>
      </c>
      <c r="F10" s="5">
        <f>averageInProgressTime(Dates!F$4,Dates!F$5, 3)</f>
        <v>0</v>
      </c>
      <c r="G10" s="5">
        <f>averageInProgressTime(Dates!G$4,Dates!G$5, 3)</f>
        <v>0</v>
      </c>
      <c r="H10" s="5">
        <f>averageInProgressTime(Dates!H$4,Dates!H$5, 3)</f>
        <v>0</v>
      </c>
      <c r="I10" s="5">
        <f>averageInProgressTime(Dates!I$4,Dates!I$5, 3)</f>
        <v>0</v>
      </c>
      <c r="J10" s="5">
        <f>averageInProgressTime(Dates!J$4,Dates!J$5, 3)</f>
        <v>0</v>
      </c>
      <c r="K10" s="5">
        <f>averageInProgressTime(Dates!K$4,Dates!K$5, 3)</f>
        <v>0</v>
      </c>
      <c r="L10" s="5">
        <f>averageInProgressTime(Dates!L$4,Dates!L$5, 3)</f>
        <v>0</v>
      </c>
      <c r="M10" s="5">
        <f>averageInProgressTime(Dates!M$4,Dates!M$5, 3)</f>
        <v>0</v>
      </c>
      <c r="N10" s="5">
        <f>averageInProgressTime(Dates!N$4,Dates!N$5, 3)</f>
        <v>0</v>
      </c>
      <c r="O10" s="5">
        <f>averageInProgressTime(Dates!O$4,Dates!O$5, 3)</f>
        <v>0</v>
      </c>
      <c r="P10" s="5">
        <f>averageInProgressTime(Dates!P$4,Dates!P$5, 3)</f>
        <v>0</v>
      </c>
      <c r="Q10" s="5">
        <f>averageInProgressTime(Dates!Q$4,Dates!Q$5, 3)</f>
        <v>0</v>
      </c>
      <c r="R10" s="5">
        <f>averageInProgressTime(Dates!R$4,Dates!R$5, 3)</f>
        <v>0</v>
      </c>
      <c r="S10" s="5">
        <f>averageInProgressTime(Dates!S$4,Dates!S$5, 3)</f>
        <v>0</v>
      </c>
      <c r="T10" s="5">
        <f>averageInProgressTime(Dates!T$4,Dates!T$5, 3)</f>
        <v>0</v>
      </c>
      <c r="U10" s="5">
        <f>averageInProgressTime(Dates!C$4,Dates!T$5, 3)</f>
        <v>0</v>
      </c>
    </row>
    <row r="11" spans="1:22" x14ac:dyDescent="0.3">
      <c r="A11" s="6"/>
      <c r="B11" s="7" t="s">
        <v>63</v>
      </c>
      <c r="C11">
        <f>totalNumberOfJobsCompleted(Dates!C$4,Dates!C$5)</f>
        <v>0</v>
      </c>
      <c r="D11">
        <f>totalNumberOfJobsCompleted(Dates!D$4,Dates!D$5)</f>
        <v>0</v>
      </c>
      <c r="E11">
        <f>totalNumberOfJobsCompleted(Dates!E$4,Dates!E$5)</f>
        <v>0</v>
      </c>
      <c r="F11">
        <f>totalNumberOfJobsCompleted(Dates!F$4,Dates!F$5)</f>
        <v>0</v>
      </c>
      <c r="G11">
        <f>totalNumberOfJobsCompleted(Dates!G$4,Dates!G$5)</f>
        <v>0</v>
      </c>
      <c r="H11">
        <f>totalNumberOfJobsCompleted(Dates!H$4,Dates!H$5)</f>
        <v>0</v>
      </c>
      <c r="I11">
        <f>totalNumberOfJobsCompleted(Dates!I$4,Dates!I$5)</f>
        <v>0</v>
      </c>
      <c r="J11">
        <f>totalNumberOfJobsCompleted(Dates!J$4,Dates!J$5)</f>
        <v>0</v>
      </c>
      <c r="K11">
        <f>totalNumberOfJobsCompleted(Dates!K$4,Dates!K$5)</f>
        <v>0</v>
      </c>
      <c r="L11">
        <f>totalNumberOfJobsCompleted(Dates!L$4,Dates!L$5)</f>
        <v>0</v>
      </c>
      <c r="M11">
        <f>totalNumberOfJobsCompleted(Dates!M$4,Dates!M$5)</f>
        <v>0</v>
      </c>
      <c r="N11">
        <f>totalNumberOfJobsCompleted(Dates!N$4,Dates!N$5)</f>
        <v>0</v>
      </c>
      <c r="O11">
        <f>totalNumberOfJobsCompleted(Dates!O$4,Dates!O$5)</f>
        <v>0</v>
      </c>
      <c r="P11">
        <f>totalNumberOfJobsCompleted(Dates!P$4,Dates!P$5)</f>
        <v>0</v>
      </c>
      <c r="Q11">
        <f>totalNumberOfJobsCompleted(Dates!Q$4,Dates!Q$5)</f>
        <v>0</v>
      </c>
      <c r="R11">
        <f>totalNumberOfJobsCompleted(Dates!R$4,Dates!R$5)</f>
        <v>0</v>
      </c>
      <c r="S11">
        <f>totalNumberOfJobsCompleted(Dates!S$4,Dates!S$5)</f>
        <v>0</v>
      </c>
      <c r="T11">
        <f>totalNumberOfJobsCompleted(Dates!T$4,Dates!T$5)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pendingJobs(Dates!C$5)</f>
        <v>0</v>
      </c>
      <c r="D12">
        <f>pendingJobs(Dates!D$5)</f>
        <v>0</v>
      </c>
      <c r="E12">
        <f>pendingJobs(Dates!E$5)</f>
        <v>0</v>
      </c>
      <c r="F12">
        <f>pendingJobs(Dates!F$5)</f>
        <v>0</v>
      </c>
      <c r="G12">
        <f>pendingJobs(Dates!G$5)</f>
        <v>0</v>
      </c>
      <c r="H12">
        <f>pendingJobs(Dates!H$5)</f>
        <v>0</v>
      </c>
      <c r="I12">
        <f>pendingJobs(Dates!I$5)</f>
        <v>0</v>
      </c>
      <c r="J12">
        <f>pendingJobs(Dates!J$5)</f>
        <v>0</v>
      </c>
      <c r="K12">
        <f>pendingJobs(Dates!K$5)</f>
        <v>0</v>
      </c>
      <c r="L12">
        <f>pendingJobs(Dates!L$5)</f>
        <v>0</v>
      </c>
      <c r="M12">
        <f>pendingJobs(Dates!M$5)</f>
        <v>0</v>
      </c>
      <c r="N12">
        <f>pendingJobs(Dates!N$5)</f>
        <v>0</v>
      </c>
      <c r="O12">
        <f>pendingJobs(Dates!O$5)</f>
        <v>0</v>
      </c>
      <c r="P12">
        <f>pendingJobs(Dates!P$5)</f>
        <v>0</v>
      </c>
      <c r="Q12">
        <f>pendingJobs(Dates!Q$5)</f>
        <v>0</v>
      </c>
      <c r="R12">
        <f>pendingJobs(Dates!R$5)</f>
        <v>0</v>
      </c>
      <c r="S12">
        <f>pendingJobs(Dates!S$5)</f>
        <v>0</v>
      </c>
      <c r="T12">
        <f>pendingJobs(Dates!T$5)</f>
        <v>0</v>
      </c>
      <c r="U12" s="5"/>
    </row>
    <row r="13" spans="1:22" x14ac:dyDescent="0.3">
      <c r="A13" s="6"/>
      <c r="B13" s="7" t="s">
        <v>48</v>
      </c>
      <c r="C13">
        <f>cancelledJobs(Dates!$C$4,Dates!C$5)</f>
        <v>0</v>
      </c>
      <c r="D13">
        <f>cancelledJobs(Dates!$C$4,Dates!D$5)</f>
        <v>0</v>
      </c>
      <c r="E13">
        <f>cancelledJobs(Dates!$C$4,Dates!E$5)</f>
        <v>0</v>
      </c>
      <c r="F13">
        <f>cancelledJobs(Dates!$C$4,Dates!F$5)</f>
        <v>0</v>
      </c>
      <c r="G13">
        <f>cancelledJobs(Dates!$C$4,Dates!G$5)</f>
        <v>0</v>
      </c>
      <c r="H13">
        <f>cancelledJobs(Dates!$C$4,Dates!H$5)</f>
        <v>0</v>
      </c>
      <c r="I13">
        <f>cancelledJobs(Dates!$C$4,Dates!I$5)</f>
        <v>0</v>
      </c>
      <c r="J13">
        <f>cancelledJobs(Dates!$C$4,Dates!J$5)</f>
        <v>0</v>
      </c>
      <c r="K13">
        <f>cancelledJobs(Dates!$C$4,Dates!K$5)</f>
        <v>0</v>
      </c>
      <c r="L13">
        <f>cancelledJobs(Dates!$C$4,Dates!L$5)</f>
        <v>0</v>
      </c>
      <c r="M13">
        <f>cancelledJobs(Dates!$C$4,Dates!M$5)</f>
        <v>0</v>
      </c>
      <c r="N13">
        <f>cancelledJobs(Dates!$C$4,Dates!N$5)</f>
        <v>0</v>
      </c>
      <c r="O13">
        <f>cancelledJobs(Dates!$C$4,Dates!O$5)</f>
        <v>0</v>
      </c>
      <c r="P13">
        <f>cancelledJobs(Dates!$C$4,Dates!P$5)</f>
        <v>0</v>
      </c>
      <c r="Q13">
        <f>cancelledJobs(Dates!$C$4,Dates!Q$5)</f>
        <v>0</v>
      </c>
      <c r="R13">
        <f>cancelledJobs(Dates!$C$4,Dates!R$5)</f>
        <v>0</v>
      </c>
      <c r="S13">
        <f>cancelledJobs(Dates!$C$4,Dates!S$5)</f>
        <v>0</v>
      </c>
      <c r="T13">
        <f>cancelledJobs(Dates!$C$4,Dates!T$5)</f>
        <v>0</v>
      </c>
      <c r="U13" s="5"/>
    </row>
    <row r="14" spans="1:22" x14ac:dyDescent="0.3">
      <c r="B14" s="7" t="s">
        <v>64</v>
      </c>
      <c r="C14">
        <f>createdJobs(Dates!C$4,Dates!C$5)</f>
        <v>0</v>
      </c>
      <c r="D14">
        <f>createdJobs(Dates!D$4,Dates!D$5)</f>
        <v>0</v>
      </c>
      <c r="E14">
        <f ca="1">createdJobs(Dates!E$4,Dates!E$5)</f>
        <v>0</v>
      </c>
      <c r="F14">
        <f ca="1">createdJobs(Dates!F$4,Dates!F$5)</f>
        <v>0</v>
      </c>
      <c r="G14">
        <f ca="1">createdJobs(Dates!G$4,Dates!G$5)</f>
        <v>0</v>
      </c>
      <c r="H14">
        <f ca="1">createdJobs(Dates!H$4,Dates!H$5)</f>
        <v>0</v>
      </c>
      <c r="I14">
        <f ca="1">createdJobs(Dates!I$4,Dates!I$5)</f>
        <v>0</v>
      </c>
      <c r="J14">
        <f ca="1">createdJobs(Dates!J$4,Dates!J$5)</f>
        <v>0</v>
      </c>
      <c r="K14">
        <f ca="1">createdJobs(Dates!K$4,Dates!K$5)</f>
        <v>0</v>
      </c>
      <c r="L14">
        <f ca="1">createdJobs(Dates!L$4,Dates!L$5)</f>
        <v>0</v>
      </c>
      <c r="M14">
        <f ca="1">createdJobs(Dates!M$4,Dates!M$5)</f>
        <v>0</v>
      </c>
      <c r="N14">
        <f ca="1">createdJobs(Dates!N$4,Dates!N$5)</f>
        <v>0</v>
      </c>
      <c r="O14">
        <f ca="1">createdJobs(Dates!O$4,Dates!O$5)</f>
        <v>0</v>
      </c>
      <c r="P14">
        <f ca="1">createdJobs(Dates!P$4,Dates!P$5)</f>
        <v>0</v>
      </c>
      <c r="Q14">
        <f ca="1">createdJobs(Dates!Q$4,Dates!Q$5)</f>
        <v>0</v>
      </c>
      <c r="R14">
        <f ca="1">createdJobs(Dates!R$4,Dates!R$5)</f>
        <v>0</v>
      </c>
      <c r="S14">
        <f ca="1">createdJobs(Dates!S$4,Dates!S$5)</f>
        <v>0</v>
      </c>
      <c r="T14">
        <f ca="1">createdJobs(Dates!T$4,Dates!T$5)</f>
        <v>0</v>
      </c>
    </row>
    <row r="15" spans="1:22" x14ac:dyDescent="0.3">
      <c r="B15" s="7" t="s">
        <v>62</v>
      </c>
      <c r="C15">
        <f ca="1">respondedJobs(Dates!C$4,Dates!C$5)</f>
        <v>0</v>
      </c>
      <c r="D15">
        <f ca="1">respondedJobs(Dates!D$4,Dates!D$5)</f>
        <v>0</v>
      </c>
      <c r="E15">
        <f ca="1">respondedJobs(Dates!E$4,Dates!E$5)</f>
        <v>0</v>
      </c>
      <c r="F15">
        <f ca="1">respondedJobs(Dates!F$4,Dates!F$5)</f>
        <v>0</v>
      </c>
      <c r="G15">
        <f ca="1">respondedJobs(Dates!G$4,Dates!G$5)</f>
        <v>0</v>
      </c>
      <c r="H15">
        <f ca="1">respondedJobs(Dates!H$4,Dates!H$5)</f>
        <v>0</v>
      </c>
      <c r="I15">
        <f ca="1">respondedJobs(Dates!I$4,Dates!I$5)</f>
        <v>0</v>
      </c>
      <c r="J15">
        <f ca="1">respondedJobs(Dates!J$4,Dates!J$5)</f>
        <v>0</v>
      </c>
      <c r="K15">
        <f ca="1">respondedJobs(Dates!K$4,Dates!K$5)</f>
        <v>0</v>
      </c>
      <c r="L15">
        <f ca="1">respondedJobs(Dates!L$4,Dates!L$5)</f>
        <v>0</v>
      </c>
      <c r="M15">
        <f ca="1">respondedJobs(Dates!M$4,Dates!M$5)</f>
        <v>0</v>
      </c>
      <c r="N15">
        <f ca="1">respondedJobs(Dates!N$4,Dates!N$5)</f>
        <v>0</v>
      </c>
      <c r="O15">
        <f ca="1">createdJobs(Dates!O$4,Dates!O$5)</f>
        <v>0</v>
      </c>
      <c r="P15">
        <f>respondedJobs(Dates!P$4,Dates!P$5)</f>
        <v>0</v>
      </c>
      <c r="Q15">
        <f ca="1">respondedJobs(Dates!Q$4,Dates!Q$5)</f>
        <v>0</v>
      </c>
      <c r="R15">
        <f ca="1">respondedJobs(Dates!R$4,Dates!R$5)</f>
        <v>0</v>
      </c>
      <c r="S15">
        <f ca="1">respondedJobs(Dates!S$4,Dates!S$5)</f>
        <v>0</v>
      </c>
      <c r="T15">
        <f ca="1">respondedJobs(Dates!T$4,Dates!T$5)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averageCompletionTime(Dates!C$6,Dates!C$7, 1)</f>
        <v>0</v>
      </c>
      <c r="D2" s="5">
        <f>averageCompletionTime(Dates!D$6,Dates!D$7, 1)</f>
        <v>0</v>
      </c>
      <c r="E2" s="5">
        <f>averageCompletionTime(Dates!E$6,Dates!E$7, 1)</f>
        <v>0</v>
      </c>
      <c r="F2" s="5">
        <f>averageCompletionTime(Dates!F$6,Dates!F$7, 1)</f>
        <v>0</v>
      </c>
      <c r="G2" s="5">
        <f>averageCompletionTime(Dates!G$6,Dates!G$7, 1)</f>
        <v>0</v>
      </c>
      <c r="H2" s="5">
        <f>averageCompletionTime(Dates!H$6,Dates!H$7, 1)</f>
        <v>0</v>
      </c>
      <c r="I2" s="5">
        <f>averageCompletionTime(Dates!I$6,Dates!I$7, 1)</f>
        <v>0</v>
      </c>
      <c r="J2" s="5">
        <f>averageCompletionTime(Dates!J$6,Dates!J$7, 1)</f>
        <v>0</v>
      </c>
      <c r="K2" s="5">
        <f>averageCompletionTime(Dates!K$6,Dates!K$7, 1)</f>
        <v>0</v>
      </c>
      <c r="L2" s="5">
        <f>averageCompletionTime(Dates!L$6,Dates!L$7, 1)</f>
        <v>0</v>
      </c>
      <c r="M2" s="5">
        <f>averageCompletionTime(Dates!M$6,Dates!M$7, 1)</f>
        <v>0</v>
      </c>
      <c r="N2" s="5">
        <f>averageCompletionTime(Dates!N$6,Dates!N$7, 1)</f>
        <v>0</v>
      </c>
      <c r="O2" s="5">
        <f>averageCompletionTime(Dates!O$6,Dates!O$7, 1)</f>
        <v>0</v>
      </c>
      <c r="P2" s="5">
        <f>averageCompletionTime(Dates!P$6,Dates!P$7, 1)</f>
        <v>0</v>
      </c>
      <c r="Q2" s="5">
        <f>averageCompletionTime(Dates!Q$6,Dates!Q$7, 1)</f>
        <v>0</v>
      </c>
      <c r="R2" s="5">
        <f>averageCompletionTime(Dates!R$6,Dates!R$7, 1)</f>
        <v>0</v>
      </c>
      <c r="S2" s="5">
        <f>averageCompletionTime(Dates!S$6,Dates!S$7, 1)</f>
        <v>0</v>
      </c>
      <c r="T2" s="5">
        <f>averageCompletionTime(Dates!T$6,Dates!T$7, 1)</f>
        <v>0</v>
      </c>
      <c r="U2" s="5">
        <f>averageCompletionTime(Dates!C$6,Dates!T$7, 1)</f>
        <v>0</v>
      </c>
    </row>
    <row r="3" spans="1:22" x14ac:dyDescent="0.3">
      <c r="A3" s="6"/>
      <c r="B3" s="8" t="s">
        <v>49</v>
      </c>
      <c r="C3" s="5">
        <f>averageCompletionTime(Dates!C$6,Dates!C$7, 2)</f>
        <v>0</v>
      </c>
      <c r="D3" s="5">
        <f>averageCompletionTime(Dates!D$6,Dates!D$7, 2)</f>
        <v>0</v>
      </c>
      <c r="E3" s="5">
        <f>averageCompletionTime(Dates!E$6,Dates!E$7, 2)</f>
        <v>0</v>
      </c>
      <c r="F3" s="5">
        <f>averageCompletionTime(Dates!F$6,Dates!F$7, 2)</f>
        <v>0</v>
      </c>
      <c r="G3" s="5">
        <f>averageCompletionTime(Dates!G$6,Dates!G$7, 2)</f>
        <v>0</v>
      </c>
      <c r="H3" s="5">
        <f>averageCompletionTime(Dates!H$6,Dates!H$7, 2)</f>
        <v>0</v>
      </c>
      <c r="I3" s="5">
        <f>averageCompletionTime(Dates!I$6,Dates!I$7, 2)</f>
        <v>0</v>
      </c>
      <c r="J3" s="5">
        <f>averageCompletionTime(Dates!J$6,Dates!J$7, 2)</f>
        <v>0</v>
      </c>
      <c r="K3" s="5">
        <f>averageCompletionTime(Dates!K$6,Dates!K$7, 2)</f>
        <v>0</v>
      </c>
      <c r="L3" s="5">
        <f>averageCompletionTime(Dates!L$6,Dates!L$7, 2)</f>
        <v>0</v>
      </c>
      <c r="M3" s="5">
        <f>averageCompletionTime(Dates!M$6,Dates!M$7, 2)</f>
        <v>0</v>
      </c>
      <c r="N3" s="5">
        <f>averageCompletionTime(Dates!N$6,Dates!N$7, 2)</f>
        <v>0</v>
      </c>
      <c r="O3" s="5">
        <f>averageCompletionTime(Dates!O$6,Dates!O$7, 2)</f>
        <v>0</v>
      </c>
      <c r="P3" s="5">
        <f>averageCompletionTime(Dates!P$6,Dates!P$7, 2)</f>
        <v>0</v>
      </c>
      <c r="Q3" s="5">
        <f>averageCompletionTime(Dates!Q$6,Dates!Q$7, 2)</f>
        <v>0</v>
      </c>
      <c r="R3" s="5">
        <f>averageCompletionTime(Dates!R$6,Dates!R$7, 2)</f>
        <v>0</v>
      </c>
      <c r="S3" s="5">
        <f>averageCompletionTime(Dates!S$6,Dates!S$7, 2)</f>
        <v>0</v>
      </c>
      <c r="T3" s="5">
        <f>averageCompletionTime(Dates!T$6,Dates!T$7, 2)</f>
        <v>0</v>
      </c>
      <c r="U3" s="5">
        <f>averageCompletionTime(Dates!C$6,Dates!T$7, 2)</f>
        <v>0</v>
      </c>
      <c r="V3" s="5"/>
    </row>
    <row r="4" spans="1:22" x14ac:dyDescent="0.3">
      <c r="A4" s="6"/>
      <c r="B4" s="7" t="s">
        <v>50</v>
      </c>
      <c r="C4" s="5">
        <f>averageCompletionTime(Dates!C$6,Dates!C$7, 3)</f>
        <v>0</v>
      </c>
      <c r="D4" s="5">
        <f>averageCompletionTime(Dates!D$6,Dates!D$7, 3)</f>
        <v>0</v>
      </c>
      <c r="E4" s="5">
        <f>averageCompletionTime(Dates!E$6,Dates!E$7, 3)</f>
        <v>0</v>
      </c>
      <c r="F4" s="5">
        <f>averageCompletionTime(Dates!F$6,Dates!F$7, 3)</f>
        <v>0</v>
      </c>
      <c r="G4" s="5">
        <f>averageCompletionTime(Dates!G$6,Dates!G$7, 3)</f>
        <v>0</v>
      </c>
      <c r="H4" s="5">
        <f>averageCompletionTime(Dates!H$6,Dates!H$7, 3)</f>
        <v>0</v>
      </c>
      <c r="I4" s="5">
        <f>averageCompletionTime(Dates!I$6,Dates!I$7, 3)</f>
        <v>0</v>
      </c>
      <c r="J4" s="5">
        <f>averageCompletionTime(Dates!J$6,Dates!J$7, 3)</f>
        <v>0</v>
      </c>
      <c r="K4" s="5">
        <f>averageCompletionTime(Dates!K$6,Dates!K$7, 3)</f>
        <v>0</v>
      </c>
      <c r="L4" s="5">
        <f>averageCompletionTime(Dates!L$6,Dates!L$7, 3)</f>
        <v>0</v>
      </c>
      <c r="M4" s="5">
        <f>averageCompletionTime(Dates!M$6,Dates!M$7, 3)</f>
        <v>0</v>
      </c>
      <c r="N4" s="5">
        <f>averageCompletionTime(Dates!N$6,Dates!N$7, 3)</f>
        <v>0</v>
      </c>
      <c r="O4" s="5">
        <f>averageCompletionTime(Dates!O$6,Dates!O$7, 3)</f>
        <v>0</v>
      </c>
      <c r="P4" s="5">
        <f>averageCompletionTime(Dates!P$6,Dates!P$7, 3)</f>
        <v>0</v>
      </c>
      <c r="Q4" s="5">
        <f>averageCompletionTime(Dates!Q$6,Dates!Q$7, 3)</f>
        <v>0</v>
      </c>
      <c r="R4" s="5">
        <f>averageCompletionTime(Dates!R$6,Dates!R$7, 3)</f>
        <v>0</v>
      </c>
      <c r="S4" s="5">
        <f>averageCompletionTime(Dates!S$6,Dates!S$7, 3)</f>
        <v>0</v>
      </c>
      <c r="T4" s="5">
        <f>averageCompletionTime(Dates!T$6,Dates!T$7, 3)</f>
        <v>0</v>
      </c>
      <c r="U4" s="5">
        <f>averageCompletionTime(Dates!C$6,Dates!T$7, 3)</f>
        <v>0</v>
      </c>
    </row>
    <row r="5" spans="1:22" x14ac:dyDescent="0.3">
      <c r="A5" s="6"/>
      <c r="B5" s="7" t="s">
        <v>11</v>
      </c>
      <c r="C5" s="5">
        <f>averageResponseTime(Dates!C$6,Dates!C$7, 1)</f>
        <v>0</v>
      </c>
      <c r="D5" s="5">
        <f>averageResponseTime(Dates!D$6,Dates!D$7, 1)</f>
        <v>0</v>
      </c>
      <c r="E5" s="5">
        <f>averageResponseTime(Dates!E$6,Dates!E$7, 1)</f>
        <v>0</v>
      </c>
      <c r="F5" s="5">
        <f>averageResponseTime(Dates!F$6,Dates!F$7, 1)</f>
        <v>0</v>
      </c>
      <c r="G5" s="5">
        <f>averageResponseTime(Dates!G$6,Dates!G$7, 1)</f>
        <v>0</v>
      </c>
      <c r="H5" s="5">
        <f>averageResponseTime(Dates!H$6,Dates!H$7, 1)</f>
        <v>0</v>
      </c>
      <c r="I5" s="5">
        <f>averageResponseTime(Dates!I$6,Dates!I$7, 1)</f>
        <v>0</v>
      </c>
      <c r="J5" s="5">
        <f>averageResponseTime(Dates!J$6,Dates!J$7, 1)</f>
        <v>0</v>
      </c>
      <c r="K5" s="5">
        <f>averageResponseTime(Dates!K$6,Dates!K$7, 1)</f>
        <v>0</v>
      </c>
      <c r="L5" s="5">
        <f>averageResponseTime(Dates!L$6,Dates!L$7, 1)</f>
        <v>0</v>
      </c>
      <c r="M5" s="5">
        <f>averageResponseTime(Dates!M$6,Dates!M$7, 1)</f>
        <v>0</v>
      </c>
      <c r="N5" s="5">
        <f>averageResponseTime(Dates!N$6,Dates!N$7, 1)</f>
        <v>0</v>
      </c>
      <c r="O5" s="5">
        <f>averageResponseTime(Dates!O$6,Dates!O$7, 1)</f>
        <v>0</v>
      </c>
      <c r="P5" s="5">
        <f>averageResponseTime(Dates!P$6,Dates!P$7, 1)</f>
        <v>0</v>
      </c>
      <c r="Q5" s="5">
        <f>averageResponseTime(Dates!Q$6,Dates!Q$7, 1)</f>
        <v>0</v>
      </c>
      <c r="R5" s="5">
        <f>averageResponseTime(Dates!R$6,Dates!R$7, 1)</f>
        <v>0</v>
      </c>
      <c r="S5" s="5">
        <f>averageResponseTime(Dates!S$6,Dates!S$7, 1)</f>
        <v>0</v>
      </c>
      <c r="T5" s="5">
        <f>averageResponseTime(Dates!T$6,Dates!T$7, 1)</f>
        <v>0</v>
      </c>
      <c r="U5" s="5">
        <f>averageResponseTime(Dates!C$6,Dates!T$7, 1)</f>
        <v>0</v>
      </c>
    </row>
    <row r="6" spans="1:22" x14ac:dyDescent="0.3">
      <c r="A6" s="6"/>
      <c r="B6" s="7" t="s">
        <v>51</v>
      </c>
      <c r="C6" s="5">
        <f>averageResponseTime(Dates!C$6,Dates!C$7, 2)</f>
        <v>0</v>
      </c>
      <c r="D6" s="5">
        <f>averageResponseTime(Dates!D$6,Dates!D$7, 2)</f>
        <v>0</v>
      </c>
      <c r="E6" s="5">
        <f>averageResponseTime(Dates!E$6,Dates!E$7, 2)</f>
        <v>0</v>
      </c>
      <c r="F6" s="5">
        <f>averageResponseTime(Dates!F$6,Dates!F$7, 2)</f>
        <v>0</v>
      </c>
      <c r="G6" s="5">
        <f>averageResponseTime(Dates!G$6,Dates!G$7, 2)</f>
        <v>0</v>
      </c>
      <c r="H6" s="5">
        <f>averageResponseTime(Dates!H$6,Dates!H$7, 2)</f>
        <v>0</v>
      </c>
      <c r="I6" s="5">
        <f>averageResponseTime(Dates!I$6,Dates!I$7, 2)</f>
        <v>0</v>
      </c>
      <c r="J6" s="5">
        <f>averageResponseTime(Dates!J$6,Dates!J$7, 2)</f>
        <v>0</v>
      </c>
      <c r="K6" s="5">
        <f>averageResponseTime(Dates!K$6,Dates!K$7, 2)</f>
        <v>0</v>
      </c>
      <c r="L6" s="5">
        <f>averageResponseTime(Dates!L$6,Dates!L$7, 2)</f>
        <v>0</v>
      </c>
      <c r="M6" s="5">
        <f>averageResponseTime(Dates!M$6,Dates!M$7, 2)</f>
        <v>0</v>
      </c>
      <c r="N6" s="5">
        <f>averageResponseTime(Dates!N$6,Dates!N$7, 2)</f>
        <v>0</v>
      </c>
      <c r="O6" s="5">
        <f>averageResponseTime(Dates!O$6,Dates!O$7, 2)</f>
        <v>0</v>
      </c>
      <c r="P6" s="5">
        <f>averageResponseTime(Dates!P$6,Dates!P$7, 2)</f>
        <v>0</v>
      </c>
      <c r="Q6" s="5">
        <f>averageResponseTime(Dates!Q$6,Dates!Q$7, 2)</f>
        <v>0</v>
      </c>
      <c r="R6" s="5">
        <f>averageResponseTime(Dates!R$6,Dates!R$7, 2)</f>
        <v>0</v>
      </c>
      <c r="S6" s="5">
        <f>averageResponseTime(Dates!S$6,Dates!S$7, 2)</f>
        <v>0</v>
      </c>
      <c r="T6" s="5">
        <f>averageResponseTime(Dates!T$6,Dates!T$7, 2)</f>
        <v>0</v>
      </c>
      <c r="U6" s="5">
        <f>averageResponseTime(Dates!C$6,Dates!T$7, 2)</f>
        <v>0</v>
      </c>
    </row>
    <row r="7" spans="1:22" x14ac:dyDescent="0.3">
      <c r="A7" s="6"/>
      <c r="B7" s="7" t="s">
        <v>52</v>
      </c>
      <c r="C7" s="5">
        <f>averageResponseTime(Dates!C$6,Dates!C$7, 3)</f>
        <v>0</v>
      </c>
      <c r="D7" s="5">
        <f>averageResponseTime(Dates!D$6,Dates!D$7, 3)</f>
        <v>0</v>
      </c>
      <c r="E7" s="5">
        <f>averageResponseTime(Dates!E$6,Dates!E$7, 3)</f>
        <v>0</v>
      </c>
      <c r="F7" s="5">
        <f>averageResponseTime(Dates!F$6,Dates!F$7, 3)</f>
        <v>0</v>
      </c>
      <c r="G7" s="5">
        <f>averageResponseTime(Dates!G$6,Dates!G$7, 3)</f>
        <v>0</v>
      </c>
      <c r="H7" s="5">
        <f>averageResponseTime(Dates!H$6,Dates!H$7, 3)</f>
        <v>0</v>
      </c>
      <c r="I7" s="5">
        <f>averageResponseTime(Dates!I$6,Dates!I$7, 3)</f>
        <v>0</v>
      </c>
      <c r="J7" s="5">
        <f>averageResponseTime(Dates!J$6,Dates!J$7, 3)</f>
        <v>0</v>
      </c>
      <c r="K7" s="5">
        <f>averageResponseTime(Dates!K$6,Dates!K$7, 3)</f>
        <v>0</v>
      </c>
      <c r="L7" s="5">
        <f>averageResponseTime(Dates!L$6,Dates!L$7, 3)</f>
        <v>0</v>
      </c>
      <c r="M7" s="5">
        <f>averageResponseTime(Dates!M$6,Dates!M$7, 3)</f>
        <v>0</v>
      </c>
      <c r="N7" s="5">
        <f>averageResponseTime(Dates!N$6,Dates!N$7, 3)</f>
        <v>0</v>
      </c>
      <c r="O7" s="5">
        <f>averageResponseTime(Dates!O$6,Dates!O$7, 3)</f>
        <v>0</v>
      </c>
      <c r="P7" s="5">
        <f>averageResponseTime(Dates!P$6,Dates!P$7, 3)</f>
        <v>0</v>
      </c>
      <c r="Q7" s="5">
        <f>averageResponseTime(Dates!Q$6,Dates!Q$7, 3)</f>
        <v>0</v>
      </c>
      <c r="R7" s="5">
        <f>averageResponseTime(Dates!R$6,Dates!R$7, 3)</f>
        <v>0</v>
      </c>
      <c r="S7" s="5">
        <f>averageResponseTime(Dates!S$6,Dates!S$7, 3)</f>
        <v>0</v>
      </c>
      <c r="T7" s="5">
        <f>averageResponseTime(Dates!T$6,Dates!T$7, 3)</f>
        <v>0</v>
      </c>
      <c r="U7" s="5">
        <f>averageResponseTime(Dates!C$6,Dates!T$7, 3)</f>
        <v>0</v>
      </c>
    </row>
    <row r="8" spans="1:22" x14ac:dyDescent="0.3">
      <c r="A8" s="6"/>
      <c r="B8" s="7" t="s">
        <v>53</v>
      </c>
      <c r="C8" s="5">
        <f>averageInProgressTime(Dates!C$6,Dates!C$7, 1)</f>
        <v>0</v>
      </c>
      <c r="D8" s="5">
        <f>averageInProgressTime(Dates!D$6,Dates!D$7, 1)</f>
        <v>0</v>
      </c>
      <c r="E8" s="5">
        <f>averageInProgressTime(Dates!E$6,Dates!E$7, 1)</f>
        <v>0</v>
      </c>
      <c r="F8" s="5">
        <f>averageInProgressTime(Dates!F$6,Dates!F$7, 1)</f>
        <v>0</v>
      </c>
      <c r="G8" s="5">
        <f>averageInProgressTime(Dates!G$6,Dates!G$7, 1)</f>
        <v>0</v>
      </c>
      <c r="H8" s="5">
        <f>averageInProgressTime(Dates!H$6,Dates!H$7, 1)</f>
        <v>0</v>
      </c>
      <c r="I8" s="5">
        <f>averageInProgressTime(Dates!I$6,Dates!I$7, 1)</f>
        <v>0</v>
      </c>
      <c r="J8" s="5">
        <f>averageInProgressTime(Dates!J$6,Dates!J$7, 1)</f>
        <v>0</v>
      </c>
      <c r="K8" s="5">
        <f>averageInProgressTime(Dates!K$6,Dates!K$7, 1)</f>
        <v>0</v>
      </c>
      <c r="L8" s="5">
        <f>averageInProgressTime(Dates!L$6,Dates!L$7, 1)</f>
        <v>0</v>
      </c>
      <c r="M8" s="5">
        <f>averageInProgressTime(Dates!M$6,Dates!M$7, 1)</f>
        <v>0</v>
      </c>
      <c r="N8" s="5">
        <f>averageInProgressTime(Dates!N$6,Dates!N$7, 1)</f>
        <v>0</v>
      </c>
      <c r="O8" s="5">
        <f>averageInProgressTime(Dates!O$6,Dates!O$7, 1)</f>
        <v>0</v>
      </c>
      <c r="P8" s="5">
        <f>averageInProgressTime(Dates!P$6,Dates!P$7, 1)</f>
        <v>0</v>
      </c>
      <c r="Q8" s="5">
        <f>averageInProgressTime(Dates!Q$6,Dates!Q$7, 1)</f>
        <v>0</v>
      </c>
      <c r="R8" s="5">
        <f>averageInProgressTime(Dates!R$6,Dates!R$7, 1)</f>
        <v>0</v>
      </c>
      <c r="S8" s="5">
        <f>averageInProgressTime(Dates!S$6,Dates!S$7, 1)</f>
        <v>0</v>
      </c>
      <c r="T8" s="5">
        <f>averageInProgressTime(Dates!T$6,Dates!T$7, 1)</f>
        <v>0</v>
      </c>
      <c r="U8" s="5">
        <f>averageInProgressTime(Dates!C$6,Dates!T$7, 1)</f>
        <v>0</v>
      </c>
    </row>
    <row r="9" spans="1:22" x14ac:dyDescent="0.3">
      <c r="A9" s="6"/>
      <c r="B9" s="7" t="s">
        <v>54</v>
      </c>
      <c r="C9" s="5">
        <f>averageInProgressTime(Dates!C$6,Dates!C$7, 2)</f>
        <v>0</v>
      </c>
      <c r="D9" s="5">
        <f>averageInProgressTime(Dates!D$6,Dates!D$7, 2)</f>
        <v>0</v>
      </c>
      <c r="E9" s="5">
        <f>averageInProgressTime(Dates!E$6,Dates!E$7, 2)</f>
        <v>0</v>
      </c>
      <c r="F9" s="5">
        <f>averageInProgressTime(Dates!F$6,Dates!F$7, 2)</f>
        <v>0</v>
      </c>
      <c r="G9" s="5">
        <f>averageInProgressTime(Dates!G$6,Dates!G$7, 2)</f>
        <v>0</v>
      </c>
      <c r="H9" s="5">
        <f>averageInProgressTime(Dates!H$6,Dates!H$7, 2)</f>
        <v>0</v>
      </c>
      <c r="I9" s="5">
        <f>averageInProgressTime(Dates!I$6,Dates!I$7, 2)</f>
        <v>0</v>
      </c>
      <c r="J9" s="5">
        <f>averageInProgressTime(Dates!J$6,Dates!J$7, 2)</f>
        <v>0</v>
      </c>
      <c r="K9" s="5">
        <f>averageInProgressTime(Dates!K$6,Dates!K$7, 2)</f>
        <v>0</v>
      </c>
      <c r="L9" s="5">
        <f>averageInProgressTime(Dates!L$6,Dates!L$7, 2)</f>
        <v>0</v>
      </c>
      <c r="M9" s="5">
        <f>averageInProgressTime(Dates!M$6,Dates!M$7, 2)</f>
        <v>0</v>
      </c>
      <c r="N9" s="5">
        <f>averageInProgressTime(Dates!N$6,Dates!N$7, 2)</f>
        <v>0</v>
      </c>
      <c r="O9" s="5">
        <f>averageInProgressTime(Dates!O$6,Dates!O$7, 2)</f>
        <v>0</v>
      </c>
      <c r="P9" s="5">
        <f>averageInProgressTime(Dates!P$6,Dates!P$7, 2)</f>
        <v>0</v>
      </c>
      <c r="Q9" s="5">
        <f>averageInProgressTime(Dates!Q$6,Dates!Q$7, 2)</f>
        <v>0</v>
      </c>
      <c r="R9" s="5">
        <f>averageInProgressTime(Dates!R$6,Dates!R$7, 2)</f>
        <v>0</v>
      </c>
      <c r="S9" s="5">
        <f>averageInProgressTime(Dates!S$6,Dates!S$7, 2)</f>
        <v>0</v>
      </c>
      <c r="T9" s="5">
        <f>averageInProgressTime(Dates!T$6,Dates!T$7, 2)</f>
        <v>0</v>
      </c>
      <c r="U9" s="5">
        <f>averageInProgressTime(Dates!C$6,Dates!T$7, 2)</f>
        <v>0</v>
      </c>
    </row>
    <row r="10" spans="1:22" x14ac:dyDescent="0.3">
      <c r="A10" s="6"/>
      <c r="B10" s="7" t="s">
        <v>55</v>
      </c>
      <c r="C10" s="5">
        <f>averageInProgressTime(Dates!C$6,Dates!C$7, 3)</f>
        <v>0</v>
      </c>
      <c r="D10" s="5">
        <f>averageInProgressTime(Dates!D$6,Dates!D$7, 3)</f>
        <v>0</v>
      </c>
      <c r="E10" s="5">
        <f>averageInProgressTime(Dates!E$6,Dates!E$7, 3)</f>
        <v>0</v>
      </c>
      <c r="F10" s="5">
        <f>averageInProgressTime(Dates!F$6,Dates!F$7, 3)</f>
        <v>0</v>
      </c>
      <c r="G10" s="5">
        <f>averageInProgressTime(Dates!G$6,Dates!G$7, 3)</f>
        <v>0</v>
      </c>
      <c r="H10" s="5">
        <f>averageInProgressTime(Dates!H$6,Dates!H$7, 3)</f>
        <v>0</v>
      </c>
      <c r="I10" s="5">
        <f>averageInProgressTime(Dates!I$6,Dates!I$7, 3)</f>
        <v>0</v>
      </c>
      <c r="J10" s="5">
        <f>averageInProgressTime(Dates!J$6,Dates!J$7, 3)</f>
        <v>0</v>
      </c>
      <c r="K10" s="5">
        <f>averageInProgressTime(Dates!K$6,Dates!K$7, 3)</f>
        <v>0</v>
      </c>
      <c r="L10" s="5">
        <f>averageInProgressTime(Dates!L$6,Dates!L$7, 3)</f>
        <v>0</v>
      </c>
      <c r="M10" s="5">
        <f>averageInProgressTime(Dates!M$6,Dates!M$7, 3)</f>
        <v>0</v>
      </c>
      <c r="N10" s="5">
        <f>averageInProgressTime(Dates!N$6,Dates!N$7, 3)</f>
        <v>0</v>
      </c>
      <c r="O10" s="5">
        <f>averageInProgressTime(Dates!O$6,Dates!O$7, 3)</f>
        <v>0</v>
      </c>
      <c r="P10" s="5">
        <f>averageInProgressTime(Dates!P$6,Dates!P$7, 3)</f>
        <v>0</v>
      </c>
      <c r="Q10" s="5">
        <f>averageInProgressTime(Dates!Q$6,Dates!Q$7, 3)</f>
        <v>0</v>
      </c>
      <c r="R10" s="5">
        <f>averageInProgressTime(Dates!R$6,Dates!R$7, 3)</f>
        <v>0</v>
      </c>
      <c r="S10" s="5">
        <f>averageInProgressTime(Dates!S$6,Dates!S$7, 3)</f>
        <v>0</v>
      </c>
      <c r="T10" s="5">
        <f>averageInProgressTime(Dates!T$6,Dates!T$7, 3)</f>
        <v>0</v>
      </c>
      <c r="U10" s="5">
        <f>averageInProgressTime(Dates!C$6,Dates!T$7, 3)</f>
        <v>0</v>
      </c>
    </row>
    <row r="11" spans="1:22" x14ac:dyDescent="0.3">
      <c r="A11" s="6"/>
      <c r="B11" s="7" t="s">
        <v>42</v>
      </c>
      <c r="C11">
        <f>totalNumberOfJobsCompleted(Dates!C$6,Dates!C$7)</f>
        <v>0</v>
      </c>
      <c r="D11">
        <f>totalNumberOfJobsCompleted(Dates!D$6,Dates!D$7)</f>
        <v>0</v>
      </c>
      <c r="E11">
        <f>totalNumberOfJobsCompleted(Dates!E$6,Dates!E$7)</f>
        <v>0</v>
      </c>
      <c r="F11">
        <f>totalNumberOfJobsCompleted(Dates!F$6,Dates!F$7)</f>
        <v>0</v>
      </c>
      <c r="G11">
        <f>totalNumberOfJobsCompleted(Dates!G$6,Dates!G$7)</f>
        <v>0</v>
      </c>
      <c r="H11">
        <f>totalNumberOfJobsCompleted(Dates!H$6,Dates!H$7)</f>
        <v>0</v>
      </c>
      <c r="I11">
        <f>totalNumberOfJobsCompleted(Dates!I$6,Dates!I$7)</f>
        <v>0</v>
      </c>
      <c r="J11">
        <f>totalNumberOfJobsCompleted(Dates!J$6,Dates!J$7)</f>
        <v>0</v>
      </c>
      <c r="K11">
        <f>totalNumberOfJobsCompleted(Dates!K$6,Dates!K$7)</f>
        <v>0</v>
      </c>
      <c r="L11">
        <f>totalNumberOfJobsCompleted(Dates!L$6,Dates!L$7)</f>
        <v>0</v>
      </c>
      <c r="M11">
        <f>totalNumberOfJobsCompleted(Dates!M$6,Dates!M$7)</f>
        <v>0</v>
      </c>
      <c r="N11">
        <f>totalNumberOfJobsCompleted(Dates!N$6,Dates!N$7)</f>
        <v>0</v>
      </c>
      <c r="O11">
        <f>totalNumberOfJobsCompleted(Dates!O$6,Dates!O$7)</f>
        <v>0</v>
      </c>
      <c r="P11">
        <f>totalNumberOfJobsCompleted(Dates!P$6,Dates!P$7)</f>
        <v>0</v>
      </c>
      <c r="Q11">
        <f>totalNumberOfJobsCompleted(Dates!Q$6,Dates!Q$7)</f>
        <v>0</v>
      </c>
      <c r="R11">
        <f>totalNumberOfJobsCompleted(Dates!R$6,Dates!R$7)</f>
        <v>0</v>
      </c>
      <c r="S11">
        <f>totalNumberOfJobsCompleted(Dates!S$6,Dates!S$7)</f>
        <v>0</v>
      </c>
      <c r="T11">
        <f>totalNumberOfJobsCompleted(Dates!T$6,Dates!T$7)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pendingJobs(Dates!C$7)</f>
        <v>0</v>
      </c>
      <c r="D12">
        <f>pendingJobs(Dates!D$7)</f>
        <v>0</v>
      </c>
      <c r="E12">
        <f>pendingJobs(Dates!E$7)</f>
        <v>0</v>
      </c>
      <c r="F12">
        <f>pendingJobs(Dates!F$7)</f>
        <v>0</v>
      </c>
      <c r="G12">
        <f>pendingJobs(Dates!G$7)</f>
        <v>0</v>
      </c>
      <c r="H12">
        <f>pendingJobs(Dates!H$7)</f>
        <v>0</v>
      </c>
      <c r="I12">
        <f>pendingJobs(Dates!I$7)</f>
        <v>0</v>
      </c>
      <c r="J12">
        <f>pendingJobs(Dates!J$7)</f>
        <v>0</v>
      </c>
      <c r="K12">
        <f>pendingJobs(Dates!K$7)</f>
        <v>0</v>
      </c>
      <c r="L12">
        <f>pendingJobs(Dates!L$7)</f>
        <v>0</v>
      </c>
      <c r="M12">
        <f>pendingJobs(Dates!M$7)</f>
        <v>0</v>
      </c>
      <c r="N12">
        <f>pendingJobs(Dates!N$7)</f>
        <v>0</v>
      </c>
      <c r="O12">
        <f>pendingJobs(Dates!O$7)</f>
        <v>0</v>
      </c>
      <c r="P12">
        <f>pendingJobs(Dates!P$7)</f>
        <v>0</v>
      </c>
      <c r="Q12">
        <f>pendingJobs(Dates!Q$7)</f>
        <v>0</v>
      </c>
      <c r="R12">
        <f>pendingJobs(Dates!R$7)</f>
        <v>0</v>
      </c>
      <c r="S12">
        <f>pendingJobs(Dates!S$7)</f>
        <v>0</v>
      </c>
      <c r="T12">
        <f>pendingJobs(Dates!T$7)</f>
        <v>0</v>
      </c>
      <c r="U12" s="5"/>
    </row>
    <row r="13" spans="1:22" x14ac:dyDescent="0.3">
      <c r="A13" s="6"/>
      <c r="B13" s="7" t="s">
        <v>48</v>
      </c>
      <c r="C13">
        <f>cancelledJobs(Dates!$C$6,Dates!C$7)</f>
        <v>0</v>
      </c>
      <c r="D13">
        <f>cancelledJobs(Dates!$C$6,Dates!D$7)</f>
        <v>0</v>
      </c>
      <c r="E13">
        <f>cancelledJobs(Dates!$C$6,Dates!E$7)</f>
        <v>0</v>
      </c>
      <c r="F13">
        <f>cancelledJobs(Dates!$C$6,Dates!F$7)</f>
        <v>0</v>
      </c>
      <c r="G13">
        <f>cancelledJobs(Dates!$C$6,Dates!G$7)</f>
        <v>0</v>
      </c>
      <c r="H13">
        <f>cancelledJobs(Dates!$C$6,Dates!H$7)</f>
        <v>0</v>
      </c>
      <c r="I13">
        <f>cancelledJobs(Dates!$C$6,Dates!I$7)</f>
        <v>0</v>
      </c>
      <c r="J13">
        <f>cancelledJobs(Dates!$C$6,Dates!J$7)</f>
        <v>0</v>
      </c>
      <c r="K13">
        <f>cancelledJobs(Dates!$C$6,Dates!K$7)</f>
        <v>0</v>
      </c>
      <c r="L13">
        <f>cancelledJobs(Dates!$C$6,Dates!L$7)</f>
        <v>0</v>
      </c>
      <c r="M13">
        <f>cancelledJobs(Dates!$C$6,Dates!M$7)</f>
        <v>0</v>
      </c>
      <c r="N13">
        <f>cancelledJobs(Dates!$C$6,Dates!N$7)</f>
        <v>0</v>
      </c>
      <c r="O13">
        <f>cancelledJobs(Dates!$C$6,Dates!O$7)</f>
        <v>0</v>
      </c>
      <c r="P13">
        <f>cancelledJobs(Dates!$C$6,Dates!P$7)</f>
        <v>0</v>
      </c>
      <c r="Q13">
        <f>cancelledJobs(Dates!$C$6,Dates!Q$7)</f>
        <v>0</v>
      </c>
      <c r="R13">
        <f>cancelledJobs(Dates!$C$6,Dates!R$7)</f>
        <v>0</v>
      </c>
      <c r="S13">
        <f>cancelledJobs(Dates!$C$6,Dates!S$7)</f>
        <v>0</v>
      </c>
      <c r="T13">
        <f>cancelledJobs(Dates!$C$6,Dates!T$7)</f>
        <v>0</v>
      </c>
      <c r="U13" s="5"/>
    </row>
    <row r="14" spans="1:22" x14ac:dyDescent="0.3">
      <c r="B14" s="7" t="s">
        <v>61</v>
      </c>
      <c r="C14">
        <f ca="1">createdJobs(Dates!C$6,Dates!C$7)</f>
        <v>0</v>
      </c>
      <c r="D14">
        <f ca="1">createdJobs(Dates!D$6,Dates!D$7)</f>
        <v>0</v>
      </c>
      <c r="E14">
        <f ca="1">createdJobs(Dates!E$6,Dates!E$7)</f>
        <v>0</v>
      </c>
      <c r="F14">
        <f ca="1">createdJobs(Dates!F$6,Dates!F$7)</f>
        <v>0</v>
      </c>
      <c r="G14">
        <f ca="1">createdJobs(Dates!G$6,Dates!G$7)</f>
        <v>0</v>
      </c>
      <c r="H14">
        <f ca="1">createdJobs(Dates!H$6,Dates!H$7)</f>
        <v>0</v>
      </c>
      <c r="I14">
        <f ca="1">createdJobs(Dates!I$6,Dates!I$7)</f>
        <v>0</v>
      </c>
      <c r="J14">
        <f ca="1">createdJobs(Dates!J$6,Dates!J$7)</f>
        <v>0</v>
      </c>
      <c r="K14">
        <f ca="1">createdJobs(Dates!K$6,Dates!K$7)</f>
        <v>0</v>
      </c>
      <c r="L14">
        <f ca="1">createdJobs(Dates!L$6,Dates!L$7)</f>
        <v>0</v>
      </c>
      <c r="M14">
        <f ca="1">createdJobs(Dates!M$6,Dates!M$7)</f>
        <v>0</v>
      </c>
      <c r="N14">
        <f ca="1">createdJobs(Dates!N$6,Dates!N$7)</f>
        <v>0</v>
      </c>
      <c r="O14">
        <f ca="1">createdJobs(Dates!O$6,Dates!O$7)</f>
        <v>0</v>
      </c>
      <c r="P14">
        <f ca="1">createdJobs(Dates!P$6,Dates!P$7)</f>
        <v>0</v>
      </c>
      <c r="Q14">
        <f ca="1">createdJobs(Dates!Q$6,Dates!Q$7)</f>
        <v>0</v>
      </c>
      <c r="R14">
        <f ca="1">createdJobs(Dates!R$6,Dates!R$7)</f>
        <v>0</v>
      </c>
      <c r="S14">
        <f ca="1">createdJobs(Dates!S$6,Dates!S$7)</f>
        <v>0</v>
      </c>
      <c r="T14">
        <f ca="1">createdJobs(Dates!T$6,Dates!T$7)</f>
        <v>0</v>
      </c>
    </row>
    <row r="15" spans="1:22" x14ac:dyDescent="0.3">
      <c r="B15" s="7" t="s">
        <v>62</v>
      </c>
      <c r="C15">
        <f ca="1">respondedJobs(Dates!C$6,Dates!C$7)</f>
        <v>0</v>
      </c>
      <c r="D15">
        <f ca="1">respondedJobs(Dates!D$6,Dates!D$7)</f>
        <v>0</v>
      </c>
      <c r="E15">
        <f ca="1">respondedJobs(Dates!E$6,Dates!E$7)</f>
        <v>0</v>
      </c>
      <c r="F15">
        <f ca="1">respondedJobs(Dates!F$6,Dates!F$7)</f>
        <v>0</v>
      </c>
      <c r="G15">
        <f ca="1">respondedJobs(Dates!G$6,Dates!G$7)</f>
        <v>0</v>
      </c>
      <c r="H15">
        <f ca="1">respondedJobs(Dates!H$6,Dates!H$7)</f>
        <v>0</v>
      </c>
      <c r="I15">
        <f ca="1">respondedJobs(Dates!I$6,Dates!I$7)</f>
        <v>0</v>
      </c>
      <c r="J15">
        <f ca="1">respondedJobs(Dates!J$6,Dates!J$7)</f>
        <v>0</v>
      </c>
      <c r="K15">
        <f ca="1">respondedJobs(Dates!K$6,Dates!K$7)</f>
        <v>0</v>
      </c>
      <c r="L15">
        <f ca="1">respondedJobs(Dates!L$6,Dates!L$7)</f>
        <v>0</v>
      </c>
      <c r="M15">
        <f ca="1">respondedJobs(Dates!M$6,Dates!M$7)</f>
        <v>0</v>
      </c>
      <c r="N15">
        <f ca="1">respondedJobs(Dates!N$6,Dates!N$7)</f>
        <v>0</v>
      </c>
      <c r="O15">
        <f ca="1">createdJobs(Dates!O$6,Dates!O$7)</f>
        <v>0</v>
      </c>
      <c r="P15">
        <f ca="1">respondedJobs(Dates!P$6,Dates!P$7)</f>
        <v>0</v>
      </c>
      <c r="Q15">
        <f ca="1">respondedJobs(Dates!Q$6,Dates!Q$7)</f>
        <v>0</v>
      </c>
      <c r="R15">
        <f ca="1">respondedJobs(Dates!R$6,Dates!R$7)</f>
        <v>0</v>
      </c>
      <c r="S15">
        <f ca="1">respondedJobs(Dates!S$6,Dates!S$7)</f>
        <v>0</v>
      </c>
      <c r="T15">
        <f ca="1">respondedJobs(Dates!T$6,Dates!T$7)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averageCompletionTime(Dates!C$8,Dates!C$9, 1)</f>
        <v>0</v>
      </c>
      <c r="D2" s="5">
        <f>averageCompletionTime(Dates!D$8,Dates!D$9, 1)</f>
        <v>0</v>
      </c>
      <c r="E2" s="5">
        <f>averageCompletionTime(Dates!E$8,Dates!E$9, 1)</f>
        <v>0</v>
      </c>
      <c r="F2" s="5">
        <f>averageCompletionTime(Dates!F$8,Dates!F$9, 1)</f>
        <v>0</v>
      </c>
      <c r="G2" s="5">
        <f>averageCompletionTime(Dates!G$8,Dates!G$9, 1)</f>
        <v>0</v>
      </c>
      <c r="H2" s="5">
        <f>averageCompletionTime(Dates!H$8,Dates!H$9, 1)</f>
        <v>0</v>
      </c>
      <c r="I2" s="5">
        <f>averageCompletionTime(Dates!I$8,Dates!I$9, 1)</f>
        <v>0</v>
      </c>
      <c r="J2" s="5">
        <f>averageCompletionTime(Dates!J$8,Dates!J$9, 1)</f>
        <v>0</v>
      </c>
      <c r="K2" s="5">
        <f>averageCompletionTime(Dates!K$8,Dates!K$9, 1)</f>
        <v>0</v>
      </c>
      <c r="L2" s="5">
        <f>averageCompletionTime(Dates!L$8,Dates!L$9, 1)</f>
        <v>0</v>
      </c>
      <c r="M2" s="5">
        <f>averageCompletionTime(Dates!M$8,Dates!M$9, 1)</f>
        <v>0</v>
      </c>
      <c r="N2" s="5">
        <f>averageCompletionTime(Dates!N$8,Dates!N$9, 1)</f>
        <v>0</v>
      </c>
      <c r="O2" s="5">
        <f>averageCompletionTime(Dates!O$8,Dates!O$9, 1)</f>
        <v>0</v>
      </c>
      <c r="P2" s="5">
        <f>averageCompletionTime(Dates!P$8,Dates!P$9, 1)</f>
        <v>0</v>
      </c>
      <c r="Q2" s="5">
        <f>averageCompletionTime(Dates!Q$8,Dates!Q$9, 1)</f>
        <v>0</v>
      </c>
      <c r="R2" s="5">
        <f>averageCompletionTime(Dates!R$8,Dates!R$9, 1)</f>
        <v>0</v>
      </c>
      <c r="S2" s="5">
        <f>averageCompletionTime(Dates!S$8,Dates!S$9, 1)</f>
        <v>0</v>
      </c>
      <c r="T2" s="5">
        <f>averageCompletionTime(Dates!T$8,Dates!T$9, 1)</f>
        <v>0</v>
      </c>
      <c r="U2" s="5">
        <f>averageCompletionTime(Dates!C$8,Dates!T$9, 1)</f>
        <v>0</v>
      </c>
    </row>
    <row r="3" spans="1:22" x14ac:dyDescent="0.3">
      <c r="A3" s="6"/>
      <c r="B3" s="8" t="s">
        <v>49</v>
      </c>
      <c r="C3" s="5">
        <f>averageCompletionTime(Dates!C$8,Dates!C$9, 2)</f>
        <v>0</v>
      </c>
      <c r="D3" s="5">
        <f>averageCompletionTime(Dates!D$8,Dates!D$9, 2)</f>
        <v>0</v>
      </c>
      <c r="E3" s="5">
        <f>averageCompletionTime(Dates!E$8,Dates!E$9, 2)</f>
        <v>0</v>
      </c>
      <c r="F3" s="5">
        <f>averageCompletionTime(Dates!F$8,Dates!F$9, 2)</f>
        <v>0</v>
      </c>
      <c r="G3" s="5">
        <f>averageCompletionTime(Dates!G$8,Dates!G$9, 2)</f>
        <v>0</v>
      </c>
      <c r="H3" s="5">
        <f>averageCompletionTime(Dates!H$8,Dates!H$9, 2)</f>
        <v>0</v>
      </c>
      <c r="I3" s="5">
        <f>averageCompletionTime(Dates!I$8,Dates!I$9, 2)</f>
        <v>0</v>
      </c>
      <c r="J3" s="5">
        <f>averageCompletionTime(Dates!J$8,Dates!J$9, 2)</f>
        <v>0</v>
      </c>
      <c r="K3" s="5">
        <f>averageCompletionTime(Dates!K$8,Dates!K$9, 2)</f>
        <v>0</v>
      </c>
      <c r="L3" s="5">
        <f>averageCompletionTime(Dates!L$8,Dates!L$9, 2)</f>
        <v>0</v>
      </c>
      <c r="M3" s="5">
        <f>averageCompletionTime(Dates!M$8,Dates!M$9, 2)</f>
        <v>0</v>
      </c>
      <c r="N3" s="5">
        <f>averageCompletionTime(Dates!N$8,Dates!N$9, 2)</f>
        <v>0</v>
      </c>
      <c r="O3" s="5">
        <f>averageCompletionTime(Dates!O$8,Dates!O$9, 2)</f>
        <v>0</v>
      </c>
      <c r="P3" s="5">
        <f>averageCompletionTime(Dates!P$8,Dates!P$9, 2)</f>
        <v>0</v>
      </c>
      <c r="Q3" s="5">
        <f>averageCompletionTime(Dates!Q$8,Dates!Q$9, 2)</f>
        <v>0</v>
      </c>
      <c r="R3" s="5">
        <f>averageCompletionTime(Dates!R$8,Dates!R$9, 2)</f>
        <v>0</v>
      </c>
      <c r="S3" s="5">
        <f>averageCompletionTime(Dates!S$8,Dates!S$9, 2)</f>
        <v>0</v>
      </c>
      <c r="T3" s="5">
        <f>averageCompletionTime(Dates!T$8,Dates!T$9, 2)</f>
        <v>0</v>
      </c>
      <c r="U3" s="5">
        <f>averageCompletionTime(Dates!C$8,Dates!T$9, 2)</f>
        <v>0</v>
      </c>
      <c r="V3" s="5"/>
    </row>
    <row r="4" spans="1:22" x14ac:dyDescent="0.3">
      <c r="A4" s="6"/>
      <c r="B4" s="7" t="s">
        <v>50</v>
      </c>
      <c r="C4" s="5">
        <f>averageCompletionTime(Dates!C$8,Dates!C$9, 3)</f>
        <v>0</v>
      </c>
      <c r="D4" s="5">
        <f>averageCompletionTime(Dates!D$8,Dates!D$9, 3)</f>
        <v>0</v>
      </c>
      <c r="E4" s="5">
        <f>averageCompletionTime(Dates!E$8,Dates!E$9, 3)</f>
        <v>0</v>
      </c>
      <c r="F4" s="5">
        <f>averageCompletionTime(Dates!F$8,Dates!F$9, 3)</f>
        <v>0</v>
      </c>
      <c r="G4" s="5">
        <f>averageCompletionTime(Dates!G$8,Dates!G$9, 3)</f>
        <v>0</v>
      </c>
      <c r="H4" s="5">
        <f>averageCompletionTime(Dates!H$8,Dates!H$9, 3)</f>
        <v>0</v>
      </c>
      <c r="I4" s="5">
        <f>averageCompletionTime(Dates!I$8,Dates!I$9, 3)</f>
        <v>0</v>
      </c>
      <c r="J4" s="5">
        <f>averageCompletionTime(Dates!J$8,Dates!J$9, 3)</f>
        <v>0</v>
      </c>
      <c r="K4" s="5">
        <f>averageCompletionTime(Dates!K$8,Dates!K$9, 3)</f>
        <v>0</v>
      </c>
      <c r="L4" s="5">
        <f>averageCompletionTime(Dates!L$8,Dates!L$9, 3)</f>
        <v>0</v>
      </c>
      <c r="M4" s="5">
        <f>averageCompletionTime(Dates!M$8,Dates!M$9, 3)</f>
        <v>0</v>
      </c>
      <c r="N4" s="5">
        <f>averageCompletionTime(Dates!N$8,Dates!N$9, 3)</f>
        <v>0</v>
      </c>
      <c r="O4" s="5">
        <f>averageCompletionTime(Dates!O$8,Dates!O$9, 3)</f>
        <v>0</v>
      </c>
      <c r="P4" s="5">
        <f>averageCompletionTime(Dates!P$8,Dates!P$9, 3)</f>
        <v>0</v>
      </c>
      <c r="Q4" s="5">
        <f>averageCompletionTime(Dates!Q$8,Dates!Q$9, 3)</f>
        <v>0</v>
      </c>
      <c r="R4" s="5">
        <f>averageCompletionTime(Dates!R$8,Dates!R$9, 3)</f>
        <v>0</v>
      </c>
      <c r="S4" s="5">
        <f>averageCompletionTime(Dates!S$8,Dates!S$9, 3)</f>
        <v>0</v>
      </c>
      <c r="T4" s="5">
        <f>averageCompletionTime(Dates!T$8,Dates!T$9, 3)</f>
        <v>0</v>
      </c>
      <c r="U4" s="5">
        <f>averageCompletionTime(Dates!C$8,Dates!T$9, 3)</f>
        <v>0</v>
      </c>
    </row>
    <row r="5" spans="1:22" x14ac:dyDescent="0.3">
      <c r="A5" s="6"/>
      <c r="B5" s="7" t="s">
        <v>11</v>
      </c>
      <c r="C5" s="5">
        <f>averageResponseTime(Dates!C$8,Dates!C$9, 1)</f>
        <v>0</v>
      </c>
      <c r="D5" s="5">
        <f>averageResponseTime(Dates!D$8,Dates!D$9, 1)</f>
        <v>0</v>
      </c>
      <c r="E5" s="5">
        <f>averageResponseTime(Dates!E$8,Dates!E$9, 1)</f>
        <v>0</v>
      </c>
      <c r="F5" s="5">
        <f>averageResponseTime(Dates!F$8,Dates!F$9, 1)</f>
        <v>0</v>
      </c>
      <c r="G5" s="5">
        <f>averageResponseTime(Dates!G$8,Dates!G$9, 1)</f>
        <v>0</v>
      </c>
      <c r="H5" s="5">
        <f>averageResponseTime(Dates!H$8,Dates!H$9, 1)</f>
        <v>0</v>
      </c>
      <c r="I5" s="5">
        <f>averageResponseTime(Dates!I$8,Dates!I$9, 1)</f>
        <v>0</v>
      </c>
      <c r="J5" s="5">
        <f>averageResponseTime(Dates!J$8,Dates!J$9, 1)</f>
        <v>0</v>
      </c>
      <c r="K5" s="5">
        <f>averageResponseTime(Dates!K$8,Dates!K$9, 1)</f>
        <v>0</v>
      </c>
      <c r="L5" s="5">
        <f>averageResponseTime(Dates!L$8,Dates!L$9, 1)</f>
        <v>0</v>
      </c>
      <c r="M5" s="5">
        <f>averageResponseTime(Dates!M$8,Dates!M$9, 1)</f>
        <v>0</v>
      </c>
      <c r="N5" s="5">
        <f>averageResponseTime(Dates!N$8,Dates!N$9, 1)</f>
        <v>0</v>
      </c>
      <c r="O5" s="5">
        <f>averageResponseTime(Dates!O$8,Dates!O$9, 1)</f>
        <v>0</v>
      </c>
      <c r="P5" s="5">
        <f>averageResponseTime(Dates!P$8,Dates!P$9, 1)</f>
        <v>0</v>
      </c>
      <c r="Q5" s="5">
        <f>averageResponseTime(Dates!Q$8,Dates!Q$9, 1)</f>
        <v>0</v>
      </c>
      <c r="R5" s="5">
        <f>averageResponseTime(Dates!R$8,Dates!R$9, 1)</f>
        <v>0</v>
      </c>
      <c r="S5" s="5">
        <f>averageResponseTime(Dates!S$8,Dates!S$9, 1)</f>
        <v>0</v>
      </c>
      <c r="T5" s="5">
        <f>averageResponseTime(Dates!T$8,Dates!T$9, 1)</f>
        <v>0</v>
      </c>
      <c r="U5" s="5">
        <f>averageResponseTime(Dates!C$8,Dates!T$9, 1)</f>
        <v>0</v>
      </c>
    </row>
    <row r="6" spans="1:22" x14ac:dyDescent="0.3">
      <c r="A6" s="6"/>
      <c r="B6" s="7" t="s">
        <v>51</v>
      </c>
      <c r="C6" s="5">
        <f>averageResponseTime(Dates!C$8,Dates!C$9, 2)</f>
        <v>0</v>
      </c>
      <c r="D6" s="5">
        <f>averageResponseTime(Dates!D$8,Dates!D$9, 2)</f>
        <v>0</v>
      </c>
      <c r="E6" s="5">
        <f>averageResponseTime(Dates!E$8,Dates!E$9, 2)</f>
        <v>0</v>
      </c>
      <c r="F6" s="5">
        <f>averageResponseTime(Dates!F$8,Dates!F$9, 2)</f>
        <v>0</v>
      </c>
      <c r="G6" s="5">
        <f>averageResponseTime(Dates!G$8,Dates!G$9, 2)</f>
        <v>0</v>
      </c>
      <c r="H6" s="5">
        <f>averageResponseTime(Dates!H$8,Dates!H$9, 2)</f>
        <v>0</v>
      </c>
      <c r="I6" s="5">
        <f>averageResponseTime(Dates!I$8,Dates!I$9, 2)</f>
        <v>0</v>
      </c>
      <c r="J6" s="5">
        <f>averageResponseTime(Dates!J$8,Dates!J$9, 2)</f>
        <v>0</v>
      </c>
      <c r="K6" s="5">
        <f>averageResponseTime(Dates!K$8,Dates!K$9, 2)</f>
        <v>0</v>
      </c>
      <c r="L6" s="5">
        <f>averageResponseTime(Dates!L$8,Dates!L$9, 2)</f>
        <v>0</v>
      </c>
      <c r="M6" s="5">
        <f>averageResponseTime(Dates!M$8,Dates!M$9, 2)</f>
        <v>0</v>
      </c>
      <c r="N6" s="5">
        <f>averageResponseTime(Dates!N$8,Dates!N$9, 2)</f>
        <v>0</v>
      </c>
      <c r="O6" s="5">
        <f>averageResponseTime(Dates!O$8,Dates!O$9, 2)</f>
        <v>0</v>
      </c>
      <c r="P6" s="5">
        <f>averageResponseTime(Dates!P$8,Dates!P$9, 2)</f>
        <v>0</v>
      </c>
      <c r="Q6" s="5">
        <f>averageResponseTime(Dates!Q$8,Dates!Q$9, 2)</f>
        <v>0</v>
      </c>
      <c r="R6" s="5">
        <f>averageResponseTime(Dates!R$8,Dates!R$9, 2)</f>
        <v>0</v>
      </c>
      <c r="S6" s="5">
        <f>averageResponseTime(Dates!S$8,Dates!S$9, 2)</f>
        <v>0</v>
      </c>
      <c r="T6" s="5">
        <f>averageResponseTime(Dates!T$8,Dates!T$9, 2)</f>
        <v>0</v>
      </c>
      <c r="U6" s="5">
        <f>averageResponseTime(Dates!C$8,Dates!T$9, 2)</f>
        <v>0</v>
      </c>
    </row>
    <row r="7" spans="1:22" x14ac:dyDescent="0.3">
      <c r="A7" s="6"/>
      <c r="B7" s="7" t="s">
        <v>52</v>
      </c>
      <c r="C7" s="5">
        <f>averageResponseTime(Dates!C$8,Dates!C$9, 3)</f>
        <v>0</v>
      </c>
      <c r="D7" s="5">
        <f>averageResponseTime(Dates!D$8,Dates!D$9, 3)</f>
        <v>0</v>
      </c>
      <c r="E7" s="5">
        <f>averageResponseTime(Dates!E$8,Dates!E$9, 3)</f>
        <v>0</v>
      </c>
      <c r="F7" s="5">
        <f>averageResponseTime(Dates!F$8,Dates!F$9, 3)</f>
        <v>0</v>
      </c>
      <c r="G7" s="5">
        <f>averageResponseTime(Dates!G$8,Dates!G$9, 3)</f>
        <v>0</v>
      </c>
      <c r="H7" s="5">
        <f>averageResponseTime(Dates!H$8,Dates!H$9, 3)</f>
        <v>0</v>
      </c>
      <c r="I7" s="5">
        <f>averageResponseTime(Dates!I$8,Dates!I$9, 3)</f>
        <v>0</v>
      </c>
      <c r="J7" s="5">
        <f>averageResponseTime(Dates!J$8,Dates!J$9, 3)</f>
        <v>0</v>
      </c>
      <c r="K7" s="5">
        <f>averageResponseTime(Dates!K$8,Dates!K$9, 3)</f>
        <v>0</v>
      </c>
      <c r="L7" s="5">
        <f>averageResponseTime(Dates!L$8,Dates!L$9, 3)</f>
        <v>0</v>
      </c>
      <c r="M7" s="5">
        <f>averageResponseTime(Dates!M$8,Dates!M$9, 3)</f>
        <v>0</v>
      </c>
      <c r="N7" s="5">
        <f>averageResponseTime(Dates!N$8,Dates!N$9, 3)</f>
        <v>0</v>
      </c>
      <c r="O7" s="5">
        <f>averageResponseTime(Dates!O$8,Dates!O$9, 3)</f>
        <v>0</v>
      </c>
      <c r="P7" s="5">
        <f>averageResponseTime(Dates!P$8,Dates!P$9, 3)</f>
        <v>0</v>
      </c>
      <c r="Q7" s="5">
        <f>averageResponseTime(Dates!Q$8,Dates!Q$9, 3)</f>
        <v>0</v>
      </c>
      <c r="R7" s="5">
        <f>averageResponseTime(Dates!R$8,Dates!R$9, 3)</f>
        <v>0</v>
      </c>
      <c r="S7" s="5">
        <f>averageResponseTime(Dates!S$8,Dates!S$9, 3)</f>
        <v>0</v>
      </c>
      <c r="T7" s="5">
        <f>averageResponseTime(Dates!T$8,Dates!T$9, 3)</f>
        <v>0</v>
      </c>
      <c r="U7" s="5">
        <f>averageResponseTime(Dates!C$8,Dates!T$9, 3)</f>
        <v>0</v>
      </c>
    </row>
    <row r="8" spans="1:22" x14ac:dyDescent="0.3">
      <c r="A8" s="6"/>
      <c r="B8" s="7" t="s">
        <v>53</v>
      </c>
      <c r="C8" s="5">
        <f>averageInProgressTime(Dates!C$8,Dates!C$9, 1)</f>
        <v>0</v>
      </c>
      <c r="D8" s="5">
        <f>averageInProgressTime(Dates!D$8,Dates!D$9, 1)</f>
        <v>0</v>
      </c>
      <c r="E8" s="5">
        <f>averageInProgressTime(Dates!E$8,Dates!E$9, 1)</f>
        <v>0</v>
      </c>
      <c r="F8" s="5">
        <f>averageInProgressTime(Dates!F$8,Dates!F$9, 1)</f>
        <v>0</v>
      </c>
      <c r="G8" s="5">
        <f>averageInProgressTime(Dates!G$8,Dates!G$9, 1)</f>
        <v>0</v>
      </c>
      <c r="H8" s="5">
        <f>averageInProgressTime(Dates!H$8,Dates!H$9, 1)</f>
        <v>0</v>
      </c>
      <c r="I8" s="5">
        <f>averageInProgressTime(Dates!I$8,Dates!I$9, 1)</f>
        <v>0</v>
      </c>
      <c r="J8" s="5">
        <f>averageInProgressTime(Dates!J$8,Dates!J$9, 1)</f>
        <v>0</v>
      </c>
      <c r="K8" s="5">
        <f>averageInProgressTime(Dates!K$8,Dates!K$9, 1)</f>
        <v>0</v>
      </c>
      <c r="L8" s="5">
        <f>averageInProgressTime(Dates!L$8,Dates!L$9, 1)</f>
        <v>0</v>
      </c>
      <c r="M8" s="5">
        <f>averageInProgressTime(Dates!M$8,Dates!M$9, 1)</f>
        <v>0</v>
      </c>
      <c r="N8" s="5">
        <f>averageInProgressTime(Dates!N$8,Dates!N$9, 1)</f>
        <v>0</v>
      </c>
      <c r="O8" s="5">
        <f>averageInProgressTime(Dates!O$8,Dates!O$9, 1)</f>
        <v>0</v>
      </c>
      <c r="P8" s="5">
        <f>averageInProgressTime(Dates!P$8,Dates!P$9, 1)</f>
        <v>0</v>
      </c>
      <c r="Q8" s="5">
        <f>averageInProgressTime(Dates!Q$8,Dates!Q$9, 1)</f>
        <v>0</v>
      </c>
      <c r="R8" s="5">
        <f>averageInProgressTime(Dates!R$8,Dates!R$9, 1)</f>
        <v>0</v>
      </c>
      <c r="S8" s="5">
        <f>averageInProgressTime(Dates!S$8,Dates!S$9, 1)</f>
        <v>0</v>
      </c>
      <c r="T8" s="5">
        <f>averageInProgressTime(Dates!T$8,Dates!T$9, 1)</f>
        <v>0</v>
      </c>
      <c r="U8" s="5">
        <f>averageInProgressTime(Dates!C$8,Dates!T$9, 1)</f>
        <v>0</v>
      </c>
    </row>
    <row r="9" spans="1:22" x14ac:dyDescent="0.3">
      <c r="A9" s="6"/>
      <c r="B9" s="7" t="s">
        <v>54</v>
      </c>
      <c r="C9" s="5">
        <f>averageInProgressTime(Dates!C$8,Dates!C$9, 2)</f>
        <v>0</v>
      </c>
      <c r="D9" s="5">
        <f>averageInProgressTime(Dates!D$8,Dates!D$9, 2)</f>
        <v>0</v>
      </c>
      <c r="E9" s="5">
        <f>averageInProgressTime(Dates!E$8,Dates!E$9, 2)</f>
        <v>0</v>
      </c>
      <c r="F9" s="5">
        <f>averageInProgressTime(Dates!F$8,Dates!F$9, 2)</f>
        <v>0</v>
      </c>
      <c r="G9" s="5">
        <f>averageInProgressTime(Dates!G$8,Dates!G$9, 2)</f>
        <v>0</v>
      </c>
      <c r="H9" s="5">
        <f>averageInProgressTime(Dates!H$8,Dates!H$9, 2)</f>
        <v>0</v>
      </c>
      <c r="I9" s="5">
        <f>averageInProgressTime(Dates!I$8,Dates!I$9, 2)</f>
        <v>0</v>
      </c>
      <c r="J9" s="5">
        <f>averageInProgressTime(Dates!J$8,Dates!J$9, 2)</f>
        <v>0</v>
      </c>
      <c r="K9" s="5">
        <f>averageInProgressTime(Dates!K$8,Dates!K$9, 2)</f>
        <v>0</v>
      </c>
      <c r="L9" s="5">
        <f>averageInProgressTime(Dates!L$8,Dates!L$9, 2)</f>
        <v>0</v>
      </c>
      <c r="M9" s="5">
        <f>averageInProgressTime(Dates!M$8,Dates!M$9, 2)</f>
        <v>0</v>
      </c>
      <c r="N9" s="5">
        <f>averageInProgressTime(Dates!N$8,Dates!N$9, 2)</f>
        <v>0</v>
      </c>
      <c r="O9" s="5">
        <f>averageInProgressTime(Dates!O$8,Dates!O$9, 2)</f>
        <v>0</v>
      </c>
      <c r="P9" s="5">
        <f>averageInProgressTime(Dates!P$8,Dates!P$9, 2)</f>
        <v>0</v>
      </c>
      <c r="Q9" s="5">
        <f>averageInProgressTime(Dates!Q$8,Dates!Q$9, 2)</f>
        <v>0</v>
      </c>
      <c r="R9" s="5">
        <f>averageInProgressTime(Dates!R$8,Dates!R$9, 2)</f>
        <v>0</v>
      </c>
      <c r="S9" s="5">
        <f>averageInProgressTime(Dates!S$8,Dates!S$9, 2)</f>
        <v>0</v>
      </c>
      <c r="T9" s="5">
        <f>averageInProgressTime(Dates!T$8,Dates!T$9, 2)</f>
        <v>0</v>
      </c>
      <c r="U9" s="5">
        <f>averageInProgressTime(Dates!C$8,Dates!T$9, 2)</f>
        <v>0</v>
      </c>
    </row>
    <row r="10" spans="1:22" x14ac:dyDescent="0.3">
      <c r="A10" s="6"/>
      <c r="B10" s="7" t="s">
        <v>55</v>
      </c>
      <c r="C10" s="5">
        <f>averageInProgressTime(Dates!C$8,Dates!C$9, 3)</f>
        <v>0</v>
      </c>
      <c r="D10" s="5">
        <f>averageInProgressTime(Dates!D$8,Dates!D$9, 3)</f>
        <v>0</v>
      </c>
      <c r="E10" s="5">
        <f>averageInProgressTime(Dates!E$8,Dates!E$9, 3)</f>
        <v>0</v>
      </c>
      <c r="F10" s="5">
        <f>averageInProgressTime(Dates!F$8,Dates!F$9, 3)</f>
        <v>0</v>
      </c>
      <c r="G10" s="5">
        <f>averageInProgressTime(Dates!G$8,Dates!G$9, 3)</f>
        <v>0</v>
      </c>
      <c r="H10" s="5">
        <f>averageInProgressTime(Dates!H$8,Dates!H$9, 3)</f>
        <v>0</v>
      </c>
      <c r="I10" s="5">
        <f>averageInProgressTime(Dates!I$8,Dates!I$9, 3)</f>
        <v>0</v>
      </c>
      <c r="J10" s="5">
        <f>averageInProgressTime(Dates!J$8,Dates!J$9, 3)</f>
        <v>0</v>
      </c>
      <c r="K10" s="5">
        <f>averageInProgressTime(Dates!K$8,Dates!K$9, 3)</f>
        <v>0</v>
      </c>
      <c r="L10" s="5">
        <f>averageInProgressTime(Dates!L$8,Dates!L$9, 3)</f>
        <v>0</v>
      </c>
      <c r="M10" s="5">
        <f>averageInProgressTime(Dates!M$8,Dates!M$9, 3)</f>
        <v>0</v>
      </c>
      <c r="N10" s="5">
        <f>averageInProgressTime(Dates!N$8,Dates!N$9, 3)</f>
        <v>0</v>
      </c>
      <c r="O10" s="5">
        <f>averageInProgressTime(Dates!O$8,Dates!O$9, 3)</f>
        <v>0</v>
      </c>
      <c r="P10" s="5">
        <f>averageInProgressTime(Dates!P$8,Dates!P$9, 3)</f>
        <v>0</v>
      </c>
      <c r="Q10" s="5">
        <f>averageInProgressTime(Dates!Q$8,Dates!Q$9, 3)</f>
        <v>0</v>
      </c>
      <c r="R10" s="5">
        <f>averageInProgressTime(Dates!R$8,Dates!R$9, 3)</f>
        <v>0</v>
      </c>
      <c r="S10" s="5">
        <f>averageInProgressTime(Dates!S$8,Dates!S$9, 3)</f>
        <v>0</v>
      </c>
      <c r="T10" s="5">
        <f>averageInProgressTime(Dates!T$8,Dates!T$9, 3)</f>
        <v>0</v>
      </c>
      <c r="U10" s="5">
        <f>averageInProgressTime(Dates!C$8,Dates!T$9, 3)</f>
        <v>0</v>
      </c>
    </row>
    <row r="11" spans="1:22" x14ac:dyDescent="0.3">
      <c r="A11" s="6"/>
      <c r="B11" s="7" t="s">
        <v>42</v>
      </c>
      <c r="C11">
        <f>totalNumberOfJobsCompleted(Dates!C$8,Dates!C$9)</f>
        <v>0</v>
      </c>
      <c r="D11">
        <f>totalNumberOfJobsCompleted(Dates!D$8,Dates!D$9)</f>
        <v>0</v>
      </c>
      <c r="E11">
        <f>totalNumberOfJobsCompleted(Dates!E$8,Dates!E$9)</f>
        <v>0</v>
      </c>
      <c r="F11">
        <f>totalNumberOfJobsCompleted(Dates!F$8,Dates!F$9)</f>
        <v>0</v>
      </c>
      <c r="G11">
        <f>totalNumberOfJobsCompleted(Dates!G$8,Dates!G$9)</f>
        <v>0</v>
      </c>
      <c r="H11">
        <f>totalNumberOfJobsCompleted(Dates!H$8,Dates!H$9)</f>
        <v>0</v>
      </c>
      <c r="I11">
        <f>totalNumberOfJobsCompleted(Dates!I$8,Dates!I$9)</f>
        <v>0</v>
      </c>
      <c r="J11">
        <f>totalNumberOfJobsCompleted(Dates!J$8,Dates!J$9)</f>
        <v>0</v>
      </c>
      <c r="K11">
        <f>totalNumberOfJobsCompleted(Dates!K$8,Dates!K$9)</f>
        <v>0</v>
      </c>
      <c r="L11">
        <f>totalNumberOfJobsCompleted(Dates!L$8,Dates!L$9)</f>
        <v>0</v>
      </c>
      <c r="M11">
        <f>totalNumberOfJobsCompleted(Dates!M$8,Dates!M$9)</f>
        <v>0</v>
      </c>
      <c r="N11">
        <f>totalNumberOfJobsCompleted(Dates!N$8,Dates!N$9)</f>
        <v>0</v>
      </c>
      <c r="O11">
        <f>totalNumberOfJobsCompleted(Dates!O$8,Dates!O$9)</f>
        <v>0</v>
      </c>
      <c r="P11">
        <f>totalNumberOfJobsCompleted(Dates!P$8,Dates!P$9)</f>
        <v>0</v>
      </c>
      <c r="Q11">
        <f>totalNumberOfJobsCompleted(Dates!Q$8,Dates!Q$9)</f>
        <v>0</v>
      </c>
      <c r="R11">
        <f>totalNumberOfJobsCompleted(Dates!R$8,Dates!R$9)</f>
        <v>0</v>
      </c>
      <c r="S11">
        <f>totalNumberOfJobsCompleted(Dates!S$8,Dates!S$9)</f>
        <v>0</v>
      </c>
      <c r="T11">
        <f>totalNumberOfJobsCompleted(Dates!T$8,Dates!T$9)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pendingJobs(Dates!C$9)</f>
        <v>0</v>
      </c>
      <c r="D12">
        <f>pendingJobs(Dates!D$9)</f>
        <v>0</v>
      </c>
      <c r="E12">
        <f>pendingJobs(Dates!E$9)</f>
        <v>0</v>
      </c>
      <c r="F12">
        <f>pendingJobs(Dates!F$9)</f>
        <v>0</v>
      </c>
      <c r="G12">
        <f>pendingJobs(Dates!G$9)</f>
        <v>0</v>
      </c>
      <c r="H12">
        <f>pendingJobs(Dates!H$9)</f>
        <v>0</v>
      </c>
      <c r="I12">
        <f>pendingJobs(Dates!I$9)</f>
        <v>0</v>
      </c>
      <c r="J12">
        <f>pendingJobs(Dates!J$9)</f>
        <v>0</v>
      </c>
      <c r="K12">
        <f>pendingJobs(Dates!K$9)</f>
        <v>0</v>
      </c>
      <c r="L12">
        <f>pendingJobs(Dates!L$9)</f>
        <v>0</v>
      </c>
      <c r="M12">
        <f>pendingJobs(Dates!M$9)</f>
        <v>0</v>
      </c>
      <c r="N12">
        <f>pendingJobs(Dates!N$9)</f>
        <v>0</v>
      </c>
      <c r="O12">
        <f>pendingJobs(Dates!O$9)</f>
        <v>0</v>
      </c>
      <c r="P12">
        <f>pendingJobs(Dates!P$9)</f>
        <v>0</v>
      </c>
      <c r="Q12">
        <f>pendingJobs(Dates!Q$9)</f>
        <v>0</v>
      </c>
      <c r="R12">
        <f>pendingJobs(Dates!R$9)</f>
        <v>0</v>
      </c>
      <c r="S12">
        <f>pendingJobs(Dates!S$9)</f>
        <v>0</v>
      </c>
      <c r="T12">
        <f>pendingJobs(Dates!T$9)</f>
        <v>0</v>
      </c>
      <c r="U12" s="5"/>
    </row>
    <row r="13" spans="1:22" x14ac:dyDescent="0.3">
      <c r="A13" s="6"/>
      <c r="B13" s="7" t="s">
        <v>48</v>
      </c>
      <c r="C13">
        <f>cancelledJobs(Dates!$C$8,Dates!C$9)</f>
        <v>0</v>
      </c>
      <c r="D13">
        <f>cancelledJobs(Dates!$C$8,Dates!D$9)</f>
        <v>0</v>
      </c>
      <c r="E13">
        <f>cancelledJobs(Dates!$C$8,Dates!E$9)</f>
        <v>0</v>
      </c>
      <c r="F13">
        <f>cancelledJobs(Dates!$C$8,Dates!F$9)</f>
        <v>0</v>
      </c>
      <c r="G13">
        <f>cancelledJobs(Dates!$C$8,Dates!G$9)</f>
        <v>0</v>
      </c>
      <c r="H13">
        <f>cancelledJobs(Dates!$C$8,Dates!H$9)</f>
        <v>0</v>
      </c>
      <c r="I13">
        <f>cancelledJobs(Dates!$C$8,Dates!I$9)</f>
        <v>0</v>
      </c>
      <c r="J13">
        <f>cancelledJobs(Dates!$C$8,Dates!J$9)</f>
        <v>0</v>
      </c>
      <c r="K13">
        <f>cancelledJobs(Dates!$C$8,Dates!K$9)</f>
        <v>0</v>
      </c>
      <c r="L13">
        <f>cancelledJobs(Dates!$C$8,Dates!L$9)</f>
        <v>0</v>
      </c>
      <c r="M13">
        <f>cancelledJobs(Dates!$C$8,Dates!M$9)</f>
        <v>0</v>
      </c>
      <c r="N13">
        <f>cancelledJobs(Dates!$C$8,Dates!N$9)</f>
        <v>0</v>
      </c>
      <c r="O13">
        <f>cancelledJobs(Dates!$C$8,Dates!O$9)</f>
        <v>0</v>
      </c>
      <c r="P13">
        <f>cancelledJobs(Dates!$C$8,Dates!P$9)</f>
        <v>0</v>
      </c>
      <c r="Q13">
        <f>cancelledJobs(Dates!$C$8,Dates!Q$9)</f>
        <v>0</v>
      </c>
      <c r="R13">
        <f>cancelledJobs(Dates!$C$8,Dates!R$9)</f>
        <v>0</v>
      </c>
      <c r="S13">
        <f>cancelledJobs(Dates!$C$8,Dates!S$9)</f>
        <v>0</v>
      </c>
      <c r="T13">
        <f>cancelledJobs(Dates!$C$8,Dates!T$9)</f>
        <v>0</v>
      </c>
      <c r="U13" s="5"/>
    </row>
    <row r="14" spans="1:22" x14ac:dyDescent="0.3">
      <c r="B14" s="7" t="s">
        <v>61</v>
      </c>
      <c r="C14">
        <f ca="1">createdJobs(Dates!C$8,Dates!C$9)</f>
        <v>0</v>
      </c>
      <c r="D14">
        <f ca="1">createdJobs(Dates!D$8,Dates!D$9)</f>
        <v>0</v>
      </c>
      <c r="E14">
        <f ca="1">createdJobs(Dates!E$8,Dates!E$9)</f>
        <v>0</v>
      </c>
      <c r="F14">
        <f ca="1">createdJobs(Dates!F$8,Dates!F$9)</f>
        <v>0</v>
      </c>
      <c r="G14">
        <f ca="1">createdJobs(Dates!G$8,Dates!G$9)</f>
        <v>0</v>
      </c>
      <c r="H14">
        <f ca="1">createdJobs(Dates!H$8,Dates!H$9)</f>
        <v>0</v>
      </c>
      <c r="I14">
        <f ca="1">createdJobs(Dates!I$8,Dates!I$9)</f>
        <v>0</v>
      </c>
      <c r="J14">
        <f ca="1">createdJobs(Dates!J$8,Dates!J$9)</f>
        <v>0</v>
      </c>
      <c r="K14">
        <f ca="1">createdJobs(Dates!K$8,Dates!K$9)</f>
        <v>0</v>
      </c>
      <c r="L14">
        <f ca="1">createdJobs(Dates!L$8,Dates!L$9)</f>
        <v>0</v>
      </c>
      <c r="M14">
        <f ca="1">createdJobs(Dates!M$8,Dates!M$9)</f>
        <v>0</v>
      </c>
      <c r="N14">
        <f ca="1">createdJobs(Dates!N$8,Dates!N$9)</f>
        <v>0</v>
      </c>
      <c r="O14">
        <f ca="1">createdJobs(Dates!O$8,Dates!O$9)</f>
        <v>0</v>
      </c>
      <c r="P14">
        <f ca="1">createdJobs(Dates!P$8,Dates!P$9)</f>
        <v>0</v>
      </c>
      <c r="Q14">
        <f ca="1">createdJobs(Dates!Q$8,Dates!Q$9)</f>
        <v>0</v>
      </c>
      <c r="R14">
        <f ca="1">createdJobs(Dates!R$8,Dates!R$9)</f>
        <v>0</v>
      </c>
      <c r="S14">
        <f ca="1">createdJobs(Dates!S$8,Dates!S$9)</f>
        <v>0</v>
      </c>
      <c r="T14">
        <f ca="1">createdJobs(Dates!T$8,Dates!T$9)</f>
        <v>0</v>
      </c>
    </row>
    <row r="15" spans="1:22" x14ac:dyDescent="0.3">
      <c r="B15" s="7" t="s">
        <v>62</v>
      </c>
      <c r="C15">
        <f ca="1">respondedJobs(Dates!C$8,Dates!C$9)</f>
        <v>0</v>
      </c>
      <c r="D15">
        <f ca="1">respondedJobs(Dates!D$8,Dates!D$9)</f>
        <v>0</v>
      </c>
      <c r="E15">
        <f ca="1">respondedJobs(Dates!E$8,Dates!E$9)</f>
        <v>0</v>
      </c>
      <c r="F15">
        <f ca="1">respondedJobs(Dates!F$8,Dates!F$9)</f>
        <v>0</v>
      </c>
      <c r="G15">
        <f ca="1">respondedJobs(Dates!G$8,Dates!G$9)</f>
        <v>0</v>
      </c>
      <c r="H15">
        <f ca="1">respondedJobs(Dates!H$8,Dates!H$9)</f>
        <v>0</v>
      </c>
      <c r="I15">
        <f ca="1">respondedJobs(Dates!I$8,Dates!I$9)</f>
        <v>0</v>
      </c>
      <c r="J15">
        <f ca="1">respondedJobs(Dates!J$8,Dates!J$9)</f>
        <v>0</v>
      </c>
      <c r="K15">
        <f ca="1">respondedJobs(Dates!K$8,Dates!K$9)</f>
        <v>0</v>
      </c>
      <c r="L15">
        <f ca="1">respondedJobs(Dates!L$8,Dates!L$9)</f>
        <v>0</v>
      </c>
      <c r="M15">
        <f ca="1">respondedJobs(Dates!M$8,Dates!M$9)</f>
        <v>0</v>
      </c>
      <c r="N15">
        <f ca="1">respondedJobs(Dates!N$8,Dates!N$9)</f>
        <v>0</v>
      </c>
      <c r="O15">
        <f ca="1">createdJobs(Dates!O$8,Dates!O$9)</f>
        <v>0</v>
      </c>
      <c r="P15">
        <f ca="1">respondedJobs(Dates!P$8,Dates!P$9)</f>
        <v>0</v>
      </c>
      <c r="Q15">
        <f ca="1">respondedJobs(Dates!Q$8,Dates!Q$9)</f>
        <v>0</v>
      </c>
      <c r="R15">
        <f ca="1">respondedJobs(Dates!R$8,Dates!R$9)</f>
        <v>0</v>
      </c>
      <c r="S15">
        <f ca="1">respondedJobs(Dates!S$8,Dates!S$9)</f>
        <v>0</v>
      </c>
      <c r="T15">
        <f ca="1">respondedJobs(Dates!T$8,Dates!T$9)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averageCompletionTime(Dates!C$10,Dates!C$11, 1)</f>
        <v>0</v>
      </c>
      <c r="D2" s="5">
        <f>averageCompletionTime(Dates!D$10,Dates!D$11, 1)</f>
        <v>0</v>
      </c>
      <c r="E2" s="5">
        <f>averageCompletionTime(Dates!E$10,Dates!E$11, 1)</f>
        <v>0</v>
      </c>
      <c r="F2" s="5">
        <f>averageCompletionTime(Dates!F$10,Dates!F$11, 1)</f>
        <v>0</v>
      </c>
      <c r="G2" s="5">
        <f>averageCompletionTime(Dates!G$10,Dates!G$11, 1)</f>
        <v>0</v>
      </c>
      <c r="H2" s="5">
        <f>averageCompletionTime(Dates!H$10,Dates!H$11, 1)</f>
        <v>0</v>
      </c>
      <c r="I2" s="5">
        <f>averageCompletionTime(Dates!I$10,Dates!I$11, 1)</f>
        <v>0</v>
      </c>
      <c r="J2" s="5">
        <f>averageCompletionTime(Dates!J$10,Dates!J$11, 1)</f>
        <v>0</v>
      </c>
      <c r="K2" s="5">
        <f>averageCompletionTime(Dates!K$10,Dates!K$11, 1)</f>
        <v>0</v>
      </c>
      <c r="L2" s="5">
        <f>averageCompletionTime(Dates!L$10,Dates!L$11, 1)</f>
        <v>0</v>
      </c>
      <c r="M2" s="5">
        <f>averageCompletionTime(Dates!M$10,Dates!M$11, 1)</f>
        <v>0</v>
      </c>
      <c r="N2" s="5">
        <f>averageCompletionTime(Dates!N$10,Dates!N$11, 1)</f>
        <v>0</v>
      </c>
      <c r="O2" s="5">
        <f>averageCompletionTime(Dates!O$10,Dates!O$11, 1)</f>
        <v>0</v>
      </c>
      <c r="P2" s="5">
        <f>averageCompletionTime(Dates!P$10,Dates!P$11, 1)</f>
        <v>0</v>
      </c>
      <c r="Q2" s="5">
        <f>averageCompletionTime(Dates!Q$10,Dates!Q$11, 1)</f>
        <v>0</v>
      </c>
      <c r="R2" s="5">
        <f>averageCompletionTime(Dates!R$10,Dates!R$11, 1)</f>
        <v>0</v>
      </c>
      <c r="S2" s="5">
        <f>averageCompletionTime(Dates!S$10,Dates!S$11, 1)</f>
        <v>0</v>
      </c>
      <c r="T2" s="5">
        <f>averageCompletionTime(Dates!T$10,Dates!T$11, 1)</f>
        <v>0</v>
      </c>
      <c r="U2" s="5">
        <f>averageCompletionTime(Dates!C$10,Dates!T$11, 1)</f>
        <v>0</v>
      </c>
    </row>
    <row r="3" spans="1:22" x14ac:dyDescent="0.3">
      <c r="A3" s="6"/>
      <c r="B3" s="8" t="s">
        <v>49</v>
      </c>
      <c r="C3" s="5">
        <f>averageCompletionTime(Dates!C$10,Dates!C$11, 2)</f>
        <v>0</v>
      </c>
      <c r="D3" s="5">
        <f>averageCompletionTime(Dates!D$10,Dates!D$11, 2)</f>
        <v>0</v>
      </c>
      <c r="E3" s="5">
        <f>averageCompletionTime(Dates!E$10,Dates!E$11, 2)</f>
        <v>0</v>
      </c>
      <c r="F3" s="5">
        <f>averageCompletionTime(Dates!F$10,Dates!F$11, 2)</f>
        <v>0</v>
      </c>
      <c r="G3" s="5">
        <f>averageCompletionTime(Dates!G$10,Dates!G$11, 2)</f>
        <v>0</v>
      </c>
      <c r="H3" s="5">
        <f>averageCompletionTime(Dates!H$10,Dates!H$11, 2)</f>
        <v>0</v>
      </c>
      <c r="I3" s="5">
        <f>averageCompletionTime(Dates!I$10,Dates!I$11, 2)</f>
        <v>0</v>
      </c>
      <c r="J3" s="5">
        <f>averageCompletionTime(Dates!J$10,Dates!J$11, 2)</f>
        <v>0</v>
      </c>
      <c r="K3" s="5">
        <f>averageCompletionTime(Dates!K$10,Dates!K$11, 2)</f>
        <v>0</v>
      </c>
      <c r="L3" s="5">
        <f>averageCompletionTime(Dates!L$10,Dates!L$11, 2)</f>
        <v>0</v>
      </c>
      <c r="M3" s="5">
        <f>averageCompletionTime(Dates!M$10,Dates!M$11, 2)</f>
        <v>0</v>
      </c>
      <c r="N3" s="5">
        <f>averageCompletionTime(Dates!N$10,Dates!N$11, 2)</f>
        <v>0</v>
      </c>
      <c r="O3" s="5">
        <f>averageCompletionTime(Dates!O$10,Dates!O$11, 2)</f>
        <v>0</v>
      </c>
      <c r="P3" s="5">
        <f>averageCompletionTime(Dates!P$10,Dates!P$11, 2)</f>
        <v>0</v>
      </c>
      <c r="Q3" s="5">
        <f>averageCompletionTime(Dates!Q$10,Dates!Q$11, 2)</f>
        <v>0</v>
      </c>
      <c r="R3" s="5">
        <f>averageCompletionTime(Dates!R$10,Dates!R$11, 2)</f>
        <v>0</v>
      </c>
      <c r="S3" s="5">
        <f>averageCompletionTime(Dates!S$10,Dates!S$11, 2)</f>
        <v>0</v>
      </c>
      <c r="T3" s="5">
        <f>averageCompletionTime(Dates!T$10,Dates!T$11, 2)</f>
        <v>0</v>
      </c>
      <c r="U3" s="5">
        <f>averageCompletionTime(Dates!C$10,Dates!T$11, 2)</f>
        <v>0</v>
      </c>
      <c r="V3" s="5"/>
    </row>
    <row r="4" spans="1:22" x14ac:dyDescent="0.3">
      <c r="A4" s="6"/>
      <c r="B4" s="7" t="s">
        <v>50</v>
      </c>
      <c r="C4" s="5">
        <f>averageCompletionTime(Dates!C$10,Dates!C$11, 3)</f>
        <v>0</v>
      </c>
      <c r="D4" s="5">
        <f>averageCompletionTime(Dates!D$10,Dates!D$11, 3)</f>
        <v>0</v>
      </c>
      <c r="E4" s="5">
        <f>averageCompletionTime(Dates!E$10,Dates!E$11, 3)</f>
        <v>0</v>
      </c>
      <c r="F4" s="5">
        <f>averageCompletionTime(Dates!F$10,Dates!F$11, 3)</f>
        <v>0</v>
      </c>
      <c r="G4" s="5">
        <f>averageCompletionTime(Dates!G$10,Dates!G$11, 3)</f>
        <v>0</v>
      </c>
      <c r="H4" s="5">
        <f>averageCompletionTime(Dates!H$10,Dates!H$11, 3)</f>
        <v>0</v>
      </c>
      <c r="I4" s="5">
        <f>averageCompletionTime(Dates!I$10,Dates!I$11, 3)</f>
        <v>0</v>
      </c>
      <c r="J4" s="5">
        <f>averageCompletionTime(Dates!J$10,Dates!J$11, 3)</f>
        <v>0</v>
      </c>
      <c r="K4" s="5">
        <f>averageCompletionTime(Dates!K$10,Dates!K$11, 3)</f>
        <v>0</v>
      </c>
      <c r="L4" s="5">
        <f>averageCompletionTime(Dates!L$10,Dates!L$11, 3)</f>
        <v>0</v>
      </c>
      <c r="M4" s="5">
        <f>averageCompletionTime(Dates!M$10,Dates!M$11, 3)</f>
        <v>0</v>
      </c>
      <c r="N4" s="5">
        <f>averageCompletionTime(Dates!N$10,Dates!N$11, 3)</f>
        <v>0</v>
      </c>
      <c r="O4" s="5">
        <f>averageCompletionTime(Dates!O$10,Dates!O$11, 3)</f>
        <v>0</v>
      </c>
      <c r="P4" s="5">
        <f>averageCompletionTime(Dates!P$10,Dates!P$11, 3)</f>
        <v>0</v>
      </c>
      <c r="Q4" s="5">
        <f>averageCompletionTime(Dates!Q$10,Dates!Q$11, 3)</f>
        <v>0</v>
      </c>
      <c r="R4" s="5">
        <f>averageCompletionTime(Dates!R$10,Dates!R$11, 3)</f>
        <v>0</v>
      </c>
      <c r="S4" s="5">
        <f>averageCompletionTime(Dates!S$10,Dates!S$11, 3)</f>
        <v>0</v>
      </c>
      <c r="T4" s="5">
        <f>averageCompletionTime(Dates!T$10,Dates!T$11, 3)</f>
        <v>0</v>
      </c>
      <c r="U4" s="5">
        <f>averageCompletionTime(Dates!C$10,Dates!T$11, 3)</f>
        <v>0</v>
      </c>
    </row>
    <row r="5" spans="1:22" x14ac:dyDescent="0.3">
      <c r="A5" s="6"/>
      <c r="B5" s="7" t="s">
        <v>11</v>
      </c>
      <c r="C5" s="5">
        <f>averageResponseTime(Dates!C$10,Dates!C$11, 1)</f>
        <v>0</v>
      </c>
      <c r="D5" s="5">
        <f>averageResponseTime(Dates!D$10,Dates!D$11, 1)</f>
        <v>0</v>
      </c>
      <c r="E5" s="5">
        <f>averageResponseTime(Dates!E$10,Dates!E$11, 1)</f>
        <v>0</v>
      </c>
      <c r="F5" s="5">
        <f>averageResponseTime(Dates!F$10,Dates!F$11, 1)</f>
        <v>0</v>
      </c>
      <c r="G5" s="5">
        <f>averageResponseTime(Dates!G$10,Dates!G$11, 1)</f>
        <v>0</v>
      </c>
      <c r="H5" s="5">
        <f>averageResponseTime(Dates!H$10,Dates!H$11, 1)</f>
        <v>0</v>
      </c>
      <c r="I5" s="5">
        <f>averageResponseTime(Dates!I$10,Dates!I$11, 1)</f>
        <v>0</v>
      </c>
      <c r="J5" s="5">
        <f>averageResponseTime(Dates!J$10,Dates!J$11, 1)</f>
        <v>0</v>
      </c>
      <c r="K5" s="5">
        <f>averageResponseTime(Dates!K$10,Dates!K$11, 1)</f>
        <v>0</v>
      </c>
      <c r="L5" s="5">
        <f>averageResponseTime(Dates!L$10,Dates!L$11, 1)</f>
        <v>0</v>
      </c>
      <c r="M5" s="5">
        <f>averageResponseTime(Dates!M$10,Dates!M$11, 1)</f>
        <v>0</v>
      </c>
      <c r="N5" s="5">
        <f>averageResponseTime(Dates!N$10,Dates!N$11, 1)</f>
        <v>0</v>
      </c>
      <c r="O5" s="5">
        <f>averageResponseTime(Dates!O$10,Dates!O$11, 1)</f>
        <v>0</v>
      </c>
      <c r="P5" s="5">
        <f>averageResponseTime(Dates!P$10,Dates!P$11, 1)</f>
        <v>0</v>
      </c>
      <c r="Q5" s="5">
        <f>averageResponseTime(Dates!Q$10,Dates!Q$11, 1)</f>
        <v>0</v>
      </c>
      <c r="R5" s="5">
        <f>averageResponseTime(Dates!R$10,Dates!R$11, 1)</f>
        <v>0</v>
      </c>
      <c r="S5" s="5">
        <f>averageResponseTime(Dates!S$10,Dates!S$11, 1)</f>
        <v>0</v>
      </c>
      <c r="T5" s="5">
        <f>averageResponseTime(Dates!T$10,Dates!T$11, 1)</f>
        <v>0</v>
      </c>
      <c r="U5" s="5">
        <f>averageResponseTime(Dates!C$10,Dates!T$11, 1)</f>
        <v>0</v>
      </c>
    </row>
    <row r="6" spans="1:22" x14ac:dyDescent="0.3">
      <c r="A6" s="6"/>
      <c r="B6" s="7" t="s">
        <v>51</v>
      </c>
      <c r="C6" s="5">
        <f>averageResponseTime(Dates!C$10,Dates!C$11, 2)</f>
        <v>0</v>
      </c>
      <c r="D6" s="5">
        <f>averageResponseTime(Dates!D$10,Dates!D$11, 2)</f>
        <v>0</v>
      </c>
      <c r="E6" s="5">
        <f>averageResponseTime(Dates!E$10,Dates!E$11, 2)</f>
        <v>0</v>
      </c>
      <c r="F6" s="5">
        <f>averageResponseTime(Dates!F$10,Dates!F$11, 2)</f>
        <v>0</v>
      </c>
      <c r="G6" s="5">
        <f>averageResponseTime(Dates!G$10,Dates!G$11, 2)</f>
        <v>0</v>
      </c>
      <c r="H6" s="5">
        <f>averageResponseTime(Dates!H$10,Dates!H$11, 2)</f>
        <v>0</v>
      </c>
      <c r="I6" s="5">
        <f>averageResponseTime(Dates!I$10,Dates!I$11, 2)</f>
        <v>0</v>
      </c>
      <c r="J6" s="5">
        <f>averageResponseTime(Dates!J$10,Dates!J$11, 2)</f>
        <v>0</v>
      </c>
      <c r="K6" s="5">
        <f>averageResponseTime(Dates!K$10,Dates!K$11, 2)</f>
        <v>0</v>
      </c>
      <c r="L6" s="5">
        <f>averageResponseTime(Dates!L$10,Dates!L$11, 2)</f>
        <v>0</v>
      </c>
      <c r="M6" s="5">
        <f>averageResponseTime(Dates!M$10,Dates!M$11, 2)</f>
        <v>0</v>
      </c>
      <c r="N6" s="5">
        <f>averageResponseTime(Dates!N$10,Dates!N$11, 2)</f>
        <v>0</v>
      </c>
      <c r="O6" s="5">
        <f>averageResponseTime(Dates!O$10,Dates!O$11, 2)</f>
        <v>0</v>
      </c>
      <c r="P6" s="5">
        <f>averageResponseTime(Dates!P$10,Dates!P$11, 2)</f>
        <v>0</v>
      </c>
      <c r="Q6" s="5">
        <f>averageResponseTime(Dates!Q$10,Dates!Q$11, 2)</f>
        <v>0</v>
      </c>
      <c r="R6" s="5">
        <f>averageResponseTime(Dates!R$10,Dates!R$11, 2)</f>
        <v>0</v>
      </c>
      <c r="S6" s="5">
        <f>averageResponseTime(Dates!S$10,Dates!S$11, 2)</f>
        <v>0</v>
      </c>
      <c r="T6" s="5">
        <f>averageResponseTime(Dates!T$10,Dates!T$11, 2)</f>
        <v>0</v>
      </c>
      <c r="U6" s="5">
        <f>averageResponseTime(Dates!C$10,Dates!T$11, 2)</f>
        <v>0</v>
      </c>
    </row>
    <row r="7" spans="1:22" x14ac:dyDescent="0.3">
      <c r="A7" s="6"/>
      <c r="B7" s="7" t="s">
        <v>52</v>
      </c>
      <c r="C7" s="5">
        <f>averageResponseTime(Dates!C$10,Dates!C$11, 3)</f>
        <v>0</v>
      </c>
      <c r="D7" s="5">
        <f>averageResponseTime(Dates!D$10,Dates!D$11, 3)</f>
        <v>0</v>
      </c>
      <c r="E7" s="5">
        <f>averageResponseTime(Dates!E$10,Dates!E$11, 3)</f>
        <v>0</v>
      </c>
      <c r="F7" s="5">
        <f>averageResponseTime(Dates!F$10,Dates!F$11, 3)</f>
        <v>0</v>
      </c>
      <c r="G7" s="5">
        <f>averageResponseTime(Dates!G$10,Dates!G$11, 3)</f>
        <v>0</v>
      </c>
      <c r="H7" s="5">
        <f>averageResponseTime(Dates!H$10,Dates!H$11, 3)</f>
        <v>0</v>
      </c>
      <c r="I7" s="5">
        <f>averageResponseTime(Dates!I$10,Dates!I$11, 3)</f>
        <v>0</v>
      </c>
      <c r="J7" s="5">
        <f>averageResponseTime(Dates!J$10,Dates!J$11, 3)</f>
        <v>0</v>
      </c>
      <c r="K7" s="5">
        <f>averageResponseTime(Dates!K$10,Dates!K$11, 3)</f>
        <v>0</v>
      </c>
      <c r="L7" s="5">
        <f>averageResponseTime(Dates!L$10,Dates!L$11, 3)</f>
        <v>0</v>
      </c>
      <c r="M7" s="5">
        <f>averageResponseTime(Dates!M$10,Dates!M$11, 3)</f>
        <v>0</v>
      </c>
      <c r="N7" s="5">
        <f>averageResponseTime(Dates!N$10,Dates!N$11, 3)</f>
        <v>0</v>
      </c>
      <c r="O7" s="5">
        <f>averageResponseTime(Dates!O$10,Dates!O$11, 3)</f>
        <v>0</v>
      </c>
      <c r="P7" s="5">
        <f>averageResponseTime(Dates!P$10,Dates!P$11, 3)</f>
        <v>0</v>
      </c>
      <c r="Q7" s="5">
        <f>averageResponseTime(Dates!Q$10,Dates!Q$11, 3)</f>
        <v>0</v>
      </c>
      <c r="R7" s="5">
        <f>averageResponseTime(Dates!R$10,Dates!R$11, 3)</f>
        <v>0</v>
      </c>
      <c r="S7" s="5">
        <f>averageResponseTime(Dates!S$10,Dates!S$11, 3)</f>
        <v>0</v>
      </c>
      <c r="T7" s="5">
        <f>averageResponseTime(Dates!T$10,Dates!T$11, 3)</f>
        <v>0</v>
      </c>
      <c r="U7" s="5">
        <f>averageResponseTime(Dates!C$10,Dates!T$11, 3)</f>
        <v>0</v>
      </c>
    </row>
    <row r="8" spans="1:22" x14ac:dyDescent="0.3">
      <c r="A8" s="6"/>
      <c r="B8" s="7" t="s">
        <v>53</v>
      </c>
      <c r="C8" s="5">
        <f>averageInProgressTime(Dates!C$10,Dates!C$11, 1)</f>
        <v>0</v>
      </c>
      <c r="D8" s="5">
        <f>averageInProgressTime(Dates!D$10,Dates!D$11, 1)</f>
        <v>0</v>
      </c>
      <c r="E8" s="5">
        <f>averageInProgressTime(Dates!E$10,Dates!E$11, 1)</f>
        <v>0</v>
      </c>
      <c r="F8" s="5">
        <f>averageInProgressTime(Dates!F$10,Dates!F$11, 1)</f>
        <v>0</v>
      </c>
      <c r="G8" s="5">
        <f>averageInProgressTime(Dates!G$10,Dates!G$11, 1)</f>
        <v>0</v>
      </c>
      <c r="H8" s="5">
        <f>averageInProgressTime(Dates!H$10,Dates!H$11, 1)</f>
        <v>0</v>
      </c>
      <c r="I8" s="5">
        <f>averageInProgressTime(Dates!I$10,Dates!I$11, 1)</f>
        <v>0</v>
      </c>
      <c r="J8" s="5">
        <f>averageInProgressTime(Dates!J$10,Dates!J$11, 1)</f>
        <v>0</v>
      </c>
      <c r="K8" s="5">
        <f>averageInProgressTime(Dates!K$10,Dates!K$11, 1)</f>
        <v>0</v>
      </c>
      <c r="L8" s="5">
        <f>averageInProgressTime(Dates!L$10,Dates!L$11, 1)</f>
        <v>0</v>
      </c>
      <c r="M8" s="5">
        <f>averageInProgressTime(Dates!M$10,Dates!M$11, 1)</f>
        <v>0</v>
      </c>
      <c r="N8" s="5">
        <f>averageInProgressTime(Dates!N$10,Dates!N$11, 1)</f>
        <v>0</v>
      </c>
      <c r="O8" s="5">
        <f>averageInProgressTime(Dates!O$10,Dates!O$11, 1)</f>
        <v>0</v>
      </c>
      <c r="P8" s="5">
        <f>averageInProgressTime(Dates!P$10,Dates!P$11, 1)</f>
        <v>0</v>
      </c>
      <c r="Q8" s="5">
        <f>averageInProgressTime(Dates!Q$10,Dates!Q$11, 1)</f>
        <v>0</v>
      </c>
      <c r="R8" s="5">
        <f>averageInProgressTime(Dates!R$10,Dates!R$11, 1)</f>
        <v>0</v>
      </c>
      <c r="S8" s="5">
        <f>averageInProgressTime(Dates!S$10,Dates!S$11, 1)</f>
        <v>0</v>
      </c>
      <c r="T8" s="5">
        <f>averageInProgressTime(Dates!T$10,Dates!T$11, 1)</f>
        <v>0</v>
      </c>
      <c r="U8" s="5">
        <f>averageInProgressTime(Dates!C$10,Dates!T$11, 1)</f>
        <v>0</v>
      </c>
    </row>
    <row r="9" spans="1:22" x14ac:dyDescent="0.3">
      <c r="A9" s="6"/>
      <c r="B9" s="7" t="s">
        <v>54</v>
      </c>
      <c r="C9" s="5">
        <f>averageInProgressTime(Dates!C$10,Dates!C$11, 2)</f>
        <v>0</v>
      </c>
      <c r="D9" s="5">
        <f>averageInProgressTime(Dates!D$10,Dates!D$11, 2)</f>
        <v>0</v>
      </c>
      <c r="E9" s="5">
        <f>averageInProgressTime(Dates!E$10,Dates!E$11, 2)</f>
        <v>0</v>
      </c>
      <c r="F9" s="5">
        <f>averageInProgressTime(Dates!F$10,Dates!F$11, 2)</f>
        <v>0</v>
      </c>
      <c r="G9" s="5">
        <f>averageInProgressTime(Dates!G$10,Dates!G$11, 2)</f>
        <v>0</v>
      </c>
      <c r="H9" s="5">
        <f>averageInProgressTime(Dates!H$10,Dates!H$11, 2)</f>
        <v>0</v>
      </c>
      <c r="I9" s="5">
        <f>averageInProgressTime(Dates!I$10,Dates!I$11, 2)</f>
        <v>0</v>
      </c>
      <c r="J9" s="5">
        <f>averageInProgressTime(Dates!J$10,Dates!J$11, 2)</f>
        <v>0</v>
      </c>
      <c r="K9" s="5">
        <f>averageInProgressTime(Dates!K$10,Dates!K$11, 2)</f>
        <v>0</v>
      </c>
      <c r="L9" s="5">
        <f>averageInProgressTime(Dates!L$10,Dates!L$11, 2)</f>
        <v>0</v>
      </c>
      <c r="M9" s="5">
        <f>averageInProgressTime(Dates!M$10,Dates!M$11, 2)</f>
        <v>0</v>
      </c>
      <c r="N9" s="5">
        <f>averageInProgressTime(Dates!N$10,Dates!N$11, 2)</f>
        <v>0</v>
      </c>
      <c r="O9" s="5">
        <f>averageInProgressTime(Dates!O$10,Dates!O$11, 2)</f>
        <v>0</v>
      </c>
      <c r="P9" s="5">
        <f>averageInProgressTime(Dates!P$10,Dates!P$11, 2)</f>
        <v>0</v>
      </c>
      <c r="Q9" s="5">
        <f>averageInProgressTime(Dates!Q$10,Dates!Q$11, 2)</f>
        <v>0</v>
      </c>
      <c r="R9" s="5">
        <f>averageInProgressTime(Dates!R$10,Dates!R$11, 2)</f>
        <v>0</v>
      </c>
      <c r="S9" s="5">
        <f>averageInProgressTime(Dates!S$10,Dates!S$11, 2)</f>
        <v>0</v>
      </c>
      <c r="T9" s="5">
        <f>averageInProgressTime(Dates!T$10,Dates!T$11, 2)</f>
        <v>0</v>
      </c>
      <c r="U9" s="5">
        <f>averageInProgressTime(Dates!C$10,Dates!T$11, 2)</f>
        <v>0</v>
      </c>
    </row>
    <row r="10" spans="1:22" x14ac:dyDescent="0.3">
      <c r="A10" s="6"/>
      <c r="B10" s="7" t="s">
        <v>55</v>
      </c>
      <c r="C10" s="5">
        <f>averageInProgressTime(Dates!C$10,Dates!C$11, 3)</f>
        <v>0</v>
      </c>
      <c r="D10" s="5">
        <f>averageInProgressTime(Dates!D$10,Dates!D$11, 3)</f>
        <v>0</v>
      </c>
      <c r="E10" s="5">
        <f>averageInProgressTime(Dates!E$10,Dates!E$11, 3)</f>
        <v>0</v>
      </c>
      <c r="F10" s="5">
        <f>averageInProgressTime(Dates!F$10,Dates!F$11, 3)</f>
        <v>0</v>
      </c>
      <c r="G10" s="5">
        <f>averageInProgressTime(Dates!G$10,Dates!G$11, 3)</f>
        <v>0</v>
      </c>
      <c r="H10" s="5">
        <f>averageInProgressTime(Dates!H$10,Dates!H$11, 3)</f>
        <v>0</v>
      </c>
      <c r="I10" s="5">
        <f>averageInProgressTime(Dates!I$10,Dates!I$11, 3)</f>
        <v>0</v>
      </c>
      <c r="J10" s="5">
        <f>averageInProgressTime(Dates!J$10,Dates!J$11, 3)</f>
        <v>0</v>
      </c>
      <c r="K10" s="5">
        <f>averageInProgressTime(Dates!K$10,Dates!K$11, 3)</f>
        <v>0</v>
      </c>
      <c r="L10" s="5">
        <f>averageInProgressTime(Dates!L$10,Dates!L$11, 3)</f>
        <v>0</v>
      </c>
      <c r="M10" s="5">
        <f>averageInProgressTime(Dates!M$10,Dates!M$11, 3)</f>
        <v>0</v>
      </c>
      <c r="N10" s="5">
        <f>averageInProgressTime(Dates!N$10,Dates!N$11, 3)</f>
        <v>0</v>
      </c>
      <c r="O10" s="5">
        <f>averageInProgressTime(Dates!O$10,Dates!O$11, 3)</f>
        <v>0</v>
      </c>
      <c r="P10" s="5">
        <f>averageInProgressTime(Dates!P$10,Dates!P$11, 3)</f>
        <v>0</v>
      </c>
      <c r="Q10" s="5">
        <f>averageInProgressTime(Dates!Q$10,Dates!Q$11, 3)</f>
        <v>0</v>
      </c>
      <c r="R10" s="5">
        <f>averageInProgressTime(Dates!R$10,Dates!R$11, 3)</f>
        <v>0</v>
      </c>
      <c r="S10" s="5">
        <f>averageInProgressTime(Dates!S$10,Dates!S$11, 3)</f>
        <v>0</v>
      </c>
      <c r="T10" s="5">
        <f>averageInProgressTime(Dates!T$10,Dates!T$11, 3)</f>
        <v>0</v>
      </c>
      <c r="U10" s="5">
        <f>averageInProgressTime(Dates!C$10,Dates!T$11, 3)</f>
        <v>0</v>
      </c>
    </row>
    <row r="11" spans="1:22" x14ac:dyDescent="0.3">
      <c r="A11" s="6"/>
      <c r="B11" s="7" t="s">
        <v>42</v>
      </c>
      <c r="C11">
        <f>totalNumberOfJobsCompleted(Dates!C$10,Dates!C$11)</f>
        <v>0</v>
      </c>
      <c r="D11">
        <f>totalNumberOfJobsCompleted(Dates!D$10,Dates!D$11)</f>
        <v>0</v>
      </c>
      <c r="E11">
        <f>totalNumberOfJobsCompleted(Dates!E$10,Dates!E$11)</f>
        <v>0</v>
      </c>
      <c r="F11">
        <f>totalNumberOfJobsCompleted(Dates!F$10,Dates!F$11)</f>
        <v>0</v>
      </c>
      <c r="G11">
        <f>totalNumberOfJobsCompleted(Dates!G$10,Dates!G$11)</f>
        <v>0</v>
      </c>
      <c r="H11">
        <f>totalNumberOfJobsCompleted(Dates!H$10,Dates!H$11)</f>
        <v>0</v>
      </c>
      <c r="I11">
        <f>totalNumberOfJobsCompleted(Dates!I$10,Dates!I$11)</f>
        <v>0</v>
      </c>
      <c r="J11">
        <f>totalNumberOfJobsCompleted(Dates!J$10,Dates!J$11)</f>
        <v>0</v>
      </c>
      <c r="K11">
        <f>totalNumberOfJobsCompleted(Dates!K$10,Dates!K$11)</f>
        <v>0</v>
      </c>
      <c r="L11">
        <f>totalNumberOfJobsCompleted(Dates!L$10,Dates!L$11)</f>
        <v>0</v>
      </c>
      <c r="M11">
        <f>totalNumberOfJobsCompleted(Dates!M$10,Dates!M$11)</f>
        <v>0</v>
      </c>
      <c r="N11">
        <f>totalNumberOfJobsCompleted(Dates!N$10,Dates!N$11)</f>
        <v>0</v>
      </c>
      <c r="O11">
        <f>totalNumberOfJobsCompleted(Dates!O$10,Dates!O$11)</f>
        <v>0</v>
      </c>
      <c r="P11">
        <f>totalNumberOfJobsCompleted(Dates!P$10,Dates!P$11)</f>
        <v>0</v>
      </c>
      <c r="Q11">
        <f>totalNumberOfJobsCompleted(Dates!Q$10,Dates!Q$11)</f>
        <v>0</v>
      </c>
      <c r="R11">
        <f>totalNumberOfJobsCompleted(Dates!R$10,Dates!R$11)</f>
        <v>0</v>
      </c>
      <c r="S11">
        <f>totalNumberOfJobsCompleted(Dates!S$10,Dates!S$11)</f>
        <v>0</v>
      </c>
      <c r="T11">
        <f>totalNumberOfJobsCompleted(Dates!T$10,Dates!T$11)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pendingJobs(Dates!C$11)</f>
        <v>0</v>
      </c>
      <c r="D12">
        <f>pendingJobs(Dates!D$11)</f>
        <v>0</v>
      </c>
      <c r="E12">
        <f>pendingJobs(Dates!E$11)</f>
        <v>0</v>
      </c>
      <c r="F12">
        <f>pendingJobs(Dates!F$11)</f>
        <v>0</v>
      </c>
      <c r="G12">
        <f>pendingJobs(Dates!G$11)</f>
        <v>0</v>
      </c>
      <c r="H12">
        <f>pendingJobs(Dates!H$11)</f>
        <v>0</v>
      </c>
      <c r="I12">
        <f>pendingJobs(Dates!I$11)</f>
        <v>0</v>
      </c>
      <c r="J12">
        <f>pendingJobs(Dates!J$11)</f>
        <v>0</v>
      </c>
      <c r="K12">
        <f>pendingJobs(Dates!K$11)</f>
        <v>0</v>
      </c>
      <c r="L12">
        <f>pendingJobs(Dates!L$11)</f>
        <v>0</v>
      </c>
      <c r="M12">
        <f>pendingJobs(Dates!M$11)</f>
        <v>0</v>
      </c>
      <c r="N12">
        <f>pendingJobs(Dates!N$11)</f>
        <v>0</v>
      </c>
      <c r="O12">
        <f>pendingJobs(Dates!O$11)</f>
        <v>0</v>
      </c>
      <c r="P12">
        <f>pendingJobs(Dates!P$11)</f>
        <v>0</v>
      </c>
      <c r="Q12">
        <f>pendingJobs(Dates!Q$11)</f>
        <v>0</v>
      </c>
      <c r="R12">
        <f>pendingJobs(Dates!R$11)</f>
        <v>0</v>
      </c>
      <c r="S12">
        <f>pendingJobs(Dates!S$11)</f>
        <v>0</v>
      </c>
      <c r="T12">
        <f>pendingJobs(Dates!T$11)</f>
        <v>0</v>
      </c>
      <c r="U12" s="5"/>
    </row>
    <row r="13" spans="1:22" x14ac:dyDescent="0.3">
      <c r="A13" s="6"/>
      <c r="B13" s="7" t="s">
        <v>48</v>
      </c>
      <c r="C13">
        <f>cancelledJobs(Dates!$C$10,Dates!C$11)</f>
        <v>0</v>
      </c>
      <c r="D13">
        <f>cancelledJobs(Dates!$C$10,Dates!D$11)</f>
        <v>0</v>
      </c>
      <c r="E13">
        <f>cancelledJobs(Dates!$C$10,Dates!E$11)</f>
        <v>0</v>
      </c>
      <c r="F13">
        <f>cancelledJobs(Dates!$C$10,Dates!F$11)</f>
        <v>0</v>
      </c>
      <c r="G13">
        <f>cancelledJobs(Dates!$C$10,Dates!G$11)</f>
        <v>0</v>
      </c>
      <c r="H13">
        <f>cancelledJobs(Dates!$C$10,Dates!H$11)</f>
        <v>0</v>
      </c>
      <c r="I13">
        <f>cancelledJobs(Dates!$C$10,Dates!I$11)</f>
        <v>0</v>
      </c>
      <c r="J13">
        <f>cancelledJobs(Dates!$C$10,Dates!J$11)</f>
        <v>0</v>
      </c>
      <c r="K13">
        <f>cancelledJobs(Dates!$C$10,Dates!K$11)</f>
        <v>0</v>
      </c>
      <c r="L13">
        <f>cancelledJobs(Dates!$C$10,Dates!L$11)</f>
        <v>0</v>
      </c>
      <c r="M13">
        <f>cancelledJobs(Dates!$C$10,Dates!M$11)</f>
        <v>0</v>
      </c>
      <c r="N13">
        <f>cancelledJobs(Dates!$C$10,Dates!N$11)</f>
        <v>0</v>
      </c>
      <c r="O13">
        <f>cancelledJobs(Dates!$C$10,Dates!O$11)</f>
        <v>0</v>
      </c>
      <c r="P13">
        <f>cancelledJobs(Dates!$C$10,Dates!P$11)</f>
        <v>0</v>
      </c>
      <c r="Q13">
        <f>cancelledJobs(Dates!$C$10,Dates!Q$11)</f>
        <v>0</v>
      </c>
      <c r="R13">
        <f>cancelledJobs(Dates!$C$10,Dates!R$11)</f>
        <v>0</v>
      </c>
      <c r="S13">
        <f>cancelledJobs(Dates!$C$10,Dates!S$11)</f>
        <v>0</v>
      </c>
      <c r="T13">
        <f>cancelledJobs(Dates!$C$10,Dates!T$11)</f>
        <v>0</v>
      </c>
      <c r="U13" s="5"/>
    </row>
    <row r="14" spans="1:22" x14ac:dyDescent="0.3">
      <c r="B14" s="7" t="s">
        <v>61</v>
      </c>
      <c r="C14">
        <f ca="1">createdJobs(Dates!C$10,Dates!C$11)</f>
        <v>0</v>
      </c>
      <c r="D14">
        <f ca="1">createdJobs(Dates!D$10,Dates!D$11)</f>
        <v>0</v>
      </c>
      <c r="E14">
        <f ca="1">createdJobs(Dates!E$10,Dates!E$11)</f>
        <v>0</v>
      </c>
      <c r="F14">
        <f ca="1">createdJobs(Dates!F$10,Dates!F$11)</f>
        <v>0</v>
      </c>
      <c r="G14">
        <f ca="1">createdJobs(Dates!G$10,Dates!G$11)</f>
        <v>0</v>
      </c>
      <c r="H14">
        <f ca="1">createdJobs(Dates!H$10,Dates!H$11)</f>
        <v>0</v>
      </c>
      <c r="I14">
        <f ca="1">createdJobs(Dates!I$10,Dates!I$11)</f>
        <v>0</v>
      </c>
      <c r="J14">
        <f ca="1">createdJobs(Dates!J$10,Dates!J$11)</f>
        <v>0</v>
      </c>
      <c r="K14">
        <f ca="1">createdJobs(Dates!K$10,Dates!K$11)</f>
        <v>0</v>
      </c>
      <c r="L14">
        <f ca="1">createdJobs(Dates!L$10,Dates!L$11)</f>
        <v>0</v>
      </c>
      <c r="M14">
        <f ca="1">createdJobs(Dates!M$10,Dates!M$11)</f>
        <v>0</v>
      </c>
      <c r="N14">
        <f ca="1">createdJobs(Dates!N$10,Dates!N$11)</f>
        <v>0</v>
      </c>
      <c r="O14">
        <f ca="1">createdJobs(Dates!O$10,Dates!O$11)</f>
        <v>0</v>
      </c>
      <c r="P14">
        <f ca="1">createdJobs(Dates!P$10,Dates!P$11)</f>
        <v>0</v>
      </c>
      <c r="Q14">
        <f ca="1">createdJobs(Dates!Q$10,Dates!Q$11)</f>
        <v>0</v>
      </c>
      <c r="R14">
        <f ca="1">createdJobs(Dates!R$10,Dates!R$11)</f>
        <v>0</v>
      </c>
      <c r="S14">
        <f ca="1">createdJobs(Dates!S$10,Dates!S$11)</f>
        <v>0</v>
      </c>
      <c r="T14">
        <f ca="1">createdJobs(Dates!T$10,Dates!T$11)</f>
        <v>0</v>
      </c>
    </row>
    <row r="15" spans="1:22" x14ac:dyDescent="0.3">
      <c r="B15" s="7" t="s">
        <v>62</v>
      </c>
      <c r="C15">
        <f ca="1">respondedJobs(Dates!C$10,Dates!C$11)</f>
        <v>0</v>
      </c>
      <c r="D15">
        <f ca="1">respondedJobs(Dates!D$10,Dates!D$11)</f>
        <v>0</v>
      </c>
      <c r="E15">
        <f ca="1">respondedJobs(Dates!E$10,Dates!E$11)</f>
        <v>0</v>
      </c>
      <c r="F15">
        <f ca="1">respondedJobs(Dates!F$10,Dates!F$11)</f>
        <v>0</v>
      </c>
      <c r="G15">
        <f ca="1">respondedJobs(Dates!G$10,Dates!G$11)</f>
        <v>0</v>
      </c>
      <c r="H15">
        <f ca="1">respondedJobs(Dates!H$10,Dates!H$11)</f>
        <v>0</v>
      </c>
      <c r="I15">
        <f ca="1">respondedJobs(Dates!I$10,Dates!I$11)</f>
        <v>0</v>
      </c>
      <c r="J15">
        <f ca="1">respondedJobs(Dates!J$10,Dates!J$11)</f>
        <v>0</v>
      </c>
      <c r="K15">
        <f ca="1">respondedJobs(Dates!K$10,Dates!K$11)</f>
        <v>0</v>
      </c>
      <c r="L15">
        <f ca="1">respondedJobs(Dates!L$10,Dates!L$11)</f>
        <v>0</v>
      </c>
      <c r="M15">
        <f ca="1">respondedJobs(Dates!M$10,Dates!M$11)</f>
        <v>0</v>
      </c>
      <c r="N15">
        <f ca="1">respondedJobs(Dates!N$10,Dates!N$11)</f>
        <v>0</v>
      </c>
      <c r="O15">
        <f ca="1">createdJobs(Dates!O$10,Dates!O$11)</f>
        <v>0</v>
      </c>
      <c r="P15">
        <f ca="1">respondedJobs(Dates!P$10,Dates!P$11)</f>
        <v>0</v>
      </c>
      <c r="Q15">
        <f ca="1">respondedJobs(Dates!Q$10,Dates!Q$11)</f>
        <v>0</v>
      </c>
      <c r="R15">
        <f ca="1">respondedJobs(Dates!R$10,Dates!R$11)</f>
        <v>0</v>
      </c>
      <c r="S15">
        <f ca="1">respondedJobs(Dates!S$10,Dates!S$11)</f>
        <v>0</v>
      </c>
      <c r="T15">
        <f ca="1">respondedJobs(Dates!T$10,Dates!T$11)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averageCompletionTime(Dates!C$12,Dates!C$13, 1)</f>
        <v>0</v>
      </c>
      <c r="D2" s="5">
        <f>averageCompletionTime(Dates!D$12,Dates!D$13, 1)</f>
        <v>0</v>
      </c>
      <c r="E2" s="5">
        <f>averageCompletionTime(Dates!E$12,Dates!E$13, 1)</f>
        <v>0</v>
      </c>
      <c r="F2" s="5">
        <f>averageCompletionTime(Dates!F$12,Dates!F$13, 1)</f>
        <v>0</v>
      </c>
      <c r="G2" s="5">
        <f>averageCompletionTime(Dates!G$12,Dates!G$13, 1)</f>
        <v>0</v>
      </c>
      <c r="H2" s="5">
        <f>averageCompletionTime(Dates!H$12,Dates!H$13, 1)</f>
        <v>0</v>
      </c>
      <c r="I2" s="5">
        <f>averageCompletionTime(Dates!I$12,Dates!I$13, 1)</f>
        <v>0</v>
      </c>
      <c r="J2" s="5">
        <f>averageCompletionTime(Dates!J$12,Dates!J$13, 1)</f>
        <v>0</v>
      </c>
      <c r="K2" s="5">
        <f>averageCompletionTime(Dates!K$12,Dates!K$13, 1)</f>
        <v>0</v>
      </c>
      <c r="L2" s="5">
        <f>averageCompletionTime(Dates!L$12,Dates!L$13, 1)</f>
        <v>0</v>
      </c>
      <c r="M2" s="5">
        <f>averageCompletionTime(Dates!M$12,Dates!M$13, 1)</f>
        <v>0</v>
      </c>
      <c r="N2" s="5">
        <f>averageCompletionTime(Dates!N$12,Dates!N$13, 1)</f>
        <v>0</v>
      </c>
      <c r="O2" s="5">
        <f>averageCompletionTime(Dates!O$12,Dates!O$13, 1)</f>
        <v>0</v>
      </c>
      <c r="P2" s="5">
        <f>averageCompletionTime(Dates!P$12,Dates!P$13, 1)</f>
        <v>0</v>
      </c>
      <c r="Q2" s="5">
        <f>averageCompletionTime(Dates!Q$12,Dates!Q$13, 1)</f>
        <v>0</v>
      </c>
      <c r="R2" s="5">
        <f>averageCompletionTime(Dates!R$12,Dates!R$13, 1)</f>
        <v>0</v>
      </c>
      <c r="S2" s="5">
        <f>averageCompletionTime(Dates!S$12,Dates!S$13, 1)</f>
        <v>0</v>
      </c>
      <c r="T2" s="5">
        <f>averageCompletionTime(Dates!T$12,Dates!T$13, 1)</f>
        <v>0</v>
      </c>
      <c r="U2" s="5">
        <f>averageCompletionTime(Dates!C$12,Dates!T$13, 1)</f>
        <v>0</v>
      </c>
    </row>
    <row r="3" spans="1:22" x14ac:dyDescent="0.3">
      <c r="A3" s="6"/>
      <c r="B3" s="8" t="s">
        <v>49</v>
      </c>
      <c r="C3" s="5">
        <f>averageCompletionTime(Dates!C$12,Dates!C$13, 2)</f>
        <v>0</v>
      </c>
      <c r="D3" s="5">
        <f>averageCompletionTime(Dates!D$12,Dates!D$13, 2)</f>
        <v>0</v>
      </c>
      <c r="E3" s="5">
        <f>averageCompletionTime(Dates!E$12,Dates!E$13, 2)</f>
        <v>0</v>
      </c>
      <c r="F3" s="5">
        <f>averageCompletionTime(Dates!F$12,Dates!F$13, 2)</f>
        <v>0</v>
      </c>
      <c r="G3" s="5">
        <f>averageCompletionTime(Dates!G$12,Dates!G$13, 2)</f>
        <v>0</v>
      </c>
      <c r="H3" s="5">
        <f>averageCompletionTime(Dates!H$12,Dates!H$13, 2)</f>
        <v>0</v>
      </c>
      <c r="I3" s="5">
        <f>averageCompletionTime(Dates!I$12,Dates!I$13, 2)</f>
        <v>0</v>
      </c>
      <c r="J3" s="5">
        <f>averageCompletionTime(Dates!J$12,Dates!J$13, 2)</f>
        <v>0</v>
      </c>
      <c r="K3" s="5">
        <f>averageCompletionTime(Dates!K$12,Dates!K$13, 2)</f>
        <v>0</v>
      </c>
      <c r="L3" s="5">
        <f>averageCompletionTime(Dates!L$12,Dates!L$13, 2)</f>
        <v>0</v>
      </c>
      <c r="M3" s="5">
        <f>averageCompletionTime(Dates!M$12,Dates!M$13, 2)</f>
        <v>0</v>
      </c>
      <c r="N3" s="5">
        <f>averageCompletionTime(Dates!N$12,Dates!N$13, 2)</f>
        <v>0</v>
      </c>
      <c r="O3" s="5">
        <f>averageCompletionTime(Dates!O$12,Dates!O$13, 2)</f>
        <v>0</v>
      </c>
      <c r="P3" s="5">
        <f>averageCompletionTime(Dates!P$12,Dates!P$13, 2)</f>
        <v>0</v>
      </c>
      <c r="Q3" s="5">
        <f>averageCompletionTime(Dates!Q$12,Dates!Q$13, 2)</f>
        <v>0</v>
      </c>
      <c r="R3" s="5">
        <f>averageCompletionTime(Dates!R$12,Dates!R$13, 2)</f>
        <v>0</v>
      </c>
      <c r="S3" s="5">
        <f>averageCompletionTime(Dates!S$12,Dates!S$13, 2)</f>
        <v>0</v>
      </c>
      <c r="T3" s="5">
        <f>averageCompletionTime(Dates!T$12,Dates!T$13, 2)</f>
        <v>0</v>
      </c>
      <c r="U3" s="5">
        <f>averageCompletionTime(Dates!C$12,Dates!T$13, 2)</f>
        <v>0</v>
      </c>
      <c r="V3" s="5"/>
    </row>
    <row r="4" spans="1:22" x14ac:dyDescent="0.3">
      <c r="A4" s="6"/>
      <c r="B4" s="7" t="s">
        <v>50</v>
      </c>
      <c r="C4" s="5">
        <f>averageCompletionTime(Dates!C$12,Dates!C$13, 3)</f>
        <v>0</v>
      </c>
      <c r="D4" s="5">
        <f>averageCompletionTime(Dates!D$12,Dates!D$13, 3)</f>
        <v>0</v>
      </c>
      <c r="E4" s="5">
        <f>averageCompletionTime(Dates!E$12,Dates!E$13, 3)</f>
        <v>0</v>
      </c>
      <c r="F4" s="5">
        <f>averageCompletionTime(Dates!F$12,Dates!F$13, 3)</f>
        <v>0</v>
      </c>
      <c r="G4" s="5">
        <f>averageCompletionTime(Dates!G$12,Dates!G$13, 3)</f>
        <v>0</v>
      </c>
      <c r="H4" s="5">
        <f>averageCompletionTime(Dates!H$12,Dates!H$13, 3)</f>
        <v>0</v>
      </c>
      <c r="I4" s="5">
        <f>averageCompletionTime(Dates!I$12,Dates!I$13, 3)</f>
        <v>0</v>
      </c>
      <c r="J4" s="5">
        <f>averageCompletionTime(Dates!J$12,Dates!J$13, 3)</f>
        <v>0</v>
      </c>
      <c r="K4" s="5">
        <f>averageCompletionTime(Dates!K$12,Dates!K$13, 3)</f>
        <v>0</v>
      </c>
      <c r="L4" s="5">
        <f>averageCompletionTime(Dates!L$12,Dates!L$13, 3)</f>
        <v>0</v>
      </c>
      <c r="M4" s="5">
        <f>averageCompletionTime(Dates!M$12,Dates!M$13, 3)</f>
        <v>0</v>
      </c>
      <c r="N4" s="5">
        <f>averageCompletionTime(Dates!N$12,Dates!N$13, 3)</f>
        <v>0</v>
      </c>
      <c r="O4" s="5">
        <f>averageCompletionTime(Dates!O$12,Dates!O$13, 3)</f>
        <v>0</v>
      </c>
      <c r="P4" s="5">
        <f>averageCompletionTime(Dates!P$12,Dates!P$13, 3)</f>
        <v>0</v>
      </c>
      <c r="Q4" s="5">
        <f>averageCompletionTime(Dates!Q$12,Dates!Q$13, 3)</f>
        <v>0</v>
      </c>
      <c r="R4" s="5">
        <f>averageCompletionTime(Dates!R$12,Dates!R$13, 3)</f>
        <v>0</v>
      </c>
      <c r="S4" s="5">
        <f>averageCompletionTime(Dates!S$12,Dates!S$13, 3)</f>
        <v>0</v>
      </c>
      <c r="T4" s="5">
        <f>averageCompletionTime(Dates!T$12,Dates!T$13, 3)</f>
        <v>0</v>
      </c>
      <c r="U4" s="5">
        <f>averageCompletionTime(Dates!C$12,Dates!T$13, 3)</f>
        <v>0</v>
      </c>
    </row>
    <row r="5" spans="1:22" x14ac:dyDescent="0.3">
      <c r="A5" s="6"/>
      <c r="B5" s="7" t="s">
        <v>11</v>
      </c>
      <c r="C5" s="5">
        <f>averageResponseTime(Dates!C$12,Dates!C$13, 1)</f>
        <v>0</v>
      </c>
      <c r="D5" s="5">
        <f>averageResponseTime(Dates!D$12,Dates!D$13, 1)</f>
        <v>0</v>
      </c>
      <c r="E5" s="5">
        <f>averageResponseTime(Dates!E$12,Dates!E$13, 1)</f>
        <v>0</v>
      </c>
      <c r="F5" s="5">
        <f>averageResponseTime(Dates!F$12,Dates!F$13, 1)</f>
        <v>0</v>
      </c>
      <c r="G5" s="5">
        <f>averageResponseTime(Dates!G$12,Dates!G$13, 1)</f>
        <v>0</v>
      </c>
      <c r="H5" s="5">
        <f>averageResponseTime(Dates!H$12,Dates!H$13, 1)</f>
        <v>0</v>
      </c>
      <c r="I5" s="5">
        <f>averageResponseTime(Dates!I$12,Dates!I$13, 1)</f>
        <v>0</v>
      </c>
      <c r="J5" s="5">
        <f>averageResponseTime(Dates!J$12,Dates!J$13, 1)</f>
        <v>0</v>
      </c>
      <c r="K5" s="5">
        <f>averageResponseTime(Dates!K$12,Dates!K$13, 1)</f>
        <v>0</v>
      </c>
      <c r="L5" s="5">
        <f>averageResponseTime(Dates!L$12,Dates!L$13, 1)</f>
        <v>0</v>
      </c>
      <c r="M5" s="5">
        <f>averageResponseTime(Dates!M$12,Dates!M$13, 1)</f>
        <v>0</v>
      </c>
      <c r="N5" s="5">
        <f>averageResponseTime(Dates!N$12,Dates!N$13, 1)</f>
        <v>0</v>
      </c>
      <c r="O5" s="5">
        <f>averageResponseTime(Dates!O$12,Dates!O$13, 1)</f>
        <v>0</v>
      </c>
      <c r="P5" s="5">
        <f>averageResponseTime(Dates!P$12,Dates!P$13, 1)</f>
        <v>0</v>
      </c>
      <c r="Q5" s="5">
        <f>averageResponseTime(Dates!Q$12,Dates!Q$13, 1)</f>
        <v>0</v>
      </c>
      <c r="R5" s="5">
        <f>averageResponseTime(Dates!R$12,Dates!R$13, 1)</f>
        <v>0</v>
      </c>
      <c r="S5" s="5">
        <f>averageResponseTime(Dates!S$12,Dates!S$13, 1)</f>
        <v>0</v>
      </c>
      <c r="T5" s="5">
        <f>averageResponseTime(Dates!T$12,Dates!T$13, 1)</f>
        <v>0</v>
      </c>
      <c r="U5" s="5">
        <f>averageResponseTime(Dates!C$12,Dates!T$13, 1)</f>
        <v>0</v>
      </c>
    </row>
    <row r="6" spans="1:22" x14ac:dyDescent="0.3">
      <c r="A6" s="6"/>
      <c r="B6" s="7" t="s">
        <v>51</v>
      </c>
      <c r="C6" s="5">
        <f>averageResponseTime(Dates!C$12,Dates!C$13, 2)</f>
        <v>0</v>
      </c>
      <c r="D6" s="5">
        <f>averageResponseTime(Dates!D$12,Dates!D$13, 2)</f>
        <v>0</v>
      </c>
      <c r="E6" s="5">
        <f>averageResponseTime(Dates!E$12,Dates!E$13, 2)</f>
        <v>0</v>
      </c>
      <c r="F6" s="5">
        <f>averageResponseTime(Dates!F$12,Dates!F$13, 2)</f>
        <v>0</v>
      </c>
      <c r="G6" s="5">
        <f>averageResponseTime(Dates!G$12,Dates!G$13, 2)</f>
        <v>0</v>
      </c>
      <c r="H6" s="5">
        <f>averageResponseTime(Dates!H$12,Dates!H$13, 2)</f>
        <v>0</v>
      </c>
      <c r="I6" s="5">
        <f>averageResponseTime(Dates!I$12,Dates!I$13, 2)</f>
        <v>0</v>
      </c>
      <c r="J6" s="5">
        <f>averageResponseTime(Dates!J$12,Dates!J$13, 2)</f>
        <v>0</v>
      </c>
      <c r="K6" s="5">
        <f>averageResponseTime(Dates!K$12,Dates!K$13, 2)</f>
        <v>0</v>
      </c>
      <c r="L6" s="5">
        <f>averageResponseTime(Dates!L$12,Dates!L$13, 2)</f>
        <v>0</v>
      </c>
      <c r="M6" s="5">
        <f>averageResponseTime(Dates!M$12,Dates!M$13, 2)</f>
        <v>0</v>
      </c>
      <c r="N6" s="5">
        <f>averageResponseTime(Dates!N$12,Dates!N$13, 2)</f>
        <v>0</v>
      </c>
      <c r="O6" s="5">
        <f>averageResponseTime(Dates!O$12,Dates!O$13, 2)</f>
        <v>0</v>
      </c>
      <c r="P6" s="5">
        <f>averageResponseTime(Dates!P$12,Dates!P$13, 2)</f>
        <v>0</v>
      </c>
      <c r="Q6" s="5">
        <f>averageResponseTime(Dates!Q$12,Dates!Q$13, 2)</f>
        <v>0</v>
      </c>
      <c r="R6" s="5">
        <f>averageResponseTime(Dates!R$12,Dates!R$13, 2)</f>
        <v>0</v>
      </c>
      <c r="S6" s="5">
        <f>averageResponseTime(Dates!S$12,Dates!S$13, 2)</f>
        <v>0</v>
      </c>
      <c r="T6" s="5">
        <f>averageResponseTime(Dates!T$12,Dates!T$13, 2)</f>
        <v>0</v>
      </c>
      <c r="U6" s="5">
        <f>averageResponseTime(Dates!C$12,Dates!T$13, 2)</f>
        <v>0</v>
      </c>
    </row>
    <row r="7" spans="1:22" x14ac:dyDescent="0.3">
      <c r="A7" s="6"/>
      <c r="B7" s="7" t="s">
        <v>52</v>
      </c>
      <c r="C7" s="5">
        <f>averageResponseTime(Dates!C$12,Dates!C$13, 3)</f>
        <v>0</v>
      </c>
      <c r="D7" s="5">
        <f>averageResponseTime(Dates!D$12,Dates!D$13, 3)</f>
        <v>0</v>
      </c>
      <c r="E7" s="5">
        <f>averageResponseTime(Dates!E$12,Dates!E$13, 3)</f>
        <v>0</v>
      </c>
      <c r="F7" s="5">
        <f>averageResponseTime(Dates!F$12,Dates!F$13, 3)</f>
        <v>0</v>
      </c>
      <c r="G7" s="5">
        <f>averageResponseTime(Dates!G$12,Dates!G$13, 3)</f>
        <v>0</v>
      </c>
      <c r="H7" s="5">
        <f>averageResponseTime(Dates!H$12,Dates!H$13, 3)</f>
        <v>0</v>
      </c>
      <c r="I7" s="5">
        <f>averageResponseTime(Dates!I$12,Dates!I$13, 3)</f>
        <v>0</v>
      </c>
      <c r="J7" s="5">
        <f>averageResponseTime(Dates!J$12,Dates!J$13, 3)</f>
        <v>0</v>
      </c>
      <c r="K7" s="5">
        <f>averageResponseTime(Dates!K$12,Dates!K$13, 3)</f>
        <v>0</v>
      </c>
      <c r="L7" s="5">
        <f>averageResponseTime(Dates!L$12,Dates!L$13, 3)</f>
        <v>0</v>
      </c>
      <c r="M7" s="5">
        <f>averageResponseTime(Dates!M$12,Dates!M$13, 3)</f>
        <v>0</v>
      </c>
      <c r="N7" s="5">
        <f>averageResponseTime(Dates!N$12,Dates!N$13, 3)</f>
        <v>0</v>
      </c>
      <c r="O7" s="5">
        <f>averageResponseTime(Dates!O$12,Dates!O$13, 3)</f>
        <v>0</v>
      </c>
      <c r="P7" s="5">
        <f>averageResponseTime(Dates!P$12,Dates!P$13, 3)</f>
        <v>0</v>
      </c>
      <c r="Q7" s="5">
        <f>averageResponseTime(Dates!Q$12,Dates!Q$13, 3)</f>
        <v>0</v>
      </c>
      <c r="R7" s="5">
        <f>averageResponseTime(Dates!R$12,Dates!R$13, 3)</f>
        <v>0</v>
      </c>
      <c r="S7" s="5">
        <f>averageResponseTime(Dates!S$12,Dates!S$13, 3)</f>
        <v>0</v>
      </c>
      <c r="T7" s="5">
        <f>averageResponseTime(Dates!T$12,Dates!T$13, 3)</f>
        <v>0</v>
      </c>
      <c r="U7" s="5">
        <f>averageResponseTime(Dates!C$12,Dates!T$13, 3)</f>
        <v>0</v>
      </c>
    </row>
    <row r="8" spans="1:22" x14ac:dyDescent="0.3">
      <c r="A8" s="6"/>
      <c r="B8" s="7" t="s">
        <v>53</v>
      </c>
      <c r="C8" s="5">
        <f>averageInProgressTime(Dates!C$12,Dates!C$13, 1)</f>
        <v>0</v>
      </c>
      <c r="D8" s="5">
        <f>averageInProgressTime(Dates!D$12,Dates!D$13, 1)</f>
        <v>0</v>
      </c>
      <c r="E8" s="5">
        <f>averageInProgressTime(Dates!E$12,Dates!E$13, 1)</f>
        <v>0</v>
      </c>
      <c r="F8" s="5">
        <f>averageInProgressTime(Dates!F$12,Dates!F$13, 1)</f>
        <v>0</v>
      </c>
      <c r="G8" s="5">
        <f>averageInProgressTime(Dates!G$12,Dates!G$13, 1)</f>
        <v>0</v>
      </c>
      <c r="H8" s="5">
        <f>averageInProgressTime(Dates!H$12,Dates!H$13, 1)</f>
        <v>0</v>
      </c>
      <c r="I8" s="5">
        <f>averageInProgressTime(Dates!I$12,Dates!I$13, 1)</f>
        <v>0</v>
      </c>
      <c r="J8" s="5">
        <f>averageInProgressTime(Dates!J$12,Dates!J$13, 1)</f>
        <v>0</v>
      </c>
      <c r="K8" s="5">
        <f>averageInProgressTime(Dates!K$12,Dates!K$13, 1)</f>
        <v>0</v>
      </c>
      <c r="L8" s="5">
        <f>averageInProgressTime(Dates!L$12,Dates!L$13, 1)</f>
        <v>0</v>
      </c>
      <c r="M8" s="5">
        <f>averageInProgressTime(Dates!M$12,Dates!M$13, 1)</f>
        <v>0</v>
      </c>
      <c r="N8" s="5">
        <f>averageInProgressTime(Dates!N$12,Dates!N$13, 1)</f>
        <v>0</v>
      </c>
      <c r="O8" s="5">
        <f>averageInProgressTime(Dates!O$12,Dates!O$13, 1)</f>
        <v>0</v>
      </c>
      <c r="P8" s="5">
        <f>averageInProgressTime(Dates!P$12,Dates!P$13, 1)</f>
        <v>0</v>
      </c>
      <c r="Q8" s="5">
        <f>averageInProgressTime(Dates!Q$12,Dates!Q$13, 1)</f>
        <v>0</v>
      </c>
      <c r="R8" s="5">
        <f>averageInProgressTime(Dates!R$12,Dates!R$13, 1)</f>
        <v>0</v>
      </c>
      <c r="S8" s="5">
        <f>averageInProgressTime(Dates!S$12,Dates!S$13, 1)</f>
        <v>0</v>
      </c>
      <c r="T8" s="5">
        <f>averageInProgressTime(Dates!T$12,Dates!T$13, 1)</f>
        <v>0</v>
      </c>
      <c r="U8" s="5">
        <f>averageInProgressTime(Dates!C$12,Dates!T$13, 1)</f>
        <v>0</v>
      </c>
    </row>
    <row r="9" spans="1:22" x14ac:dyDescent="0.3">
      <c r="A9" s="6"/>
      <c r="B9" s="7" t="s">
        <v>54</v>
      </c>
      <c r="C9" s="5">
        <f>averageInProgressTime(Dates!C$12,Dates!C$13, 2)</f>
        <v>0</v>
      </c>
      <c r="D9" s="5">
        <f>averageInProgressTime(Dates!D$12,Dates!D$13, 2)</f>
        <v>0</v>
      </c>
      <c r="E9" s="5">
        <f>averageInProgressTime(Dates!E$12,Dates!E$13, 2)</f>
        <v>0</v>
      </c>
      <c r="F9" s="5">
        <f>averageInProgressTime(Dates!F$12,Dates!F$13, 2)</f>
        <v>0</v>
      </c>
      <c r="G9" s="5">
        <f>averageInProgressTime(Dates!G$12,Dates!G$13, 2)</f>
        <v>0</v>
      </c>
      <c r="H9" s="5">
        <f>averageInProgressTime(Dates!H$12,Dates!H$13, 2)</f>
        <v>0</v>
      </c>
      <c r="I9" s="5">
        <f>averageInProgressTime(Dates!I$12,Dates!I$13, 2)</f>
        <v>0</v>
      </c>
      <c r="J9" s="5">
        <f>averageInProgressTime(Dates!J$12,Dates!J$13, 2)</f>
        <v>0</v>
      </c>
      <c r="K9" s="5">
        <f>averageInProgressTime(Dates!K$12,Dates!K$13, 2)</f>
        <v>0</v>
      </c>
      <c r="L9" s="5">
        <f>averageInProgressTime(Dates!L$12,Dates!L$13, 2)</f>
        <v>0</v>
      </c>
      <c r="M9" s="5">
        <f>averageInProgressTime(Dates!M$12,Dates!M$13, 2)</f>
        <v>0</v>
      </c>
      <c r="N9" s="5">
        <f>averageInProgressTime(Dates!N$12,Dates!N$13, 2)</f>
        <v>0</v>
      </c>
      <c r="O9" s="5">
        <f>averageInProgressTime(Dates!O$12,Dates!O$13, 2)</f>
        <v>0</v>
      </c>
      <c r="P9" s="5">
        <f>averageInProgressTime(Dates!P$12,Dates!P$13, 2)</f>
        <v>0</v>
      </c>
      <c r="Q9" s="5">
        <f>averageInProgressTime(Dates!Q$12,Dates!Q$13, 2)</f>
        <v>0</v>
      </c>
      <c r="R9" s="5">
        <f>averageInProgressTime(Dates!R$12,Dates!R$13, 2)</f>
        <v>0</v>
      </c>
      <c r="S9" s="5">
        <f>averageInProgressTime(Dates!S$12,Dates!S$13, 2)</f>
        <v>0</v>
      </c>
      <c r="T9" s="5">
        <f>averageInProgressTime(Dates!T$12,Dates!T$13, 2)</f>
        <v>0</v>
      </c>
      <c r="U9" s="5">
        <f>averageInProgressTime(Dates!C$12,Dates!T$13, 2)</f>
        <v>0</v>
      </c>
    </row>
    <row r="10" spans="1:22" x14ac:dyDescent="0.3">
      <c r="A10" s="6"/>
      <c r="B10" s="7" t="s">
        <v>55</v>
      </c>
      <c r="C10" s="5">
        <f>averageInProgressTime(Dates!C$12,Dates!C$13, 3)</f>
        <v>0</v>
      </c>
      <c r="D10" s="5">
        <f>averageInProgressTime(Dates!D$12,Dates!D$13, 3)</f>
        <v>0</v>
      </c>
      <c r="E10" s="5">
        <f>averageInProgressTime(Dates!E$12,Dates!E$13, 3)</f>
        <v>0</v>
      </c>
      <c r="F10" s="5">
        <f>averageInProgressTime(Dates!F$12,Dates!F$13, 3)</f>
        <v>0</v>
      </c>
      <c r="G10" s="5">
        <f>averageInProgressTime(Dates!G$12,Dates!G$13, 3)</f>
        <v>0</v>
      </c>
      <c r="H10" s="5">
        <f>averageInProgressTime(Dates!H$12,Dates!H$13, 3)</f>
        <v>0</v>
      </c>
      <c r="I10" s="5">
        <f>averageInProgressTime(Dates!I$12,Dates!I$13, 3)</f>
        <v>0</v>
      </c>
      <c r="J10" s="5">
        <f>averageInProgressTime(Dates!J$12,Dates!J$13, 3)</f>
        <v>0</v>
      </c>
      <c r="K10" s="5">
        <f>averageInProgressTime(Dates!K$12,Dates!K$13, 3)</f>
        <v>0</v>
      </c>
      <c r="L10" s="5">
        <f>averageInProgressTime(Dates!L$12,Dates!L$13, 3)</f>
        <v>0</v>
      </c>
      <c r="M10" s="5">
        <f>averageInProgressTime(Dates!M$12,Dates!M$13, 3)</f>
        <v>0</v>
      </c>
      <c r="N10" s="5">
        <f>averageInProgressTime(Dates!N$12,Dates!N$13, 3)</f>
        <v>0</v>
      </c>
      <c r="O10" s="5">
        <f>averageInProgressTime(Dates!O$12,Dates!O$13, 3)</f>
        <v>0</v>
      </c>
      <c r="P10" s="5">
        <f>averageInProgressTime(Dates!P$12,Dates!P$13, 3)</f>
        <v>0</v>
      </c>
      <c r="Q10" s="5">
        <f>averageInProgressTime(Dates!Q$12,Dates!Q$13, 3)</f>
        <v>0</v>
      </c>
      <c r="R10" s="5">
        <f>averageInProgressTime(Dates!R$12,Dates!R$13, 3)</f>
        <v>0</v>
      </c>
      <c r="S10" s="5">
        <f>averageInProgressTime(Dates!S$12,Dates!S$13, 3)</f>
        <v>0</v>
      </c>
      <c r="T10" s="5">
        <f>averageInProgressTime(Dates!T$12,Dates!T$13, 3)</f>
        <v>0</v>
      </c>
      <c r="U10" s="5">
        <f>averageInProgressTime(Dates!C$12,Dates!T$13, 3)</f>
        <v>0</v>
      </c>
    </row>
    <row r="11" spans="1:22" x14ac:dyDescent="0.3">
      <c r="A11" s="6"/>
      <c r="B11" s="7" t="s">
        <v>42</v>
      </c>
      <c r="C11">
        <f>totalNumberOfJobsCompleted(Dates!C$12,Dates!C$13)</f>
        <v>0</v>
      </c>
      <c r="D11">
        <f>totalNumberOfJobsCompleted(Dates!D$12,Dates!D$13)</f>
        <v>0</v>
      </c>
      <c r="E11">
        <f>totalNumberOfJobsCompleted(Dates!E$12,Dates!E$13)</f>
        <v>0</v>
      </c>
      <c r="F11">
        <f>totalNumberOfJobsCompleted(Dates!F$12,Dates!F$13)</f>
        <v>0</v>
      </c>
      <c r="G11">
        <f>totalNumberOfJobsCompleted(Dates!G$12,Dates!G$13)</f>
        <v>0</v>
      </c>
      <c r="H11">
        <f>totalNumberOfJobsCompleted(Dates!H$12,Dates!H$13)</f>
        <v>0</v>
      </c>
      <c r="I11">
        <f>totalNumberOfJobsCompleted(Dates!I$12,Dates!I$13)</f>
        <v>0</v>
      </c>
      <c r="J11">
        <f>totalNumberOfJobsCompleted(Dates!J$12,Dates!J$13)</f>
        <v>0</v>
      </c>
      <c r="K11">
        <f>totalNumberOfJobsCompleted(Dates!K$12,Dates!K$13)</f>
        <v>0</v>
      </c>
      <c r="L11">
        <f>totalNumberOfJobsCompleted(Dates!L$12,Dates!L$13)</f>
        <v>0</v>
      </c>
      <c r="M11">
        <f>totalNumberOfJobsCompleted(Dates!M$12,Dates!M$13)</f>
        <v>0</v>
      </c>
      <c r="N11">
        <f>totalNumberOfJobsCompleted(Dates!N$12,Dates!N$13)</f>
        <v>0</v>
      </c>
      <c r="O11">
        <f>totalNumberOfJobsCompleted(Dates!O$12,Dates!O$13)</f>
        <v>0</v>
      </c>
      <c r="P11">
        <f>totalNumberOfJobsCompleted(Dates!P$12,Dates!P$13)</f>
        <v>0</v>
      </c>
      <c r="Q11">
        <f>totalNumberOfJobsCompleted(Dates!Q$12,Dates!Q$13)</f>
        <v>0</v>
      </c>
      <c r="R11">
        <f>totalNumberOfJobsCompleted(Dates!R$12,Dates!R$13)</f>
        <v>0</v>
      </c>
      <c r="S11">
        <f>totalNumberOfJobsCompleted(Dates!S$12,Dates!S$13)</f>
        <v>0</v>
      </c>
      <c r="T11">
        <f>totalNumberOfJobsCompleted(Dates!T$12,Dates!T$13)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pendingJobs(Dates!C$13)</f>
        <v>0</v>
      </c>
      <c r="D12">
        <f>pendingJobs(Dates!D$13)</f>
        <v>0</v>
      </c>
      <c r="E12">
        <f>pendingJobs(Dates!E$13)</f>
        <v>0</v>
      </c>
      <c r="F12">
        <f>pendingJobs(Dates!F$13)</f>
        <v>0</v>
      </c>
      <c r="G12">
        <f>pendingJobs(Dates!G$13)</f>
        <v>0</v>
      </c>
      <c r="H12">
        <f>pendingJobs(Dates!H$13)</f>
        <v>0</v>
      </c>
      <c r="I12">
        <f>pendingJobs(Dates!I$13)</f>
        <v>0</v>
      </c>
      <c r="J12">
        <f>pendingJobs(Dates!J$13)</f>
        <v>0</v>
      </c>
      <c r="K12">
        <f>pendingJobs(Dates!K$13)</f>
        <v>0</v>
      </c>
      <c r="L12">
        <f>pendingJobs(Dates!L$13)</f>
        <v>0</v>
      </c>
      <c r="M12">
        <f>pendingJobs(Dates!M$13)</f>
        <v>0</v>
      </c>
      <c r="N12">
        <f>pendingJobs(Dates!N$13)</f>
        <v>0</v>
      </c>
      <c r="O12">
        <f>pendingJobs(Dates!O$13)</f>
        <v>0</v>
      </c>
      <c r="P12">
        <f>pendingJobs(Dates!P$13)</f>
        <v>0</v>
      </c>
      <c r="Q12">
        <f>pendingJobs(Dates!Q$13)</f>
        <v>0</v>
      </c>
      <c r="R12">
        <f>pendingJobs(Dates!R$13)</f>
        <v>0</v>
      </c>
      <c r="S12">
        <f>pendingJobs(Dates!S$13)</f>
        <v>0</v>
      </c>
      <c r="T12">
        <f>pendingJobs(Dates!T$13)</f>
        <v>0</v>
      </c>
      <c r="U12" s="5"/>
    </row>
    <row r="13" spans="1:22" x14ac:dyDescent="0.3">
      <c r="A13" s="6"/>
      <c r="B13" s="7" t="s">
        <v>48</v>
      </c>
      <c r="C13">
        <f>cancelledJobs(Dates!$C$12,Dates!C$13)</f>
        <v>0</v>
      </c>
      <c r="D13">
        <f>cancelledJobs(Dates!$C$12,Dates!D$13)</f>
        <v>0</v>
      </c>
      <c r="E13">
        <f>cancelledJobs(Dates!$C$12,Dates!E$13)</f>
        <v>0</v>
      </c>
      <c r="F13">
        <f>cancelledJobs(Dates!$C$12,Dates!F$13)</f>
        <v>0</v>
      </c>
      <c r="G13">
        <f>cancelledJobs(Dates!$C$12,Dates!G$13)</f>
        <v>0</v>
      </c>
      <c r="H13">
        <f>cancelledJobs(Dates!$C$12,Dates!H$13)</f>
        <v>0</v>
      </c>
      <c r="I13">
        <f>cancelledJobs(Dates!$C$12,Dates!I$13)</f>
        <v>0</v>
      </c>
      <c r="J13">
        <f>cancelledJobs(Dates!$C$12,Dates!J$13)</f>
        <v>0</v>
      </c>
      <c r="K13">
        <f>cancelledJobs(Dates!$C$12,Dates!K$13)</f>
        <v>0</v>
      </c>
      <c r="L13">
        <f>cancelledJobs(Dates!$C$12,Dates!L$13)</f>
        <v>0</v>
      </c>
      <c r="M13">
        <f>cancelledJobs(Dates!$C$12,Dates!M$13)</f>
        <v>0</v>
      </c>
      <c r="N13">
        <f>cancelledJobs(Dates!$C$12,Dates!N$13)</f>
        <v>0</v>
      </c>
      <c r="O13">
        <f>cancelledJobs(Dates!$C$12,Dates!O$13)</f>
        <v>0</v>
      </c>
      <c r="P13">
        <f>cancelledJobs(Dates!$C$12,Dates!P$13)</f>
        <v>0</v>
      </c>
      <c r="Q13">
        <f>cancelledJobs(Dates!$C$12,Dates!Q$13)</f>
        <v>0</v>
      </c>
      <c r="R13">
        <f>cancelledJobs(Dates!$C$12,Dates!R$13)</f>
        <v>0</v>
      </c>
      <c r="S13">
        <f>cancelledJobs(Dates!$C$12,Dates!S$13)</f>
        <v>0</v>
      </c>
      <c r="T13">
        <f>cancelledJobs(Dates!$C$12,Dates!T$13)</f>
        <v>0</v>
      </c>
      <c r="U13" s="5"/>
    </row>
    <row r="14" spans="1:22" x14ac:dyDescent="0.3">
      <c r="B14" s="7" t="s">
        <v>61</v>
      </c>
      <c r="C14">
        <f ca="1">createdJobs(Dates!C$12,Dates!C$13)</f>
        <v>0</v>
      </c>
      <c r="D14">
        <f ca="1">createdJobs(Dates!D$12,Dates!D$13)</f>
        <v>0</v>
      </c>
      <c r="E14">
        <f ca="1">createdJobs(Dates!E$12,Dates!E$13)</f>
        <v>0</v>
      </c>
      <c r="F14">
        <f ca="1">createdJobs(Dates!F$12,Dates!F$13)</f>
        <v>0</v>
      </c>
      <c r="G14">
        <f ca="1">createdJobs(Dates!G$12,Dates!G$13)</f>
        <v>0</v>
      </c>
      <c r="H14">
        <f ca="1">createdJobs(Dates!H$12,Dates!H$13)</f>
        <v>0</v>
      </c>
      <c r="I14">
        <f ca="1">createdJobs(Dates!I$12,Dates!I$13)</f>
        <v>0</v>
      </c>
      <c r="J14">
        <f ca="1">createdJobs(Dates!J$12,Dates!J$13)</f>
        <v>0</v>
      </c>
      <c r="K14">
        <f ca="1">createdJobs(Dates!K$12,Dates!K$13)</f>
        <v>0</v>
      </c>
      <c r="L14">
        <f ca="1">createdJobs(Dates!L$12,Dates!L$13)</f>
        <v>0</v>
      </c>
      <c r="M14">
        <f ca="1">createdJobs(Dates!M$12,Dates!M$13)</f>
        <v>0</v>
      </c>
      <c r="N14">
        <f ca="1">createdJobs(Dates!N$12,Dates!N$13)</f>
        <v>0</v>
      </c>
      <c r="O14">
        <f ca="1">createdJobs(Dates!O$12,Dates!O$13)</f>
        <v>0</v>
      </c>
      <c r="P14">
        <f ca="1">createdJobs(Dates!P$12,Dates!P$13)</f>
        <v>0</v>
      </c>
      <c r="Q14">
        <f ca="1">createdJobs(Dates!Q$12,Dates!Q$13)</f>
        <v>0</v>
      </c>
      <c r="R14">
        <f ca="1">createdJobs(Dates!R$12,Dates!R$13)</f>
        <v>0</v>
      </c>
      <c r="S14">
        <f ca="1">createdJobs(Dates!S$12,Dates!S$13)</f>
        <v>0</v>
      </c>
      <c r="T14">
        <f ca="1">createdJobs(Dates!T$12,Dates!T$13)</f>
        <v>0</v>
      </c>
    </row>
    <row r="15" spans="1:22" x14ac:dyDescent="0.3">
      <c r="B15" s="7" t="s">
        <v>62</v>
      </c>
      <c r="C15">
        <f ca="1">respondedJobs(Dates!C$12,Dates!C$13)</f>
        <v>0</v>
      </c>
      <c r="D15">
        <f ca="1">respondedJobs(Dates!D$12,Dates!D$13)</f>
        <v>0</v>
      </c>
      <c r="E15">
        <f ca="1">respondedJobs(Dates!E$12,Dates!E$13)</f>
        <v>0</v>
      </c>
      <c r="F15">
        <f ca="1">respondedJobs(Dates!F$12,Dates!F$13)</f>
        <v>0</v>
      </c>
      <c r="G15">
        <f ca="1">respondedJobs(Dates!G$12,Dates!G$13)</f>
        <v>0</v>
      </c>
      <c r="H15">
        <f ca="1">respondedJobs(Dates!H$12,Dates!H$13)</f>
        <v>0</v>
      </c>
      <c r="I15">
        <f ca="1">respondedJobs(Dates!I$12,Dates!I$13)</f>
        <v>0</v>
      </c>
      <c r="J15">
        <f ca="1">respondedJobs(Dates!J$12,Dates!J$13)</f>
        <v>0</v>
      </c>
      <c r="K15">
        <f ca="1">respondedJobs(Dates!K$12,Dates!K$13)</f>
        <v>0</v>
      </c>
      <c r="L15">
        <f ca="1">respondedJobs(Dates!L$12,Dates!L$13)</f>
        <v>0</v>
      </c>
      <c r="M15">
        <f ca="1">respondedJobs(Dates!M$12,Dates!M$13)</f>
        <v>0</v>
      </c>
      <c r="N15">
        <f ca="1">respondedJobs(Dates!N$12,Dates!N$13)</f>
        <v>0</v>
      </c>
      <c r="O15">
        <f ca="1">createdJobs(Dates!O$12,Dates!O$13)</f>
        <v>0</v>
      </c>
      <c r="P15">
        <f ca="1">respondedJobs(Dates!P$12,Dates!P$13)</f>
        <v>0</v>
      </c>
      <c r="Q15">
        <f ca="1">respondedJobs(Dates!Q$12,Dates!Q$13)</f>
        <v>0</v>
      </c>
      <c r="R15">
        <f ca="1">respondedJobs(Dates!R$12,Dates!R$13)</f>
        <v>0</v>
      </c>
      <c r="S15">
        <f ca="1">respondedJobs(Dates!S$12,Dates!S$13)</f>
        <v>0</v>
      </c>
      <c r="T15">
        <f ca="1">respondedJobs(Dates!T$12,Dates!T$13)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averageCompletionTime(Dates!C$14,Dates!C$15, 1)</f>
        <v>0</v>
      </c>
      <c r="D2" s="5">
        <f>averageCompletionTime(Dates!D$14,Dates!D$15, 1)</f>
        <v>0</v>
      </c>
      <c r="E2" s="5">
        <f>averageCompletionTime(Dates!E$14,Dates!E$15, 1)</f>
        <v>0</v>
      </c>
      <c r="F2" s="5">
        <f>averageCompletionTime(Dates!F$14,Dates!F$15, 1)</f>
        <v>0</v>
      </c>
      <c r="G2" s="5">
        <f>averageCompletionTime(Dates!G$14,Dates!G$15, 1)</f>
        <v>0</v>
      </c>
      <c r="H2" s="5">
        <f>averageCompletionTime(Dates!H$14,Dates!H$15, 1)</f>
        <v>0</v>
      </c>
      <c r="I2" s="5">
        <f>averageCompletionTime(Dates!I$14,Dates!I$15, 1)</f>
        <v>0</v>
      </c>
      <c r="J2" s="5">
        <f>averageCompletionTime(Dates!J$14,Dates!J$15, 1)</f>
        <v>0</v>
      </c>
      <c r="K2" s="5">
        <f>averageCompletionTime(Dates!K$14,Dates!K$15, 1)</f>
        <v>0</v>
      </c>
      <c r="L2" s="5">
        <f>averageCompletionTime(Dates!L$14,Dates!L$15, 1)</f>
        <v>0</v>
      </c>
      <c r="M2" s="5">
        <f>averageCompletionTime(Dates!M$14,Dates!M$15, 1)</f>
        <v>0</v>
      </c>
      <c r="N2" s="5">
        <f>averageCompletionTime(Dates!N$14,Dates!N$15, 1)</f>
        <v>0</v>
      </c>
      <c r="O2" s="5">
        <f>averageCompletionTime(Dates!O$14,Dates!O$15, 1)</f>
        <v>0</v>
      </c>
      <c r="P2" s="5">
        <f>averageCompletionTime(Dates!P$14,Dates!P$15, 1)</f>
        <v>0</v>
      </c>
      <c r="Q2" s="5">
        <f>averageCompletionTime(Dates!Q$14,Dates!Q$15, 1)</f>
        <v>0</v>
      </c>
      <c r="R2" s="5">
        <f>averageCompletionTime(Dates!R$14,Dates!R$15, 1)</f>
        <v>0</v>
      </c>
      <c r="S2" s="5">
        <f>averageCompletionTime(Dates!S$14,Dates!S$15, 1)</f>
        <v>0</v>
      </c>
      <c r="T2" s="5">
        <f>averageCompletionTime(Dates!T$14,Dates!T$15, 1)</f>
        <v>0</v>
      </c>
      <c r="U2" s="5">
        <f>averageCompletionTime(Dates!C$14,Dates!T$15, 1)</f>
        <v>0</v>
      </c>
    </row>
    <row r="3" spans="1:22" x14ac:dyDescent="0.3">
      <c r="A3" s="6"/>
      <c r="B3" s="8" t="s">
        <v>49</v>
      </c>
      <c r="C3" s="5">
        <f>averageCompletionTime(Dates!C$14,Dates!C$15, 2)</f>
        <v>0</v>
      </c>
      <c r="D3" s="5">
        <f>averageCompletionTime(Dates!D$14,Dates!D$15, 2)</f>
        <v>0</v>
      </c>
      <c r="E3" s="5">
        <f>averageCompletionTime(Dates!E$14,Dates!E$15, 2)</f>
        <v>0</v>
      </c>
      <c r="F3" s="5">
        <f>averageCompletionTime(Dates!F$14,Dates!F$15, 2)</f>
        <v>0</v>
      </c>
      <c r="G3" s="5">
        <f>averageCompletionTime(Dates!G$14,Dates!G$15, 2)</f>
        <v>0</v>
      </c>
      <c r="H3" s="5">
        <f>averageCompletionTime(Dates!H$14,Dates!H$15, 2)</f>
        <v>0</v>
      </c>
      <c r="I3" s="5">
        <f>averageCompletionTime(Dates!I$14,Dates!I$15, 2)</f>
        <v>0</v>
      </c>
      <c r="J3" s="5">
        <f>averageCompletionTime(Dates!J$14,Dates!J$15, 2)</f>
        <v>0</v>
      </c>
      <c r="K3" s="5">
        <f>averageCompletionTime(Dates!K$14,Dates!K$15, 2)</f>
        <v>0</v>
      </c>
      <c r="L3" s="5">
        <f>averageCompletionTime(Dates!L$14,Dates!L$15, 2)</f>
        <v>0</v>
      </c>
      <c r="M3" s="5">
        <f>averageCompletionTime(Dates!M$14,Dates!M$15, 2)</f>
        <v>0</v>
      </c>
      <c r="N3" s="5">
        <f>averageCompletionTime(Dates!N$14,Dates!N$15, 2)</f>
        <v>0</v>
      </c>
      <c r="O3" s="5">
        <f>averageCompletionTime(Dates!O$14,Dates!O$15, 2)</f>
        <v>0</v>
      </c>
      <c r="P3" s="5">
        <f>averageCompletionTime(Dates!P$14,Dates!P$15, 2)</f>
        <v>0</v>
      </c>
      <c r="Q3" s="5">
        <f>averageCompletionTime(Dates!Q$14,Dates!Q$15, 2)</f>
        <v>0</v>
      </c>
      <c r="R3" s="5">
        <f>averageCompletionTime(Dates!R$14,Dates!R$15, 2)</f>
        <v>0</v>
      </c>
      <c r="S3" s="5">
        <f>averageCompletionTime(Dates!S$14,Dates!S$15, 2)</f>
        <v>0</v>
      </c>
      <c r="T3" s="5">
        <f>averageCompletionTime(Dates!T$14,Dates!T$15, 2)</f>
        <v>0</v>
      </c>
      <c r="U3" s="5">
        <f>averageCompletionTime(Dates!C$14,Dates!T$15, 2)</f>
        <v>0</v>
      </c>
      <c r="V3" s="5"/>
    </row>
    <row r="4" spans="1:22" x14ac:dyDescent="0.3">
      <c r="A4" s="6"/>
      <c r="B4" s="7" t="s">
        <v>50</v>
      </c>
      <c r="C4" s="5">
        <f>averageCompletionTime(Dates!C$14,Dates!C$15, 3)</f>
        <v>0</v>
      </c>
      <c r="D4" s="5">
        <f>averageCompletionTime(Dates!D$14,Dates!D$15, 3)</f>
        <v>0</v>
      </c>
      <c r="E4" s="5">
        <f>averageCompletionTime(Dates!E$14,Dates!E$15, 3)</f>
        <v>0</v>
      </c>
      <c r="F4" s="5">
        <f>averageCompletionTime(Dates!F$14,Dates!F$15, 3)</f>
        <v>0</v>
      </c>
      <c r="G4" s="5">
        <f>averageCompletionTime(Dates!G$14,Dates!G$15, 3)</f>
        <v>0</v>
      </c>
      <c r="H4" s="5">
        <f>averageCompletionTime(Dates!H$14,Dates!H$15, 3)</f>
        <v>0</v>
      </c>
      <c r="I4" s="5">
        <f>averageCompletionTime(Dates!I$14,Dates!I$15, 3)</f>
        <v>0</v>
      </c>
      <c r="J4" s="5">
        <f>averageCompletionTime(Dates!J$14,Dates!J$15, 3)</f>
        <v>0</v>
      </c>
      <c r="K4" s="5">
        <f>averageCompletionTime(Dates!K$14,Dates!K$15, 3)</f>
        <v>0</v>
      </c>
      <c r="L4" s="5">
        <f>averageCompletionTime(Dates!L$14,Dates!L$15, 3)</f>
        <v>0</v>
      </c>
      <c r="M4" s="5">
        <f>averageCompletionTime(Dates!M$14,Dates!M$15, 3)</f>
        <v>0</v>
      </c>
      <c r="N4" s="5">
        <f>averageCompletionTime(Dates!N$14,Dates!N$15, 3)</f>
        <v>0</v>
      </c>
      <c r="O4" s="5">
        <f>averageCompletionTime(Dates!O$14,Dates!O$15, 3)</f>
        <v>0</v>
      </c>
      <c r="P4" s="5">
        <f>averageCompletionTime(Dates!P$14,Dates!P$15, 3)</f>
        <v>0</v>
      </c>
      <c r="Q4" s="5">
        <f>averageCompletionTime(Dates!Q$14,Dates!Q$15, 3)</f>
        <v>0</v>
      </c>
      <c r="R4" s="5">
        <f>averageCompletionTime(Dates!R$14,Dates!R$15, 3)</f>
        <v>0</v>
      </c>
      <c r="S4" s="5">
        <f>averageCompletionTime(Dates!S$14,Dates!S$15, 3)</f>
        <v>0</v>
      </c>
      <c r="T4" s="5">
        <f>averageCompletionTime(Dates!T$14,Dates!T$15, 3)</f>
        <v>0</v>
      </c>
      <c r="U4" s="5">
        <f>averageCompletionTime(Dates!C$14,Dates!T$15, 3)</f>
        <v>0</v>
      </c>
    </row>
    <row r="5" spans="1:22" x14ac:dyDescent="0.3">
      <c r="A5" s="6"/>
      <c r="B5" s="7" t="s">
        <v>11</v>
      </c>
      <c r="C5" s="5">
        <f>averageResponseTime(Dates!C$14,Dates!C$15, 1)</f>
        <v>0</v>
      </c>
      <c r="D5" s="5">
        <f>averageResponseTime(Dates!D$14,Dates!D$15, 1)</f>
        <v>0</v>
      </c>
      <c r="E5" s="5">
        <f>averageResponseTime(Dates!E$14,Dates!E$15, 1)</f>
        <v>0</v>
      </c>
      <c r="F5" s="5">
        <f>averageResponseTime(Dates!F$14,Dates!F$15, 1)</f>
        <v>0</v>
      </c>
      <c r="G5" s="5">
        <f>averageResponseTime(Dates!G$14,Dates!G$15, 1)</f>
        <v>0</v>
      </c>
      <c r="H5" s="5">
        <f>averageResponseTime(Dates!H$14,Dates!H$15, 1)</f>
        <v>0</v>
      </c>
      <c r="I5" s="5">
        <f>averageResponseTime(Dates!I$14,Dates!I$15, 1)</f>
        <v>0</v>
      </c>
      <c r="J5" s="5">
        <f>averageResponseTime(Dates!J$14,Dates!J$15, 1)</f>
        <v>0</v>
      </c>
      <c r="K5" s="5">
        <f>averageResponseTime(Dates!K$14,Dates!K$15, 1)</f>
        <v>0</v>
      </c>
      <c r="L5" s="5">
        <f>averageResponseTime(Dates!L$14,Dates!L$15, 1)</f>
        <v>0</v>
      </c>
      <c r="M5" s="5">
        <f>averageResponseTime(Dates!M$14,Dates!M$15, 1)</f>
        <v>0</v>
      </c>
      <c r="N5" s="5">
        <f>averageResponseTime(Dates!N$14,Dates!N$15, 1)</f>
        <v>0</v>
      </c>
      <c r="O5" s="5">
        <f>averageResponseTime(Dates!O$14,Dates!O$15, 1)</f>
        <v>0</v>
      </c>
      <c r="P5" s="5">
        <f>averageResponseTime(Dates!P$14,Dates!P$15, 1)</f>
        <v>0</v>
      </c>
      <c r="Q5" s="5">
        <f>averageResponseTime(Dates!Q$14,Dates!Q$15, 1)</f>
        <v>0</v>
      </c>
      <c r="R5" s="5">
        <f>averageResponseTime(Dates!R$14,Dates!R$15, 1)</f>
        <v>0</v>
      </c>
      <c r="S5" s="5">
        <f>averageResponseTime(Dates!S$14,Dates!S$15, 1)</f>
        <v>0</v>
      </c>
      <c r="T5" s="5">
        <f>averageResponseTime(Dates!T$14,Dates!T$15, 1)</f>
        <v>0</v>
      </c>
      <c r="U5" s="5">
        <f>averageResponseTime(Dates!C$14,Dates!T$15, 1)</f>
        <v>0</v>
      </c>
    </row>
    <row r="6" spans="1:22" x14ac:dyDescent="0.3">
      <c r="A6" s="6"/>
      <c r="B6" s="7" t="s">
        <v>51</v>
      </c>
      <c r="C6" s="5">
        <f>averageResponseTime(Dates!C$14,Dates!C$15, 2)</f>
        <v>0</v>
      </c>
      <c r="D6" s="5">
        <f>averageResponseTime(Dates!D$14,Dates!D$15, 2)</f>
        <v>0</v>
      </c>
      <c r="E6" s="5">
        <f>averageResponseTime(Dates!E$14,Dates!E$15, 2)</f>
        <v>0</v>
      </c>
      <c r="F6" s="5">
        <f>averageResponseTime(Dates!F$14,Dates!F$15, 2)</f>
        <v>0</v>
      </c>
      <c r="G6" s="5">
        <f>averageResponseTime(Dates!G$14,Dates!G$15, 2)</f>
        <v>0</v>
      </c>
      <c r="H6" s="5">
        <f>averageResponseTime(Dates!H$14,Dates!H$15, 2)</f>
        <v>0</v>
      </c>
      <c r="I6" s="5">
        <f>averageResponseTime(Dates!I$14,Dates!I$15, 2)</f>
        <v>0</v>
      </c>
      <c r="J6" s="5">
        <f>averageResponseTime(Dates!J$14,Dates!J$15, 2)</f>
        <v>0</v>
      </c>
      <c r="K6" s="5">
        <f>averageResponseTime(Dates!K$14,Dates!K$15, 2)</f>
        <v>0</v>
      </c>
      <c r="L6" s="5">
        <f>averageResponseTime(Dates!L$14,Dates!L$15, 2)</f>
        <v>0</v>
      </c>
      <c r="M6" s="5">
        <f>averageResponseTime(Dates!M$14,Dates!M$15, 2)</f>
        <v>0</v>
      </c>
      <c r="N6" s="5">
        <f>averageResponseTime(Dates!N$14,Dates!N$15, 2)</f>
        <v>0</v>
      </c>
      <c r="O6" s="5">
        <f>averageResponseTime(Dates!O$14,Dates!O$15, 2)</f>
        <v>0</v>
      </c>
      <c r="P6" s="5">
        <f>averageResponseTime(Dates!P$14,Dates!P$15, 2)</f>
        <v>0</v>
      </c>
      <c r="Q6" s="5">
        <f>averageResponseTime(Dates!Q$14,Dates!Q$15, 2)</f>
        <v>0</v>
      </c>
      <c r="R6" s="5">
        <f>averageResponseTime(Dates!R$14,Dates!R$15, 2)</f>
        <v>0</v>
      </c>
      <c r="S6" s="5">
        <f>averageResponseTime(Dates!S$14,Dates!S$15, 2)</f>
        <v>0</v>
      </c>
      <c r="T6" s="5">
        <f>averageResponseTime(Dates!T$14,Dates!T$15, 2)</f>
        <v>0</v>
      </c>
      <c r="U6" s="5">
        <f>averageResponseTime(Dates!C$14,Dates!T$15, 2)</f>
        <v>0</v>
      </c>
    </row>
    <row r="7" spans="1:22" x14ac:dyDescent="0.3">
      <c r="A7" s="6"/>
      <c r="B7" s="7" t="s">
        <v>52</v>
      </c>
      <c r="C7" s="5">
        <f>averageResponseTime(Dates!C$14,Dates!C$15, 3)</f>
        <v>0</v>
      </c>
      <c r="D7" s="5">
        <f>averageResponseTime(Dates!D$14,Dates!D$15, 3)</f>
        <v>0</v>
      </c>
      <c r="E7" s="5">
        <f>averageResponseTime(Dates!E$14,Dates!E$15, 3)</f>
        <v>0</v>
      </c>
      <c r="F7" s="5">
        <f>averageResponseTime(Dates!F$14,Dates!F$15, 3)</f>
        <v>0</v>
      </c>
      <c r="G7" s="5">
        <f>averageResponseTime(Dates!G$14,Dates!G$15, 3)</f>
        <v>0</v>
      </c>
      <c r="H7" s="5">
        <f>averageResponseTime(Dates!H$14,Dates!H$15, 3)</f>
        <v>0</v>
      </c>
      <c r="I7" s="5">
        <f>averageResponseTime(Dates!I$14,Dates!I$15, 3)</f>
        <v>0</v>
      </c>
      <c r="J7" s="5">
        <f>averageResponseTime(Dates!J$14,Dates!J$15, 3)</f>
        <v>0</v>
      </c>
      <c r="K7" s="5">
        <f>averageResponseTime(Dates!K$14,Dates!K$15, 3)</f>
        <v>0</v>
      </c>
      <c r="L7" s="5">
        <f>averageResponseTime(Dates!L$14,Dates!L$15, 3)</f>
        <v>0</v>
      </c>
      <c r="M7" s="5">
        <f>averageResponseTime(Dates!M$14,Dates!M$15, 3)</f>
        <v>0</v>
      </c>
      <c r="N7" s="5">
        <f>averageResponseTime(Dates!N$14,Dates!N$15, 3)</f>
        <v>0</v>
      </c>
      <c r="O7" s="5">
        <f>averageResponseTime(Dates!O$14,Dates!O$15, 3)</f>
        <v>0</v>
      </c>
      <c r="P7" s="5">
        <f>averageResponseTime(Dates!P$14,Dates!P$15, 3)</f>
        <v>0</v>
      </c>
      <c r="Q7" s="5">
        <f>averageResponseTime(Dates!Q$14,Dates!Q$15, 3)</f>
        <v>0</v>
      </c>
      <c r="R7" s="5">
        <f>averageResponseTime(Dates!R$14,Dates!R$15, 3)</f>
        <v>0</v>
      </c>
      <c r="S7" s="5">
        <f>averageResponseTime(Dates!S$14,Dates!S$15, 3)</f>
        <v>0</v>
      </c>
      <c r="T7" s="5">
        <f>averageResponseTime(Dates!T$14,Dates!T$15, 3)</f>
        <v>0</v>
      </c>
      <c r="U7" s="5">
        <f>averageResponseTime(Dates!C$14,Dates!T$15, 3)</f>
        <v>0</v>
      </c>
    </row>
    <row r="8" spans="1:22" x14ac:dyDescent="0.3">
      <c r="A8" s="6"/>
      <c r="B8" s="7" t="s">
        <v>53</v>
      </c>
      <c r="C8" s="5">
        <f>averageInProgressTime(Dates!C$14,Dates!C$15, 1)</f>
        <v>0</v>
      </c>
      <c r="D8" s="5">
        <f>averageInProgressTime(Dates!D$14,Dates!D$15, 1)</f>
        <v>0</v>
      </c>
      <c r="E8" s="5">
        <f>averageInProgressTime(Dates!E$14,Dates!E$15, 1)</f>
        <v>0</v>
      </c>
      <c r="F8" s="5">
        <f>averageInProgressTime(Dates!F$14,Dates!F$15, 1)</f>
        <v>0</v>
      </c>
      <c r="G8" s="5">
        <f>averageInProgressTime(Dates!G$14,Dates!G$15, 1)</f>
        <v>0</v>
      </c>
      <c r="H8" s="5">
        <f>averageInProgressTime(Dates!H$14,Dates!H$15, 1)</f>
        <v>0</v>
      </c>
      <c r="I8" s="5">
        <f>averageInProgressTime(Dates!I$14,Dates!I$15, 1)</f>
        <v>0</v>
      </c>
      <c r="J8" s="5">
        <f>averageInProgressTime(Dates!J$14,Dates!J$15, 1)</f>
        <v>0</v>
      </c>
      <c r="K8" s="5">
        <f>averageInProgressTime(Dates!K$14,Dates!K$15, 1)</f>
        <v>0</v>
      </c>
      <c r="L8" s="5">
        <f>averageInProgressTime(Dates!L$14,Dates!L$15, 1)</f>
        <v>0</v>
      </c>
      <c r="M8" s="5">
        <f>averageInProgressTime(Dates!M$14,Dates!M$15, 1)</f>
        <v>0</v>
      </c>
      <c r="N8" s="5">
        <f>averageInProgressTime(Dates!N$14,Dates!N$15, 1)</f>
        <v>0</v>
      </c>
      <c r="O8" s="5">
        <f>averageInProgressTime(Dates!O$14,Dates!O$15, 1)</f>
        <v>0</v>
      </c>
      <c r="P8" s="5">
        <f>averageInProgressTime(Dates!P$14,Dates!P$15, 1)</f>
        <v>0</v>
      </c>
      <c r="Q8" s="5">
        <f>averageInProgressTime(Dates!Q$14,Dates!Q$15, 1)</f>
        <v>0</v>
      </c>
      <c r="R8" s="5">
        <f>averageInProgressTime(Dates!R$14,Dates!R$15, 1)</f>
        <v>0</v>
      </c>
      <c r="S8" s="5">
        <f>averageInProgressTime(Dates!S$14,Dates!S$15, 1)</f>
        <v>0</v>
      </c>
      <c r="T8" s="5">
        <f>averageInProgressTime(Dates!T$14,Dates!T$15, 1)</f>
        <v>0</v>
      </c>
      <c r="U8" s="5">
        <f>averageInProgressTime(Dates!C$14,Dates!T$15, 1)</f>
        <v>0</v>
      </c>
    </row>
    <row r="9" spans="1:22" x14ac:dyDescent="0.3">
      <c r="A9" s="6"/>
      <c r="B9" s="7" t="s">
        <v>54</v>
      </c>
      <c r="C9" s="5">
        <f>averageInProgressTime(Dates!C$14,Dates!C$15, 2)</f>
        <v>0</v>
      </c>
      <c r="D9" s="5">
        <f>averageInProgressTime(Dates!D$14,Dates!D$15, 2)</f>
        <v>0</v>
      </c>
      <c r="E9" s="5">
        <f>averageInProgressTime(Dates!E$14,Dates!E$15, 2)</f>
        <v>0</v>
      </c>
      <c r="F9" s="5">
        <f>averageInProgressTime(Dates!F$14,Dates!F$15, 2)</f>
        <v>0</v>
      </c>
      <c r="G9" s="5">
        <f>averageInProgressTime(Dates!G$14,Dates!G$15, 2)</f>
        <v>0</v>
      </c>
      <c r="H9" s="5">
        <f>averageInProgressTime(Dates!H$14,Dates!H$15, 2)</f>
        <v>0</v>
      </c>
      <c r="I9" s="5">
        <f>averageInProgressTime(Dates!I$14,Dates!I$15, 2)</f>
        <v>0</v>
      </c>
      <c r="J9" s="5">
        <f>averageInProgressTime(Dates!J$14,Dates!J$15, 2)</f>
        <v>0</v>
      </c>
      <c r="K9" s="5">
        <f>averageInProgressTime(Dates!K$14,Dates!K$15, 2)</f>
        <v>0</v>
      </c>
      <c r="L9" s="5">
        <f>averageInProgressTime(Dates!L$14,Dates!L$15, 2)</f>
        <v>0</v>
      </c>
      <c r="M9" s="5">
        <f>averageInProgressTime(Dates!M$14,Dates!M$15, 2)</f>
        <v>0</v>
      </c>
      <c r="N9" s="5">
        <f>averageInProgressTime(Dates!N$14,Dates!N$15, 2)</f>
        <v>0</v>
      </c>
      <c r="O9" s="5">
        <f>averageInProgressTime(Dates!O$14,Dates!O$15, 2)</f>
        <v>0</v>
      </c>
      <c r="P9" s="5">
        <f>averageInProgressTime(Dates!P$14,Dates!P$15, 2)</f>
        <v>0</v>
      </c>
      <c r="Q9" s="5">
        <f>averageInProgressTime(Dates!Q$14,Dates!Q$15, 2)</f>
        <v>0</v>
      </c>
      <c r="R9" s="5">
        <f>averageInProgressTime(Dates!R$14,Dates!R$15, 2)</f>
        <v>0</v>
      </c>
      <c r="S9" s="5">
        <f>averageInProgressTime(Dates!S$14,Dates!S$15, 2)</f>
        <v>0</v>
      </c>
      <c r="T9" s="5">
        <f>averageInProgressTime(Dates!T$14,Dates!T$15, 2)</f>
        <v>0</v>
      </c>
      <c r="U9" s="5">
        <f>averageInProgressTime(Dates!C$14,Dates!T$15, 2)</f>
        <v>0</v>
      </c>
    </row>
    <row r="10" spans="1:22" x14ac:dyDescent="0.3">
      <c r="A10" s="6"/>
      <c r="B10" s="7" t="s">
        <v>55</v>
      </c>
      <c r="C10" s="5">
        <f>averageInProgressTime(Dates!C$14,Dates!C$15, 3)</f>
        <v>0</v>
      </c>
      <c r="D10" s="5">
        <f>averageInProgressTime(Dates!D$14,Dates!D$15, 3)</f>
        <v>0</v>
      </c>
      <c r="E10" s="5">
        <f>averageInProgressTime(Dates!E$14,Dates!E$15, 3)</f>
        <v>0</v>
      </c>
      <c r="F10" s="5">
        <f>averageInProgressTime(Dates!F$14,Dates!F$15, 3)</f>
        <v>0</v>
      </c>
      <c r="G10" s="5">
        <f>averageInProgressTime(Dates!G$14,Dates!G$15, 3)</f>
        <v>0</v>
      </c>
      <c r="H10" s="5">
        <f>averageInProgressTime(Dates!H$14,Dates!H$15, 3)</f>
        <v>0</v>
      </c>
      <c r="I10" s="5">
        <f>averageInProgressTime(Dates!I$14,Dates!I$15, 3)</f>
        <v>0</v>
      </c>
      <c r="J10" s="5">
        <f>averageInProgressTime(Dates!J$14,Dates!J$15, 3)</f>
        <v>0</v>
      </c>
      <c r="K10" s="5">
        <f>averageInProgressTime(Dates!K$14,Dates!K$15, 3)</f>
        <v>0</v>
      </c>
      <c r="L10" s="5">
        <f>averageInProgressTime(Dates!L$14,Dates!L$15, 3)</f>
        <v>0</v>
      </c>
      <c r="M10" s="5">
        <f>averageInProgressTime(Dates!M$14,Dates!M$15, 3)</f>
        <v>0</v>
      </c>
      <c r="N10" s="5">
        <f>averageInProgressTime(Dates!N$14,Dates!N$15, 3)</f>
        <v>0</v>
      </c>
      <c r="O10" s="5">
        <f>averageInProgressTime(Dates!O$14,Dates!O$15, 3)</f>
        <v>0</v>
      </c>
      <c r="P10" s="5">
        <f>averageInProgressTime(Dates!P$14,Dates!P$15, 3)</f>
        <v>0</v>
      </c>
      <c r="Q10" s="5">
        <f>averageInProgressTime(Dates!Q$14,Dates!Q$15, 3)</f>
        <v>0</v>
      </c>
      <c r="R10" s="5">
        <f>averageInProgressTime(Dates!R$14,Dates!R$15, 3)</f>
        <v>0</v>
      </c>
      <c r="S10" s="5">
        <f>averageInProgressTime(Dates!S$14,Dates!S$15, 3)</f>
        <v>0</v>
      </c>
      <c r="T10" s="5">
        <f>averageInProgressTime(Dates!T$14,Dates!T$15, 3)</f>
        <v>0</v>
      </c>
      <c r="U10" s="5">
        <f>averageInProgressTime(Dates!C$14,Dates!T$15, 3)</f>
        <v>0</v>
      </c>
    </row>
    <row r="11" spans="1:22" x14ac:dyDescent="0.3">
      <c r="A11" s="6"/>
      <c r="B11" s="7" t="s">
        <v>42</v>
      </c>
      <c r="C11">
        <f>totalNumberOfJobsCompleted(Dates!C$14,Dates!C$15)</f>
        <v>0</v>
      </c>
      <c r="D11">
        <f>totalNumberOfJobsCompleted(Dates!D$14,Dates!D$15)</f>
        <v>0</v>
      </c>
      <c r="E11">
        <f>totalNumberOfJobsCompleted(Dates!E$14,Dates!E$15)</f>
        <v>0</v>
      </c>
      <c r="F11">
        <f>totalNumberOfJobsCompleted(Dates!F$14,Dates!F$15)</f>
        <v>0</v>
      </c>
      <c r="G11">
        <f>totalNumberOfJobsCompleted(Dates!G$14,Dates!G$15)</f>
        <v>0</v>
      </c>
      <c r="H11">
        <f>totalNumberOfJobsCompleted(Dates!H$14,Dates!H$15)</f>
        <v>0</v>
      </c>
      <c r="I11">
        <f>totalNumberOfJobsCompleted(Dates!I$14,Dates!I$15)</f>
        <v>0</v>
      </c>
      <c r="J11">
        <f>totalNumberOfJobsCompleted(Dates!J$14,Dates!J$15)</f>
        <v>0</v>
      </c>
      <c r="K11">
        <f>totalNumberOfJobsCompleted(Dates!K$14,Dates!K$15)</f>
        <v>0</v>
      </c>
      <c r="L11">
        <f>totalNumberOfJobsCompleted(Dates!L$14,Dates!L$15)</f>
        <v>0</v>
      </c>
      <c r="M11">
        <f>totalNumberOfJobsCompleted(Dates!M$14,Dates!M$15)</f>
        <v>0</v>
      </c>
      <c r="N11">
        <f>totalNumberOfJobsCompleted(Dates!N$14,Dates!N$15)</f>
        <v>0</v>
      </c>
      <c r="O11">
        <f>totalNumberOfJobsCompleted(Dates!O$14,Dates!O$15)</f>
        <v>0</v>
      </c>
      <c r="P11">
        <f>totalNumberOfJobsCompleted(Dates!P$14,Dates!P$15)</f>
        <v>0</v>
      </c>
      <c r="Q11">
        <f>totalNumberOfJobsCompleted(Dates!Q$14,Dates!Q$15)</f>
        <v>0</v>
      </c>
      <c r="R11">
        <f>totalNumberOfJobsCompleted(Dates!R$14,Dates!R$15)</f>
        <v>0</v>
      </c>
      <c r="S11">
        <f>totalNumberOfJobsCompleted(Dates!S$14,Dates!S$15)</f>
        <v>0</v>
      </c>
      <c r="T11">
        <f>totalNumberOfJobsCompleted(Dates!T$14,Dates!T$15)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pendingJobs(Dates!C$15)</f>
        <v>0</v>
      </c>
      <c r="D12">
        <f>pendingJobs(Dates!D$15)</f>
        <v>0</v>
      </c>
      <c r="E12">
        <f>pendingJobs(Dates!E$15)</f>
        <v>0</v>
      </c>
      <c r="F12">
        <f>pendingJobs(Dates!F$15)</f>
        <v>0</v>
      </c>
      <c r="G12">
        <f>pendingJobs(Dates!G$15)</f>
        <v>0</v>
      </c>
      <c r="H12">
        <f>pendingJobs(Dates!H$15)</f>
        <v>0</v>
      </c>
      <c r="I12">
        <f>pendingJobs(Dates!I$15)</f>
        <v>0</v>
      </c>
      <c r="J12">
        <f>pendingJobs(Dates!J$15)</f>
        <v>0</v>
      </c>
      <c r="K12">
        <f>pendingJobs(Dates!K$15)</f>
        <v>0</v>
      </c>
      <c r="L12">
        <f>pendingJobs(Dates!L$15)</f>
        <v>0</v>
      </c>
      <c r="M12">
        <f>pendingJobs(Dates!M$15)</f>
        <v>0</v>
      </c>
      <c r="N12">
        <f>pendingJobs(Dates!N$15)</f>
        <v>0</v>
      </c>
      <c r="O12">
        <f>pendingJobs(Dates!O$15)</f>
        <v>0</v>
      </c>
      <c r="P12">
        <f>pendingJobs(Dates!P$15)</f>
        <v>0</v>
      </c>
      <c r="Q12">
        <f>pendingJobs(Dates!Q$15)</f>
        <v>0</v>
      </c>
      <c r="R12">
        <f>pendingJobs(Dates!R$15)</f>
        <v>0</v>
      </c>
      <c r="S12">
        <f>pendingJobs(Dates!S$15)</f>
        <v>0</v>
      </c>
      <c r="T12">
        <f>pendingJobs(Dates!T$15)</f>
        <v>0</v>
      </c>
      <c r="U12" s="5"/>
    </row>
    <row r="13" spans="1:22" x14ac:dyDescent="0.3">
      <c r="A13" s="6"/>
      <c r="B13" s="7" t="s">
        <v>48</v>
      </c>
      <c r="C13">
        <f>cancelledJobs(Dates!$C$14,Dates!C$15)</f>
        <v>0</v>
      </c>
      <c r="D13">
        <f>cancelledJobs(Dates!$C$14,Dates!D$15)</f>
        <v>0</v>
      </c>
      <c r="E13">
        <f>cancelledJobs(Dates!$C$14,Dates!E$15)</f>
        <v>0</v>
      </c>
      <c r="F13">
        <f>cancelledJobs(Dates!$C$14,Dates!F$15)</f>
        <v>0</v>
      </c>
      <c r="G13">
        <f>cancelledJobs(Dates!$C$14,Dates!G$15)</f>
        <v>0</v>
      </c>
      <c r="H13">
        <f>cancelledJobs(Dates!$C$14,Dates!H$15)</f>
        <v>0</v>
      </c>
      <c r="I13">
        <f>cancelledJobs(Dates!$C$14,Dates!I$15)</f>
        <v>0</v>
      </c>
      <c r="J13">
        <f>cancelledJobs(Dates!$C$14,Dates!J$15)</f>
        <v>0</v>
      </c>
      <c r="K13">
        <f>cancelledJobs(Dates!$C$14,Dates!K$15)</f>
        <v>0</v>
      </c>
      <c r="L13">
        <f>cancelledJobs(Dates!$C$14,Dates!L$15)</f>
        <v>0</v>
      </c>
      <c r="M13">
        <f>cancelledJobs(Dates!$C$14,Dates!M$15)</f>
        <v>0</v>
      </c>
      <c r="N13">
        <f>cancelledJobs(Dates!$C$14,Dates!N$15)</f>
        <v>0</v>
      </c>
      <c r="O13">
        <f>cancelledJobs(Dates!$C$14,Dates!O$15)</f>
        <v>0</v>
      </c>
      <c r="P13">
        <f>cancelledJobs(Dates!$C$14,Dates!P$15)</f>
        <v>0</v>
      </c>
      <c r="Q13">
        <f>cancelledJobs(Dates!$C$14,Dates!Q$15)</f>
        <v>0</v>
      </c>
      <c r="R13">
        <f>cancelledJobs(Dates!$C$14,Dates!R$15)</f>
        <v>0</v>
      </c>
      <c r="S13">
        <f>cancelledJobs(Dates!$C$14,Dates!S$15)</f>
        <v>0</v>
      </c>
      <c r="T13">
        <f>cancelledJobs(Dates!$C$14,Dates!T$15)</f>
        <v>0</v>
      </c>
      <c r="U13" s="5"/>
    </row>
    <row r="14" spans="1:22" x14ac:dyDescent="0.3">
      <c r="B14" s="7" t="s">
        <v>61</v>
      </c>
      <c r="C14">
        <f ca="1">createdJobs(Dates!C$14,Dates!C$15)</f>
        <v>0</v>
      </c>
      <c r="D14">
        <f ca="1">createdJobs(Dates!D$14,Dates!D$15)</f>
        <v>0</v>
      </c>
      <c r="E14">
        <f ca="1">createdJobs(Dates!E$14,Dates!E$15)</f>
        <v>0</v>
      </c>
      <c r="F14">
        <f ca="1">createdJobs(Dates!F$14,Dates!F$15)</f>
        <v>0</v>
      </c>
      <c r="G14">
        <f ca="1">createdJobs(Dates!G$14,Dates!G$15)</f>
        <v>0</v>
      </c>
      <c r="H14">
        <f ca="1">createdJobs(Dates!H$14,Dates!H$15)</f>
        <v>0</v>
      </c>
      <c r="I14">
        <f ca="1">createdJobs(Dates!I$14,Dates!I$15)</f>
        <v>0</v>
      </c>
      <c r="J14">
        <f ca="1">createdJobs(Dates!J$14,Dates!J$15)</f>
        <v>0</v>
      </c>
      <c r="K14">
        <f ca="1">createdJobs(Dates!K$14,Dates!K$15)</f>
        <v>0</v>
      </c>
      <c r="L14">
        <f ca="1">createdJobs(Dates!L$14,Dates!L$15)</f>
        <v>0</v>
      </c>
      <c r="M14">
        <f ca="1">createdJobs(Dates!M$14,Dates!M$15)</f>
        <v>0</v>
      </c>
      <c r="N14">
        <f ca="1">createdJobs(Dates!N$14,Dates!N$15)</f>
        <v>0</v>
      </c>
      <c r="O14">
        <f ca="1">createdJobs(Dates!O$14,Dates!O$15)</f>
        <v>0</v>
      </c>
      <c r="P14">
        <f ca="1">createdJobs(Dates!P$14,Dates!P$15)</f>
        <v>0</v>
      </c>
      <c r="Q14">
        <f ca="1">createdJobs(Dates!Q$14,Dates!Q$15)</f>
        <v>0</v>
      </c>
      <c r="R14">
        <f ca="1">createdJobs(Dates!R$14,Dates!R$15)</f>
        <v>0</v>
      </c>
      <c r="S14">
        <f ca="1">createdJobs(Dates!S$14,Dates!S$15)</f>
        <v>0</v>
      </c>
      <c r="T14">
        <f ca="1">createdJobs(Dates!T$14,Dates!T$15)</f>
        <v>0</v>
      </c>
    </row>
    <row r="15" spans="1:22" x14ac:dyDescent="0.3">
      <c r="B15" s="7" t="s">
        <v>62</v>
      </c>
      <c r="C15">
        <f ca="1">respondedJobs(Dates!C$14,Dates!C$15)</f>
        <v>0</v>
      </c>
      <c r="D15">
        <f ca="1">respondedJobs(Dates!D$14,Dates!D$15)</f>
        <v>0</v>
      </c>
      <c r="E15">
        <f ca="1">respondedJobs(Dates!E$14,Dates!E$15)</f>
        <v>0</v>
      </c>
      <c r="F15">
        <f ca="1">respondedJobs(Dates!F$14,Dates!F$15)</f>
        <v>0</v>
      </c>
      <c r="G15">
        <f ca="1">respondedJobs(Dates!G$14,Dates!G$15)</f>
        <v>0</v>
      </c>
      <c r="H15">
        <f ca="1">respondedJobs(Dates!H$14,Dates!H$15)</f>
        <v>0</v>
      </c>
      <c r="I15">
        <f ca="1">respondedJobs(Dates!I$14,Dates!I$15)</f>
        <v>0</v>
      </c>
      <c r="J15">
        <f ca="1">respondedJobs(Dates!J$14,Dates!J$15)</f>
        <v>0</v>
      </c>
      <c r="K15">
        <f ca="1">respondedJobs(Dates!K$14,Dates!K$15)</f>
        <v>0</v>
      </c>
      <c r="L15">
        <f ca="1">respondedJobs(Dates!L$14,Dates!L$15)</f>
        <v>0</v>
      </c>
      <c r="M15">
        <f ca="1">respondedJobs(Dates!M$14,Dates!M$15)</f>
        <v>0</v>
      </c>
      <c r="N15">
        <f ca="1">respondedJobs(Dates!N$14,Dates!N$15)</f>
        <v>0</v>
      </c>
      <c r="O15">
        <f ca="1">createdJobs(Dates!O$14,Dates!O$15)</f>
        <v>0</v>
      </c>
      <c r="P15">
        <f ca="1">respondedJobs(Dates!P$14,Dates!P$15)</f>
        <v>0</v>
      </c>
      <c r="Q15">
        <f ca="1">respondedJobs(Dates!Q$14,Dates!Q$15)</f>
        <v>0</v>
      </c>
      <c r="R15">
        <f ca="1">respondedJobs(Dates!R$14,Dates!R$15)</f>
        <v>0</v>
      </c>
      <c r="S15">
        <f ca="1">respondedJobs(Dates!S$14,Dates!S$15)</f>
        <v>0</v>
      </c>
      <c r="T15">
        <f ca="1">respondedJobs(Dates!T$14,Dates!T$15)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1"/>
  <sheetViews>
    <sheetView topLeftCell="B1" zoomScale="70" zoomScaleNormal="70" workbookViewId="0">
      <selection activeCell="B11" sqref="B11:B15"/>
    </sheetView>
  </sheetViews>
  <sheetFormatPr defaultRowHeight="14.4" x14ac:dyDescent="0.3"/>
  <cols>
    <col min="2" max="2" width="29.44140625" style="7" bestFit="1" customWidth="1"/>
    <col min="7" max="7" width="10.21875" customWidth="1"/>
  </cols>
  <sheetData>
    <row r="1" spans="1:22" x14ac:dyDescent="0.3">
      <c r="C1" s="3" t="s">
        <v>2</v>
      </c>
      <c r="D1" s="9" t="s">
        <v>25</v>
      </c>
      <c r="E1" s="10" t="s">
        <v>26</v>
      </c>
      <c r="F1" s="10" t="s">
        <v>27</v>
      </c>
      <c r="G1" s="10" t="s">
        <v>28</v>
      </c>
      <c r="H1" s="10" t="s">
        <v>29</v>
      </c>
      <c r="I1" s="10" t="s">
        <v>30</v>
      </c>
      <c r="J1" s="10" t="s">
        <v>31</v>
      </c>
      <c r="K1" s="10" t="s">
        <v>32</v>
      </c>
      <c r="L1" s="10" t="s">
        <v>33</v>
      </c>
      <c r="M1" s="10" t="s">
        <v>34</v>
      </c>
      <c r="N1" s="10" t="s">
        <v>35</v>
      </c>
      <c r="O1" s="10" t="s">
        <v>36</v>
      </c>
      <c r="P1" s="10" t="s">
        <v>37</v>
      </c>
      <c r="Q1" s="10" t="s">
        <v>38</v>
      </c>
      <c r="R1" s="10" t="s">
        <v>39</v>
      </c>
      <c r="S1" s="10" t="s">
        <v>40</v>
      </c>
      <c r="T1" s="10" t="s">
        <v>41</v>
      </c>
      <c r="U1" s="4" t="s">
        <v>9</v>
      </c>
    </row>
    <row r="2" spans="1:22" x14ac:dyDescent="0.3">
      <c r="A2" t="s">
        <v>4</v>
      </c>
      <c r="B2" s="7" t="s">
        <v>56</v>
      </c>
      <c r="C2" s="5">
        <f>averageCompletionTime(Dates!C$16,Dates!C$17, 1)</f>
        <v>0</v>
      </c>
      <c r="D2" s="5">
        <f>averageCompletionTime(Dates!D$16,Dates!D$17, 1)</f>
        <v>0</v>
      </c>
      <c r="E2" s="5">
        <f>averageCompletionTime(Dates!E$16,Dates!E$17, 1)</f>
        <v>0</v>
      </c>
      <c r="F2" s="5">
        <f>averageCompletionTime(Dates!F$16,Dates!F$17, 1)</f>
        <v>0</v>
      </c>
      <c r="G2" s="5">
        <f>averageCompletionTime(Dates!G$16,Dates!G$17, 1)</f>
        <v>0</v>
      </c>
      <c r="H2" s="5">
        <f>averageCompletionTime(Dates!H$16,Dates!H$17, 1)</f>
        <v>0</v>
      </c>
      <c r="I2" s="5">
        <f>averageCompletionTime(Dates!I$16,Dates!I$17, 1)</f>
        <v>0</v>
      </c>
      <c r="J2" s="5">
        <f>averageCompletionTime(Dates!J$16,Dates!J$17, 1)</f>
        <v>0</v>
      </c>
      <c r="K2" s="5">
        <f>averageCompletionTime(Dates!K$16,Dates!K$17, 1)</f>
        <v>0</v>
      </c>
      <c r="L2" s="5">
        <f>averageCompletionTime(Dates!L$16,Dates!L$17, 1)</f>
        <v>0</v>
      </c>
      <c r="M2" s="5">
        <f>averageCompletionTime(Dates!M$16,Dates!M$17, 1)</f>
        <v>0</v>
      </c>
      <c r="N2" s="5">
        <f>averageCompletionTime(Dates!N$16,Dates!N$17, 1)</f>
        <v>0</v>
      </c>
      <c r="O2" s="5">
        <f>averageCompletionTime(Dates!O$16,Dates!O$17, 1)</f>
        <v>0</v>
      </c>
      <c r="P2" s="5">
        <f>averageCompletionTime(Dates!P$16,Dates!P$17, 1)</f>
        <v>0</v>
      </c>
      <c r="Q2" s="5">
        <f>averageCompletionTime(Dates!Q$16,Dates!Q$17, 1)</f>
        <v>0</v>
      </c>
      <c r="R2" s="5">
        <f>averageCompletionTime(Dates!R$16,Dates!R$17, 1)</f>
        <v>0</v>
      </c>
      <c r="S2" s="5">
        <f>averageCompletionTime(Dates!S$16,Dates!S$17, 1)</f>
        <v>0</v>
      </c>
      <c r="T2" s="5">
        <f>averageCompletionTime(Dates!T$16,Dates!T$17, 1)</f>
        <v>0</v>
      </c>
      <c r="U2" s="5">
        <f>averageCompletionTime(Dates!C$16,Dates!T$17, 1)</f>
        <v>0</v>
      </c>
    </row>
    <row r="3" spans="1:22" x14ac:dyDescent="0.3">
      <c r="A3" s="6"/>
      <c r="B3" s="8" t="s">
        <v>49</v>
      </c>
      <c r="C3" s="5">
        <f>averageCompletionTime(Dates!C$16,Dates!C$17, 2)</f>
        <v>0</v>
      </c>
      <c r="D3" s="5">
        <f>averageCompletionTime(Dates!D$16,Dates!D$17, 2)</f>
        <v>0</v>
      </c>
      <c r="E3" s="5">
        <f>averageCompletionTime(Dates!E$16,Dates!E$17, 2)</f>
        <v>0</v>
      </c>
      <c r="F3" s="5">
        <f>averageCompletionTime(Dates!F$16,Dates!F$17, 2)</f>
        <v>0</v>
      </c>
      <c r="G3" s="5">
        <f>averageCompletionTime(Dates!G$16,Dates!G$17, 2)</f>
        <v>0</v>
      </c>
      <c r="H3" s="5">
        <f>averageCompletionTime(Dates!H$16,Dates!H$17, 2)</f>
        <v>0</v>
      </c>
      <c r="I3" s="5">
        <f>averageCompletionTime(Dates!I$16,Dates!I$17, 2)</f>
        <v>0</v>
      </c>
      <c r="J3" s="5">
        <f>averageCompletionTime(Dates!J$16,Dates!J$17, 2)</f>
        <v>0</v>
      </c>
      <c r="K3" s="5">
        <f>averageCompletionTime(Dates!K$16,Dates!K$17, 2)</f>
        <v>0</v>
      </c>
      <c r="L3" s="5">
        <f>averageCompletionTime(Dates!L$16,Dates!L$17, 2)</f>
        <v>0</v>
      </c>
      <c r="M3" s="5">
        <f>averageCompletionTime(Dates!M$16,Dates!M$17, 2)</f>
        <v>0</v>
      </c>
      <c r="N3" s="5">
        <f>averageCompletionTime(Dates!N$16,Dates!N$17, 2)</f>
        <v>0</v>
      </c>
      <c r="O3" s="5">
        <f>averageCompletionTime(Dates!O$16,Dates!O$17, 2)</f>
        <v>0</v>
      </c>
      <c r="P3" s="5">
        <f>averageCompletionTime(Dates!P$16,Dates!P$17, 2)</f>
        <v>0</v>
      </c>
      <c r="Q3" s="5">
        <f>averageCompletionTime(Dates!Q$16,Dates!Q$17, 2)</f>
        <v>0</v>
      </c>
      <c r="R3" s="5">
        <f>averageCompletionTime(Dates!R$16,Dates!R$17, 2)</f>
        <v>0</v>
      </c>
      <c r="S3" s="5">
        <f>averageCompletionTime(Dates!S$16,Dates!S$17, 2)</f>
        <v>0</v>
      </c>
      <c r="T3" s="5">
        <f>averageCompletionTime(Dates!T$16,Dates!T$17, 2)</f>
        <v>0</v>
      </c>
      <c r="U3" s="5">
        <f>averageCompletionTime(Dates!C$16,Dates!T$17, 2)</f>
        <v>0</v>
      </c>
      <c r="V3" s="5"/>
    </row>
    <row r="4" spans="1:22" x14ac:dyDescent="0.3">
      <c r="A4" s="6"/>
      <c r="B4" s="7" t="s">
        <v>50</v>
      </c>
      <c r="C4" s="5">
        <f>averageCompletionTime(Dates!C$16,Dates!C$17, 3)</f>
        <v>0</v>
      </c>
      <c r="D4" s="5">
        <f>averageCompletionTime(Dates!D$16,Dates!D$17, 3)</f>
        <v>0</v>
      </c>
      <c r="E4" s="5">
        <f>averageCompletionTime(Dates!E$16,Dates!E$17, 3)</f>
        <v>0</v>
      </c>
      <c r="F4" s="5">
        <f>averageCompletionTime(Dates!F$16,Dates!F$17, 3)</f>
        <v>0</v>
      </c>
      <c r="G4" s="5">
        <f>averageCompletionTime(Dates!G$16,Dates!G$17, 3)</f>
        <v>0</v>
      </c>
      <c r="H4" s="5">
        <f>averageCompletionTime(Dates!H$16,Dates!H$17, 3)</f>
        <v>0</v>
      </c>
      <c r="I4" s="5">
        <f>averageCompletionTime(Dates!I$16,Dates!I$17, 3)</f>
        <v>0</v>
      </c>
      <c r="J4" s="5">
        <f>averageCompletionTime(Dates!J$16,Dates!J$17, 3)</f>
        <v>0</v>
      </c>
      <c r="K4" s="5">
        <f>averageCompletionTime(Dates!K$16,Dates!K$17, 3)</f>
        <v>0</v>
      </c>
      <c r="L4" s="5">
        <f>averageCompletionTime(Dates!L$16,Dates!L$17, 3)</f>
        <v>0</v>
      </c>
      <c r="M4" s="5">
        <f>averageCompletionTime(Dates!M$16,Dates!M$17, 3)</f>
        <v>0</v>
      </c>
      <c r="N4" s="5">
        <f>averageCompletionTime(Dates!N$16,Dates!N$17, 3)</f>
        <v>0</v>
      </c>
      <c r="O4" s="5">
        <f>averageCompletionTime(Dates!O$16,Dates!O$17, 3)</f>
        <v>0</v>
      </c>
      <c r="P4" s="5">
        <f>averageCompletionTime(Dates!P$16,Dates!P$17, 3)</f>
        <v>0</v>
      </c>
      <c r="Q4" s="5">
        <f>averageCompletionTime(Dates!Q$16,Dates!Q$17, 3)</f>
        <v>0</v>
      </c>
      <c r="R4" s="5">
        <f>averageCompletionTime(Dates!R$16,Dates!R$17, 3)</f>
        <v>0</v>
      </c>
      <c r="S4" s="5">
        <f>averageCompletionTime(Dates!S$16,Dates!S$17, 3)</f>
        <v>0</v>
      </c>
      <c r="T4" s="5">
        <f>averageCompletionTime(Dates!T$16,Dates!T$17, 3)</f>
        <v>0</v>
      </c>
      <c r="U4" s="5">
        <f>averageCompletionTime(Dates!C$16,Dates!T$17, 3)</f>
        <v>0</v>
      </c>
    </row>
    <row r="5" spans="1:22" x14ac:dyDescent="0.3">
      <c r="A5" s="6"/>
      <c r="B5" s="7" t="s">
        <v>11</v>
      </c>
      <c r="C5" s="5">
        <f>averageResponseTime(Dates!C$16,Dates!C$17, 1)</f>
        <v>0</v>
      </c>
      <c r="D5" s="5">
        <f>averageResponseTime(Dates!D$16,Dates!D$17, 1)</f>
        <v>0</v>
      </c>
      <c r="E5" s="5">
        <f>averageResponseTime(Dates!E$16,Dates!E$17, 1)</f>
        <v>0</v>
      </c>
      <c r="F5" s="5">
        <f>averageResponseTime(Dates!F$16,Dates!F$17, 1)</f>
        <v>0</v>
      </c>
      <c r="G5" s="5">
        <f>averageResponseTime(Dates!G$16,Dates!G$17, 1)</f>
        <v>0</v>
      </c>
      <c r="H5" s="5">
        <f>averageResponseTime(Dates!H$16,Dates!H$17, 1)</f>
        <v>0</v>
      </c>
      <c r="I5" s="5">
        <f>averageResponseTime(Dates!I$16,Dates!I$17, 1)</f>
        <v>0</v>
      </c>
      <c r="J5" s="5">
        <f>averageResponseTime(Dates!J$16,Dates!J$17, 1)</f>
        <v>0</v>
      </c>
      <c r="K5" s="5">
        <f>averageResponseTime(Dates!K$16,Dates!K$17, 1)</f>
        <v>0</v>
      </c>
      <c r="L5" s="5">
        <f>averageResponseTime(Dates!L$16,Dates!L$17, 1)</f>
        <v>0</v>
      </c>
      <c r="M5" s="5">
        <f>averageResponseTime(Dates!M$16,Dates!M$17, 1)</f>
        <v>0</v>
      </c>
      <c r="N5" s="5">
        <f>averageResponseTime(Dates!N$16,Dates!N$17, 1)</f>
        <v>0</v>
      </c>
      <c r="O5" s="5">
        <f>averageResponseTime(Dates!O$16,Dates!O$17, 1)</f>
        <v>0</v>
      </c>
      <c r="P5" s="5">
        <f>averageResponseTime(Dates!P$16,Dates!P$17, 1)</f>
        <v>0</v>
      </c>
      <c r="Q5" s="5">
        <f>averageResponseTime(Dates!Q$16,Dates!Q$17, 1)</f>
        <v>0</v>
      </c>
      <c r="R5" s="5">
        <f>averageResponseTime(Dates!R$16,Dates!R$17, 1)</f>
        <v>0</v>
      </c>
      <c r="S5" s="5">
        <f>averageResponseTime(Dates!S$16,Dates!S$17, 1)</f>
        <v>0</v>
      </c>
      <c r="T5" s="5">
        <f>averageResponseTime(Dates!T$16,Dates!T$17, 1)</f>
        <v>0</v>
      </c>
      <c r="U5" s="5">
        <f>averageResponseTime(Dates!C$16,Dates!T$17, 1)</f>
        <v>0</v>
      </c>
    </row>
    <row r="6" spans="1:22" x14ac:dyDescent="0.3">
      <c r="A6" s="6"/>
      <c r="B6" s="7" t="s">
        <v>51</v>
      </c>
      <c r="C6" s="5">
        <f>averageResponseTime(Dates!C$16,Dates!C$17, 2)</f>
        <v>0</v>
      </c>
      <c r="D6" s="5">
        <f>averageResponseTime(Dates!D$16,Dates!D$17, 2)</f>
        <v>0</v>
      </c>
      <c r="E6" s="5">
        <f>averageResponseTime(Dates!E$16,Dates!E$17, 2)</f>
        <v>0</v>
      </c>
      <c r="F6" s="5">
        <f>averageResponseTime(Dates!F$16,Dates!F$17, 2)</f>
        <v>0</v>
      </c>
      <c r="G6" s="5">
        <f>averageResponseTime(Dates!G$16,Dates!G$17, 2)</f>
        <v>0</v>
      </c>
      <c r="H6" s="5">
        <f>averageResponseTime(Dates!H$16,Dates!H$17, 2)</f>
        <v>0</v>
      </c>
      <c r="I6" s="5">
        <f>averageResponseTime(Dates!I$16,Dates!I$17, 2)</f>
        <v>0</v>
      </c>
      <c r="J6" s="5">
        <f>averageResponseTime(Dates!J$16,Dates!J$17, 2)</f>
        <v>0</v>
      </c>
      <c r="K6" s="5">
        <f>averageResponseTime(Dates!K$16,Dates!K$17, 2)</f>
        <v>0</v>
      </c>
      <c r="L6" s="5">
        <f>averageResponseTime(Dates!L$16,Dates!L$17, 2)</f>
        <v>0</v>
      </c>
      <c r="M6" s="5">
        <f>averageResponseTime(Dates!M$16,Dates!M$17, 2)</f>
        <v>0</v>
      </c>
      <c r="N6" s="5">
        <f>averageResponseTime(Dates!N$16,Dates!N$17, 2)</f>
        <v>0</v>
      </c>
      <c r="O6" s="5">
        <f>averageResponseTime(Dates!O$16,Dates!O$17, 2)</f>
        <v>0</v>
      </c>
      <c r="P6" s="5">
        <f>averageResponseTime(Dates!P$16,Dates!P$17, 2)</f>
        <v>0</v>
      </c>
      <c r="Q6" s="5">
        <f>averageResponseTime(Dates!Q$16,Dates!Q$17, 2)</f>
        <v>0</v>
      </c>
      <c r="R6" s="5">
        <f>averageResponseTime(Dates!R$16,Dates!R$17, 2)</f>
        <v>0</v>
      </c>
      <c r="S6" s="5">
        <f>averageResponseTime(Dates!S$16,Dates!S$17, 2)</f>
        <v>0</v>
      </c>
      <c r="T6" s="5">
        <f>averageResponseTime(Dates!T$16,Dates!T$17, 2)</f>
        <v>0</v>
      </c>
      <c r="U6" s="5">
        <f>averageResponseTime(Dates!C$16,Dates!T$17, 2)</f>
        <v>0</v>
      </c>
    </row>
    <row r="7" spans="1:22" x14ac:dyDescent="0.3">
      <c r="A7" s="6"/>
      <c r="B7" s="7" t="s">
        <v>52</v>
      </c>
      <c r="C7" s="5">
        <f>averageResponseTime(Dates!C$16,Dates!C$17, 3)</f>
        <v>0</v>
      </c>
      <c r="D7" s="5">
        <f>averageResponseTime(Dates!D$16,Dates!D$17, 3)</f>
        <v>0</v>
      </c>
      <c r="E7" s="5">
        <f>averageResponseTime(Dates!E$16,Dates!E$17, 3)</f>
        <v>0</v>
      </c>
      <c r="F7" s="5">
        <f>averageResponseTime(Dates!F$16,Dates!F$17, 3)</f>
        <v>0</v>
      </c>
      <c r="G7" s="5">
        <f>averageResponseTime(Dates!G$16,Dates!G$17, 3)</f>
        <v>0</v>
      </c>
      <c r="H7" s="5">
        <f>averageResponseTime(Dates!H$16,Dates!H$17, 3)</f>
        <v>0</v>
      </c>
      <c r="I7" s="5">
        <f>averageResponseTime(Dates!I$16,Dates!I$17, 3)</f>
        <v>0</v>
      </c>
      <c r="J7" s="5">
        <f>averageResponseTime(Dates!J$16,Dates!J$17, 3)</f>
        <v>0</v>
      </c>
      <c r="K7" s="5">
        <f>averageResponseTime(Dates!K$16,Dates!K$17, 3)</f>
        <v>0</v>
      </c>
      <c r="L7" s="5">
        <f>averageResponseTime(Dates!L$16,Dates!L$17, 3)</f>
        <v>0</v>
      </c>
      <c r="M7" s="5">
        <f>averageResponseTime(Dates!M$16,Dates!M$17, 3)</f>
        <v>0</v>
      </c>
      <c r="N7" s="5">
        <f>averageResponseTime(Dates!N$16,Dates!N$17, 3)</f>
        <v>0</v>
      </c>
      <c r="O7" s="5">
        <f>averageResponseTime(Dates!O$16,Dates!O$17, 3)</f>
        <v>0</v>
      </c>
      <c r="P7" s="5">
        <f>averageResponseTime(Dates!P$16,Dates!P$17, 3)</f>
        <v>0</v>
      </c>
      <c r="Q7" s="5">
        <f>averageResponseTime(Dates!Q$16,Dates!Q$17, 3)</f>
        <v>0</v>
      </c>
      <c r="R7" s="5">
        <f>averageResponseTime(Dates!R$16,Dates!R$17, 3)</f>
        <v>0</v>
      </c>
      <c r="S7" s="5">
        <f>averageResponseTime(Dates!S$16,Dates!S$17, 3)</f>
        <v>0</v>
      </c>
      <c r="T7" s="5">
        <f>averageResponseTime(Dates!T$16,Dates!T$17, 3)</f>
        <v>0</v>
      </c>
      <c r="U7" s="5">
        <f>averageResponseTime(Dates!C$16,Dates!T$17, 3)</f>
        <v>0</v>
      </c>
    </row>
    <row r="8" spans="1:22" x14ac:dyDescent="0.3">
      <c r="A8" s="6"/>
      <c r="B8" s="7" t="s">
        <v>53</v>
      </c>
      <c r="C8" s="5">
        <f>averageInProgressTime(Dates!C$16,Dates!C$17, 1)</f>
        <v>0</v>
      </c>
      <c r="D8" s="5">
        <f>averageInProgressTime(Dates!D$16,Dates!D$17, 1)</f>
        <v>0</v>
      </c>
      <c r="E8" s="5">
        <f>averageInProgressTime(Dates!E$16,Dates!E$17, 1)</f>
        <v>0</v>
      </c>
      <c r="F8" s="5">
        <f>averageInProgressTime(Dates!F$16,Dates!F$17, 1)</f>
        <v>0</v>
      </c>
      <c r="G8" s="5">
        <f>averageInProgressTime(Dates!G$16,Dates!G$17, 1)</f>
        <v>0</v>
      </c>
      <c r="H8" s="5">
        <f>averageInProgressTime(Dates!H$16,Dates!H$17, 1)</f>
        <v>0</v>
      </c>
      <c r="I8" s="5">
        <f>averageInProgressTime(Dates!I$16,Dates!I$17, 1)</f>
        <v>0</v>
      </c>
      <c r="J8" s="5">
        <f>averageInProgressTime(Dates!J$16,Dates!J$17, 1)</f>
        <v>0</v>
      </c>
      <c r="K8" s="5">
        <f>averageInProgressTime(Dates!K$16,Dates!K$17, 1)</f>
        <v>0</v>
      </c>
      <c r="L8" s="5">
        <f>averageInProgressTime(Dates!L$16,Dates!L$17, 1)</f>
        <v>0</v>
      </c>
      <c r="M8" s="5">
        <f>averageInProgressTime(Dates!M$16,Dates!M$17, 1)</f>
        <v>0</v>
      </c>
      <c r="N8" s="5">
        <f>averageInProgressTime(Dates!N$16,Dates!N$17, 1)</f>
        <v>0</v>
      </c>
      <c r="O8" s="5">
        <f>averageInProgressTime(Dates!O$16,Dates!O$17, 1)</f>
        <v>0</v>
      </c>
      <c r="P8" s="5">
        <f>averageInProgressTime(Dates!P$16,Dates!P$17, 1)</f>
        <v>0</v>
      </c>
      <c r="Q8" s="5">
        <f>averageInProgressTime(Dates!Q$16,Dates!Q$17, 1)</f>
        <v>0</v>
      </c>
      <c r="R8" s="5">
        <f>averageInProgressTime(Dates!R$16,Dates!R$17, 1)</f>
        <v>0</v>
      </c>
      <c r="S8" s="5">
        <f>averageInProgressTime(Dates!S$16,Dates!S$17, 1)</f>
        <v>0</v>
      </c>
      <c r="T8" s="5">
        <f>averageInProgressTime(Dates!T$16,Dates!T$17, 1)</f>
        <v>0</v>
      </c>
      <c r="U8" s="5">
        <f>averageInProgressTime(Dates!C$16,Dates!T$17, 1)</f>
        <v>0</v>
      </c>
    </row>
    <row r="9" spans="1:22" x14ac:dyDescent="0.3">
      <c r="A9" s="6"/>
      <c r="B9" s="7" t="s">
        <v>54</v>
      </c>
      <c r="C9" s="5">
        <f>averageInProgressTime(Dates!C$16,Dates!C$17, 2)</f>
        <v>0</v>
      </c>
      <c r="D9" s="5">
        <f>averageInProgressTime(Dates!D$16,Dates!D$17, 2)</f>
        <v>0</v>
      </c>
      <c r="E9" s="5">
        <f>averageInProgressTime(Dates!E$16,Dates!E$17, 2)</f>
        <v>0</v>
      </c>
      <c r="F9" s="5">
        <f>averageInProgressTime(Dates!F$16,Dates!F$17, 2)</f>
        <v>0</v>
      </c>
      <c r="G9" s="5">
        <f>averageInProgressTime(Dates!G$16,Dates!G$17, 2)</f>
        <v>0</v>
      </c>
      <c r="H9" s="5">
        <f>averageInProgressTime(Dates!H$16,Dates!H$17, 2)</f>
        <v>0</v>
      </c>
      <c r="I9" s="5">
        <f>averageInProgressTime(Dates!I$16,Dates!I$17, 2)</f>
        <v>0</v>
      </c>
      <c r="J9" s="5">
        <f>averageInProgressTime(Dates!J$16,Dates!J$17, 2)</f>
        <v>0</v>
      </c>
      <c r="K9" s="5">
        <f>averageInProgressTime(Dates!K$16,Dates!K$17, 2)</f>
        <v>0</v>
      </c>
      <c r="L9" s="5">
        <f>averageInProgressTime(Dates!L$16,Dates!L$17, 2)</f>
        <v>0</v>
      </c>
      <c r="M9" s="5">
        <f>averageInProgressTime(Dates!M$16,Dates!M$17, 2)</f>
        <v>0</v>
      </c>
      <c r="N9" s="5">
        <f>averageInProgressTime(Dates!N$16,Dates!N$17, 2)</f>
        <v>0</v>
      </c>
      <c r="O9" s="5">
        <f>averageInProgressTime(Dates!O$16,Dates!O$17, 2)</f>
        <v>0</v>
      </c>
      <c r="P9" s="5">
        <f>averageInProgressTime(Dates!P$16,Dates!P$17, 2)</f>
        <v>0</v>
      </c>
      <c r="Q9" s="5">
        <f>averageInProgressTime(Dates!Q$16,Dates!Q$17, 2)</f>
        <v>0</v>
      </c>
      <c r="R9" s="5">
        <f>averageInProgressTime(Dates!R$16,Dates!R$17, 2)</f>
        <v>0</v>
      </c>
      <c r="S9" s="5">
        <f>averageInProgressTime(Dates!S$16,Dates!S$17, 2)</f>
        <v>0</v>
      </c>
      <c r="T9" s="5">
        <f>averageInProgressTime(Dates!T$16,Dates!T$17, 2)</f>
        <v>0</v>
      </c>
      <c r="U9" s="5">
        <f>averageInProgressTime(Dates!C$16,Dates!T$17, 2)</f>
        <v>0</v>
      </c>
    </row>
    <row r="10" spans="1:22" x14ac:dyDescent="0.3">
      <c r="A10" s="6"/>
      <c r="B10" s="7" t="s">
        <v>55</v>
      </c>
      <c r="C10" s="5">
        <f>averageInProgressTime(Dates!C$16,Dates!C$17, 3)</f>
        <v>0</v>
      </c>
      <c r="D10" s="5">
        <f>averageInProgressTime(Dates!D$16,Dates!D$17, 3)</f>
        <v>0</v>
      </c>
      <c r="E10" s="5">
        <f>averageInProgressTime(Dates!E$16,Dates!E$17, 3)</f>
        <v>0</v>
      </c>
      <c r="F10" s="5">
        <f>averageInProgressTime(Dates!F$16,Dates!F$17, 3)</f>
        <v>0</v>
      </c>
      <c r="G10" s="5">
        <f>averageInProgressTime(Dates!G$16,Dates!G$17, 3)</f>
        <v>0</v>
      </c>
      <c r="H10" s="5">
        <f>averageInProgressTime(Dates!H$16,Dates!H$17, 3)</f>
        <v>0</v>
      </c>
      <c r="I10" s="5">
        <f>averageInProgressTime(Dates!I$16,Dates!I$17, 3)</f>
        <v>0</v>
      </c>
      <c r="J10" s="5">
        <f>averageInProgressTime(Dates!J$16,Dates!J$17, 3)</f>
        <v>0</v>
      </c>
      <c r="K10" s="5">
        <f>averageInProgressTime(Dates!K$16,Dates!K$17, 3)</f>
        <v>0</v>
      </c>
      <c r="L10" s="5">
        <f>averageInProgressTime(Dates!L$16,Dates!L$17, 3)</f>
        <v>0</v>
      </c>
      <c r="M10" s="5">
        <f>averageInProgressTime(Dates!M$16,Dates!M$17, 3)</f>
        <v>0</v>
      </c>
      <c r="N10" s="5">
        <f>averageInProgressTime(Dates!N$16,Dates!N$17, 3)</f>
        <v>0</v>
      </c>
      <c r="O10" s="5">
        <f>averageInProgressTime(Dates!O$16,Dates!O$17, 3)</f>
        <v>0</v>
      </c>
      <c r="P10" s="5">
        <f>averageInProgressTime(Dates!P$16,Dates!P$17, 3)</f>
        <v>0</v>
      </c>
      <c r="Q10" s="5">
        <f>averageInProgressTime(Dates!Q$16,Dates!Q$17, 3)</f>
        <v>0</v>
      </c>
      <c r="R10" s="5">
        <f>averageInProgressTime(Dates!R$16,Dates!R$17, 3)</f>
        <v>0</v>
      </c>
      <c r="S10" s="5">
        <f>averageInProgressTime(Dates!S$16,Dates!S$17, 3)</f>
        <v>0</v>
      </c>
      <c r="T10" s="5">
        <f>averageInProgressTime(Dates!T$16,Dates!T$17, 3)</f>
        <v>0</v>
      </c>
      <c r="U10" s="5">
        <f>averageInProgressTime(Dates!C$16,Dates!T$17, 3)</f>
        <v>0</v>
      </c>
    </row>
    <row r="11" spans="1:22" x14ac:dyDescent="0.3">
      <c r="A11" s="6"/>
      <c r="B11" s="7" t="s">
        <v>42</v>
      </c>
      <c r="C11">
        <f>totalNumberOfJobsCompleted(Dates!C$16,Dates!C$17)</f>
        <v>0</v>
      </c>
      <c r="D11">
        <f>totalNumberOfJobsCompleted(Dates!D$16,Dates!D$17)</f>
        <v>0</v>
      </c>
      <c r="E11">
        <f>totalNumberOfJobsCompleted(Dates!E$16,Dates!E$17)</f>
        <v>0</v>
      </c>
      <c r="F11">
        <f>totalNumberOfJobsCompleted(Dates!F$16,Dates!F$17)</f>
        <v>0</v>
      </c>
      <c r="G11">
        <f>totalNumberOfJobsCompleted(Dates!G$16,Dates!G$17)</f>
        <v>0</v>
      </c>
      <c r="H11">
        <f>totalNumberOfJobsCompleted(Dates!H$16,Dates!H$17)</f>
        <v>0</v>
      </c>
      <c r="I11">
        <f>totalNumberOfJobsCompleted(Dates!I$16,Dates!I$17)</f>
        <v>0</v>
      </c>
      <c r="J11">
        <f>totalNumberOfJobsCompleted(Dates!J$16,Dates!J$17)</f>
        <v>0</v>
      </c>
      <c r="K11">
        <f>totalNumberOfJobsCompleted(Dates!K$16,Dates!K$17)</f>
        <v>0</v>
      </c>
      <c r="L11">
        <f>totalNumberOfJobsCompleted(Dates!L$16,Dates!L$17)</f>
        <v>0</v>
      </c>
      <c r="M11">
        <f>totalNumberOfJobsCompleted(Dates!M$16,Dates!M$17)</f>
        <v>0</v>
      </c>
      <c r="N11">
        <f>totalNumberOfJobsCompleted(Dates!N$16,Dates!N$17)</f>
        <v>0</v>
      </c>
      <c r="O11">
        <f>totalNumberOfJobsCompleted(Dates!O$16,Dates!O$17)</f>
        <v>0</v>
      </c>
      <c r="P11">
        <f>totalNumberOfJobsCompleted(Dates!P$16,Dates!P$17)</f>
        <v>0</v>
      </c>
      <c r="Q11">
        <f>totalNumberOfJobsCompleted(Dates!Q$16,Dates!Q$17)</f>
        <v>0</v>
      </c>
      <c r="R11">
        <f>totalNumberOfJobsCompleted(Dates!R$16,Dates!R$17)</f>
        <v>0</v>
      </c>
      <c r="S11">
        <f>totalNumberOfJobsCompleted(Dates!S$16,Dates!S$17)</f>
        <v>0</v>
      </c>
      <c r="T11">
        <f>totalNumberOfJobsCompleted(Dates!T$16,Dates!T$17)</f>
        <v>0</v>
      </c>
      <c r="U11">
        <f>SUM(C11:T11)</f>
        <v>0</v>
      </c>
    </row>
    <row r="12" spans="1:22" x14ac:dyDescent="0.3">
      <c r="A12" s="6"/>
      <c r="B12" s="7" t="s">
        <v>43</v>
      </c>
      <c r="C12">
        <f>pendingJobs(Dates!C$17)</f>
        <v>0</v>
      </c>
      <c r="D12">
        <f>pendingJobs(Dates!D$17)</f>
        <v>0</v>
      </c>
      <c r="E12">
        <f>pendingJobs(Dates!E$17)</f>
        <v>0</v>
      </c>
      <c r="F12">
        <f>pendingJobs(Dates!F$17)</f>
        <v>0</v>
      </c>
      <c r="G12">
        <f>pendingJobs(Dates!G$17)</f>
        <v>0</v>
      </c>
      <c r="H12">
        <f>pendingJobs(Dates!H$17)</f>
        <v>0</v>
      </c>
      <c r="I12">
        <f>pendingJobs(Dates!I$17)</f>
        <v>0</v>
      </c>
      <c r="J12">
        <f>pendingJobs(Dates!J$17)</f>
        <v>0</v>
      </c>
      <c r="K12">
        <f>pendingJobs(Dates!K$17)</f>
        <v>0</v>
      </c>
      <c r="L12">
        <f>pendingJobs(Dates!L$17)</f>
        <v>0</v>
      </c>
      <c r="M12">
        <f>pendingJobs(Dates!M$17)</f>
        <v>0</v>
      </c>
      <c r="N12">
        <f>pendingJobs(Dates!N$17)</f>
        <v>0</v>
      </c>
      <c r="O12">
        <f>pendingJobs(Dates!O$17)</f>
        <v>0</v>
      </c>
      <c r="P12">
        <f>pendingJobs(Dates!P$17)</f>
        <v>0</v>
      </c>
      <c r="Q12">
        <f>pendingJobs(Dates!Q$17)</f>
        <v>0</v>
      </c>
      <c r="R12">
        <f>pendingJobs(Dates!R$17)</f>
        <v>0</v>
      </c>
      <c r="S12">
        <f>pendingJobs(Dates!S$17)</f>
        <v>0</v>
      </c>
      <c r="T12">
        <f>pendingJobs(Dates!T$17)</f>
        <v>0</v>
      </c>
      <c r="U12" s="5"/>
    </row>
    <row r="13" spans="1:22" x14ac:dyDescent="0.3">
      <c r="A13" s="6"/>
      <c r="B13" s="7" t="s">
        <v>48</v>
      </c>
      <c r="C13">
        <f>cancelledJobs(Dates!$C$16,Dates!C$17)</f>
        <v>0</v>
      </c>
      <c r="D13">
        <f>cancelledJobs(Dates!$C$16,Dates!D$17)</f>
        <v>0</v>
      </c>
      <c r="E13">
        <f>cancelledJobs(Dates!$C$16,Dates!E$17)</f>
        <v>0</v>
      </c>
      <c r="F13">
        <f>cancelledJobs(Dates!$C$16,Dates!F$17)</f>
        <v>0</v>
      </c>
      <c r="G13">
        <f>cancelledJobs(Dates!$C$16,Dates!G$17)</f>
        <v>0</v>
      </c>
      <c r="H13">
        <f>cancelledJobs(Dates!$C$16,Dates!H$17)</f>
        <v>0</v>
      </c>
      <c r="I13">
        <f>cancelledJobs(Dates!$C$16,Dates!I$17)</f>
        <v>0</v>
      </c>
      <c r="J13">
        <f>cancelledJobs(Dates!$C$16,Dates!J$17)</f>
        <v>0</v>
      </c>
      <c r="K13">
        <f>cancelledJobs(Dates!$C$16,Dates!K$17)</f>
        <v>0</v>
      </c>
      <c r="L13">
        <f>cancelledJobs(Dates!$C$16,Dates!L$17)</f>
        <v>0</v>
      </c>
      <c r="M13">
        <f>cancelledJobs(Dates!$C$16,Dates!M$17)</f>
        <v>0</v>
      </c>
      <c r="N13">
        <f>cancelledJobs(Dates!$C$16,Dates!N$17)</f>
        <v>0</v>
      </c>
      <c r="O13">
        <f>cancelledJobs(Dates!$C$16,Dates!O$17)</f>
        <v>0</v>
      </c>
      <c r="P13">
        <f>cancelledJobs(Dates!$C$16,Dates!P$17)</f>
        <v>0</v>
      </c>
      <c r="Q13">
        <f>cancelledJobs(Dates!$C$16,Dates!Q$17)</f>
        <v>0</v>
      </c>
      <c r="R13">
        <f>cancelledJobs(Dates!$C$16,Dates!R$17)</f>
        <v>0</v>
      </c>
      <c r="S13">
        <f>cancelledJobs(Dates!$C$16,Dates!S$17)</f>
        <v>0</v>
      </c>
      <c r="T13">
        <f>cancelledJobs(Dates!$C$16,Dates!T$17)</f>
        <v>0</v>
      </c>
      <c r="U13" s="5"/>
    </row>
    <row r="14" spans="1:22" x14ac:dyDescent="0.3">
      <c r="B14" s="7" t="s">
        <v>61</v>
      </c>
      <c r="C14">
        <f ca="1">createdJobs(Dates!C$16,Dates!C$17)</f>
        <v>0</v>
      </c>
      <c r="D14">
        <f ca="1">createdJobs(Dates!D$16,Dates!D$17)</f>
        <v>0</v>
      </c>
      <c r="E14">
        <f ca="1">createdJobs(Dates!E$16,Dates!E$17)</f>
        <v>0</v>
      </c>
      <c r="F14">
        <f ca="1">createdJobs(Dates!F$16,Dates!F$17)</f>
        <v>0</v>
      </c>
      <c r="G14">
        <f ca="1">createdJobs(Dates!G$16,Dates!G$17)</f>
        <v>0</v>
      </c>
      <c r="H14">
        <f ca="1">createdJobs(Dates!H$16,Dates!H$17)</f>
        <v>0</v>
      </c>
      <c r="I14">
        <f ca="1">createdJobs(Dates!I$16,Dates!I$17)</f>
        <v>0</v>
      </c>
      <c r="J14">
        <f ca="1">createdJobs(Dates!J$16,Dates!J$17)</f>
        <v>0</v>
      </c>
      <c r="K14">
        <f ca="1">createdJobs(Dates!K$16,Dates!K$17)</f>
        <v>0</v>
      </c>
      <c r="L14">
        <f ca="1">createdJobs(Dates!L$16,Dates!L$17)</f>
        <v>0</v>
      </c>
      <c r="M14">
        <f ca="1">createdJobs(Dates!M$16,Dates!M$17)</f>
        <v>0</v>
      </c>
      <c r="N14">
        <f ca="1">createdJobs(Dates!N$16,Dates!N$17)</f>
        <v>0</v>
      </c>
      <c r="O14">
        <f ca="1">createdJobs(Dates!O$16,Dates!O$17)</f>
        <v>0</v>
      </c>
      <c r="P14">
        <f ca="1">createdJobs(Dates!P$16,Dates!P$17)</f>
        <v>0</v>
      </c>
      <c r="Q14">
        <f ca="1">createdJobs(Dates!Q$16,Dates!Q$17)</f>
        <v>0</v>
      </c>
      <c r="R14">
        <f ca="1">createdJobs(Dates!R$16,Dates!R$17)</f>
        <v>0</v>
      </c>
      <c r="S14">
        <f ca="1">createdJobs(Dates!S$16,Dates!S$17)</f>
        <v>0</v>
      </c>
      <c r="T14">
        <f ca="1">createdJobs(Dates!T$16,Dates!T$17)</f>
        <v>0</v>
      </c>
    </row>
    <row r="15" spans="1:22" x14ac:dyDescent="0.3">
      <c r="B15" s="7" t="s">
        <v>62</v>
      </c>
      <c r="C15">
        <f ca="1">respondedJobs(Dates!C$16,Dates!C$17)</f>
        <v>0</v>
      </c>
      <c r="D15">
        <f ca="1">respondedJobs(Dates!D$16,Dates!D$17)</f>
        <v>0</v>
      </c>
      <c r="E15">
        <f ca="1">respondedJobs(Dates!E$16,Dates!E$17)</f>
        <v>0</v>
      </c>
      <c r="F15">
        <f ca="1">respondedJobs(Dates!F$16,Dates!F$17)</f>
        <v>0</v>
      </c>
      <c r="G15">
        <f ca="1">respondedJobs(Dates!G$16,Dates!G$17)</f>
        <v>0</v>
      </c>
      <c r="H15">
        <f ca="1">respondedJobs(Dates!H$16,Dates!H$17)</f>
        <v>0</v>
      </c>
      <c r="I15">
        <f ca="1">respondedJobs(Dates!I$16,Dates!I$17)</f>
        <v>0</v>
      </c>
      <c r="J15">
        <f ca="1">respondedJobs(Dates!J$16,Dates!J$17)</f>
        <v>0</v>
      </c>
      <c r="K15">
        <f ca="1">respondedJobs(Dates!K$16,Dates!K$17)</f>
        <v>0</v>
      </c>
      <c r="L15">
        <f ca="1">respondedJobs(Dates!L$16,Dates!L$17)</f>
        <v>0</v>
      </c>
      <c r="M15">
        <f ca="1">respondedJobs(Dates!M$16,Dates!M$17)</f>
        <v>0</v>
      </c>
      <c r="N15">
        <f ca="1">respondedJobs(Dates!N$16,Dates!N$17)</f>
        <v>0</v>
      </c>
      <c r="O15">
        <f ca="1">createdJobs(Dates!O$16,Dates!O$17)</f>
        <v>0</v>
      </c>
      <c r="P15">
        <f ca="1">respondedJobs(Dates!P$16,Dates!P$17)</f>
        <v>0</v>
      </c>
      <c r="Q15">
        <f ca="1">respondedJobs(Dates!Q$16,Dates!Q$17)</f>
        <v>0</v>
      </c>
      <c r="R15">
        <f ca="1">respondedJobs(Dates!R$16,Dates!R$17)</f>
        <v>0</v>
      </c>
      <c r="S15">
        <f ca="1">respondedJobs(Dates!S$16,Dates!S$17)</f>
        <v>0</v>
      </c>
      <c r="T15">
        <f ca="1">respondedJobs(Dates!T$16,Dates!T$17)</f>
        <v>0</v>
      </c>
    </row>
    <row r="16" spans="1:22" x14ac:dyDescent="0.3">
      <c r="B16" s="8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2:21" x14ac:dyDescent="0.3">
      <c r="B17" s="8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</row>
    <row r="18" spans="2:21" x14ac:dyDescent="0.3">
      <c r="B18" s="8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</row>
    <row r="19" spans="2:21" x14ac:dyDescent="0.3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</row>
    <row r="20" spans="2:21" x14ac:dyDescent="0.3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</row>
    <row r="21" spans="2:21" x14ac:dyDescent="0.3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spans="2:21" x14ac:dyDescent="0.3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</row>
    <row r="23" spans="2:21" x14ac:dyDescent="0.3">
      <c r="B23" s="8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2:21" x14ac:dyDescent="0.3">
      <c r="B24" s="8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2:21" x14ac:dyDescent="0.3">
      <c r="B25" s="8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2:21" x14ac:dyDescent="0.3">
      <c r="B26" s="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2:21" x14ac:dyDescent="0.3">
      <c r="B27" s="8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57" spans="3:21" x14ac:dyDescent="0.3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3:21" x14ac:dyDescent="0.3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3:21" x14ac:dyDescent="0.3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spans="3:21" x14ac:dyDescent="0.3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spans="3:21" x14ac:dyDescent="0.3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spans="3:21" x14ac:dyDescent="0.3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</row>
    <row r="63" spans="3:21" x14ac:dyDescent="0.3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</row>
    <row r="64" spans="3:21" x14ac:dyDescent="0.3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</row>
    <row r="65" spans="3:21" x14ac:dyDescent="0.3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</row>
    <row r="66" spans="3:21" x14ac:dyDescent="0.3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</row>
    <row r="67" spans="3:21" x14ac:dyDescent="0.3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</row>
    <row r="68" spans="3:21" x14ac:dyDescent="0.3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</row>
    <row r="69" spans="3:21" x14ac:dyDescent="0.3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</row>
    <row r="70" spans="3:21" x14ac:dyDescent="0.3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</row>
    <row r="71" spans="3:21" x14ac:dyDescent="0.3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</row>
    <row r="72" spans="3:21" x14ac:dyDescent="0.3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3" spans="3:21" x14ac:dyDescent="0.3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</row>
    <row r="74" spans="3:21" x14ac:dyDescent="0.3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</row>
    <row r="75" spans="3:21" x14ac:dyDescent="0.3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</row>
    <row r="76" spans="3:21" x14ac:dyDescent="0.3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</row>
    <row r="77" spans="3:21" x14ac:dyDescent="0.3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3:21" x14ac:dyDescent="0.3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</row>
    <row r="79" spans="3:21" x14ac:dyDescent="0.3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</row>
    <row r="80" spans="3:21" x14ac:dyDescent="0.3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3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</sheetData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2" zoomScale="70" zoomScaleNormal="70" workbookViewId="0">
      <selection activeCell="W110" sqref="W110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10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70" zoomScaleNormal="70" workbookViewId="0">
      <selection activeCell="Z143" sqref="Z14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44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70" zoomScaleNormal="70" workbookViewId="0">
      <selection activeCell="W170" sqref="W170:W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45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6"/>
  <sheetViews>
    <sheetView zoomScale="70" zoomScaleNormal="70" workbookViewId="0">
      <selection activeCell="V171" sqref="V17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46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6"/>
  <sheetViews>
    <sheetView zoomScale="70" zoomScaleNormal="70" workbookViewId="0">
      <selection activeCell="V167" sqref="V167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47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6"/>
  <sheetViews>
    <sheetView zoomScale="70" zoomScaleNormal="70" workbookViewId="0">
      <selection activeCell="U169" sqref="U169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6"/>
  <sheetViews>
    <sheetView zoomScale="70" zoomScaleNormal="70" workbookViewId="0">
      <selection activeCell="X5" sqref="X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4"/>
      <c r="H1" s="14"/>
      <c r="I1" s="14"/>
      <c r="J1" s="14"/>
      <c r="K1" s="14"/>
      <c r="L1" s="14"/>
    </row>
    <row r="2" spans="2:19" ht="18" x14ac:dyDescent="0.35">
      <c r="G2" s="12"/>
      <c r="H2" s="12"/>
      <c r="I2" s="12"/>
      <c r="J2" s="12"/>
      <c r="K2" s="12"/>
      <c r="L2" s="12"/>
    </row>
    <row r="3" spans="2:19" ht="18" x14ac:dyDescent="0.35">
      <c r="G3" s="12"/>
      <c r="H3" s="13"/>
      <c r="I3" s="13"/>
      <c r="J3" s="13"/>
      <c r="K3" s="13"/>
      <c r="L3" s="13"/>
    </row>
    <row r="4" spans="2:19" ht="18" x14ac:dyDescent="0.35">
      <c r="G4" s="12"/>
      <c r="H4" s="13"/>
      <c r="I4" s="13"/>
      <c r="J4" s="13"/>
      <c r="K4" s="13"/>
      <c r="L4" s="13"/>
    </row>
    <row r="6" spans="2:19" ht="23.4" x14ac:dyDescent="0.45">
      <c r="B6" s="16" t="s">
        <v>60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</sheetData>
  <mergeCells count="1"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Sheet1</vt:lpstr>
      <vt:lpstr>Dates</vt:lpstr>
      <vt:lpstr>Day1</vt:lpstr>
      <vt:lpstr>Day2</vt:lpstr>
      <vt:lpstr>Day3</vt:lpstr>
      <vt:lpstr>Day4</vt:lpstr>
      <vt:lpstr>Day5</vt:lpstr>
      <vt:lpstr>Day6</vt:lpstr>
      <vt:lpstr>Day7</vt:lpstr>
      <vt:lpstr>Dashboard D1</vt:lpstr>
      <vt:lpstr>Dashboard D2</vt:lpstr>
      <vt:lpstr>Dashboard D3</vt:lpstr>
      <vt:lpstr>Dashboard D4</vt:lpstr>
      <vt:lpstr>Dashboard D5</vt:lpstr>
      <vt:lpstr>Dashboard D6</vt:lpstr>
      <vt:lpstr>Dashboard D7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2014-04-17T00:40:13Z</dcterms:modified>
</cp:coreProperties>
</file>