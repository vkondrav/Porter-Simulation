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3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4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5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6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7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8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9.xml" ContentType="application/vnd.openxmlformats-officedocument.themeOverrid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0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6.xml" ContentType="application/vnd.openxmlformats-officedocument.drawing+xml"/>
  <Override PartName="/xl/ctrlProps/ctrlProp6.xml" ContentType="application/vnd.ms-excel.controlproperti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11.xml" ContentType="application/vnd.openxmlformats-officedocument.themeOverrid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12.xml" ContentType="application/vnd.openxmlformats-officedocument.themeOverrid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7.xml" ContentType="application/vnd.openxmlformats-officedocument.drawing+xml"/>
  <Override PartName="/xl/ctrlProps/ctrlProp7.xml" ContentType="application/vnd.ms-excel.controlproperti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13.xml" ContentType="application/vnd.openxmlformats-officedocument.themeOverrid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14.xml" ContentType="application/vnd.openxmlformats-officedocument.themeOverrid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taliy\Documents\GitHub\Porter-Simulation\src\Simulation\"/>
    </mc:Choice>
  </mc:AlternateContent>
  <bookViews>
    <workbookView xWindow="0" yWindow="0" windowWidth="16320" windowHeight="6456" firstSheet="9" activeTab="9"/>
  </bookViews>
  <sheets>
    <sheet name="Sheet1" sheetId="1" state="hidden" r:id="rId1"/>
    <sheet name="Dates" sheetId="2" state="hidden" r:id="rId2"/>
    <sheet name="Day1" sheetId="3" state="hidden" r:id="rId3"/>
    <sheet name="Day2" sheetId="26" state="hidden" r:id="rId4"/>
    <sheet name="Day3" sheetId="29" state="hidden" r:id="rId5"/>
    <sheet name="Day4" sheetId="30" state="hidden" r:id="rId6"/>
    <sheet name="Day5" sheetId="31" state="hidden" r:id="rId7"/>
    <sheet name="Day6" sheetId="32" state="hidden" r:id="rId8"/>
    <sheet name="Day7" sheetId="28" state="hidden" r:id="rId9"/>
    <sheet name="Dashboard D1" sheetId="12" r:id="rId10"/>
    <sheet name="Dashboard D2" sheetId="33" r:id="rId11"/>
    <sheet name="Dashboard D3" sheetId="34" r:id="rId12"/>
    <sheet name="Dashboard D4" sheetId="35" r:id="rId13"/>
    <sheet name="Dashboard D5" sheetId="36" r:id="rId14"/>
    <sheet name="Dashboard D6" sheetId="37" r:id="rId15"/>
    <sheet name="Dashboard D7" sheetId="38" r:id="rId16"/>
  </sheets>
  <functionGroups builtInGroupCount="18"/>
  <calcPr calcId="152511" calcMode="manual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2" l="1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D17" i="2"/>
  <c r="D16" i="2"/>
  <c r="D15" i="2"/>
  <c r="D14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E13" i="2"/>
  <c r="E12" i="2"/>
  <c r="D13" i="2"/>
  <c r="D12" i="2"/>
  <c r="C17" i="2" l="1"/>
  <c r="C16" i="2"/>
  <c r="C15" i="2"/>
  <c r="C14" i="2"/>
  <c r="C13" i="2"/>
  <c r="C12" i="2"/>
  <c r="T17" i="2" l="1"/>
  <c r="T16" i="2"/>
  <c r="T15" i="2"/>
  <c r="T14" i="2"/>
  <c r="T13" i="2" l="1"/>
  <c r="T4" i="28"/>
  <c r="T9" i="28"/>
  <c r="T4" i="32"/>
  <c r="T2" i="28"/>
  <c r="M13" i="30"/>
  <c r="O12" i="30"/>
  <c r="Q11" i="30"/>
  <c r="T10" i="30"/>
  <c r="D10" i="30"/>
  <c r="G9" i="30"/>
  <c r="J8" i="30"/>
  <c r="M7" i="30"/>
  <c r="P6" i="30"/>
  <c r="S5" i="30"/>
  <c r="C5" i="30"/>
  <c r="F4" i="30"/>
  <c r="I3" i="30"/>
  <c r="T11" i="32"/>
  <c r="T5" i="28"/>
  <c r="T11" i="31"/>
  <c r="T9" i="32"/>
  <c r="T7" i="28"/>
  <c r="T2" i="32"/>
  <c r="Q13" i="30"/>
  <c r="S12" i="30"/>
  <c r="C12" i="30"/>
  <c r="E11" i="30"/>
  <c r="H10" i="30"/>
  <c r="K9" i="30"/>
  <c r="N8" i="30"/>
  <c r="Q7" i="30"/>
  <c r="T6" i="30"/>
  <c r="D6" i="30"/>
  <c r="G5" i="30"/>
  <c r="J4" i="30"/>
  <c r="M3" i="30"/>
  <c r="T8" i="32"/>
  <c r="T6" i="28"/>
  <c r="T3" i="31"/>
  <c r="K12" i="30"/>
  <c r="P10" i="30"/>
  <c r="C9" i="30"/>
  <c r="I7" i="30"/>
  <c r="O5" i="30"/>
  <c r="U3" i="30"/>
  <c r="T11" i="28"/>
  <c r="T6" i="32"/>
  <c r="T13" i="30"/>
  <c r="D13" i="30"/>
  <c r="F12" i="30"/>
  <c r="H11" i="30"/>
  <c r="K10" i="30"/>
  <c r="N9" i="30"/>
  <c r="Q8" i="30"/>
  <c r="T7" i="30"/>
  <c r="D7" i="30"/>
  <c r="G6" i="30"/>
  <c r="T9" i="31"/>
  <c r="K13" i="30"/>
  <c r="M12" i="30"/>
  <c r="O11" i="30"/>
  <c r="R10" i="30"/>
  <c r="U9" i="30"/>
  <c r="E9" i="30"/>
  <c r="H8" i="30"/>
  <c r="K7" i="30"/>
  <c r="N6" i="30"/>
  <c r="Q5" i="30"/>
  <c r="T4" i="30"/>
  <c r="T7" i="32"/>
  <c r="G12" i="30"/>
  <c r="L10" i="30"/>
  <c r="R8" i="30"/>
  <c r="E7" i="30"/>
  <c r="K5" i="30"/>
  <c r="Q3" i="30"/>
  <c r="P13" i="30"/>
  <c r="R12" i="30"/>
  <c r="T11" i="30"/>
  <c r="D11" i="30"/>
  <c r="G10" i="30"/>
  <c r="J9" i="30"/>
  <c r="M8" i="30"/>
  <c r="P7" i="30"/>
  <c r="S6" i="30"/>
  <c r="C6" i="30"/>
  <c r="T10" i="32"/>
  <c r="G13" i="30"/>
  <c r="I12" i="30"/>
  <c r="K11" i="30"/>
  <c r="N10" i="30"/>
  <c r="Q9" i="30"/>
  <c r="T8" i="30"/>
  <c r="D8" i="30"/>
  <c r="G7" i="30"/>
  <c r="J6" i="30"/>
  <c r="M5" i="30"/>
  <c r="P4" i="30"/>
  <c r="S3" i="30"/>
  <c r="J13" i="30"/>
  <c r="T8" i="28"/>
  <c r="T3" i="32"/>
  <c r="T12" i="32"/>
  <c r="I13" i="30"/>
  <c r="M11" i="30"/>
  <c r="S9" i="30"/>
  <c r="F8" i="30"/>
  <c r="L6" i="30"/>
  <c r="R4" i="30"/>
  <c r="E3" i="30"/>
  <c r="T10" i="31"/>
  <c r="T4" i="31"/>
  <c r="L13" i="30"/>
  <c r="N12" i="30"/>
  <c r="P11" i="30"/>
  <c r="S10" i="30"/>
  <c r="C10" i="30"/>
  <c r="F9" i="30"/>
  <c r="I8" i="30"/>
  <c r="L7" i="30"/>
  <c r="O6" i="30"/>
  <c r="R5" i="30"/>
  <c r="S13" i="30"/>
  <c r="C13" i="30"/>
  <c r="E12" i="30"/>
  <c r="G11" i="30"/>
  <c r="J10" i="30"/>
  <c r="M9" i="30"/>
  <c r="P8" i="30"/>
  <c r="S7" i="30"/>
  <c r="C7" i="30"/>
  <c r="F6" i="30"/>
  <c r="I5" i="30"/>
  <c r="L4" i="30"/>
  <c r="T12" i="28"/>
  <c r="T10" i="28"/>
  <c r="T5" i="32"/>
  <c r="T7" i="31"/>
  <c r="E13" i="30"/>
  <c r="I11" i="30"/>
  <c r="O9" i="30"/>
  <c r="U7" i="30"/>
  <c r="H6" i="30"/>
  <c r="N4" i="30"/>
  <c r="T2" i="30"/>
  <c r="T12" i="31"/>
  <c r="T8" i="31"/>
  <c r="H13" i="30"/>
  <c r="J12" i="30"/>
  <c r="L11" i="30"/>
  <c r="O10" i="30"/>
  <c r="R9" i="30"/>
  <c r="U8" i="30"/>
  <c r="E8" i="30"/>
  <c r="H7" i="30"/>
  <c r="K6" i="30"/>
  <c r="N5" i="30"/>
  <c r="T5" i="31"/>
  <c r="O13" i="30"/>
  <c r="Q12" i="30"/>
  <c r="S11" i="30"/>
  <c r="C11" i="30"/>
  <c r="F10" i="30"/>
  <c r="I9" i="30"/>
  <c r="L8" i="30"/>
  <c r="O7" i="30"/>
  <c r="R6" i="30"/>
  <c r="U5" i="30"/>
  <c r="E5" i="30"/>
  <c r="H4" i="30"/>
  <c r="N11" i="30"/>
  <c r="G8" i="30"/>
  <c r="F5" i="30"/>
  <c r="N3" i="30"/>
  <c r="M2" i="30"/>
  <c r="D4" i="30"/>
  <c r="T9" i="30"/>
  <c r="P5" i="30"/>
  <c r="H3" i="30"/>
  <c r="E2" i="30"/>
  <c r="G13" i="29"/>
  <c r="I12" i="29"/>
  <c r="K11" i="29"/>
  <c r="N10" i="29"/>
  <c r="Q9" i="29"/>
  <c r="T8" i="29"/>
  <c r="D8" i="29"/>
  <c r="G7" i="29"/>
  <c r="J6" i="29"/>
  <c r="M5" i="29"/>
  <c r="P4" i="29"/>
  <c r="S3" i="29"/>
  <c r="C3" i="29"/>
  <c r="F2" i="29"/>
  <c r="K8" i="30"/>
  <c r="N2" i="30"/>
  <c r="T11" i="29"/>
  <c r="R9" i="29"/>
  <c r="H7" i="29"/>
  <c r="Q4" i="29"/>
  <c r="G2" i="29"/>
  <c r="F13" i="30"/>
  <c r="P9" i="30"/>
  <c r="I6" i="30"/>
  <c r="G4" i="30"/>
  <c r="U2" i="30"/>
  <c r="D2" i="30"/>
  <c r="F13" i="29"/>
  <c r="H12" i="29"/>
  <c r="J11" i="29"/>
  <c r="M10" i="29"/>
  <c r="P9" i="29"/>
  <c r="S8" i="29"/>
  <c r="C8" i="29"/>
  <c r="F7" i="29"/>
  <c r="I6" i="29"/>
  <c r="L5" i="29"/>
  <c r="O4" i="29"/>
  <c r="R3" i="29"/>
  <c r="U2" i="29"/>
  <c r="E2" i="29"/>
  <c r="H9" i="30"/>
  <c r="R2" i="30"/>
  <c r="F12" i="29"/>
  <c r="N9" i="29"/>
  <c r="D7" i="29"/>
  <c r="M4" i="29"/>
  <c r="T6" i="31"/>
  <c r="D12" i="30"/>
  <c r="O8" i="30"/>
  <c r="J5" i="30"/>
  <c r="P3" i="30"/>
  <c r="O2" i="30"/>
  <c r="Q13" i="29"/>
  <c r="S12" i="29"/>
  <c r="C12" i="29"/>
  <c r="E11" i="29"/>
  <c r="H10" i="29"/>
  <c r="K9" i="29"/>
  <c r="N8" i="29"/>
  <c r="Q7" i="29"/>
  <c r="T6" i="29"/>
  <c r="D6" i="29"/>
  <c r="G5" i="29"/>
  <c r="J4" i="29"/>
  <c r="M3" i="29"/>
  <c r="P2" i="29"/>
  <c r="E10" i="30"/>
  <c r="D3" i="30"/>
  <c r="J12" i="29"/>
  <c r="J9" i="29"/>
  <c r="S6" i="29"/>
  <c r="I4" i="29"/>
  <c r="C2" i="29"/>
  <c r="G13" i="26"/>
  <c r="I11" i="26"/>
  <c r="L10" i="26"/>
  <c r="O9" i="26"/>
  <c r="R8" i="26"/>
  <c r="U7" i="26"/>
  <c r="E7" i="26"/>
  <c r="H6" i="26"/>
  <c r="K5" i="26"/>
  <c r="N4" i="26"/>
  <c r="Q3" i="26"/>
  <c r="T2" i="26"/>
  <c r="D2" i="26"/>
  <c r="F12" i="26"/>
  <c r="M10" i="26"/>
  <c r="G8" i="26"/>
  <c r="T5" i="26"/>
  <c r="J3" i="26"/>
  <c r="R13" i="26"/>
  <c r="T11" i="26"/>
  <c r="D11" i="26"/>
  <c r="G10" i="26"/>
  <c r="J9" i="26"/>
  <c r="M8" i="26"/>
  <c r="P7" i="26"/>
  <c r="S6" i="26"/>
  <c r="C6" i="26"/>
  <c r="F5" i="26"/>
  <c r="I4" i="26"/>
  <c r="L3" i="26"/>
  <c r="O2" i="26"/>
  <c r="Q12" i="26"/>
  <c r="P13" i="26"/>
  <c r="E10" i="26"/>
  <c r="D9" i="30"/>
  <c r="Q4" i="30"/>
  <c r="C3" i="30"/>
  <c r="S13" i="29"/>
  <c r="C13" i="29"/>
  <c r="E12" i="29"/>
  <c r="G11" i="29"/>
  <c r="J10" i="29"/>
  <c r="M9" i="29"/>
  <c r="P8" i="29"/>
  <c r="S7" i="29"/>
  <c r="C7" i="29"/>
  <c r="F6" i="29"/>
  <c r="I5" i="29"/>
  <c r="L4" i="29"/>
  <c r="O3" i="29"/>
  <c r="R2" i="29"/>
  <c r="T3" i="28"/>
  <c r="T5" i="30"/>
  <c r="T13" i="29"/>
  <c r="L11" i="29"/>
  <c r="F9" i="29"/>
  <c r="O6" i="29"/>
  <c r="E4" i="29"/>
  <c r="H12" i="30"/>
  <c r="S8" i="30"/>
  <c r="L5" i="30"/>
  <c r="R3" i="30"/>
  <c r="P2" i="30"/>
  <c r="R13" i="29"/>
  <c r="T12" i="29"/>
  <c r="D12" i="29"/>
  <c r="F11" i="29"/>
  <c r="I10" i="29"/>
  <c r="L9" i="29"/>
  <c r="O8" i="29"/>
  <c r="R7" i="29"/>
  <c r="U6" i="29"/>
  <c r="E6" i="29"/>
  <c r="H5" i="29"/>
  <c r="K4" i="29"/>
  <c r="N3" i="29"/>
  <c r="Q2" i="29"/>
  <c r="Q6" i="30"/>
  <c r="F2" i="30"/>
  <c r="H11" i="29"/>
  <c r="U8" i="29"/>
  <c r="K6" i="29"/>
  <c r="T3" i="29"/>
  <c r="F11" i="30"/>
  <c r="R7" i="30"/>
  <c r="U4" i="30"/>
  <c r="K3" i="30"/>
  <c r="K2" i="30"/>
  <c r="M13" i="29"/>
  <c r="O12" i="29"/>
  <c r="Q11" i="29"/>
  <c r="T10" i="29"/>
  <c r="D10" i="29"/>
  <c r="G9" i="29"/>
  <c r="J8" i="29"/>
  <c r="M7" i="29"/>
  <c r="P6" i="29"/>
  <c r="S5" i="29"/>
  <c r="C5" i="29"/>
  <c r="F4" i="29"/>
  <c r="I3" i="29"/>
  <c r="L2" i="29"/>
  <c r="N7" i="30"/>
  <c r="J2" i="30"/>
  <c r="P11" i="29"/>
  <c r="Q8" i="29"/>
  <c r="G6" i="29"/>
  <c r="P3" i="29"/>
  <c r="S13" i="26"/>
  <c r="C13" i="26"/>
  <c r="E11" i="26"/>
  <c r="H10" i="26"/>
  <c r="K9" i="26"/>
  <c r="N8" i="26"/>
  <c r="Q7" i="26"/>
  <c r="T6" i="26"/>
  <c r="D6" i="26"/>
  <c r="G5" i="26"/>
  <c r="J4" i="26"/>
  <c r="M3" i="26"/>
  <c r="P2" i="26"/>
  <c r="R12" i="26"/>
  <c r="L13" i="26"/>
  <c r="T9" i="26"/>
  <c r="N7" i="26"/>
  <c r="H5" i="26"/>
  <c r="Q2" i="26"/>
  <c r="N13" i="26"/>
  <c r="P11" i="26"/>
  <c r="S10" i="26"/>
  <c r="C10" i="26"/>
  <c r="F9" i="26"/>
  <c r="I8" i="26"/>
  <c r="L7" i="26"/>
  <c r="O6" i="26"/>
  <c r="R5" i="26"/>
  <c r="U4" i="26"/>
  <c r="E4" i="26"/>
  <c r="H3" i="26"/>
  <c r="K2" i="26"/>
  <c r="M12" i="26"/>
  <c r="R11" i="26"/>
  <c r="H9" i="26"/>
  <c r="Q6" i="26"/>
  <c r="G4" i="26"/>
  <c r="O12" i="26"/>
  <c r="I13" i="26"/>
  <c r="K11" i="26"/>
  <c r="N10" i="26"/>
  <c r="Q9" i="26"/>
  <c r="T8" i="26"/>
  <c r="D8" i="26"/>
  <c r="G7" i="26"/>
  <c r="J6" i="26"/>
  <c r="M5" i="26"/>
  <c r="P4" i="26"/>
  <c r="S3" i="26"/>
  <c r="C3" i="26"/>
  <c r="F2" i="26"/>
  <c r="H12" i="26"/>
  <c r="J11" i="26"/>
  <c r="S8" i="26"/>
  <c r="I6" i="26"/>
  <c r="L12" i="30"/>
  <c r="Q10" i="30"/>
  <c r="M6" i="30"/>
  <c r="T3" i="30"/>
  <c r="I2" i="30"/>
  <c r="K13" i="29"/>
  <c r="M12" i="29"/>
  <c r="O11" i="29"/>
  <c r="R10" i="29"/>
  <c r="U9" i="29"/>
  <c r="E9" i="29"/>
  <c r="H8" i="29"/>
  <c r="K7" i="29"/>
  <c r="N6" i="29"/>
  <c r="Q5" i="29"/>
  <c r="T4" i="29"/>
  <c r="D4" i="29"/>
  <c r="G3" i="29"/>
  <c r="J2" i="29"/>
  <c r="U10" i="30"/>
  <c r="J3" i="30"/>
  <c r="N12" i="29"/>
  <c r="C10" i="29"/>
  <c r="T7" i="29"/>
  <c r="J5" i="29"/>
  <c r="S2" i="29"/>
  <c r="M10" i="30"/>
  <c r="F7" i="30"/>
  <c r="O4" i="30"/>
  <c r="G3" i="30"/>
  <c r="H2" i="30"/>
  <c r="J13" i="29"/>
  <c r="L12" i="29"/>
  <c r="N11" i="29"/>
  <c r="Q10" i="29"/>
  <c r="T9" i="29"/>
  <c r="D9" i="29"/>
  <c r="G8" i="29"/>
  <c r="J7" i="29"/>
  <c r="M6" i="29"/>
  <c r="P5" i="29"/>
  <c r="S4" i="29"/>
  <c r="C4" i="29"/>
  <c r="F3" i="29"/>
  <c r="I2" i="29"/>
  <c r="R11" i="30"/>
  <c r="O3" i="30"/>
  <c r="R12" i="29"/>
  <c r="G10" i="29"/>
  <c r="P7" i="29"/>
  <c r="F5" i="29"/>
  <c r="O2" i="29"/>
  <c r="T12" i="30"/>
  <c r="L9" i="30"/>
  <c r="E6" i="30"/>
  <c r="E4" i="30"/>
  <c r="S2" i="30"/>
  <c r="C2" i="30"/>
  <c r="E13" i="29"/>
  <c r="G12" i="29"/>
  <c r="I11" i="29"/>
  <c r="L10" i="29"/>
  <c r="O9" i="29"/>
  <c r="R8" i="29"/>
  <c r="U7" i="29"/>
  <c r="E7" i="29"/>
  <c r="H6" i="29"/>
  <c r="K5" i="29"/>
  <c r="N4" i="29"/>
  <c r="Q3" i="29"/>
  <c r="T2" i="29"/>
  <c r="D2" i="29"/>
  <c r="P12" i="30"/>
  <c r="C4" i="30"/>
  <c r="D13" i="29"/>
  <c r="K10" i="29"/>
  <c r="L7" i="29"/>
  <c r="U4" i="29"/>
  <c r="K2" i="29"/>
  <c r="K13" i="26"/>
  <c r="M11" i="26"/>
  <c r="P10" i="26"/>
  <c r="S9" i="26"/>
  <c r="C9" i="26"/>
  <c r="F8" i="26"/>
  <c r="I7" i="26"/>
  <c r="L6" i="26"/>
  <c r="O5" i="26"/>
  <c r="R4" i="26"/>
  <c r="U3" i="26"/>
  <c r="E3" i="26"/>
  <c r="H2" i="26"/>
  <c r="J12" i="26"/>
  <c r="F11" i="26"/>
  <c r="D9" i="26"/>
  <c r="M6" i="26"/>
  <c r="C4" i="26"/>
  <c r="C12" i="26"/>
  <c r="F13" i="26"/>
  <c r="H11" i="26"/>
  <c r="K10" i="26"/>
  <c r="N9" i="26"/>
  <c r="Q8" i="26"/>
  <c r="T7" i="26"/>
  <c r="D7" i="26"/>
  <c r="G6" i="26"/>
  <c r="J5" i="26"/>
  <c r="M4" i="26"/>
  <c r="P3" i="26"/>
  <c r="S2" i="26"/>
  <c r="C2" i="26"/>
  <c r="E12" i="26"/>
  <c r="Q10" i="26"/>
  <c r="C8" i="26"/>
  <c r="P5" i="26"/>
  <c r="U2" i="26"/>
  <c r="Q13" i="26"/>
  <c r="S11" i="26"/>
  <c r="C11" i="26"/>
  <c r="F10" i="26"/>
  <c r="I9" i="26"/>
  <c r="L8" i="26"/>
  <c r="O7" i="26"/>
  <c r="R6" i="26"/>
  <c r="U5" i="26"/>
  <c r="E5" i="26"/>
  <c r="H4" i="26"/>
  <c r="K3" i="26"/>
  <c r="N2" i="26"/>
  <c r="P12" i="26"/>
  <c r="T13" i="26"/>
  <c r="I10" i="26"/>
  <c r="R7" i="26"/>
  <c r="S4" i="26"/>
  <c r="M2" i="26"/>
  <c r="S13" i="3"/>
  <c r="O13" i="3"/>
  <c r="K13" i="3"/>
  <c r="G13" i="3"/>
  <c r="J7" i="30"/>
  <c r="Q12" i="29"/>
  <c r="I9" i="29"/>
  <c r="U5" i="29"/>
  <c r="N2" i="29"/>
  <c r="H13" i="29"/>
  <c r="L3" i="29"/>
  <c r="D5" i="30"/>
  <c r="P12" i="29"/>
  <c r="H9" i="29"/>
  <c r="T5" i="29"/>
  <c r="M2" i="29"/>
  <c r="L13" i="29"/>
  <c r="H3" i="29"/>
  <c r="M4" i="30"/>
  <c r="K12" i="29"/>
  <c r="C9" i="29"/>
  <c r="O5" i="29"/>
  <c r="H2" i="29"/>
  <c r="P13" i="29"/>
  <c r="D3" i="29"/>
  <c r="D10" i="26"/>
  <c r="P6" i="26"/>
  <c r="I3" i="26"/>
  <c r="P9" i="26"/>
  <c r="J13" i="26"/>
  <c r="U8" i="26"/>
  <c r="N5" i="26"/>
  <c r="G2" i="26"/>
  <c r="J7" i="26"/>
  <c r="I2" i="26"/>
  <c r="O11" i="26"/>
  <c r="U9" i="26"/>
  <c r="H8" i="26"/>
  <c r="N6" i="26"/>
  <c r="T4" i="26"/>
  <c r="G3" i="26"/>
  <c r="L12" i="26"/>
  <c r="L9" i="26"/>
  <c r="K4" i="26"/>
  <c r="G12" i="26"/>
  <c r="P13" i="3"/>
  <c r="J13" i="3"/>
  <c r="E13" i="3"/>
  <c r="S11" i="3"/>
  <c r="O11" i="3"/>
  <c r="K11" i="3"/>
  <c r="G11" i="3"/>
  <c r="C11" i="3"/>
  <c r="R10" i="3"/>
  <c r="N10" i="3"/>
  <c r="J10" i="3"/>
  <c r="F10" i="3"/>
  <c r="T9" i="3"/>
  <c r="P9" i="3"/>
  <c r="L9" i="3"/>
  <c r="H9" i="3"/>
  <c r="D9" i="3"/>
  <c r="R8" i="3"/>
  <c r="N8" i="3"/>
  <c r="J8" i="3"/>
  <c r="F8" i="3"/>
  <c r="T7" i="3"/>
  <c r="P7" i="3"/>
  <c r="L7" i="3"/>
  <c r="H7" i="3"/>
  <c r="D7" i="3"/>
  <c r="R6" i="3"/>
  <c r="N6" i="3"/>
  <c r="J6" i="3"/>
  <c r="F6" i="3"/>
  <c r="T5" i="3"/>
  <c r="P5" i="3"/>
  <c r="L5" i="3"/>
  <c r="H5" i="3"/>
  <c r="D5" i="3"/>
  <c r="R4" i="3"/>
  <c r="N4" i="3"/>
  <c r="J4" i="3"/>
  <c r="F4" i="3"/>
  <c r="T3" i="3"/>
  <c r="P3" i="3"/>
  <c r="L3" i="3"/>
  <c r="H3" i="3"/>
  <c r="D3" i="3"/>
  <c r="R2" i="3"/>
  <c r="N2" i="3"/>
  <c r="J2" i="3"/>
  <c r="Q12" i="3"/>
  <c r="M12" i="3"/>
  <c r="I12" i="3"/>
  <c r="E12" i="3"/>
  <c r="C6" i="3"/>
  <c r="C8" i="3"/>
  <c r="E2" i="3"/>
  <c r="I4" i="30"/>
  <c r="S11" i="29"/>
  <c r="L8" i="29"/>
  <c r="E5" i="29"/>
  <c r="S10" i="29"/>
  <c r="T2" i="31"/>
  <c r="L3" i="30"/>
  <c r="R11" i="29"/>
  <c r="K8" i="29"/>
  <c r="D5" i="29"/>
  <c r="O10" i="29"/>
  <c r="R13" i="30"/>
  <c r="F3" i="30"/>
  <c r="M11" i="29"/>
  <c r="F8" i="29"/>
  <c r="R4" i="29"/>
  <c r="D11" i="29"/>
  <c r="O13" i="26"/>
  <c r="G9" i="26"/>
  <c r="S5" i="26"/>
  <c r="L2" i="26"/>
  <c r="F7" i="26"/>
  <c r="L11" i="26"/>
  <c r="E8" i="26"/>
  <c r="Q4" i="26"/>
  <c r="I12" i="26"/>
  <c r="E6" i="26"/>
  <c r="K12" i="26"/>
  <c r="G11" i="26"/>
  <c r="M9" i="26"/>
  <c r="S7" i="26"/>
  <c r="F6" i="26"/>
  <c r="L4" i="26"/>
  <c r="R2" i="26"/>
  <c r="D12" i="26"/>
  <c r="K8" i="26"/>
  <c r="R3" i="26"/>
  <c r="T13" i="3"/>
  <c r="N13" i="3"/>
  <c r="I13" i="3"/>
  <c r="D13" i="3"/>
  <c r="R11" i="3"/>
  <c r="N11" i="3"/>
  <c r="J11" i="3"/>
  <c r="F11" i="3"/>
  <c r="U10" i="3"/>
  <c r="Q10" i="3"/>
  <c r="M10" i="3"/>
  <c r="I10" i="3"/>
  <c r="E10" i="3"/>
  <c r="S9" i="3"/>
  <c r="O9" i="3"/>
  <c r="K9" i="3"/>
  <c r="G9" i="3"/>
  <c r="U8" i="3"/>
  <c r="Q8" i="3"/>
  <c r="M8" i="3"/>
  <c r="I8" i="3"/>
  <c r="E8" i="3"/>
  <c r="S7" i="3"/>
  <c r="O7" i="3"/>
  <c r="K7" i="3"/>
  <c r="G7" i="3"/>
  <c r="U6" i="3"/>
  <c r="Q6" i="3"/>
  <c r="M6" i="3"/>
  <c r="I6" i="3"/>
  <c r="E6" i="3"/>
  <c r="S5" i="3"/>
  <c r="O5" i="3"/>
  <c r="K5" i="3"/>
  <c r="G5" i="3"/>
  <c r="U4" i="3"/>
  <c r="Q4" i="3"/>
  <c r="M4" i="3"/>
  <c r="I4" i="3"/>
  <c r="E4" i="3"/>
  <c r="S3" i="3"/>
  <c r="O3" i="3"/>
  <c r="K3" i="3"/>
  <c r="G3" i="3"/>
  <c r="U2" i="3"/>
  <c r="Q2" i="3"/>
  <c r="M2" i="3"/>
  <c r="T12" i="3"/>
  <c r="P12" i="3"/>
  <c r="L12" i="3"/>
  <c r="H12" i="3"/>
  <c r="D12" i="3"/>
  <c r="C3" i="3"/>
  <c r="C4" i="3"/>
  <c r="F2" i="3"/>
  <c r="C2" i="3"/>
  <c r="F10" i="29"/>
  <c r="K3" i="29"/>
  <c r="C6" i="29"/>
  <c r="C8" i="30"/>
  <c r="E10" i="29"/>
  <c r="J3" i="29"/>
  <c r="R5" i="29"/>
  <c r="U6" i="30"/>
  <c r="S9" i="29"/>
  <c r="H5" i="30"/>
  <c r="T10" i="26"/>
  <c r="F4" i="26"/>
  <c r="E2" i="26"/>
  <c r="K6" i="26"/>
  <c r="N3" i="26"/>
  <c r="J10" i="26"/>
  <c r="C7" i="26"/>
  <c r="O3" i="26"/>
  <c r="U10" i="26"/>
  <c r="S12" i="26"/>
  <c r="L13" i="3"/>
  <c r="P11" i="3"/>
  <c r="H11" i="3"/>
  <c r="S10" i="3"/>
  <c r="K10" i="3"/>
  <c r="U9" i="3"/>
  <c r="M9" i="3"/>
  <c r="Q2" i="30"/>
  <c r="C11" i="29"/>
  <c r="O7" i="29"/>
  <c r="H4" i="29"/>
  <c r="M8" i="29"/>
  <c r="J11" i="30"/>
  <c r="L2" i="30"/>
  <c r="U10" i="29"/>
  <c r="N7" i="29"/>
  <c r="G4" i="29"/>
  <c r="N13" i="30"/>
  <c r="I8" i="29"/>
  <c r="I10" i="30"/>
  <c r="G2" i="30"/>
  <c r="P10" i="29"/>
  <c r="I7" i="29"/>
  <c r="U3" i="29"/>
  <c r="E8" i="29"/>
  <c r="Q11" i="26"/>
  <c r="J8" i="26"/>
  <c r="C5" i="26"/>
  <c r="N12" i="26"/>
  <c r="O4" i="26"/>
  <c r="O10" i="26"/>
  <c r="H7" i="26"/>
  <c r="T3" i="26"/>
  <c r="N11" i="26"/>
  <c r="D5" i="26"/>
  <c r="M13" i="26"/>
  <c r="R10" i="26"/>
  <c r="E9" i="26"/>
  <c r="K7" i="26"/>
  <c r="Q5" i="26"/>
  <c r="D4" i="26"/>
  <c r="J2" i="26"/>
  <c r="D13" i="26"/>
  <c r="U6" i="26"/>
  <c r="F3" i="26"/>
  <c r="R13" i="3"/>
  <c r="M13" i="3"/>
  <c r="H13" i="3"/>
  <c r="C13" i="3"/>
  <c r="Q11" i="3"/>
  <c r="M11" i="3"/>
  <c r="I11" i="3"/>
  <c r="E11" i="3"/>
  <c r="T10" i="3"/>
  <c r="P10" i="3"/>
  <c r="L10" i="3"/>
  <c r="H10" i="3"/>
  <c r="D10" i="3"/>
  <c r="R9" i="3"/>
  <c r="N9" i="3"/>
  <c r="J9" i="3"/>
  <c r="F9" i="3"/>
  <c r="T8" i="3"/>
  <c r="P8" i="3"/>
  <c r="L8" i="3"/>
  <c r="H8" i="3"/>
  <c r="D8" i="3"/>
  <c r="R7" i="3"/>
  <c r="N7" i="3"/>
  <c r="J7" i="3"/>
  <c r="F7" i="3"/>
  <c r="T6" i="3"/>
  <c r="P6" i="3"/>
  <c r="L6" i="3"/>
  <c r="H6" i="3"/>
  <c r="D6" i="3"/>
  <c r="R5" i="3"/>
  <c r="N5" i="3"/>
  <c r="J5" i="3"/>
  <c r="F5" i="3"/>
  <c r="T4" i="3"/>
  <c r="P4" i="3"/>
  <c r="L4" i="3"/>
  <c r="H4" i="3"/>
  <c r="D4" i="3"/>
  <c r="R3" i="3"/>
  <c r="N3" i="3"/>
  <c r="J3" i="3"/>
  <c r="F3" i="3"/>
  <c r="T2" i="3"/>
  <c r="P2" i="3"/>
  <c r="L2" i="3"/>
  <c r="S12" i="3"/>
  <c r="O12" i="3"/>
  <c r="K12" i="3"/>
  <c r="G12" i="3"/>
  <c r="C12" i="3"/>
  <c r="C9" i="3"/>
  <c r="C7" i="3"/>
  <c r="H2" i="3"/>
  <c r="O13" i="29"/>
  <c r="R6" i="29"/>
  <c r="K4" i="30"/>
  <c r="N13" i="29"/>
  <c r="Q6" i="29"/>
  <c r="S4" i="30"/>
  <c r="I13" i="29"/>
  <c r="L6" i="29"/>
  <c r="E3" i="29"/>
  <c r="N5" i="29"/>
  <c r="M7" i="26"/>
  <c r="H13" i="26"/>
  <c r="R9" i="26"/>
  <c r="D3" i="26"/>
  <c r="O8" i="26"/>
  <c r="E13" i="26"/>
  <c r="P8" i="26"/>
  <c r="I5" i="26"/>
  <c r="T12" i="26"/>
  <c r="L5" i="26"/>
  <c r="Q13" i="3"/>
  <c r="F13" i="3"/>
  <c r="T11" i="3"/>
  <c r="L11" i="3"/>
  <c r="D11" i="3"/>
  <c r="O10" i="3"/>
  <c r="G10" i="3"/>
  <c r="Q9" i="3"/>
  <c r="I9" i="3"/>
  <c r="K8" i="3"/>
  <c r="M7" i="3"/>
  <c r="O6" i="3"/>
  <c r="Q5" i="3"/>
  <c r="S4" i="3"/>
  <c r="U3" i="3"/>
  <c r="E3" i="3"/>
  <c r="R12" i="3"/>
  <c r="C10" i="3"/>
  <c r="G2" i="3"/>
  <c r="N12" i="3"/>
  <c r="E5" i="3"/>
  <c r="K2" i="3"/>
  <c r="E9" i="3"/>
  <c r="G8" i="3"/>
  <c r="I7" i="3"/>
  <c r="K6" i="3"/>
  <c r="M5" i="3"/>
  <c r="O4" i="3"/>
  <c r="Q3" i="3"/>
  <c r="S2" i="3"/>
  <c r="C5" i="3"/>
  <c r="G4" i="3"/>
  <c r="F12" i="3"/>
  <c r="S8" i="3"/>
  <c r="U7" i="3"/>
  <c r="E7" i="3"/>
  <c r="G6" i="3"/>
  <c r="I5" i="3"/>
  <c r="K4" i="3"/>
  <c r="M3" i="3"/>
  <c r="O2" i="3"/>
  <c r="J12" i="3"/>
  <c r="I2" i="3"/>
  <c r="O8" i="3"/>
  <c r="Q7" i="3"/>
  <c r="S6" i="3"/>
  <c r="U5" i="3"/>
  <c r="I3" i="3"/>
  <c r="D2" i="3"/>
  <c r="R10" i="28"/>
  <c r="K7" i="28"/>
  <c r="D4" i="28"/>
  <c r="N12" i="32"/>
  <c r="F9" i="32"/>
  <c r="R5" i="32"/>
  <c r="K2" i="32"/>
  <c r="J13" i="28"/>
  <c r="M6" i="28"/>
  <c r="F3" i="28"/>
  <c r="O11" i="32"/>
  <c r="H8" i="32"/>
  <c r="L13" i="31"/>
  <c r="E13" i="28"/>
  <c r="O9" i="28"/>
  <c r="H6" i="28"/>
  <c r="J11" i="32"/>
  <c r="C8" i="32"/>
  <c r="O4" i="32"/>
  <c r="G13" i="31"/>
  <c r="K10" i="28"/>
  <c r="R8" i="32"/>
  <c r="C10" i="31"/>
  <c r="O6" i="31"/>
  <c r="H3" i="31"/>
  <c r="G13" i="28"/>
  <c r="C11" i="28"/>
  <c r="O7" i="28"/>
  <c r="H4" i="28"/>
  <c r="R12" i="32"/>
  <c r="J9" i="32"/>
  <c r="C6" i="32"/>
  <c r="O2" i="32"/>
  <c r="N13" i="28"/>
  <c r="E10" i="28"/>
  <c r="Q6" i="28"/>
  <c r="J3" i="28"/>
  <c r="S11" i="32"/>
  <c r="L8" i="32"/>
  <c r="E5" i="32"/>
  <c r="P13" i="31"/>
  <c r="I13" i="28"/>
  <c r="S9" i="28"/>
  <c r="L6" i="28"/>
  <c r="E3" i="28"/>
  <c r="N11" i="32"/>
  <c r="G8" i="32"/>
  <c r="S4" i="32"/>
  <c r="K13" i="31"/>
  <c r="H11" i="28"/>
  <c r="O9" i="32"/>
  <c r="G10" i="31"/>
  <c r="S6" i="31"/>
  <c r="L3" i="31"/>
  <c r="S13" i="28"/>
  <c r="J6" i="28"/>
  <c r="L11" i="32"/>
  <c r="Q4" i="32"/>
  <c r="H12" i="28"/>
  <c r="L5" i="28"/>
  <c r="N10" i="32"/>
  <c r="S3" i="32"/>
  <c r="C12" i="28"/>
  <c r="G5" i="28"/>
  <c r="I10" i="32"/>
  <c r="N3" i="32"/>
  <c r="G6" i="28"/>
  <c r="U8" i="31"/>
  <c r="G2" i="31"/>
  <c r="M8" i="28"/>
  <c r="M9" i="31"/>
  <c r="F6" i="31"/>
  <c r="R2" i="31"/>
  <c r="C10" i="28"/>
  <c r="J8" i="32"/>
  <c r="M6" i="31"/>
  <c r="F3" i="31"/>
  <c r="S7" i="28"/>
  <c r="D13" i="32"/>
  <c r="G6" i="32"/>
  <c r="R13" i="28"/>
  <c r="U6" i="28"/>
  <c r="E12" i="32"/>
  <c r="I5" i="32"/>
  <c r="M13" i="28"/>
  <c r="P6" i="28"/>
  <c r="R11" i="32"/>
  <c r="D5" i="32"/>
  <c r="F12" i="28"/>
  <c r="K10" i="31"/>
  <c r="P3" i="31"/>
  <c r="D11" i="28"/>
  <c r="K9" i="32"/>
  <c r="F10" i="31"/>
  <c r="R6" i="31"/>
  <c r="K3" i="31"/>
  <c r="N12" i="28"/>
  <c r="M10" i="31"/>
  <c r="F7" i="31"/>
  <c r="R3" i="31"/>
  <c r="J13" i="31"/>
  <c r="I12" i="28"/>
  <c r="M5" i="28"/>
  <c r="O10" i="32"/>
  <c r="J11" i="28"/>
  <c r="O4" i="28"/>
  <c r="Q9" i="32"/>
  <c r="C3" i="32"/>
  <c r="E11" i="28"/>
  <c r="J4" i="28"/>
  <c r="L9" i="32"/>
  <c r="Q2" i="32"/>
  <c r="S2" i="28"/>
  <c r="E8" i="31"/>
  <c r="S6" i="28"/>
  <c r="G5" i="32"/>
  <c r="E9" i="31"/>
  <c r="Q5" i="31"/>
  <c r="J2" i="31"/>
  <c r="I8" i="28"/>
  <c r="P6" i="32"/>
  <c r="L9" i="31"/>
  <c r="E6" i="31"/>
  <c r="Q2" i="31"/>
  <c r="P8" i="28"/>
  <c r="T13" i="32"/>
  <c r="D7" i="32"/>
  <c r="K13" i="28"/>
  <c r="M12" i="28"/>
  <c r="E9" i="28"/>
  <c r="Q5" i="28"/>
  <c r="J2" i="28"/>
  <c r="S10" i="32"/>
  <c r="L7" i="32"/>
  <c r="E4" i="32"/>
  <c r="O12" i="31"/>
  <c r="N11" i="28"/>
  <c r="G8" i="28"/>
  <c r="S4" i="28"/>
  <c r="K13" i="32"/>
  <c r="U9" i="32"/>
  <c r="N6" i="32"/>
  <c r="G3" i="32"/>
  <c r="P11" i="31"/>
  <c r="I11" i="28"/>
  <c r="U7" i="28"/>
  <c r="N4" i="28"/>
  <c r="F13" i="32"/>
  <c r="P9" i="32"/>
  <c r="I6" i="32"/>
  <c r="U2" i="32"/>
  <c r="K11" i="31"/>
  <c r="P3" i="28"/>
  <c r="D2" i="32"/>
  <c r="I8" i="31"/>
  <c r="U4" i="31"/>
  <c r="Q12" i="28"/>
  <c r="I9" i="28"/>
  <c r="U5" i="28"/>
  <c r="N2" i="28"/>
  <c r="D11" i="32"/>
  <c r="P7" i="32"/>
  <c r="I4" i="32"/>
  <c r="S12" i="31"/>
  <c r="R11" i="28"/>
  <c r="K8" i="28"/>
  <c r="D5" i="28"/>
  <c r="O13" i="32"/>
  <c r="F10" i="32"/>
  <c r="R6" i="32"/>
  <c r="K3" i="32"/>
  <c r="M11" i="28"/>
  <c r="F8" i="28"/>
  <c r="R4" i="28"/>
  <c r="J13" i="32"/>
  <c r="M6" i="32"/>
  <c r="F3" i="32"/>
  <c r="O11" i="31"/>
  <c r="M4" i="28"/>
  <c r="M8" i="31"/>
  <c r="F5" i="31"/>
  <c r="Q9" i="28"/>
  <c r="C3" i="28"/>
  <c r="E8" i="32"/>
  <c r="I13" i="31"/>
  <c r="S8" i="28"/>
  <c r="E2" i="28"/>
  <c r="G7" i="32"/>
  <c r="J12" i="31"/>
  <c r="N8" i="28"/>
  <c r="R13" i="32"/>
  <c r="U6" i="32"/>
  <c r="E12" i="31"/>
  <c r="N4" i="32"/>
  <c r="N5" i="31"/>
  <c r="Q13" i="32"/>
  <c r="D12" i="31"/>
  <c r="S7" i="31"/>
  <c r="L4" i="31"/>
  <c r="H3" i="28"/>
  <c r="N13" i="31"/>
  <c r="G8" i="31"/>
  <c r="S4" i="31"/>
  <c r="G11" i="28"/>
  <c r="L4" i="28"/>
  <c r="N9" i="32"/>
  <c r="S2" i="32"/>
  <c r="I10" i="28"/>
  <c r="N3" i="28"/>
  <c r="P8" i="32"/>
  <c r="T13" i="31"/>
  <c r="D10" i="28"/>
  <c r="I3" i="28"/>
  <c r="K8" i="32"/>
  <c r="O13" i="31"/>
  <c r="L10" i="32"/>
  <c r="D7" i="31"/>
  <c r="I4" i="28"/>
  <c r="P2" i="32"/>
  <c r="L8" i="31"/>
  <c r="E5" i="31"/>
  <c r="R5" i="28"/>
  <c r="F4" i="32"/>
  <c r="S8" i="31"/>
  <c r="L5" i="31"/>
  <c r="E2" i="31"/>
  <c r="R4" i="31"/>
  <c r="F2" i="28"/>
  <c r="H7" i="32"/>
  <c r="K12" i="31"/>
  <c r="C8" i="28"/>
  <c r="G13" i="32"/>
  <c r="J6" i="32"/>
  <c r="L11" i="31"/>
  <c r="Q7" i="28"/>
  <c r="E6" i="32"/>
  <c r="G11" i="31"/>
  <c r="F13" i="31"/>
  <c r="Q4" i="31"/>
  <c r="C12" i="32"/>
  <c r="K7" i="31"/>
  <c r="D4" i="31"/>
  <c r="M13" i="32"/>
  <c r="R11" i="31"/>
  <c r="R7" i="31"/>
  <c r="K4" i="31"/>
  <c r="E12" i="28"/>
  <c r="I5" i="28"/>
  <c r="K10" i="32"/>
  <c r="P3" i="32"/>
  <c r="F11" i="28"/>
  <c r="O11" i="28"/>
  <c r="H8" i="28"/>
  <c r="L13" i="32"/>
  <c r="C10" i="32"/>
  <c r="O6" i="32"/>
  <c r="H3" i="32"/>
  <c r="Q11" i="31"/>
  <c r="Q10" i="28"/>
  <c r="J7" i="28"/>
  <c r="C4" i="28"/>
  <c r="M12" i="32"/>
  <c r="E9" i="32"/>
  <c r="Q5" i="32"/>
  <c r="J2" i="32"/>
  <c r="S10" i="31"/>
  <c r="L10" i="28"/>
  <c r="E7" i="28"/>
  <c r="Q3" i="28"/>
  <c r="H12" i="32"/>
  <c r="S8" i="32"/>
  <c r="L5" i="32"/>
  <c r="E2" i="32"/>
  <c r="T13" i="28"/>
  <c r="G12" i="32"/>
  <c r="U10" i="31"/>
  <c r="L7" i="31"/>
  <c r="E4" i="31"/>
  <c r="R12" i="28"/>
  <c r="S11" i="28"/>
  <c r="L8" i="28"/>
  <c r="E5" i="28"/>
  <c r="P13" i="32"/>
  <c r="G10" i="32"/>
  <c r="S6" i="32"/>
  <c r="L3" i="32"/>
  <c r="C12" i="31"/>
  <c r="U10" i="28"/>
  <c r="N7" i="28"/>
  <c r="G4" i="28"/>
  <c r="Q12" i="32"/>
  <c r="I9" i="32"/>
  <c r="U5" i="32"/>
  <c r="N2" i="32"/>
  <c r="D11" i="31"/>
  <c r="P10" i="28"/>
  <c r="I7" i="28"/>
  <c r="U3" i="28"/>
  <c r="L12" i="32"/>
  <c r="D9" i="32"/>
  <c r="P5" i="32"/>
  <c r="I2" i="32"/>
  <c r="R10" i="31"/>
  <c r="E13" i="32"/>
  <c r="J11" i="31"/>
  <c r="P7" i="31"/>
  <c r="I4" i="31"/>
  <c r="P13" i="28"/>
  <c r="D8" i="28"/>
  <c r="H13" i="32"/>
  <c r="K6" i="32"/>
  <c r="M11" i="31"/>
  <c r="F7" i="28"/>
  <c r="I12" i="32"/>
  <c r="M5" i="32"/>
  <c r="Q13" i="28"/>
  <c r="D12" i="32"/>
  <c r="H5" i="32"/>
  <c r="D13" i="28"/>
  <c r="O10" i="31"/>
  <c r="H10" i="32"/>
  <c r="J10" i="31"/>
  <c r="C7" i="31"/>
  <c r="O3" i="31"/>
  <c r="L13" i="28"/>
  <c r="Q11" i="32"/>
  <c r="Q10" i="31"/>
  <c r="J7" i="31"/>
  <c r="C4" i="31"/>
  <c r="M9" i="28"/>
  <c r="R2" i="28"/>
  <c r="E13" i="31"/>
  <c r="O8" i="28"/>
  <c r="S13" i="32"/>
  <c r="C7" i="32"/>
  <c r="F12" i="31"/>
  <c r="J8" i="28"/>
  <c r="N13" i="32"/>
  <c r="Q6" i="32"/>
  <c r="S11" i="31"/>
  <c r="Q3" i="32"/>
  <c r="J5" i="31"/>
  <c r="S12" i="32"/>
  <c r="I11" i="31"/>
  <c r="O7" i="31"/>
  <c r="H4" i="31"/>
  <c r="K2" i="28"/>
  <c r="P12" i="31"/>
  <c r="C8" i="31"/>
  <c r="O4" i="31"/>
  <c r="D3" i="28"/>
  <c r="G7" i="28"/>
  <c r="J12" i="32"/>
  <c r="N5" i="32"/>
  <c r="F13" i="28"/>
  <c r="I6" i="28"/>
  <c r="K11" i="32"/>
  <c r="P4" i="32"/>
  <c r="S12" i="28"/>
  <c r="D6" i="28"/>
  <c r="F11" i="32"/>
  <c r="K4" i="32"/>
  <c r="N9" i="28"/>
  <c r="R9" i="31"/>
  <c r="D3" i="31"/>
  <c r="G10" i="28"/>
  <c r="N8" i="32"/>
  <c r="U9" i="31"/>
  <c r="N6" i="31"/>
  <c r="G3" i="31"/>
  <c r="P11" i="28"/>
  <c r="D10" i="32"/>
  <c r="I10" i="31"/>
  <c r="U6" i="31"/>
  <c r="U9" i="28"/>
  <c r="P11" i="32"/>
  <c r="L12" i="28"/>
  <c r="I2" i="28"/>
  <c r="D4" i="32"/>
  <c r="K5" i="28"/>
  <c r="F7" i="32"/>
  <c r="K5" i="32"/>
  <c r="K3" i="28"/>
  <c r="Q13" i="31"/>
  <c r="M2" i="28"/>
  <c r="R12" i="31"/>
  <c r="O5" i="28"/>
  <c r="J7" i="32"/>
  <c r="H6" i="32"/>
  <c r="O2" i="31"/>
  <c r="R9" i="32"/>
  <c r="M3" i="28"/>
  <c r="H7" i="31"/>
  <c r="P8" i="31"/>
  <c r="O6" i="28"/>
  <c r="P5" i="31"/>
  <c r="J10" i="32"/>
  <c r="E10" i="32"/>
  <c r="C2" i="31"/>
  <c r="D6" i="32"/>
  <c r="M7" i="32"/>
  <c r="F8" i="31"/>
  <c r="S3" i="28"/>
  <c r="P9" i="28"/>
  <c r="K9" i="28"/>
  <c r="C13" i="31"/>
  <c r="H5" i="31"/>
  <c r="C7" i="28"/>
  <c r="J5" i="32"/>
  <c r="L9" i="28"/>
  <c r="Q2" i="28"/>
  <c r="S7" i="32"/>
  <c r="D13" i="31"/>
  <c r="G9" i="28"/>
  <c r="L2" i="28"/>
  <c r="N7" i="32"/>
  <c r="Q12" i="31"/>
  <c r="E7" i="32"/>
  <c r="G6" i="31"/>
  <c r="O2" i="28"/>
  <c r="D8" i="31"/>
  <c r="P4" i="31"/>
  <c r="E4" i="28"/>
  <c r="L2" i="32"/>
  <c r="K8" i="31"/>
  <c r="D5" i="31"/>
  <c r="R9" i="28"/>
  <c r="E3" i="31"/>
  <c r="U3" i="31"/>
  <c r="L12" i="31"/>
  <c r="H10" i="31"/>
  <c r="E7" i="31"/>
  <c r="D6" i="31"/>
  <c r="M11" i="32"/>
  <c r="O5" i="31"/>
  <c r="U3" i="32"/>
  <c r="N11" i="31"/>
  <c r="H2" i="32"/>
  <c r="O5" i="32"/>
  <c r="C9" i="32"/>
  <c r="L2" i="31"/>
  <c r="O9" i="31"/>
  <c r="M13" i="31"/>
  <c r="C9" i="28"/>
  <c r="P4" i="28"/>
  <c r="I11" i="32"/>
  <c r="D9" i="31"/>
  <c r="C5" i="28"/>
  <c r="N2" i="31"/>
  <c r="H13" i="31"/>
  <c r="R13" i="31"/>
  <c r="J10" i="28"/>
  <c r="M9" i="32"/>
  <c r="M2" i="32"/>
  <c r="C6" i="28"/>
  <c r="F2" i="31"/>
  <c r="H9" i="31"/>
  <c r="L6" i="31"/>
  <c r="P6" i="31"/>
  <c r="K9" i="31"/>
  <c r="R4" i="32"/>
  <c r="D2" i="31"/>
  <c r="I13" i="32"/>
  <c r="I7" i="32"/>
  <c r="N6" i="28"/>
  <c r="I8" i="32"/>
  <c r="R10" i="32"/>
  <c r="N12" i="31"/>
  <c r="R3" i="32"/>
  <c r="F9" i="31"/>
  <c r="O13" i="28"/>
  <c r="P12" i="28"/>
  <c r="C11" i="32"/>
  <c r="H2" i="28"/>
  <c r="C4" i="32"/>
  <c r="D3" i="32"/>
  <c r="F2" i="32"/>
  <c r="O8" i="32"/>
  <c r="F5" i="28"/>
  <c r="I5" i="31"/>
  <c r="C5" i="32"/>
  <c r="I2" i="31"/>
  <c r="C13" i="28"/>
  <c r="M4" i="32"/>
  <c r="O3" i="32"/>
  <c r="J3" i="32"/>
  <c r="I9" i="31"/>
  <c r="P9" i="31"/>
  <c r="U8" i="32"/>
  <c r="U2" i="28"/>
  <c r="P2" i="28"/>
  <c r="U7" i="32"/>
  <c r="H8" i="31"/>
  <c r="U4" i="28"/>
  <c r="N3" i="31"/>
  <c r="O3" i="28"/>
  <c r="C2" i="32"/>
  <c r="R7" i="28"/>
  <c r="C13" i="32"/>
  <c r="F6" i="32"/>
  <c r="H11" i="31"/>
  <c r="M7" i="28"/>
  <c r="P12" i="32"/>
  <c r="C11" i="31"/>
  <c r="H12" i="31"/>
  <c r="M4" i="31"/>
  <c r="E11" i="32"/>
  <c r="N10" i="31"/>
  <c r="G7" i="31"/>
  <c r="S3" i="31"/>
  <c r="O12" i="32"/>
  <c r="F11" i="31"/>
  <c r="N7" i="31"/>
  <c r="G4" i="31"/>
  <c r="F8" i="32"/>
  <c r="U7" i="31"/>
  <c r="K6" i="28"/>
  <c r="J12" i="28"/>
  <c r="Q3" i="31"/>
  <c r="H7" i="28"/>
  <c r="E8" i="28"/>
  <c r="P2" i="31"/>
  <c r="K12" i="32"/>
  <c r="I7" i="31"/>
  <c r="R8" i="31"/>
  <c r="Q7" i="31"/>
  <c r="I3" i="31"/>
  <c r="N8" i="31"/>
  <c r="P5" i="28"/>
  <c r="H5" i="28"/>
  <c r="U2" i="31"/>
  <c r="R7" i="32"/>
  <c r="K4" i="28"/>
  <c r="F4" i="28"/>
  <c r="C2" i="28"/>
  <c r="M5" i="31"/>
  <c r="S5" i="32"/>
  <c r="M7" i="31"/>
  <c r="S9" i="32"/>
  <c r="H2" i="31"/>
  <c r="N5" i="28"/>
  <c r="U4" i="32"/>
  <c r="D9" i="28"/>
  <c r="K7" i="32"/>
  <c r="G12" i="28"/>
  <c r="D2" i="28"/>
  <c r="I12" i="31"/>
  <c r="R5" i="31"/>
  <c r="F10" i="28"/>
  <c r="M8" i="32"/>
  <c r="H9" i="28"/>
  <c r="O7" i="32"/>
  <c r="K12" i="28"/>
  <c r="Q10" i="32"/>
  <c r="M12" i="31"/>
  <c r="J9" i="31"/>
  <c r="K11" i="28"/>
  <c r="M10" i="28"/>
  <c r="H10" i="28"/>
  <c r="S13" i="31"/>
  <c r="F6" i="28"/>
  <c r="D12" i="28"/>
  <c r="Q11" i="28"/>
  <c r="J5" i="28"/>
  <c r="U5" i="31"/>
  <c r="F9" i="28"/>
  <c r="I6" i="31"/>
  <c r="N10" i="28"/>
  <c r="D8" i="32"/>
  <c r="K6" i="31"/>
  <c r="L3" i="28"/>
  <c r="I3" i="32"/>
  <c r="H13" i="28"/>
  <c r="F12" i="32"/>
  <c r="G12" i="31"/>
  <c r="E6" i="28"/>
  <c r="G11" i="32"/>
  <c r="L4" i="32"/>
  <c r="O12" i="28"/>
  <c r="S5" i="28"/>
  <c r="U10" i="32"/>
  <c r="G4" i="32"/>
  <c r="Q8" i="28"/>
  <c r="N9" i="31"/>
  <c r="S2" i="31"/>
  <c r="J9" i="28"/>
  <c r="Q7" i="32"/>
  <c r="Q9" i="31"/>
  <c r="J6" i="31"/>
  <c r="C3" i="31"/>
  <c r="S10" i="28"/>
  <c r="G9" i="32"/>
  <c r="E10" i="31"/>
  <c r="Q6" i="31"/>
  <c r="J3" i="31"/>
  <c r="S9" i="31"/>
  <c r="N4" i="31"/>
  <c r="L11" i="28"/>
  <c r="M3" i="31"/>
  <c r="O10" i="28"/>
  <c r="C9" i="31"/>
  <c r="S5" i="31"/>
  <c r="P10" i="32"/>
  <c r="F4" i="31"/>
  <c r="L6" i="32"/>
  <c r="C5" i="31"/>
  <c r="K5" i="31"/>
  <c r="J4" i="31"/>
  <c r="H6" i="31"/>
  <c r="G5" i="31"/>
  <c r="U8" i="28"/>
  <c r="Q4" i="28"/>
  <c r="G3" i="28"/>
  <c r="R8" i="28"/>
  <c r="M10" i="32"/>
  <c r="D7" i="28"/>
  <c r="K2" i="31"/>
  <c r="R6" i="28"/>
  <c r="F5" i="32"/>
  <c r="H4" i="32"/>
  <c r="C6" i="31"/>
  <c r="R3" i="28"/>
  <c r="M3" i="32"/>
  <c r="H11" i="32"/>
  <c r="Q8" i="31"/>
  <c r="P7" i="28"/>
  <c r="G2" i="32"/>
  <c r="O8" i="31"/>
  <c r="Q8" i="32"/>
  <c r="R2" i="32"/>
  <c r="H9" i="32"/>
  <c r="J4" i="32"/>
  <c r="L7" i="28"/>
  <c r="M2" i="31"/>
  <c r="P10" i="31"/>
  <c r="G2" i="28"/>
  <c r="J8" i="31"/>
  <c r="L10" i="31"/>
  <c r="D10" i="31"/>
  <c r="G9" i="31"/>
  <c r="E11" i="31"/>
  <c r="E3" i="32"/>
  <c r="U11" i="29" l="1"/>
  <c r="U11" i="26"/>
  <c r="U11" i="30"/>
  <c r="U11" i="31"/>
  <c r="U11" i="32"/>
  <c r="U11" i="28"/>
  <c r="T5" i="2"/>
  <c r="E10" i="2"/>
  <c r="I10" i="2"/>
  <c r="M10" i="2"/>
  <c r="Q10" i="2"/>
  <c r="F11" i="2"/>
  <c r="J11" i="2"/>
  <c r="N11" i="2"/>
  <c r="R11" i="2"/>
  <c r="C11" i="2"/>
  <c r="T8" i="2"/>
  <c r="H8" i="2"/>
  <c r="L8" i="2"/>
  <c r="P8" i="2"/>
  <c r="E9" i="2"/>
  <c r="I9" i="2"/>
  <c r="M9" i="2"/>
  <c r="Q9" i="2"/>
  <c r="D8" i="2"/>
  <c r="C8" i="2"/>
  <c r="F6" i="2"/>
  <c r="J6" i="2"/>
  <c r="N6" i="2"/>
  <c r="R6" i="2"/>
  <c r="G7" i="2"/>
  <c r="K7" i="2"/>
  <c r="O7" i="2"/>
  <c r="C7" i="2"/>
  <c r="F10" i="2"/>
  <c r="J10" i="2"/>
  <c r="N10" i="2"/>
  <c r="R10" i="2"/>
  <c r="G11" i="2"/>
  <c r="K11" i="2"/>
  <c r="O11" i="2"/>
  <c r="S11" i="2"/>
  <c r="C10" i="2"/>
  <c r="E8" i="2"/>
  <c r="I8" i="2"/>
  <c r="M8" i="2"/>
  <c r="Q8" i="2"/>
  <c r="F9" i="2"/>
  <c r="J9" i="2"/>
  <c r="N9" i="2"/>
  <c r="R9" i="2"/>
  <c r="D7" i="2"/>
  <c r="S7" i="2"/>
  <c r="G6" i="2"/>
  <c r="K6" i="2"/>
  <c r="O6" i="2"/>
  <c r="S6" i="2"/>
  <c r="H7" i="2"/>
  <c r="L7" i="2"/>
  <c r="P7" i="2"/>
  <c r="C6" i="2"/>
  <c r="T11" i="2"/>
  <c r="G10" i="2"/>
  <c r="K10" i="2"/>
  <c r="O10" i="2"/>
  <c r="S10" i="2"/>
  <c r="H11" i="2"/>
  <c r="L11" i="2"/>
  <c r="P11" i="2"/>
  <c r="D11" i="2"/>
  <c r="T9" i="2"/>
  <c r="F8" i="2"/>
  <c r="J8" i="2"/>
  <c r="N8" i="2"/>
  <c r="R8" i="2"/>
  <c r="G9" i="2"/>
  <c r="K9" i="2"/>
  <c r="O9" i="2"/>
  <c r="S9" i="2"/>
  <c r="D6" i="2"/>
  <c r="T6" i="2"/>
  <c r="H6" i="2"/>
  <c r="L6" i="2"/>
  <c r="P6" i="2"/>
  <c r="E7" i="2"/>
  <c r="I7" i="2"/>
  <c r="M7" i="2"/>
  <c r="Q7" i="2"/>
  <c r="T12" i="2"/>
  <c r="T10" i="2"/>
  <c r="H10" i="2"/>
  <c r="L10" i="2"/>
  <c r="P10" i="2"/>
  <c r="E11" i="2"/>
  <c r="I11" i="2"/>
  <c r="M11" i="2"/>
  <c r="Q11" i="2"/>
  <c r="D10" i="2"/>
  <c r="T7" i="2"/>
  <c r="G8" i="2"/>
  <c r="K8" i="2"/>
  <c r="O8" i="2"/>
  <c r="S8" i="2"/>
  <c r="H9" i="2"/>
  <c r="L9" i="2"/>
  <c r="P9" i="2"/>
  <c r="D9" i="2"/>
  <c r="C9" i="2"/>
  <c r="E6" i="2"/>
  <c r="I6" i="2"/>
  <c r="M6" i="2"/>
  <c r="Q6" i="2"/>
  <c r="F7" i="2"/>
  <c r="J7" i="2"/>
  <c r="N7" i="2"/>
  <c r="R7" i="2"/>
  <c r="C4" i="2"/>
  <c r="E5" i="2"/>
  <c r="G5" i="2"/>
  <c r="Q5" i="2"/>
  <c r="M5" i="2"/>
  <c r="I5" i="2"/>
  <c r="Q4" i="2"/>
  <c r="M4" i="2"/>
  <c r="I4" i="2"/>
  <c r="C5" i="2"/>
  <c r="E4" i="2"/>
  <c r="G4" i="2"/>
  <c r="P5" i="2"/>
  <c r="L5" i="2"/>
  <c r="H5" i="2"/>
  <c r="P4" i="2"/>
  <c r="L4" i="2"/>
  <c r="H4" i="2"/>
  <c r="D4" i="2"/>
  <c r="F5" i="2"/>
  <c r="S5" i="2"/>
  <c r="O5" i="2"/>
  <c r="K5" i="2"/>
  <c r="S4" i="2"/>
  <c r="O4" i="2"/>
  <c r="K4" i="2"/>
  <c r="T4" i="2"/>
  <c r="D5" i="2"/>
  <c r="F4" i="2"/>
  <c r="R5" i="2"/>
  <c r="N5" i="2"/>
  <c r="J5" i="2"/>
  <c r="R4" i="2"/>
  <c r="N4" i="2"/>
  <c r="J4" i="2"/>
  <c r="U11" i="3" l="1"/>
</calcChain>
</file>

<file path=xl/sharedStrings.xml><?xml version="1.0" encoding="utf-8"?>
<sst xmlns="http://schemas.openxmlformats.org/spreadsheetml/2006/main" count="268" uniqueCount="61">
  <si>
    <t>Start Time</t>
  </si>
  <si>
    <t>Day Origin</t>
  </si>
  <si>
    <t>0-6</t>
  </si>
  <si>
    <t>End Time</t>
  </si>
  <si>
    <t>Day 1</t>
  </si>
  <si>
    <t>Day 2</t>
  </si>
  <si>
    <t>Day 3</t>
  </si>
  <si>
    <t>Day 4</t>
  </si>
  <si>
    <t>Day 5</t>
  </si>
  <si>
    <t>Total</t>
  </si>
  <si>
    <t>DAY 1</t>
  </si>
  <si>
    <t>Average Response Time</t>
  </si>
  <si>
    <t>Creation Time</t>
  </si>
  <si>
    <t>In Progress Time</t>
  </si>
  <si>
    <t>Complete Time</t>
  </si>
  <si>
    <t>Origin</t>
  </si>
  <si>
    <t>Destination</t>
  </si>
  <si>
    <t>Job Start Time</t>
  </si>
  <si>
    <t>Job Completion Time</t>
  </si>
  <si>
    <t>Completion Time</t>
  </si>
  <si>
    <t>Priority</t>
  </si>
  <si>
    <t>Appoinment</t>
  </si>
  <si>
    <t>Auto Process</t>
  </si>
  <si>
    <t>Job ID</t>
  </si>
  <si>
    <t>Completed by Porter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</si>
  <si>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</si>
  <si>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</si>
  <si>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</si>
  <si>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</si>
  <si>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</si>
  <si>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</si>
  <si>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</si>
  <si>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</si>
  <si>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</si>
  <si>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</si>
  <si>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</si>
  <si>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</si>
  <si>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</si>
  <si>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</si>
  <si>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</si>
  <si>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22-23</t>
  </si>
  <si>
    <t>23-24</t>
  </si>
  <si>
    <t>Total Number Of Jobs Completed</t>
  </si>
  <si>
    <t>Number of Pending Jobs</t>
  </si>
  <si>
    <t>DAY 2</t>
  </si>
  <si>
    <t>DAY 3</t>
  </si>
  <si>
    <t>DAY 4</t>
  </si>
  <si>
    <t>DAY 5</t>
  </si>
  <si>
    <t>Number of Cancelled Jobs</t>
  </si>
  <si>
    <t>Highest Transaction Time</t>
  </si>
  <si>
    <t>Lowest Transaction Time</t>
  </si>
  <si>
    <t>Highest Response Time</t>
  </si>
  <si>
    <t>Lowest Response Time</t>
  </si>
  <si>
    <t>Average In Progress Time</t>
  </si>
  <si>
    <t>Highest In Progress Time</t>
  </si>
  <si>
    <t>Lowest In Progress Time</t>
  </si>
  <si>
    <t xml:space="preserve">Average Transaction Time </t>
  </si>
  <si>
    <t>Day 6</t>
  </si>
  <si>
    <t>Day 7</t>
  </si>
  <si>
    <t>DAY 6</t>
  </si>
  <si>
    <t>DAY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</si>
</sst>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rgb="FF000000"/>
      <name val="Calibri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2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6" fontId="1" fillId="0" borderId="0" xfId="0" quotePrefix="1" applyNumberFormat="1" applyFont="1"/>
    <xf numFmtId="0" fontId="1" fillId="0" borderId="0" xfId="0" quotePrefix="1" applyFont="1"/>
    <xf numFmtId="0" fontId="5" fillId="0" borderId="0" xfId="0" applyFont="1" applyFill="1" applyBorder="1" applyAlignment="1" applyProtection="1"/>
    <xf numFmtId="0" fontId="3" fillId="0" borderId="0" xfId="0" applyFont="1" applyBorder="1"/>
    <xf numFmtId="2" fontId="3" fillId="0" borderId="0" xfId="0" applyNumberFormat="1" applyFont="1" applyBorder="1"/>
    <xf numFmtId="0" fontId="3" fillId="0" borderId="0" xfId="0" applyFont="1" applyBorder="1" applyAlignment="1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949376"/>
        <c:axId val="188957536"/>
      </c:barChart>
      <c:catAx>
        <c:axId val="18894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957536"/>
        <c:crosses val="autoZero"/>
        <c:auto val="1"/>
        <c:lblAlgn val="ctr"/>
        <c:lblOffset val="100"/>
        <c:noMultiLvlLbl val="0"/>
      </c:catAx>
      <c:valAx>
        <c:axId val="18895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94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'Day1'!$C$12:$T$12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960256"/>
        <c:axId val="188946112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959712"/>
        <c:axId val="188945024"/>
      </c:lineChart>
      <c:valAx>
        <c:axId val="18894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in Minutes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959712"/>
        <c:crosses val="autoZero"/>
        <c:crossBetween val="between"/>
      </c:valAx>
      <c:catAx>
        <c:axId val="1889597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945024"/>
        <c:crosses val="autoZero"/>
        <c:auto val="1"/>
        <c:lblAlgn val="ctr"/>
        <c:lblOffset val="100"/>
        <c:noMultiLvlLbl val="0"/>
      </c:catAx>
      <c:valAx>
        <c:axId val="18894611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960256"/>
        <c:crosses val="max"/>
        <c:crossBetween val="between"/>
      </c:valAx>
      <c:catAx>
        <c:axId val="1889602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89461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6126656"/>
        <c:axId val="366132096"/>
      </c:barChart>
      <c:catAx>
        <c:axId val="36612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132096"/>
        <c:crosses val="autoZero"/>
        <c:auto val="1"/>
        <c:lblAlgn val="ctr"/>
        <c:lblOffset val="100"/>
        <c:noMultiLvlLbl val="0"/>
      </c:catAx>
      <c:valAx>
        <c:axId val="36613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12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6134816"/>
        <c:axId val="366135360"/>
      </c:lineChart>
      <c:catAx>
        <c:axId val="36613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135360"/>
        <c:crosses val="autoZero"/>
        <c:auto val="1"/>
        <c:lblAlgn val="ctr"/>
        <c:lblOffset val="100"/>
        <c:noMultiLvlLbl val="0"/>
      </c:catAx>
      <c:valAx>
        <c:axId val="36613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134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6131552"/>
        <c:axId val="366123936"/>
      </c:lineChart>
      <c:catAx>
        <c:axId val="36613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123936"/>
        <c:crosses val="autoZero"/>
        <c:auto val="1"/>
        <c:lblAlgn val="ctr"/>
        <c:lblOffset val="100"/>
        <c:noMultiLvlLbl val="0"/>
      </c:catAx>
      <c:valAx>
        <c:axId val="36612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13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6133728"/>
        <c:axId val="366136448"/>
      </c:lineChart>
      <c:catAx>
        <c:axId val="366133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136448"/>
        <c:crosses val="autoZero"/>
        <c:auto val="1"/>
        <c:lblAlgn val="ctr"/>
        <c:lblOffset val="100"/>
        <c:noMultiLvlLbl val="0"/>
      </c:catAx>
      <c:valAx>
        <c:axId val="36613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133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66136992"/>
        <c:axId val="366134272"/>
      </c:barChart>
      <c:catAx>
        <c:axId val="366136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134272"/>
        <c:crosses val="autoZero"/>
        <c:auto val="1"/>
        <c:lblAlgn val="ctr"/>
        <c:lblOffset val="100"/>
        <c:noMultiLvlLbl val="0"/>
      </c:catAx>
      <c:valAx>
        <c:axId val="36613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13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6127744"/>
        <c:axId val="366123392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'Day2'!$C$2:$T$2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126112"/>
        <c:axId val="366133184"/>
      </c:lineChart>
      <c:valAx>
        <c:axId val="36613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126112"/>
        <c:crosses val="autoZero"/>
        <c:crossBetween val="between"/>
      </c:valAx>
      <c:catAx>
        <c:axId val="3661261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133184"/>
        <c:crosses val="autoZero"/>
        <c:auto val="1"/>
        <c:lblAlgn val="ctr"/>
        <c:lblOffset val="100"/>
        <c:noMultiLvlLbl val="0"/>
      </c:catAx>
      <c:valAx>
        <c:axId val="36612339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127744"/>
        <c:crosses val="max"/>
        <c:crossBetween val="between"/>
      </c:valAx>
      <c:catAx>
        <c:axId val="3661277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661233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6125024"/>
        <c:axId val="366129920"/>
      </c:barChart>
      <c:catAx>
        <c:axId val="366125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129920"/>
        <c:crosses val="autoZero"/>
        <c:auto val="1"/>
        <c:lblAlgn val="ctr"/>
        <c:lblOffset val="100"/>
        <c:noMultiLvlLbl val="0"/>
      </c:catAx>
      <c:valAx>
        <c:axId val="36612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12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'Day2'!$B$2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'Day2'!$B$3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'Day2'!$B$4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5931216"/>
        <c:axId val="365920880"/>
      </c:lineChart>
      <c:catAx>
        <c:axId val="36593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920880"/>
        <c:crosses val="autoZero"/>
        <c:auto val="1"/>
        <c:lblAlgn val="ctr"/>
        <c:lblOffset val="100"/>
        <c:noMultiLvlLbl val="0"/>
      </c:catAx>
      <c:valAx>
        <c:axId val="36592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93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'Day2'!$B$5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'Day2'!$B$6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'Day2'!$B$7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5932848"/>
        <c:axId val="365925232"/>
      </c:lineChart>
      <c:catAx>
        <c:axId val="36593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925232"/>
        <c:crosses val="autoZero"/>
        <c:auto val="1"/>
        <c:lblAlgn val="ctr"/>
        <c:lblOffset val="100"/>
        <c:noMultiLvlLbl val="0"/>
      </c:catAx>
      <c:valAx>
        <c:axId val="36592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932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'Day2'!$B$8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'Day2'!$B$9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'Day2'!$B$10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5929584"/>
        <c:axId val="365927952"/>
      </c:lineChart>
      <c:catAx>
        <c:axId val="36592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927952"/>
        <c:crosses val="autoZero"/>
        <c:auto val="1"/>
        <c:lblAlgn val="ctr"/>
        <c:lblOffset val="100"/>
        <c:noMultiLvlLbl val="0"/>
      </c:catAx>
      <c:valAx>
        <c:axId val="36592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929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65935024"/>
        <c:axId val="365936112"/>
      </c:barChart>
      <c:catAx>
        <c:axId val="365935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936112"/>
        <c:crosses val="autoZero"/>
        <c:auto val="1"/>
        <c:lblAlgn val="ctr"/>
        <c:lblOffset val="100"/>
        <c:noMultiLvlLbl val="0"/>
      </c:catAx>
      <c:valAx>
        <c:axId val="36593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93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5924144"/>
        <c:axId val="365923600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'Day3'!$C$2:$T$2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921424"/>
        <c:axId val="365935568"/>
      </c:lineChart>
      <c:valAx>
        <c:axId val="36593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921424"/>
        <c:crosses val="autoZero"/>
        <c:crossBetween val="between"/>
      </c:valAx>
      <c:catAx>
        <c:axId val="3659214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935568"/>
        <c:crosses val="autoZero"/>
        <c:auto val="1"/>
        <c:lblAlgn val="ctr"/>
        <c:lblOffset val="100"/>
        <c:noMultiLvlLbl val="0"/>
      </c:catAx>
      <c:valAx>
        <c:axId val="3659236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924144"/>
        <c:crosses val="max"/>
        <c:crossBetween val="between"/>
      </c:valAx>
      <c:catAx>
        <c:axId val="365924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65923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5930128"/>
        <c:axId val="365932304"/>
      </c:barChart>
      <c:catAx>
        <c:axId val="36593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932304"/>
        <c:crosses val="autoZero"/>
        <c:auto val="1"/>
        <c:lblAlgn val="ctr"/>
        <c:lblOffset val="100"/>
        <c:noMultiLvlLbl val="0"/>
      </c:catAx>
      <c:valAx>
        <c:axId val="36593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93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'Day3'!$B$2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'Day3'!$B$3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'Day3'!$B$4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5923056"/>
        <c:axId val="365930672"/>
      </c:lineChart>
      <c:catAx>
        <c:axId val="36592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930672"/>
        <c:crosses val="autoZero"/>
        <c:auto val="1"/>
        <c:lblAlgn val="ctr"/>
        <c:lblOffset val="100"/>
        <c:noMultiLvlLbl val="0"/>
      </c:catAx>
      <c:valAx>
        <c:axId val="36593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92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'Day3'!$B$5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'Day3'!$B$6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'Day3'!$B$7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9242000"/>
        <c:axId val="369252336"/>
      </c:lineChart>
      <c:catAx>
        <c:axId val="369242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252336"/>
        <c:crosses val="autoZero"/>
        <c:auto val="1"/>
        <c:lblAlgn val="ctr"/>
        <c:lblOffset val="100"/>
        <c:noMultiLvlLbl val="0"/>
      </c:catAx>
      <c:valAx>
        <c:axId val="36925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242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'Day3'!$B$8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'Day3'!$B$9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'Day3'!$B$10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9243088"/>
        <c:axId val="369248528"/>
      </c:lineChart>
      <c:catAx>
        <c:axId val="36924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248528"/>
        <c:crosses val="autoZero"/>
        <c:auto val="1"/>
        <c:lblAlgn val="ctr"/>
        <c:lblOffset val="100"/>
        <c:noMultiLvlLbl val="0"/>
      </c:catAx>
      <c:valAx>
        <c:axId val="36924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24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69238736"/>
        <c:axId val="369245808"/>
      </c:barChart>
      <c:catAx>
        <c:axId val="36923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245808"/>
        <c:crosses val="autoZero"/>
        <c:auto val="1"/>
        <c:lblAlgn val="ctr"/>
        <c:lblOffset val="100"/>
        <c:noMultiLvlLbl val="0"/>
      </c:catAx>
      <c:valAx>
        <c:axId val="36924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23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'Day4'!$C$12:$T$12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251248"/>
        <c:axId val="369244176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'Day4'!$C$2:$T$2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249072"/>
        <c:axId val="369253424"/>
      </c:lineChart>
      <c:valAx>
        <c:axId val="36925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249072"/>
        <c:crosses val="autoZero"/>
        <c:crossBetween val="between"/>
      </c:valAx>
      <c:catAx>
        <c:axId val="3692490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253424"/>
        <c:crosses val="autoZero"/>
        <c:auto val="1"/>
        <c:lblAlgn val="ctr"/>
        <c:lblOffset val="100"/>
        <c:noMultiLvlLbl val="0"/>
      </c:catAx>
      <c:valAx>
        <c:axId val="36924417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251248"/>
        <c:crosses val="max"/>
        <c:crossBetween val="between"/>
      </c:valAx>
      <c:catAx>
        <c:axId val="3692512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692441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247984"/>
        <c:axId val="369238192"/>
      </c:barChart>
      <c:catAx>
        <c:axId val="36924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238192"/>
        <c:crosses val="autoZero"/>
        <c:auto val="1"/>
        <c:lblAlgn val="ctr"/>
        <c:lblOffset val="100"/>
        <c:noMultiLvlLbl val="0"/>
      </c:catAx>
      <c:valAx>
        <c:axId val="36923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24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'Day4'!$B$2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'Day4'!$B$3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'Day4'!$B$4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9250160"/>
        <c:axId val="369239280"/>
      </c:lineChart>
      <c:catAx>
        <c:axId val="36925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239280"/>
        <c:crosses val="autoZero"/>
        <c:auto val="1"/>
        <c:lblAlgn val="ctr"/>
        <c:lblOffset val="100"/>
        <c:noMultiLvlLbl val="0"/>
      </c:catAx>
      <c:valAx>
        <c:axId val="36923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250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'Day4'!$B$5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'Day4'!$B$6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'Day4'!$B$7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9242544"/>
        <c:axId val="367953648"/>
      </c:lineChart>
      <c:catAx>
        <c:axId val="36924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53648"/>
        <c:crosses val="autoZero"/>
        <c:auto val="1"/>
        <c:lblAlgn val="ctr"/>
        <c:lblOffset val="100"/>
        <c:noMultiLvlLbl val="0"/>
      </c:catAx>
      <c:valAx>
        <c:axId val="36795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24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'Day4'!$B$8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'Day4'!$B$9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'Day4'!$B$10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951472"/>
        <c:axId val="367956912"/>
      </c:lineChart>
      <c:catAx>
        <c:axId val="36795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56912"/>
        <c:crosses val="autoZero"/>
        <c:auto val="1"/>
        <c:lblAlgn val="ctr"/>
        <c:lblOffset val="100"/>
        <c:noMultiLvlLbl val="0"/>
      </c:catAx>
      <c:valAx>
        <c:axId val="36795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5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67948752"/>
        <c:axId val="367958000"/>
      </c:barChart>
      <c:catAx>
        <c:axId val="36794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58000"/>
        <c:crosses val="autoZero"/>
        <c:auto val="1"/>
        <c:lblAlgn val="ctr"/>
        <c:lblOffset val="100"/>
        <c:noMultiLvlLbl val="0"/>
      </c:catAx>
      <c:valAx>
        <c:axId val="36795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4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'Day5'!$C$12:$T$12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7949840"/>
        <c:axId val="367946576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'Day5'!$C$2:$T$2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955280"/>
        <c:axId val="367949296"/>
      </c:lineChart>
      <c:valAx>
        <c:axId val="36794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55280"/>
        <c:crosses val="autoZero"/>
        <c:crossBetween val="between"/>
      </c:valAx>
      <c:catAx>
        <c:axId val="3679552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49296"/>
        <c:crosses val="autoZero"/>
        <c:auto val="1"/>
        <c:lblAlgn val="ctr"/>
        <c:lblOffset val="100"/>
        <c:noMultiLvlLbl val="0"/>
      </c:catAx>
      <c:valAx>
        <c:axId val="36794657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49840"/>
        <c:crosses val="max"/>
        <c:crossBetween val="between"/>
      </c:valAx>
      <c:catAx>
        <c:axId val="3679498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679465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7950384"/>
        <c:axId val="367947120"/>
      </c:barChart>
      <c:catAx>
        <c:axId val="36795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47120"/>
        <c:crosses val="autoZero"/>
        <c:auto val="1"/>
        <c:lblAlgn val="ctr"/>
        <c:lblOffset val="100"/>
        <c:noMultiLvlLbl val="0"/>
      </c:catAx>
      <c:valAx>
        <c:axId val="36794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5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'Day5'!$B$2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'Day5'!$B$3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'Day5'!$B$4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956368"/>
        <c:axId val="367952560"/>
      </c:lineChart>
      <c:catAx>
        <c:axId val="3679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52560"/>
        <c:crosses val="autoZero"/>
        <c:auto val="1"/>
        <c:lblAlgn val="ctr"/>
        <c:lblOffset val="100"/>
        <c:noMultiLvlLbl val="0"/>
      </c:catAx>
      <c:valAx>
        <c:axId val="36795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5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'Day5'!$B$5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'Day5'!$B$6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'Day5'!$B$7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954192"/>
        <c:axId val="367947664"/>
      </c:lineChart>
      <c:catAx>
        <c:axId val="367954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47664"/>
        <c:crosses val="autoZero"/>
        <c:auto val="1"/>
        <c:lblAlgn val="ctr"/>
        <c:lblOffset val="100"/>
        <c:noMultiLvlLbl val="0"/>
      </c:catAx>
      <c:valAx>
        <c:axId val="36794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5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'Day5'!$B$8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'Day5'!$B$9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'Day5'!$B$10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9511168"/>
        <c:axId val="369513888"/>
      </c:lineChart>
      <c:catAx>
        <c:axId val="369511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13888"/>
        <c:crosses val="autoZero"/>
        <c:auto val="1"/>
        <c:lblAlgn val="ctr"/>
        <c:lblOffset val="100"/>
        <c:noMultiLvlLbl val="0"/>
      </c:catAx>
      <c:valAx>
        <c:axId val="36951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11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'Day6'!$C$1:$T$1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69510080"/>
        <c:axId val="369504640"/>
      </c:barChart>
      <c:catAx>
        <c:axId val="36951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04640"/>
        <c:crosses val="autoZero"/>
        <c:auto val="1"/>
        <c:lblAlgn val="ctr"/>
        <c:lblOffset val="100"/>
        <c:noMultiLvlLbl val="0"/>
      </c:catAx>
      <c:valAx>
        <c:axId val="36950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1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'Day6'!$C$12:$T$12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501376"/>
        <c:axId val="369500288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'Day6'!$C$2:$T$2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504096"/>
        <c:axId val="369511712"/>
      </c:lineChart>
      <c:valAx>
        <c:axId val="36951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04096"/>
        <c:crosses val="autoZero"/>
        <c:crossBetween val="between"/>
      </c:valAx>
      <c:catAx>
        <c:axId val="3695040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11712"/>
        <c:crosses val="autoZero"/>
        <c:auto val="1"/>
        <c:lblAlgn val="ctr"/>
        <c:lblOffset val="100"/>
        <c:noMultiLvlLbl val="0"/>
      </c:catAx>
      <c:valAx>
        <c:axId val="36950028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01376"/>
        <c:crosses val="max"/>
        <c:crossBetween val="between"/>
      </c:valAx>
      <c:catAx>
        <c:axId val="3695013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695002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512800"/>
        <c:axId val="369507904"/>
      </c:barChart>
      <c:catAx>
        <c:axId val="369512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07904"/>
        <c:crosses val="autoZero"/>
        <c:auto val="1"/>
        <c:lblAlgn val="ctr"/>
        <c:lblOffset val="100"/>
        <c:noMultiLvlLbl val="0"/>
      </c:catAx>
      <c:valAx>
        <c:axId val="36950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1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'Day6'!$B$2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'Day6'!$B$3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'Day6'!$B$4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9503552"/>
        <c:axId val="369514432"/>
      </c:lineChart>
      <c:catAx>
        <c:axId val="369503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14432"/>
        <c:crosses val="autoZero"/>
        <c:auto val="1"/>
        <c:lblAlgn val="ctr"/>
        <c:lblOffset val="100"/>
        <c:noMultiLvlLbl val="0"/>
      </c:catAx>
      <c:valAx>
        <c:axId val="36951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03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'Day6'!$B$5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'Day6'!$B$6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'Day6'!$B$7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9505184"/>
        <c:axId val="369505728"/>
      </c:lineChart>
      <c:catAx>
        <c:axId val="36950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05728"/>
        <c:crosses val="autoZero"/>
        <c:auto val="1"/>
        <c:lblAlgn val="ctr"/>
        <c:lblOffset val="100"/>
        <c:noMultiLvlLbl val="0"/>
      </c:catAx>
      <c:valAx>
        <c:axId val="36950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0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'Day6'!$B$8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'Day6'!$B$9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'Day6'!$B$10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9508448"/>
        <c:axId val="369508992"/>
      </c:lineChart>
      <c:catAx>
        <c:axId val="369508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08992"/>
        <c:crosses val="autoZero"/>
        <c:auto val="1"/>
        <c:lblAlgn val="ctr"/>
        <c:lblOffset val="100"/>
        <c:noMultiLvlLbl val="0"/>
      </c:catAx>
      <c:valAx>
        <c:axId val="36950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08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'Day7'!$C$1:$T$1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'Day7'!$C$11:$T$11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67483184"/>
        <c:axId val="367495696"/>
      </c:barChart>
      <c:catAx>
        <c:axId val="36748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495696"/>
        <c:crosses val="autoZero"/>
        <c:auto val="1"/>
        <c:lblAlgn val="ctr"/>
        <c:lblOffset val="100"/>
        <c:noMultiLvlLbl val="0"/>
      </c:catAx>
      <c:valAx>
        <c:axId val="36749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48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'Day7'!$C$11:$T$11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'Day7'!$C$12:$T$12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7496240"/>
        <c:axId val="367492432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'Day7'!$C$2:$T$2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491888"/>
        <c:axId val="367486448"/>
      </c:lineChart>
      <c:valAx>
        <c:axId val="36748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491888"/>
        <c:crosses val="autoZero"/>
        <c:crossBetween val="between"/>
      </c:valAx>
      <c:catAx>
        <c:axId val="367491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486448"/>
        <c:crosses val="autoZero"/>
        <c:auto val="1"/>
        <c:lblAlgn val="ctr"/>
        <c:lblOffset val="100"/>
        <c:noMultiLvlLbl val="0"/>
      </c:catAx>
      <c:valAx>
        <c:axId val="36749243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496240"/>
        <c:crosses val="max"/>
        <c:crossBetween val="between"/>
      </c:valAx>
      <c:catAx>
        <c:axId val="3674962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674924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7494064"/>
        <c:axId val="367494608"/>
      </c:barChart>
      <c:catAx>
        <c:axId val="36749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494608"/>
        <c:crosses val="autoZero"/>
        <c:auto val="1"/>
        <c:lblAlgn val="ctr"/>
        <c:lblOffset val="100"/>
        <c:noMultiLvlLbl val="0"/>
      </c:catAx>
      <c:valAx>
        <c:axId val="36749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49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'Day7'!$B$2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'Day7'!$B$3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'Day7'!$B$4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491344"/>
        <c:axId val="367489712"/>
      </c:lineChart>
      <c:catAx>
        <c:axId val="36749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489712"/>
        <c:crosses val="autoZero"/>
        <c:auto val="1"/>
        <c:lblAlgn val="ctr"/>
        <c:lblOffset val="100"/>
        <c:noMultiLvlLbl val="0"/>
      </c:catAx>
      <c:valAx>
        <c:axId val="36748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491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'Day7'!$B$5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'Day7'!$B$6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'Day7'!$B$7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486992"/>
        <c:axId val="367487536"/>
      </c:lineChart>
      <c:catAx>
        <c:axId val="367486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487536"/>
        <c:crosses val="autoZero"/>
        <c:auto val="1"/>
        <c:lblAlgn val="ctr"/>
        <c:lblOffset val="100"/>
        <c:noMultiLvlLbl val="0"/>
      </c:catAx>
      <c:valAx>
        <c:axId val="3674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48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'Day7'!$B$8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'Day7'!$B$9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'Day7'!$B$10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496784"/>
        <c:axId val="367488080"/>
      </c:lineChart>
      <c:catAx>
        <c:axId val="367496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488080"/>
        <c:crosses val="autoZero"/>
        <c:auto val="1"/>
        <c:lblAlgn val="ctr"/>
        <c:lblOffset val="100"/>
        <c:noMultiLvlLbl val="0"/>
      </c:catAx>
      <c:valAx>
        <c:axId val="36748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496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00"/>
  <sheetViews>
    <sheetView workbookViewId="0">
      <selection activeCell="C3" sqref="C3"/>
    </sheetView>
  </sheetViews>
  <sheetFormatPr defaultRowHeight="14.4" x14ac:dyDescent="0.3"/>
  <cols>
    <col min="3" max="3" width="9.33203125" customWidth="1"/>
    <col min="6" max="6" width="12.5546875" bestFit="1" customWidth="1"/>
    <col min="7" max="7" width="18.33203125" bestFit="1" customWidth="1"/>
  </cols>
  <sheetData>
    <row r="1" spans="1:14" x14ac:dyDescent="0.3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0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</row>
    <row r="2" spans="1:14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</row>
    <row r="3" spans="1:14" x14ac:dyDescent="0.3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</row>
    <row r="4" spans="1:14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</row>
    <row r="5" spans="1:14" x14ac:dyDescent="0.3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</row>
    <row r="6" spans="1:14" x14ac:dyDescent="0.3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</row>
    <row r="7" spans="1:14" x14ac:dyDescent="0.3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</row>
    <row r="8" spans="1:14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</row>
    <row r="9" spans="1:14" x14ac:dyDescent="0.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</row>
    <row r="10" spans="1:14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</row>
    <row r="11" spans="1:14" x14ac:dyDescent="0.3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</row>
    <row r="12" spans="1:14" x14ac:dyDescent="0.3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</row>
    <row r="13" spans="1:14" x14ac:dyDescent="0.3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</row>
    <row r="14" spans="1:14" x14ac:dyDescent="0.3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</row>
    <row r="15" spans="1:14" x14ac:dyDescent="0.3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</row>
    <row r="16" spans="1:14" x14ac:dyDescent="0.3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</row>
    <row r="17" spans="1:14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</row>
    <row r="18" spans="1:14" x14ac:dyDescent="0.3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</row>
    <row r="19" spans="1:14" x14ac:dyDescent="0.3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</row>
    <row r="20" spans="1:14" x14ac:dyDescent="0.3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</row>
    <row r="21" spans="1:14" x14ac:dyDescent="0.3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</row>
    <row r="22" spans="1:14" x14ac:dyDescent="0.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</row>
    <row r="23" spans="1:14" x14ac:dyDescent="0.3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</row>
    <row r="24" spans="1:14" x14ac:dyDescent="0.3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</row>
    <row r="25" spans="1:14" x14ac:dyDescent="0.3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</row>
    <row r="26" spans="1:14" x14ac:dyDescent="0.3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</row>
    <row r="27" spans="1:14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</row>
    <row r="28" spans="1:14" x14ac:dyDescent="0.3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</row>
    <row r="29" spans="1:14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</row>
    <row r="30" spans="1:14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</row>
    <row r="31" spans="1:14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</row>
    <row r="32" spans="1:14" x14ac:dyDescent="0.3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</row>
    <row r="33" spans="1:14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</row>
    <row r="34" spans="1:14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</row>
    <row r="35" spans="1:14" x14ac:dyDescent="0.3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</row>
    <row r="36" spans="1:14" x14ac:dyDescent="0.3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</row>
    <row r="37" spans="1:14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</row>
    <row r="38" spans="1:14" x14ac:dyDescent="0.3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</row>
    <row r="39" spans="1:14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</row>
    <row r="40" spans="1:14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</row>
    <row r="41" spans="1:14" x14ac:dyDescent="0.3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</row>
    <row r="42" spans="1:14" x14ac:dyDescent="0.3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</row>
    <row r="43" spans="1:14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</row>
    <row r="44" spans="1:14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</row>
    <row r="45" spans="1:14" x14ac:dyDescent="0.3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</row>
    <row r="46" spans="1:14" x14ac:dyDescent="0.3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</row>
    <row r="47" spans="1:14" x14ac:dyDescent="0.3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</row>
    <row r="48" spans="1:14" x14ac:dyDescent="0.3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</row>
    <row r="49" spans="1:14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</row>
    <row r="50" spans="1:14" x14ac:dyDescent="0.3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</row>
    <row r="51" spans="1:14" x14ac:dyDescent="0.3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</row>
    <row r="52" spans="1:14" x14ac:dyDescent="0.3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</row>
    <row r="53" spans="1:14" x14ac:dyDescent="0.3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</row>
    <row r="54" spans="1:14" x14ac:dyDescent="0.3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</row>
    <row r="55" spans="1:14" x14ac:dyDescent="0.3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</row>
    <row r="56" spans="1:14" x14ac:dyDescent="0.3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</row>
    <row r="57" spans="1:14" x14ac:dyDescent="0.3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</row>
    <row r="58" spans="1:14" x14ac:dyDescent="0.3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</row>
    <row r="59" spans="1:14" x14ac:dyDescent="0.3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</row>
    <row r="60" spans="1:14" x14ac:dyDescent="0.3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</row>
    <row r="61" spans="1:14" x14ac:dyDescent="0.3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</row>
    <row r="62" spans="1:14" x14ac:dyDescent="0.3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</row>
    <row r="63" spans="1:14" x14ac:dyDescent="0.3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</row>
    <row r="64" spans="1:14" x14ac:dyDescent="0.3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</row>
    <row r="65" spans="1:14" x14ac:dyDescent="0.3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</row>
    <row r="66" spans="1:14" x14ac:dyDescent="0.3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</row>
    <row r="67" spans="1:14" x14ac:dyDescent="0.3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</row>
    <row r="68" spans="1:14" x14ac:dyDescent="0.3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</row>
    <row r="69" spans="1:14" x14ac:dyDescent="0.3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</row>
    <row r="70" spans="1:14" x14ac:dyDescent="0.3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</row>
    <row r="71" spans="1:14" x14ac:dyDescent="0.3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</row>
    <row r="72" spans="1:14" x14ac:dyDescent="0.3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</row>
    <row r="73" spans="1:14" x14ac:dyDescent="0.3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</row>
    <row r="74" spans="1:14" x14ac:dyDescent="0.3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</row>
    <row r="75" spans="1:14" x14ac:dyDescent="0.3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</row>
    <row r="76" spans="1:14" x14ac:dyDescent="0.3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</row>
    <row r="77" spans="1:14" x14ac:dyDescent="0.3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</row>
    <row r="78" spans="1:14" x14ac:dyDescent="0.3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</row>
    <row r="79" spans="1:14" x14ac:dyDescent="0.3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</row>
    <row r="80" spans="1:14" x14ac:dyDescent="0.3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</row>
    <row r="81" spans="1:14" x14ac:dyDescent="0.3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</row>
    <row r="82" spans="1:14" x14ac:dyDescent="0.3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</row>
    <row r="83" spans="1:14" x14ac:dyDescent="0.3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</row>
    <row r="84" spans="1:14" x14ac:dyDescent="0.3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</row>
    <row r="85" spans="1:14" x14ac:dyDescent="0.3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</row>
    <row r="86" spans="1:14" x14ac:dyDescent="0.3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</row>
    <row r="87" spans="1:14" x14ac:dyDescent="0.3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</row>
    <row r="88" spans="1:14" x14ac:dyDescent="0.3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</row>
    <row r="89" spans="1:14" x14ac:dyDescent="0.3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</row>
    <row r="90" spans="1:14" x14ac:dyDescent="0.3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</row>
    <row r="91" spans="1:14" x14ac:dyDescent="0.3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</row>
    <row r="92" spans="1:14" x14ac:dyDescent="0.3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</row>
    <row r="93" spans="1:14" x14ac:dyDescent="0.3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</row>
    <row r="94" spans="1:14" x14ac:dyDescent="0.3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</row>
    <row r="95" spans="1:14" x14ac:dyDescent="0.3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</row>
    <row r="96" spans="1:14" x14ac:dyDescent="0.3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</row>
    <row r="97" spans="1:14" x14ac:dyDescent="0.3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</row>
    <row r="98" spans="1:14" x14ac:dyDescent="0.3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</row>
    <row r="99" spans="1:14" x14ac:dyDescent="0.3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</row>
    <row r="100" spans="1:14" x14ac:dyDescent="0.3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</row>
    <row r="101" spans="1:14" x14ac:dyDescent="0.3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</row>
    <row r="102" spans="1:14" x14ac:dyDescent="0.3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</row>
    <row r="103" spans="1:14" x14ac:dyDescent="0.3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</row>
    <row r="104" spans="1:14" x14ac:dyDescent="0.3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</row>
    <row r="105" spans="1:14" x14ac:dyDescent="0.3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</row>
    <row r="106" spans="1:14" x14ac:dyDescent="0.3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</row>
    <row r="107" spans="1:14" x14ac:dyDescent="0.3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</row>
    <row r="108" spans="1:14" x14ac:dyDescent="0.3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</row>
    <row r="109" spans="1:14" x14ac:dyDescent="0.3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</row>
    <row r="110" spans="1:14" x14ac:dyDescent="0.3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</row>
    <row r="111" spans="1:14" x14ac:dyDescent="0.3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</row>
    <row r="112" spans="1:14" x14ac:dyDescent="0.3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</row>
    <row r="113" spans="1:14" x14ac:dyDescent="0.3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</row>
    <row r="114" spans="1:14" x14ac:dyDescent="0.3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</row>
    <row r="115" spans="1:14" x14ac:dyDescent="0.3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</row>
    <row r="116" spans="1:14" x14ac:dyDescent="0.3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</row>
    <row r="117" spans="1:14" x14ac:dyDescent="0.3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</row>
    <row r="118" spans="1:14" x14ac:dyDescent="0.3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</row>
    <row r="119" spans="1:14" x14ac:dyDescent="0.3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</row>
    <row r="120" spans="1:14" x14ac:dyDescent="0.3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</row>
    <row r="121" spans="1:14" x14ac:dyDescent="0.3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</row>
    <row r="122" spans="1:14" x14ac:dyDescent="0.3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</row>
    <row r="123" spans="1:14" x14ac:dyDescent="0.3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</row>
    <row r="124" spans="1:14" x14ac:dyDescent="0.3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</row>
    <row r="125" spans="1:14" x14ac:dyDescent="0.3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</row>
    <row r="126" spans="1:14" x14ac:dyDescent="0.3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</row>
    <row r="127" spans="1:14" x14ac:dyDescent="0.3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</row>
    <row r="128" spans="1:14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</row>
    <row r="129" spans="1:14" x14ac:dyDescent="0.3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</row>
    <row r="130" spans="1:14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</row>
    <row r="131" spans="1:14" x14ac:dyDescent="0.3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</row>
    <row r="132" spans="1:14" x14ac:dyDescent="0.3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</row>
    <row r="133" spans="1:14" x14ac:dyDescent="0.3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</row>
    <row r="134" spans="1:14" x14ac:dyDescent="0.3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</row>
    <row r="135" spans="1:14" x14ac:dyDescent="0.3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</row>
    <row r="136" spans="1:14" x14ac:dyDescent="0.3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</row>
    <row r="137" spans="1:14" x14ac:dyDescent="0.3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</row>
    <row r="138" spans="1:14" x14ac:dyDescent="0.3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</row>
    <row r="139" spans="1:14" x14ac:dyDescent="0.3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</row>
    <row r="140" spans="1:14" x14ac:dyDescent="0.3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</row>
    <row r="141" spans="1:14" x14ac:dyDescent="0.3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</row>
    <row r="142" spans="1:14" x14ac:dyDescent="0.3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</row>
    <row r="143" spans="1:14" x14ac:dyDescent="0.3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</row>
    <row r="144" spans="1:14" x14ac:dyDescent="0.3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</row>
    <row r="145" spans="1:14" x14ac:dyDescent="0.3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</row>
    <row r="146" spans="1:14" x14ac:dyDescent="0.3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</row>
    <row r="147" spans="1:14" x14ac:dyDescent="0.3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</row>
    <row r="148" spans="1:14" x14ac:dyDescent="0.3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</row>
    <row r="149" spans="1:14" x14ac:dyDescent="0.3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</row>
    <row r="150" spans="1:14" x14ac:dyDescent="0.3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</row>
    <row r="151" spans="1:14" x14ac:dyDescent="0.3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</row>
    <row r="152" spans="1:14" x14ac:dyDescent="0.3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</row>
    <row r="153" spans="1:14" x14ac:dyDescent="0.3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</row>
    <row r="154" spans="1:14" x14ac:dyDescent="0.3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</row>
    <row r="155" spans="1:14" x14ac:dyDescent="0.3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</row>
    <row r="156" spans="1:14" x14ac:dyDescent="0.3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</row>
    <row r="157" spans="1:14" x14ac:dyDescent="0.3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</row>
    <row r="158" spans="1:14" x14ac:dyDescent="0.3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</row>
    <row r="159" spans="1:14" x14ac:dyDescent="0.3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</row>
    <row r="160" spans="1:14" x14ac:dyDescent="0.3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</row>
    <row r="161" spans="1:14" x14ac:dyDescent="0.3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</row>
    <row r="162" spans="1:14" x14ac:dyDescent="0.3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</row>
    <row r="163" spans="1:14" x14ac:dyDescent="0.3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</row>
    <row r="164" spans="1:14" x14ac:dyDescent="0.3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</row>
    <row r="165" spans="1:14" x14ac:dyDescent="0.3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</row>
    <row r="166" spans="1:14" x14ac:dyDescent="0.3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</row>
    <row r="167" spans="1:14" x14ac:dyDescent="0.3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</row>
    <row r="168" spans="1:14" x14ac:dyDescent="0.3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</row>
    <row r="169" spans="1:14" x14ac:dyDescent="0.3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</row>
    <row r="170" spans="1:14" x14ac:dyDescent="0.3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</row>
    <row r="171" spans="1:14" x14ac:dyDescent="0.3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</row>
    <row r="172" spans="1:14" x14ac:dyDescent="0.3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</row>
    <row r="173" spans="1:14" x14ac:dyDescent="0.3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</row>
    <row r="174" spans="1:14" x14ac:dyDescent="0.3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</row>
    <row r="175" spans="1:14" x14ac:dyDescent="0.3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</row>
    <row r="176" spans="1:14" x14ac:dyDescent="0.3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</row>
    <row r="177" spans="1:14" x14ac:dyDescent="0.3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</row>
    <row r="178" spans="1:14" x14ac:dyDescent="0.3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</row>
    <row r="179" spans="1:14" x14ac:dyDescent="0.3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</row>
    <row r="180" spans="1:14" x14ac:dyDescent="0.3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</row>
    <row r="181" spans="1:14" x14ac:dyDescent="0.3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</row>
    <row r="182" spans="1:14" x14ac:dyDescent="0.3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</row>
    <row r="183" spans="1:14" x14ac:dyDescent="0.3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</row>
    <row r="184" spans="1:14" x14ac:dyDescent="0.3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</row>
    <row r="185" spans="1:14" x14ac:dyDescent="0.3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</row>
    <row r="186" spans="1:14" x14ac:dyDescent="0.3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</row>
    <row r="187" spans="1:14" x14ac:dyDescent="0.3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</row>
    <row r="188" spans="1:14" x14ac:dyDescent="0.3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</row>
    <row r="189" spans="1:14" x14ac:dyDescent="0.3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</row>
    <row r="190" spans="1:14" x14ac:dyDescent="0.3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</row>
    <row r="191" spans="1:14" x14ac:dyDescent="0.3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</row>
    <row r="192" spans="1:14" x14ac:dyDescent="0.3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</row>
    <row r="193" spans="1:14" x14ac:dyDescent="0.3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</row>
    <row r="194" spans="1:14" x14ac:dyDescent="0.3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</row>
    <row r="195" spans="1:14" x14ac:dyDescent="0.3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</row>
    <row r="196" spans="1:14" x14ac:dyDescent="0.3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</row>
    <row r="197" spans="1:14" x14ac:dyDescent="0.3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</row>
    <row r="198" spans="1:14" x14ac:dyDescent="0.3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</row>
    <row r="199" spans="1:14" x14ac:dyDescent="0.3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</row>
    <row r="200" spans="1:14" x14ac:dyDescent="0.3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7"/>
  <sheetViews>
    <sheetView topLeftCell="M1" zoomScaleNormal="100" workbookViewId="0">
      <selection activeCell="R16" sqref="R16"/>
    </sheetView>
  </sheetViews>
  <sheetFormatPr defaultRowHeight="14.4" x14ac:dyDescent="0.3"/>
  <cols>
    <col min="2" max="2" width="10.44140625" customWidth="1"/>
    <col min="3" max="5" width="14.44140625" bestFit="1" customWidth="1"/>
    <col min="6" max="20" width="15.44140625" bestFit="1" customWidth="1"/>
  </cols>
  <sheetData>
    <row r="1" spans="1:20" x14ac:dyDescent="0.3">
      <c r="A1" t="s">
        <v>1</v>
      </c>
      <c r="B1" s="2">
        <v>41640</v>
      </c>
    </row>
    <row r="3" spans="1:20" x14ac:dyDescent="0.3">
      <c r="C3" s="3" t="s">
        <v>2</v>
      </c>
      <c r="D3" s="4">
        <v>7</v>
      </c>
      <c r="E3" s="4">
        <v>8</v>
      </c>
      <c r="F3" s="4">
        <v>9</v>
      </c>
      <c r="G3" s="4">
        <v>10</v>
      </c>
      <c r="H3" s="4">
        <v>11</v>
      </c>
      <c r="I3" s="4">
        <v>12</v>
      </c>
      <c r="J3" s="4">
        <v>13</v>
      </c>
      <c r="K3" s="4">
        <v>14</v>
      </c>
      <c r="L3" s="4">
        <v>15</v>
      </c>
      <c r="M3" s="4">
        <v>16</v>
      </c>
      <c r="N3" s="4">
        <v>17</v>
      </c>
      <c r="O3" s="4">
        <v>18</v>
      </c>
      <c r="P3" s="4">
        <v>19</v>
      </c>
      <c r="Q3" s="4">
        <v>20</v>
      </c>
      <c r="R3" s="4">
        <v>21</v>
      </c>
      <c r="S3" s="4">
        <v>22</v>
      </c>
      <c r="T3" s="4">
        <v>23</v>
      </c>
    </row>
    <row r="4" spans="1:20" x14ac:dyDescent="0.3">
      <c r="A4" s="15" t="s">
        <v>4</v>
      </c>
      <c r="B4" t="s">
        <v>0</v>
      </c>
      <c r="C4" s="1">
        <f>$B$1+TIME(HOUR($B$1) + 0,MINUTE($B$1) + 0,SECOND($B$1) + 0)</f>
        <v>41640</v>
      </c>
      <c r="D4" s="1">
        <f t="shared" ref="D4:T4" si="0">$B$1+TIME(HOUR($B$1) + D3,MINUTE($B$1) + 0,SECOND($B$1) + 0)</f>
        <v>41640.291666666664</v>
      </c>
      <c r="E4" s="1">
        <f t="shared" si="0"/>
        <v>41640.333333333336</v>
      </c>
      <c r="F4" s="1">
        <f t="shared" si="0"/>
        <v>41640.375</v>
      </c>
      <c r="G4" s="1">
        <f t="shared" si="0"/>
        <v>41640.416666666664</v>
      </c>
      <c r="H4" s="1">
        <f t="shared" si="0"/>
        <v>41640.458333333336</v>
      </c>
      <c r="I4" s="1">
        <f t="shared" si="0"/>
        <v>41640.5</v>
      </c>
      <c r="J4" s="1">
        <f t="shared" si="0"/>
        <v>41640.541666666664</v>
      </c>
      <c r="K4" s="1">
        <f t="shared" si="0"/>
        <v>41640.583333333336</v>
      </c>
      <c r="L4" s="1">
        <f t="shared" si="0"/>
        <v>41640.625</v>
      </c>
      <c r="M4" s="1">
        <f t="shared" si="0"/>
        <v>41640.666666666664</v>
      </c>
      <c r="N4" s="1">
        <f t="shared" si="0"/>
        <v>41640.708333333336</v>
      </c>
      <c r="O4" s="1">
        <f t="shared" si="0"/>
        <v>41640.75</v>
      </c>
      <c r="P4" s="1">
        <f t="shared" si="0"/>
        <v>41640.791666666664</v>
      </c>
      <c r="Q4" s="1">
        <f t="shared" si="0"/>
        <v>41640.833333333336</v>
      </c>
      <c r="R4" s="1">
        <f t="shared" si="0"/>
        <v>41640.875</v>
      </c>
      <c r="S4" s="1">
        <f t="shared" si="0"/>
        <v>41640.916666666664</v>
      </c>
      <c r="T4" s="1">
        <f t="shared" si="0"/>
        <v>41640.958333333336</v>
      </c>
    </row>
    <row r="5" spans="1:20" x14ac:dyDescent="0.3">
      <c r="A5" s="15"/>
      <c r="B5" t="s">
        <v>3</v>
      </c>
      <c r="C5" s="1">
        <f>$B$1+TIME(HOUR($B$1) + 6,MINUTE($B$1) + 0,SECOND($B$1) + 0)</f>
        <v>41640.25</v>
      </c>
      <c r="D5" s="1">
        <f t="shared" ref="D5:S5" si="1">$B$1+TIME(HOUR($B$1) + E3,MINUTE($B$1) + 0,SECOND($B$1) + 0)</f>
        <v>41640.333333333336</v>
      </c>
      <c r="E5" s="1">
        <f t="shared" si="1"/>
        <v>41640.375</v>
      </c>
      <c r="F5" s="1">
        <f t="shared" si="1"/>
        <v>41640.416666666664</v>
      </c>
      <c r="G5" s="1">
        <f t="shared" si="1"/>
        <v>41640.458333333336</v>
      </c>
      <c r="H5" s="1">
        <f t="shared" si="1"/>
        <v>41640.5</v>
      </c>
      <c r="I5" s="1">
        <f t="shared" si="1"/>
        <v>41640.541666666664</v>
      </c>
      <c r="J5" s="1">
        <f t="shared" si="1"/>
        <v>41640.583333333336</v>
      </c>
      <c r="K5" s="1">
        <f t="shared" si="1"/>
        <v>41640.625</v>
      </c>
      <c r="L5" s="1">
        <f t="shared" si="1"/>
        <v>41640.666666666664</v>
      </c>
      <c r="M5" s="1">
        <f t="shared" si="1"/>
        <v>41640.708333333336</v>
      </c>
      <c r="N5" s="1">
        <f t="shared" si="1"/>
        <v>41640.75</v>
      </c>
      <c r="O5" s="1">
        <f t="shared" si="1"/>
        <v>41640.791666666664</v>
      </c>
      <c r="P5" s="1">
        <f t="shared" si="1"/>
        <v>41640.833333333336</v>
      </c>
      <c r="Q5" s="1">
        <f t="shared" si="1"/>
        <v>41640.875</v>
      </c>
      <c r="R5" s="1">
        <f t="shared" si="1"/>
        <v>41640.916666666664</v>
      </c>
      <c r="S5" s="1">
        <f t="shared" si="1"/>
        <v>41640.958333333336</v>
      </c>
      <c r="T5" s="1">
        <f>$B$1+TIME(HOUR($B$1) + 23,MINUTE($B$1) + 59,SECOND($B$1) + 59)</f>
        <v>41640.999988425923</v>
      </c>
    </row>
    <row r="6" spans="1:20" x14ac:dyDescent="0.3">
      <c r="A6" s="15" t="s">
        <v>5</v>
      </c>
      <c r="B6" t="s">
        <v>0</v>
      </c>
      <c r="C6" s="1">
        <f>DATE(YEAR($B$1),MONTH($B$1),DAY($B$1)+1) + TIME(HOUR($B$1) + 0,MINUTE($B$1) + 0,SECOND($B$1) + 0)</f>
        <v>41641</v>
      </c>
      <c r="D6" s="1">
        <f>DATE(YEAR($B$1),MONTH($B$1),DAY($B$1)+1) + TIME(HOUR($B$1) + D$3,MINUTE($B$1) + 0,SECOND($B$1) + 0)</f>
        <v>41641.291666666664</v>
      </c>
      <c r="E6" s="1">
        <f t="shared" ref="E6:T6" si="2">DATE(YEAR($B$1),MONTH($B$1),DAY($B$1)+1) + TIME(HOUR($B$1) + E3,MINUTE($B$1) + 0,SECOND($B$1) + 0)</f>
        <v>41641.333333333336</v>
      </c>
      <c r="F6" s="1">
        <f t="shared" si="2"/>
        <v>41641.375</v>
      </c>
      <c r="G6" s="1">
        <f t="shared" si="2"/>
        <v>41641.416666666664</v>
      </c>
      <c r="H6" s="1">
        <f t="shared" si="2"/>
        <v>41641.458333333336</v>
      </c>
      <c r="I6" s="1">
        <f t="shared" si="2"/>
        <v>41641.5</v>
      </c>
      <c r="J6" s="1">
        <f t="shared" si="2"/>
        <v>41641.541666666664</v>
      </c>
      <c r="K6" s="1">
        <f t="shared" si="2"/>
        <v>41641.583333333336</v>
      </c>
      <c r="L6" s="1">
        <f t="shared" si="2"/>
        <v>41641.625</v>
      </c>
      <c r="M6" s="1">
        <f t="shared" si="2"/>
        <v>41641.666666666664</v>
      </c>
      <c r="N6" s="1">
        <f t="shared" si="2"/>
        <v>41641.708333333336</v>
      </c>
      <c r="O6" s="1">
        <f t="shared" si="2"/>
        <v>41641.75</v>
      </c>
      <c r="P6" s="1">
        <f t="shared" si="2"/>
        <v>41641.791666666664</v>
      </c>
      <c r="Q6" s="1">
        <f t="shared" si="2"/>
        <v>41641.833333333336</v>
      </c>
      <c r="R6" s="1">
        <f t="shared" si="2"/>
        <v>41641.875</v>
      </c>
      <c r="S6" s="1">
        <f t="shared" si="2"/>
        <v>41641.916666666664</v>
      </c>
      <c r="T6" s="1">
        <f t="shared" si="2"/>
        <v>41641.958333333336</v>
      </c>
    </row>
    <row r="7" spans="1:20" x14ac:dyDescent="0.3">
      <c r="A7" s="15"/>
      <c r="B7" t="s">
        <v>3</v>
      </c>
      <c r="C7" s="1">
        <f>DATE(YEAR($B$1),MONTH($B$1),DAY($B$1)+1) + TIME(HOUR($B$1) + 6,MINUTE($B$1) + 0,SECOND($B$1) + 0)</f>
        <v>41641.25</v>
      </c>
      <c r="D7" s="1">
        <f>DATE(YEAR($B$1),MONTH($B$1),DAY($B$1)+1) + TIME(HOUR($B$1) + E$3,MINUTE($B$1) + 0,SECOND($B$1) + 0)</f>
        <v>41641.333333333336</v>
      </c>
      <c r="E7" s="1">
        <f t="shared" ref="E7:S7" si="3">DATE(YEAR($B$1),MONTH($B$1),DAY($B$1)+1) + TIME(HOUR($B$1) + F3,MINUTE($B$1) + 0,SECOND($B$1) + 0)</f>
        <v>41641.375</v>
      </c>
      <c r="F7" s="1">
        <f t="shared" si="3"/>
        <v>41641.416666666664</v>
      </c>
      <c r="G7" s="1">
        <f t="shared" si="3"/>
        <v>41641.458333333336</v>
      </c>
      <c r="H7" s="1">
        <f t="shared" si="3"/>
        <v>41641.5</v>
      </c>
      <c r="I7" s="1">
        <f t="shared" si="3"/>
        <v>41641.541666666664</v>
      </c>
      <c r="J7" s="1">
        <f t="shared" si="3"/>
        <v>41641.583333333336</v>
      </c>
      <c r="K7" s="1">
        <f t="shared" si="3"/>
        <v>41641.625</v>
      </c>
      <c r="L7" s="1">
        <f t="shared" si="3"/>
        <v>41641.666666666664</v>
      </c>
      <c r="M7" s="1">
        <f t="shared" si="3"/>
        <v>41641.708333333336</v>
      </c>
      <c r="N7" s="1">
        <f t="shared" si="3"/>
        <v>41641.75</v>
      </c>
      <c r="O7" s="1">
        <f t="shared" si="3"/>
        <v>41641.791666666664</v>
      </c>
      <c r="P7" s="1">
        <f t="shared" si="3"/>
        <v>41641.833333333336</v>
      </c>
      <c r="Q7" s="1">
        <f t="shared" si="3"/>
        <v>41641.875</v>
      </c>
      <c r="R7" s="1">
        <f t="shared" si="3"/>
        <v>41641.916666666664</v>
      </c>
      <c r="S7" s="1">
        <f t="shared" si="3"/>
        <v>41641.958333333336</v>
      </c>
      <c r="T7" s="1">
        <f>DATE(YEAR($B$1),MONTH($B$1),DAY($B$1)+1) + TIME(HOUR($B$1) + 23,MINUTE($B$1) + 59,SECOND($B$1) + 59)</f>
        <v>41641.999988425923</v>
      </c>
    </row>
    <row r="8" spans="1:20" x14ac:dyDescent="0.3">
      <c r="A8" s="15" t="s">
        <v>6</v>
      </c>
      <c r="B8" t="s">
        <v>0</v>
      </c>
      <c r="C8" s="1">
        <f>DATE(YEAR($B$1),MONTH($B$1),DAY($B$1)+2) + TIME(HOUR($B$1) + 0,MINUTE($B$1) + 0,SECOND($B$1) + 0)</f>
        <v>41642</v>
      </c>
      <c r="D8" s="1">
        <f>DATE(YEAR($B$1),MONTH($B$1),DAY($B$1)+2) + TIME(HOUR($B$1) + D$3,MINUTE($B$1) + 0,SECOND($B$1) + 0)</f>
        <v>41642.291666666664</v>
      </c>
      <c r="E8" s="1">
        <f t="shared" ref="E8:T8" si="4">DATE(YEAR($B$1),MONTH($B$1),DAY($B$1)+2) + TIME(HOUR($B$1) + E$3,MINUTE($B$1) + 0,SECOND($B$1) + 0)</f>
        <v>41642.333333333336</v>
      </c>
      <c r="F8" s="1">
        <f t="shared" si="4"/>
        <v>41642.375</v>
      </c>
      <c r="G8" s="1">
        <f t="shared" si="4"/>
        <v>41642.416666666664</v>
      </c>
      <c r="H8" s="1">
        <f t="shared" si="4"/>
        <v>41642.458333333336</v>
      </c>
      <c r="I8" s="1">
        <f t="shared" si="4"/>
        <v>41642.5</v>
      </c>
      <c r="J8" s="1">
        <f t="shared" si="4"/>
        <v>41642.541666666664</v>
      </c>
      <c r="K8" s="1">
        <f t="shared" si="4"/>
        <v>41642.583333333336</v>
      </c>
      <c r="L8" s="1">
        <f t="shared" si="4"/>
        <v>41642.625</v>
      </c>
      <c r="M8" s="1">
        <f t="shared" si="4"/>
        <v>41642.666666666664</v>
      </c>
      <c r="N8" s="1">
        <f t="shared" si="4"/>
        <v>41642.708333333336</v>
      </c>
      <c r="O8" s="1">
        <f t="shared" si="4"/>
        <v>41642.75</v>
      </c>
      <c r="P8" s="1">
        <f t="shared" si="4"/>
        <v>41642.791666666664</v>
      </c>
      <c r="Q8" s="1">
        <f t="shared" si="4"/>
        <v>41642.833333333336</v>
      </c>
      <c r="R8" s="1">
        <f t="shared" si="4"/>
        <v>41642.875</v>
      </c>
      <c r="S8" s="1">
        <f t="shared" si="4"/>
        <v>41642.916666666664</v>
      </c>
      <c r="T8" s="1">
        <f t="shared" si="4"/>
        <v>41642.958333333336</v>
      </c>
    </row>
    <row r="9" spans="1:20" x14ac:dyDescent="0.3">
      <c r="A9" s="15"/>
      <c r="B9" t="s">
        <v>3</v>
      </c>
      <c r="C9" s="1">
        <f>DATE(YEAR($B$1),MONTH($B$1),DAY($B$1)+2) + TIME(HOUR($B$1) + 6,MINUTE($B$1) + 0,SECOND($B$1) + 0)</f>
        <v>41642.25</v>
      </c>
      <c r="D9" s="1">
        <f>DATE(YEAR($B$1),MONTH($B$1),DAY($B$1)+2) + TIME(HOUR($B$1) + E$3,MINUTE($B$1) + 0,SECOND($B$1) + 0)</f>
        <v>41642.333333333336</v>
      </c>
      <c r="E9" s="1">
        <f t="shared" ref="E9:S9" si="5">DATE(YEAR($B$1),MONTH($B$1),DAY($B$1)+2) + TIME(HOUR($B$1) + F$3,MINUTE($B$1) + 0,SECOND($B$1) + 0)</f>
        <v>41642.375</v>
      </c>
      <c r="F9" s="1">
        <f t="shared" si="5"/>
        <v>41642.416666666664</v>
      </c>
      <c r="G9" s="1">
        <f t="shared" si="5"/>
        <v>41642.458333333336</v>
      </c>
      <c r="H9" s="1">
        <f t="shared" si="5"/>
        <v>41642.5</v>
      </c>
      <c r="I9" s="1">
        <f t="shared" si="5"/>
        <v>41642.541666666664</v>
      </c>
      <c r="J9" s="1">
        <f t="shared" si="5"/>
        <v>41642.583333333336</v>
      </c>
      <c r="K9" s="1">
        <f t="shared" si="5"/>
        <v>41642.625</v>
      </c>
      <c r="L9" s="1">
        <f t="shared" si="5"/>
        <v>41642.666666666664</v>
      </c>
      <c r="M9" s="1">
        <f t="shared" si="5"/>
        <v>41642.708333333336</v>
      </c>
      <c r="N9" s="1">
        <f t="shared" si="5"/>
        <v>41642.75</v>
      </c>
      <c r="O9" s="1">
        <f t="shared" si="5"/>
        <v>41642.791666666664</v>
      </c>
      <c r="P9" s="1">
        <f t="shared" si="5"/>
        <v>41642.833333333336</v>
      </c>
      <c r="Q9" s="1">
        <f t="shared" si="5"/>
        <v>41642.875</v>
      </c>
      <c r="R9" s="1">
        <f t="shared" si="5"/>
        <v>41642.916666666664</v>
      </c>
      <c r="S9" s="1">
        <f t="shared" si="5"/>
        <v>41642.958333333336</v>
      </c>
      <c r="T9" s="1">
        <f>DATE(YEAR($B$1),MONTH($B$1),DAY($B$1)+2) + TIME(HOUR($B$1) + 23,MINUTE($B$1) + 59,SECOND($B$1) + 59)</f>
        <v>41642.999988425923</v>
      </c>
    </row>
    <row r="10" spans="1:20" x14ac:dyDescent="0.3">
      <c r="A10" s="15" t="s">
        <v>7</v>
      </c>
      <c r="B10" t="s">
        <v>0</v>
      </c>
      <c r="C10" s="1">
        <f>DATE(YEAR($B$1),MONTH($B$1),DAY($B$1)+3) + TIME(HOUR($B$1) + 0,MINUTE($B$1) + 0,SECOND($B$1) + 0)</f>
        <v>41643</v>
      </c>
      <c r="D10" s="1">
        <f>DATE(YEAR($B$1),MONTH($B$1),DAY($B$1)+3) + TIME(HOUR($B$1) + D$3,MINUTE($B$1) + 0,SECOND($B$1) + 0)</f>
        <v>41643.291666666664</v>
      </c>
      <c r="E10" s="1">
        <f t="shared" ref="E10:T10" si="6">DATE(YEAR($B$1),MONTH($B$1),DAY($B$1)+3) + TIME(HOUR($B$1) + E$3,MINUTE($B$1) + 0,SECOND($B$1) + 0)</f>
        <v>41643.333333333336</v>
      </c>
      <c r="F10" s="1">
        <f t="shared" si="6"/>
        <v>41643.375</v>
      </c>
      <c r="G10" s="1">
        <f t="shared" si="6"/>
        <v>41643.416666666664</v>
      </c>
      <c r="H10" s="1">
        <f t="shared" si="6"/>
        <v>41643.458333333336</v>
      </c>
      <c r="I10" s="1">
        <f t="shared" si="6"/>
        <v>41643.5</v>
      </c>
      <c r="J10" s="1">
        <f t="shared" si="6"/>
        <v>41643.541666666664</v>
      </c>
      <c r="K10" s="1">
        <f t="shared" si="6"/>
        <v>41643.583333333336</v>
      </c>
      <c r="L10" s="1">
        <f t="shared" si="6"/>
        <v>41643.625</v>
      </c>
      <c r="M10" s="1">
        <f t="shared" si="6"/>
        <v>41643.666666666664</v>
      </c>
      <c r="N10" s="1">
        <f t="shared" si="6"/>
        <v>41643.708333333336</v>
      </c>
      <c r="O10" s="1">
        <f t="shared" si="6"/>
        <v>41643.75</v>
      </c>
      <c r="P10" s="1">
        <f t="shared" si="6"/>
        <v>41643.791666666664</v>
      </c>
      <c r="Q10" s="1">
        <f t="shared" si="6"/>
        <v>41643.833333333336</v>
      </c>
      <c r="R10" s="1">
        <f t="shared" si="6"/>
        <v>41643.875</v>
      </c>
      <c r="S10" s="1">
        <f t="shared" si="6"/>
        <v>41643.916666666664</v>
      </c>
      <c r="T10" s="1">
        <f t="shared" si="6"/>
        <v>41643.958333333336</v>
      </c>
    </row>
    <row r="11" spans="1:20" x14ac:dyDescent="0.3">
      <c r="A11" s="15"/>
      <c r="B11" t="s">
        <v>3</v>
      </c>
      <c r="C11" s="1">
        <f>DATE(YEAR($B$1),MONTH($B$1),DAY($B$1)+3) + TIME(HOUR($B$1) + 6,MINUTE($B$1) + 0,SECOND($B$1) + 0)</f>
        <v>41643.25</v>
      </c>
      <c r="D11" s="1">
        <f>DATE(YEAR($B$1),MONTH($B$1),DAY($B$1)+3) + TIME(HOUR($B$1) + E$3,MINUTE($B$1) + 0,SECOND($B$1) + 0)</f>
        <v>41643.333333333336</v>
      </c>
      <c r="E11" s="1">
        <f t="shared" ref="E11:S11" si="7">DATE(YEAR($B$1),MONTH($B$1),DAY($B$1)+3) + TIME(HOUR($B$1) + F$3,MINUTE($B$1) + 0,SECOND($B$1) + 0)</f>
        <v>41643.375</v>
      </c>
      <c r="F11" s="1">
        <f t="shared" si="7"/>
        <v>41643.416666666664</v>
      </c>
      <c r="G11" s="1">
        <f t="shared" si="7"/>
        <v>41643.458333333336</v>
      </c>
      <c r="H11" s="1">
        <f t="shared" si="7"/>
        <v>41643.5</v>
      </c>
      <c r="I11" s="1">
        <f t="shared" si="7"/>
        <v>41643.541666666664</v>
      </c>
      <c r="J11" s="1">
        <f t="shared" si="7"/>
        <v>41643.583333333336</v>
      </c>
      <c r="K11" s="1">
        <f t="shared" si="7"/>
        <v>41643.625</v>
      </c>
      <c r="L11" s="1">
        <f t="shared" si="7"/>
        <v>41643.666666666664</v>
      </c>
      <c r="M11" s="1">
        <f t="shared" si="7"/>
        <v>41643.708333333336</v>
      </c>
      <c r="N11" s="1">
        <f t="shared" si="7"/>
        <v>41643.75</v>
      </c>
      <c r="O11" s="1">
        <f t="shared" si="7"/>
        <v>41643.791666666664</v>
      </c>
      <c r="P11" s="1">
        <f t="shared" si="7"/>
        <v>41643.833333333336</v>
      </c>
      <c r="Q11" s="1">
        <f t="shared" si="7"/>
        <v>41643.875</v>
      </c>
      <c r="R11" s="1">
        <f t="shared" si="7"/>
        <v>41643.916666666664</v>
      </c>
      <c r="S11" s="1">
        <f t="shared" si="7"/>
        <v>41643.958333333336</v>
      </c>
      <c r="T11" s="1">
        <f>DATE(YEAR($B$1),MONTH($B$1),DAY($B$1)+3) + TIME(HOUR($B$1) + 23,MINUTE($B$1) + 59,SECOND($B$1) + 59)</f>
        <v>41643.999988425923</v>
      </c>
    </row>
    <row r="12" spans="1:20" x14ac:dyDescent="0.3">
      <c r="A12" s="15" t="s">
        <v>8</v>
      </c>
      <c r="B12" t="s">
        <v>0</v>
      </c>
      <c r="C12" s="1">
        <f>DATE(YEAR($B$1),MONTH($B$1),DAY($B$1)+4) + TIME(HOUR($B$1) + 0,MINUTE($B$1) + 0,SECOND($B$1) + 0)</f>
        <v>41644</v>
      </c>
      <c r="D12" s="1">
        <f>DATE(YEAR($B$1),MONTH($B$1),DAY($B$1)+4) + TIME(HOUR($B$1) + D$3,MINUTE($B$1) + 0,SECOND($B$1) + 0)</f>
        <v>41644.291666666664</v>
      </c>
      <c r="E12" s="1">
        <f>DATE(YEAR($B$1),MONTH($B$1),DAY($B$1)+4) + TIME(HOUR($B$1) + E$3,MINUTE($B$1) + 0,SECOND($B$1) + 0)</f>
        <v>41644.333333333336</v>
      </c>
      <c r="F12" s="1">
        <f t="shared" ref="F12:S12" si="8">DATE(YEAR($B$1),MONTH($B$1),DAY($B$1)+4) + TIME(HOUR($B$1) + F$3,MINUTE($B$1) + 0,SECOND($B$1) + 0)</f>
        <v>41644.375</v>
      </c>
      <c r="G12" s="1">
        <f t="shared" si="8"/>
        <v>41644.416666666664</v>
      </c>
      <c r="H12" s="1">
        <f t="shared" si="8"/>
        <v>41644.458333333336</v>
      </c>
      <c r="I12" s="1">
        <f t="shared" si="8"/>
        <v>41644.5</v>
      </c>
      <c r="J12" s="1">
        <f t="shared" si="8"/>
        <v>41644.541666666664</v>
      </c>
      <c r="K12" s="1">
        <f t="shared" si="8"/>
        <v>41644.583333333336</v>
      </c>
      <c r="L12" s="1">
        <f t="shared" si="8"/>
        <v>41644.625</v>
      </c>
      <c r="M12" s="1">
        <f t="shared" si="8"/>
        <v>41644.666666666664</v>
      </c>
      <c r="N12" s="1">
        <f t="shared" si="8"/>
        <v>41644.708333333336</v>
      </c>
      <c r="O12" s="1">
        <f t="shared" si="8"/>
        <v>41644.75</v>
      </c>
      <c r="P12" s="1">
        <f t="shared" si="8"/>
        <v>41644.791666666664</v>
      </c>
      <c r="Q12" s="1">
        <f t="shared" si="8"/>
        <v>41644.833333333336</v>
      </c>
      <c r="R12" s="1">
        <f t="shared" si="8"/>
        <v>41644.875</v>
      </c>
      <c r="S12" s="1">
        <f t="shared" si="8"/>
        <v>41644.916666666664</v>
      </c>
      <c r="T12" s="1">
        <f t="shared" ref="T12" si="9">DATE(YEAR($B$1),MONTH($B$1),DAY($B$1)+4) + TIME(HOUR($B$1) + T$3,MINUTE($B$1) + 0,SECOND($B$1) + 0)</f>
        <v>41644.958333333336</v>
      </c>
    </row>
    <row r="13" spans="1:20" x14ac:dyDescent="0.3">
      <c r="A13" s="15"/>
      <c r="B13" t="s">
        <v>3</v>
      </c>
      <c r="C13" s="1">
        <f>DATE(YEAR($B$1),MONTH($B$1),DAY($B$1)+4) + TIME(HOUR($B$1) + 6,MINUTE($B$1) + 0,SECOND($B$1) + 0)</f>
        <v>41644.25</v>
      </c>
      <c r="D13" s="1">
        <f>DATE(YEAR($B$1),MONTH($B$1),DAY($B$1)+4) + TIME(HOUR($B$1) + E$3,MINUTE($B$1) + 0,SECOND($B$1) + 0)</f>
        <v>41644.333333333336</v>
      </c>
      <c r="E13" s="1">
        <f>DATE(YEAR($B$1),MONTH($B$1),DAY($B$1)+4) + TIME(HOUR($B$1) + F$3,MINUTE($B$1) + 0,SECOND($B$1) + 0)</f>
        <v>41644.375</v>
      </c>
      <c r="F13" s="1">
        <f t="shared" ref="F13:S13" si="10">DATE(YEAR($B$1),MONTH($B$1),DAY($B$1)+4) + TIME(HOUR($B$1) + G$3,MINUTE($B$1) + 0,SECOND($B$1) + 0)</f>
        <v>41644.416666666664</v>
      </c>
      <c r="G13" s="1">
        <f t="shared" si="10"/>
        <v>41644.458333333336</v>
      </c>
      <c r="H13" s="1">
        <f t="shared" si="10"/>
        <v>41644.5</v>
      </c>
      <c r="I13" s="1">
        <f t="shared" si="10"/>
        <v>41644.541666666664</v>
      </c>
      <c r="J13" s="1">
        <f t="shared" si="10"/>
        <v>41644.583333333336</v>
      </c>
      <c r="K13" s="1">
        <f t="shared" si="10"/>
        <v>41644.625</v>
      </c>
      <c r="L13" s="1">
        <f t="shared" si="10"/>
        <v>41644.666666666664</v>
      </c>
      <c r="M13" s="1">
        <f t="shared" si="10"/>
        <v>41644.708333333336</v>
      </c>
      <c r="N13" s="1">
        <f t="shared" si="10"/>
        <v>41644.75</v>
      </c>
      <c r="O13" s="1">
        <f t="shared" si="10"/>
        <v>41644.791666666664</v>
      </c>
      <c r="P13" s="1">
        <f t="shared" si="10"/>
        <v>41644.833333333336</v>
      </c>
      <c r="Q13" s="1">
        <f t="shared" si="10"/>
        <v>41644.875</v>
      </c>
      <c r="R13" s="1">
        <f t="shared" si="10"/>
        <v>41644.916666666664</v>
      </c>
      <c r="S13" s="1">
        <f t="shared" si="10"/>
        <v>41644.958333333336</v>
      </c>
      <c r="T13" s="1">
        <f>DATE(YEAR($B$1),MONTH($B$1),DAY($B$1)+4) + TIME(HOUR($B$1) + 23,MINUTE($B$1) + 59,SECOND($B$1) + 59)</f>
        <v>41644.999988425923</v>
      </c>
    </row>
    <row r="14" spans="1:20" x14ac:dyDescent="0.3">
      <c r="A14" s="15" t="s">
        <v>57</v>
      </c>
      <c r="B14" t="s">
        <v>0</v>
      </c>
      <c r="C14" s="1">
        <f>DATE(YEAR($B$1),MONTH($B$1),DAY($B$1)+5) + TIME(HOUR($B$1) + 0,MINUTE($B$1) + 0,SECOND($B$1) + 0)</f>
        <v>41645</v>
      </c>
      <c r="D14" s="1">
        <f>DATE(YEAR($B$1),MONTH($B$1),DAY($B$1)+5) + TIME(HOUR($B$1) + D$3,MINUTE($B$1) + 0,SECOND($B$1) + 0)</f>
        <v>41645.291666666664</v>
      </c>
      <c r="E14" s="1">
        <f t="shared" ref="E14:S14" si="11">DATE(YEAR($B$1),MONTH($B$1),DAY($B$1)+5) + TIME(HOUR($B$1) + E$3,MINUTE($B$1) + 0,SECOND($B$1) + 0)</f>
        <v>41645.333333333336</v>
      </c>
      <c r="F14" s="1">
        <f t="shared" si="11"/>
        <v>41645.375</v>
      </c>
      <c r="G14" s="1">
        <f t="shared" si="11"/>
        <v>41645.416666666664</v>
      </c>
      <c r="H14" s="1">
        <f t="shared" si="11"/>
        <v>41645.458333333336</v>
      </c>
      <c r="I14" s="1">
        <f t="shared" si="11"/>
        <v>41645.5</v>
      </c>
      <c r="J14" s="1">
        <f t="shared" si="11"/>
        <v>41645.541666666664</v>
      </c>
      <c r="K14" s="1">
        <f t="shared" si="11"/>
        <v>41645.583333333336</v>
      </c>
      <c r="L14" s="1">
        <f t="shared" si="11"/>
        <v>41645.625</v>
      </c>
      <c r="M14" s="1">
        <f t="shared" si="11"/>
        <v>41645.666666666664</v>
      </c>
      <c r="N14" s="1">
        <f t="shared" si="11"/>
        <v>41645.708333333336</v>
      </c>
      <c r="O14" s="1">
        <f t="shared" si="11"/>
        <v>41645.75</v>
      </c>
      <c r="P14" s="1">
        <f t="shared" si="11"/>
        <v>41645.791666666664</v>
      </c>
      <c r="Q14" s="1">
        <f t="shared" si="11"/>
        <v>41645.833333333336</v>
      </c>
      <c r="R14" s="1">
        <f t="shared" si="11"/>
        <v>41645.875</v>
      </c>
      <c r="S14" s="1">
        <f t="shared" si="11"/>
        <v>41645.916666666664</v>
      </c>
      <c r="T14" s="1">
        <f>DATE(YEAR($B$1),MONTH($B$1),DAY($B$1)+5) + TIME(HOUR($B$1) + T$3,MINUTE($B$1) + 0,SECOND($B$1) + 0)</f>
        <v>41645.958333333336</v>
      </c>
    </row>
    <row r="15" spans="1:20" x14ac:dyDescent="0.3">
      <c r="A15" s="15"/>
      <c r="B15" t="s">
        <v>3</v>
      </c>
      <c r="C15" s="1">
        <f>DATE(YEAR($B$1),MONTH($B$1),DAY($B$1)+5) + TIME(HOUR($B$1) + 6,MINUTE($B$1) + 0,SECOND($B$1) + 0)</f>
        <v>41645.25</v>
      </c>
      <c r="D15" s="1">
        <f>DATE(YEAR($B$1),MONTH($B$1),DAY($B$1)+5) + TIME(HOUR($B$1) + E$3,MINUTE($B$1) + 0,SECOND($B$1) + 0)</f>
        <v>41645.333333333336</v>
      </c>
      <c r="E15" s="1">
        <f t="shared" ref="E15:S15" si="12">DATE(YEAR($B$1),MONTH($B$1),DAY($B$1)+5) + TIME(HOUR($B$1) + F$3,MINUTE($B$1) + 0,SECOND($B$1) + 0)</f>
        <v>41645.375</v>
      </c>
      <c r="F15" s="1">
        <f t="shared" si="12"/>
        <v>41645.416666666664</v>
      </c>
      <c r="G15" s="1">
        <f t="shared" si="12"/>
        <v>41645.458333333336</v>
      </c>
      <c r="H15" s="1">
        <f t="shared" si="12"/>
        <v>41645.5</v>
      </c>
      <c r="I15" s="1">
        <f t="shared" si="12"/>
        <v>41645.541666666664</v>
      </c>
      <c r="J15" s="1">
        <f t="shared" si="12"/>
        <v>41645.583333333336</v>
      </c>
      <c r="K15" s="1">
        <f t="shared" si="12"/>
        <v>41645.625</v>
      </c>
      <c r="L15" s="1">
        <f t="shared" si="12"/>
        <v>41645.666666666664</v>
      </c>
      <c r="M15" s="1">
        <f t="shared" si="12"/>
        <v>41645.708333333336</v>
      </c>
      <c r="N15" s="1">
        <f t="shared" si="12"/>
        <v>41645.75</v>
      </c>
      <c r="O15" s="1">
        <f t="shared" si="12"/>
        <v>41645.791666666664</v>
      </c>
      <c r="P15" s="1">
        <f t="shared" si="12"/>
        <v>41645.833333333336</v>
      </c>
      <c r="Q15" s="1">
        <f t="shared" si="12"/>
        <v>41645.875</v>
      </c>
      <c r="R15" s="1">
        <f t="shared" si="12"/>
        <v>41645.916666666664</v>
      </c>
      <c r="S15" s="1">
        <f t="shared" si="12"/>
        <v>41645.958333333336</v>
      </c>
      <c r="T15" s="1">
        <f>DATE(YEAR($B$1),MONTH($B$1),DAY($B$1)+5) + TIME(HOUR($B$1) + 23,MINUTE($B$1) + 59,SECOND($B$1) + 59)</f>
        <v>41645.999988425923</v>
      </c>
    </row>
    <row r="16" spans="1:20" x14ac:dyDescent="0.3">
      <c r="A16" s="15" t="s">
        <v>58</v>
      </c>
      <c r="B16" t="s">
        <v>0</v>
      </c>
      <c r="C16" s="1">
        <f>DATE(YEAR($B$1),MONTH($B$1),DAY($B$1)+6) + TIME(HOUR($B$1) + 0,MINUTE($B$1) + 0,SECOND($B$1) + 0)</f>
        <v>41646</v>
      </c>
      <c r="D16" s="1">
        <f>DATE(YEAR($B$1),MONTH($B$1),DAY($B$1)+6) + TIME(HOUR($B$1) + D$3,MINUTE($B$1) + 0,SECOND($B$1) + 0)</f>
        <v>41646.291666666664</v>
      </c>
      <c r="E16" s="1">
        <f t="shared" ref="E16:S16" si="13">DATE(YEAR($B$1),MONTH($B$1),DAY($B$1)+6) + TIME(HOUR($B$1) + E$3,MINUTE($B$1) + 0,SECOND($B$1) + 0)</f>
        <v>41646.333333333336</v>
      </c>
      <c r="F16" s="1">
        <f t="shared" si="13"/>
        <v>41646.375</v>
      </c>
      <c r="G16" s="1">
        <f t="shared" si="13"/>
        <v>41646.416666666664</v>
      </c>
      <c r="H16" s="1">
        <f t="shared" si="13"/>
        <v>41646.458333333336</v>
      </c>
      <c r="I16" s="1">
        <f t="shared" si="13"/>
        <v>41646.5</v>
      </c>
      <c r="J16" s="1">
        <f t="shared" si="13"/>
        <v>41646.541666666664</v>
      </c>
      <c r="K16" s="1">
        <f t="shared" si="13"/>
        <v>41646.583333333336</v>
      </c>
      <c r="L16" s="1">
        <f t="shared" si="13"/>
        <v>41646.625</v>
      </c>
      <c r="M16" s="1">
        <f t="shared" si="13"/>
        <v>41646.666666666664</v>
      </c>
      <c r="N16" s="1">
        <f t="shared" si="13"/>
        <v>41646.708333333336</v>
      </c>
      <c r="O16" s="1">
        <f t="shared" si="13"/>
        <v>41646.75</v>
      </c>
      <c r="P16" s="1">
        <f t="shared" si="13"/>
        <v>41646.791666666664</v>
      </c>
      <c r="Q16" s="1">
        <f t="shared" si="13"/>
        <v>41646.833333333336</v>
      </c>
      <c r="R16" s="1">
        <f t="shared" si="13"/>
        <v>41646.875</v>
      </c>
      <c r="S16" s="1">
        <f t="shared" si="13"/>
        <v>41646.916666666664</v>
      </c>
      <c r="T16" s="1">
        <f>DATE(YEAR($B$1),MONTH($B$1),DAY($B$1)+6) + TIME(HOUR($B$1) + T$3,MINUTE($B$1) + 0,SECOND($B$1) + 0)</f>
        <v>41646.958333333336</v>
      </c>
    </row>
    <row r="17" spans="1:20" x14ac:dyDescent="0.3">
      <c r="A17" s="15"/>
      <c r="B17" t="s">
        <v>3</v>
      </c>
      <c r="C17" s="1">
        <f>DATE(YEAR($B$1),MONTH($B$1),DAY($B$1)+6) + TIME(HOUR($B$1) + 6,MINUTE($B$1) + 0,SECOND($B$1) + 0)</f>
        <v>41646.25</v>
      </c>
      <c r="D17" s="1">
        <f>DATE(YEAR($B$1),MONTH($B$1),DAY($B$1)+6) + TIME(HOUR($B$1) + E$3,MINUTE($B$1) + 0,SECOND($B$1) + 0)</f>
        <v>41646.333333333336</v>
      </c>
      <c r="E17" s="1">
        <f t="shared" ref="E17:S17" si="14">DATE(YEAR($B$1),MONTH($B$1),DAY($B$1)+6) + TIME(HOUR($B$1) + F$3,MINUTE($B$1) + 0,SECOND($B$1) + 0)</f>
        <v>41646.375</v>
      </c>
      <c r="F17" s="1">
        <f t="shared" si="14"/>
        <v>41646.416666666664</v>
      </c>
      <c r="G17" s="1">
        <f t="shared" si="14"/>
        <v>41646.458333333336</v>
      </c>
      <c r="H17" s="1">
        <f t="shared" si="14"/>
        <v>41646.5</v>
      </c>
      <c r="I17" s="1">
        <f t="shared" si="14"/>
        <v>41646.541666666664</v>
      </c>
      <c r="J17" s="1">
        <f t="shared" si="14"/>
        <v>41646.583333333336</v>
      </c>
      <c r="K17" s="1">
        <f t="shared" si="14"/>
        <v>41646.625</v>
      </c>
      <c r="L17" s="1">
        <f t="shared" si="14"/>
        <v>41646.666666666664</v>
      </c>
      <c r="M17" s="1">
        <f t="shared" si="14"/>
        <v>41646.708333333336</v>
      </c>
      <c r="N17" s="1">
        <f t="shared" si="14"/>
        <v>41646.75</v>
      </c>
      <c r="O17" s="1">
        <f t="shared" si="14"/>
        <v>41646.791666666664</v>
      </c>
      <c r="P17" s="1">
        <f t="shared" si="14"/>
        <v>41646.833333333336</v>
      </c>
      <c r="Q17" s="1">
        <f t="shared" si="14"/>
        <v>41646.875</v>
      </c>
      <c r="R17" s="1">
        <f t="shared" si="14"/>
        <v>41646.916666666664</v>
      </c>
      <c r="S17" s="1">
        <f t="shared" si="14"/>
        <v>41646.958333333336</v>
      </c>
      <c r="T17" s="1">
        <f>DATE(YEAR($B$1),MONTH($B$1),DAY($B$1)+6) + TIME(HOUR($B$1) + 23,MINUTE($B$1) + 59,SECOND($B$1) + 59)</f>
        <v>41646.999988425923</v>
      </c>
    </row>
  </sheetData>
  <mergeCells count="7">
    <mergeCell ref="A14:A15"/>
    <mergeCell ref="A16:A17"/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81"/>
  <sheetViews>
    <sheetView zoomScale="70" zoomScaleNormal="70" workbookViewId="0">
      <selection activeCell="D3" sqref="D3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averageCompletionTime(Dates!C$4,Dates!C$5, 1)</f>
        <v>0</v>
      </c>
      <c r="D2" s="5">
        <f>averageCompletionTime(Dates!D$4,Dates!D$5, 1)</f>
        <v>0</v>
      </c>
      <c r="E2" s="5">
        <f>averageCompletionTime(Dates!E$4,Dates!E$5, 1)</f>
        <v>0</v>
      </c>
      <c r="F2" s="5">
        <f>averageCompletionTime(Dates!F$4,Dates!F$5, 1)</f>
        <v>0</v>
      </c>
      <c r="G2" s="5">
        <f>averageCompletionTime(Dates!G$4,Dates!G$5, 1)</f>
        <v>0</v>
      </c>
      <c r="H2" s="5">
        <f>averageCompletionTime(Dates!H$4,Dates!H$5, 1)</f>
        <v>0</v>
      </c>
      <c r="I2" s="5">
        <f>averageCompletionTime(Dates!I$4,Dates!I$5, 1)</f>
        <v>0</v>
      </c>
      <c r="J2" s="5">
        <f>averageCompletionTime(Dates!J$4,Dates!J$5, 1)</f>
        <v>0</v>
      </c>
      <c r="K2" s="5">
        <f>averageCompletionTime(Dates!K$4,Dates!K$5, 1)</f>
        <v>0</v>
      </c>
      <c r="L2" s="5">
        <f>averageCompletionTime(Dates!L$4,Dates!L$5, 1)</f>
        <v>0</v>
      </c>
      <c r="M2" s="5">
        <f>averageCompletionTime(Dates!M$4,Dates!M$5, 1)</f>
        <v>0</v>
      </c>
      <c r="N2" s="5">
        <f>averageCompletionTime(Dates!N$4,Dates!N$5, 1)</f>
        <v>0</v>
      </c>
      <c r="O2" s="5">
        <f>averageCompletionTime(Dates!O$4,Dates!O$5, 1)</f>
        <v>0</v>
      </c>
      <c r="P2" s="5">
        <f>averageCompletionTime(Dates!P$4,Dates!P$5, 1)</f>
        <v>0</v>
      </c>
      <c r="Q2" s="5">
        <f>averageCompletionTime(Dates!Q$4,Dates!Q$5, 1)</f>
        <v>0</v>
      </c>
      <c r="R2" s="5">
        <f>averageCompletionTime(Dates!R$4,Dates!R$5, 1)</f>
        <v>0</v>
      </c>
      <c r="S2" s="5">
        <f>averageCompletionTime(Dates!S$4,Dates!S$5, 1)</f>
        <v>0</v>
      </c>
      <c r="T2" s="5">
        <f>averageCompletionTime(Dates!T$4,Dates!T$5, 1)</f>
        <v>0</v>
      </c>
      <c r="U2" s="5">
        <f>averageCompletionTime(Dates!C$4,Dates!T$5, 1)</f>
        <v>0</v>
      </c>
    </row>
    <row r="3" spans="1:22" x14ac:dyDescent="0.3">
      <c r="A3" s="6"/>
      <c r="B3" s="8" t="s">
        <v>49</v>
      </c>
      <c r="C3" s="5">
        <f>averageCompletionTime(Dates!C$4,Dates!C$5, 2)</f>
        <v>0</v>
      </c>
      <c r="D3" s="5">
        <f>averageCompletionTime(Dates!D$4,Dates!D$5, 2)</f>
        <v>0</v>
      </c>
      <c r="E3" s="5">
        <f>averageCompletionTime(Dates!E$4,Dates!E$5, 2)</f>
        <v>0</v>
      </c>
      <c r="F3" s="5">
        <f>averageCompletionTime(Dates!F$4,Dates!F$5, 2)</f>
        <v>0</v>
      </c>
      <c r="G3" s="5">
        <f>averageCompletionTime(Dates!G$4,Dates!G$5, 2)</f>
        <v>0</v>
      </c>
      <c r="H3" s="5">
        <f>averageCompletionTime(Dates!H$4,Dates!H$5, 2)</f>
        <v>0</v>
      </c>
      <c r="I3" s="5">
        <f>averageCompletionTime(Dates!I$4,Dates!I$5, 2)</f>
        <v>0</v>
      </c>
      <c r="J3" s="5">
        <f>averageCompletionTime(Dates!J$4,Dates!J$5, 2)</f>
        <v>0</v>
      </c>
      <c r="K3" s="5">
        <f>averageCompletionTime(Dates!K$4,Dates!K$5, 2)</f>
        <v>0</v>
      </c>
      <c r="L3" s="5">
        <f>averageCompletionTime(Dates!L$4,Dates!L$5, 2)</f>
        <v>0</v>
      </c>
      <c r="M3" s="5">
        <f>averageCompletionTime(Dates!M$4,Dates!M$5, 2)</f>
        <v>0</v>
      </c>
      <c r="N3" s="5">
        <f>averageCompletionTime(Dates!N$4,Dates!N$5, 2)</f>
        <v>0</v>
      </c>
      <c r="O3" s="5">
        <f>averageCompletionTime(Dates!O$4,Dates!O$5, 2)</f>
        <v>0</v>
      </c>
      <c r="P3" s="5">
        <f>averageCompletionTime(Dates!P$4,Dates!P$5, 2)</f>
        <v>0</v>
      </c>
      <c r="Q3" s="5">
        <f>averageCompletionTime(Dates!Q$4,Dates!Q$5, 2)</f>
        <v>0</v>
      </c>
      <c r="R3" s="5">
        <f>averageCompletionTime(Dates!R$4,Dates!R$5, 2)</f>
        <v>0</v>
      </c>
      <c r="S3" s="5">
        <f>averageCompletionTime(Dates!S$4,Dates!S$5, 2)</f>
        <v>0</v>
      </c>
      <c r="T3" s="5">
        <f>averageCompletionTime(Dates!T$4,Dates!T$5, 2)</f>
        <v>0</v>
      </c>
      <c r="U3" s="5">
        <f>averageCompletionTime(Dates!C$4,Dates!T$5, 2)</f>
        <v>0</v>
      </c>
      <c r="V3" s="5"/>
    </row>
    <row r="4" spans="1:22" x14ac:dyDescent="0.3">
      <c r="A4" s="6"/>
      <c r="B4" s="7" t="s">
        <v>50</v>
      </c>
      <c r="C4" s="5">
        <f>averageCompletionTime(Dates!C$4,Dates!C$5, 3)</f>
        <v>0</v>
      </c>
      <c r="D4" s="5">
        <f>averageCompletionTime(Dates!D$4,Dates!D$5, 3)</f>
        <v>0</v>
      </c>
      <c r="E4" s="5">
        <f>averageCompletionTime(Dates!E$4,Dates!E$5, 3)</f>
        <v>0</v>
      </c>
      <c r="F4" s="5">
        <f>averageCompletionTime(Dates!F$4,Dates!F$5, 3)</f>
        <v>0</v>
      </c>
      <c r="G4" s="5">
        <f>averageCompletionTime(Dates!G$4,Dates!G$5, 3)</f>
        <v>0</v>
      </c>
      <c r="H4" s="5">
        <f>averageCompletionTime(Dates!H$4,Dates!H$5, 3)</f>
        <v>0</v>
      </c>
      <c r="I4" s="5">
        <f>averageCompletionTime(Dates!I$4,Dates!I$5, 3)</f>
        <v>0</v>
      </c>
      <c r="J4" s="5">
        <f>averageCompletionTime(Dates!J$4,Dates!J$5, 3)</f>
        <v>0</v>
      </c>
      <c r="K4" s="5">
        <f>averageCompletionTime(Dates!K$4,Dates!K$5, 3)</f>
        <v>0</v>
      </c>
      <c r="L4" s="5">
        <f>averageCompletionTime(Dates!L$4,Dates!L$5, 3)</f>
        <v>0</v>
      </c>
      <c r="M4" s="5">
        <f>averageCompletionTime(Dates!M$4,Dates!M$5, 3)</f>
        <v>0</v>
      </c>
      <c r="N4" s="5">
        <f>averageCompletionTime(Dates!N$4,Dates!N$5, 3)</f>
        <v>0</v>
      </c>
      <c r="O4" s="5">
        <f>averageCompletionTime(Dates!O$4,Dates!O$5, 3)</f>
        <v>0</v>
      </c>
      <c r="P4" s="5">
        <f>averageCompletionTime(Dates!P$4,Dates!P$5, 3)</f>
        <v>0</v>
      </c>
      <c r="Q4" s="5">
        <f>averageCompletionTime(Dates!Q$4,Dates!Q$5, 3)</f>
        <v>0</v>
      </c>
      <c r="R4" s="5">
        <f>averageCompletionTime(Dates!R$4,Dates!R$5, 3)</f>
        <v>0</v>
      </c>
      <c r="S4" s="5">
        <f>averageCompletionTime(Dates!S$4,Dates!S$5, 3)</f>
        <v>0</v>
      </c>
      <c r="T4" s="5">
        <f>averageCompletionTime(Dates!T$4,Dates!T$5, 3)</f>
        <v>0</v>
      </c>
      <c r="U4" s="5">
        <f>averageCompletionTime(Dates!C$4,Dates!T$5, 3)</f>
        <v>0</v>
      </c>
    </row>
    <row r="5" spans="1:22" x14ac:dyDescent="0.3">
      <c r="A5" s="6"/>
      <c r="B5" s="7" t="s">
        <v>11</v>
      </c>
      <c r="C5" s="5">
        <f>averageResponseTime(Dates!C$4,Dates!C$5, 1)</f>
        <v>0</v>
      </c>
      <c r="D5" s="5">
        <f>averageResponseTime(Dates!D$4,Dates!D$5, 1)</f>
        <v>0</v>
      </c>
      <c r="E5" s="5">
        <f>averageResponseTime(Dates!E$4,Dates!E$5, 1)</f>
        <v>0</v>
      </c>
      <c r="F5" s="5">
        <f>averageResponseTime(Dates!F$4,Dates!F$5, 1)</f>
        <v>0</v>
      </c>
      <c r="G5" s="5">
        <f>averageResponseTime(Dates!G$4,Dates!G$5, 1)</f>
        <v>0</v>
      </c>
      <c r="H5" s="5">
        <f>averageResponseTime(Dates!H$4,Dates!H$5, 1)</f>
        <v>0</v>
      </c>
      <c r="I5" s="5">
        <f>averageResponseTime(Dates!I$4,Dates!I$5, 1)</f>
        <v>0</v>
      </c>
      <c r="J5" s="5">
        <f>averageResponseTime(Dates!J$4,Dates!J$5, 1)</f>
        <v>0</v>
      </c>
      <c r="K5" s="5">
        <f>averageResponseTime(Dates!K$4,Dates!K$5, 1)</f>
        <v>0</v>
      </c>
      <c r="L5" s="5">
        <f>averageResponseTime(Dates!L$4,Dates!L$5, 1)</f>
        <v>0</v>
      </c>
      <c r="M5" s="5">
        <f>averageResponseTime(Dates!M$4,Dates!M$5, 1)</f>
        <v>0</v>
      </c>
      <c r="N5" s="5">
        <f>averageResponseTime(Dates!N$4,Dates!N$5, 1)</f>
        <v>0</v>
      </c>
      <c r="O5" s="5">
        <f>averageResponseTime(Dates!O$4,Dates!O$5, 1)</f>
        <v>0</v>
      </c>
      <c r="P5" s="5">
        <f>averageResponseTime(Dates!P$4,Dates!P$5, 1)</f>
        <v>0</v>
      </c>
      <c r="Q5" s="5">
        <f>averageResponseTime(Dates!Q$4,Dates!Q$5, 1)</f>
        <v>0</v>
      </c>
      <c r="R5" s="5">
        <f>averageResponseTime(Dates!R$4,Dates!R$5, 1)</f>
        <v>0</v>
      </c>
      <c r="S5" s="5">
        <f>averageResponseTime(Dates!S$4,Dates!S$5, 1)</f>
        <v>0</v>
      </c>
      <c r="T5" s="5">
        <f>averageResponseTime(Dates!T$4,Dates!T$5, 1)</f>
        <v>0</v>
      </c>
      <c r="U5" s="5">
        <f>averageResponseTime(Dates!C$4,Dates!T$5, 1)</f>
        <v>0</v>
      </c>
    </row>
    <row r="6" spans="1:22" x14ac:dyDescent="0.3">
      <c r="A6" s="6"/>
      <c r="B6" s="7" t="s">
        <v>51</v>
      </c>
      <c r="C6" s="5">
        <f>averageResponseTime(Dates!C$4,Dates!C$5, 2)</f>
        <v>0</v>
      </c>
      <c r="D6" s="5">
        <f>averageResponseTime(Dates!D$4,Dates!D$5, 2)</f>
        <v>0</v>
      </c>
      <c r="E6" s="5">
        <f>averageResponseTime(Dates!E$4,Dates!E$5, 2)</f>
        <v>0</v>
      </c>
      <c r="F6" s="5">
        <f>averageResponseTime(Dates!F$4,Dates!F$5, 2)</f>
        <v>0</v>
      </c>
      <c r="G6" s="5">
        <f>averageResponseTime(Dates!G$4,Dates!G$5, 2)</f>
        <v>0</v>
      </c>
      <c r="H6" s="5">
        <f>averageResponseTime(Dates!H$4,Dates!H$5, 2)</f>
        <v>0</v>
      </c>
      <c r="I6" s="5">
        <f>averageResponseTime(Dates!I$4,Dates!I$5, 2)</f>
        <v>0</v>
      </c>
      <c r="J6" s="5">
        <f>averageResponseTime(Dates!J$4,Dates!J$5, 2)</f>
        <v>0</v>
      </c>
      <c r="K6" s="5">
        <f>averageResponseTime(Dates!K$4,Dates!K$5, 2)</f>
        <v>0</v>
      </c>
      <c r="L6" s="5">
        <f>averageResponseTime(Dates!L$4,Dates!L$5, 2)</f>
        <v>0</v>
      </c>
      <c r="M6" s="5">
        <f>averageResponseTime(Dates!M$4,Dates!M$5, 2)</f>
        <v>0</v>
      </c>
      <c r="N6" s="5">
        <f>averageResponseTime(Dates!N$4,Dates!N$5, 2)</f>
        <v>0</v>
      </c>
      <c r="O6" s="5">
        <f>averageResponseTime(Dates!O$4,Dates!O$5, 2)</f>
        <v>0</v>
      </c>
      <c r="P6" s="5">
        <f>averageResponseTime(Dates!P$4,Dates!P$5, 2)</f>
        <v>0</v>
      </c>
      <c r="Q6" s="5">
        <f>averageResponseTime(Dates!Q$4,Dates!Q$5, 2)</f>
        <v>0</v>
      </c>
      <c r="R6" s="5">
        <f>averageResponseTime(Dates!R$4,Dates!R$5, 2)</f>
        <v>0</v>
      </c>
      <c r="S6" s="5">
        <f>averageResponseTime(Dates!S$4,Dates!S$5, 2)</f>
        <v>0</v>
      </c>
      <c r="T6" s="5">
        <f>averageResponseTime(Dates!T$4,Dates!T$5, 2)</f>
        <v>0</v>
      </c>
      <c r="U6" s="5">
        <f>averageResponseTime(Dates!C$4,Dates!T$5, 2)</f>
        <v>0</v>
      </c>
    </row>
    <row r="7" spans="1:22" x14ac:dyDescent="0.3">
      <c r="A7" s="6"/>
      <c r="B7" s="7" t="s">
        <v>52</v>
      </c>
      <c r="C7" s="5">
        <f>averageResponseTime(Dates!C$4,Dates!C$5, 3)</f>
        <v>0</v>
      </c>
      <c r="D7" s="5">
        <f>averageResponseTime(Dates!D$4,Dates!D$5, 3)</f>
        <v>0</v>
      </c>
      <c r="E7" s="5">
        <f>averageResponseTime(Dates!E$4,Dates!E$5, 3)</f>
        <v>0</v>
      </c>
      <c r="F7" s="5">
        <f>averageResponseTime(Dates!F$4,Dates!F$5, 3)</f>
        <v>0</v>
      </c>
      <c r="G7" s="5">
        <f>averageResponseTime(Dates!G$4,Dates!G$5, 3)</f>
        <v>0</v>
      </c>
      <c r="H7" s="5">
        <f>averageResponseTime(Dates!H$4,Dates!H$5, 3)</f>
        <v>0</v>
      </c>
      <c r="I7" s="5">
        <f>averageResponseTime(Dates!I$4,Dates!I$5, 3)</f>
        <v>0</v>
      </c>
      <c r="J7" s="5">
        <f>averageResponseTime(Dates!J$4,Dates!J$5, 3)</f>
        <v>0</v>
      </c>
      <c r="K7" s="5">
        <f>averageResponseTime(Dates!K$4,Dates!K$5, 3)</f>
        <v>0</v>
      </c>
      <c r="L7" s="5">
        <f>averageResponseTime(Dates!L$4,Dates!L$5, 3)</f>
        <v>0</v>
      </c>
      <c r="M7" s="5">
        <f>averageResponseTime(Dates!M$4,Dates!M$5, 3)</f>
        <v>0</v>
      </c>
      <c r="N7" s="5">
        <f>averageResponseTime(Dates!N$4,Dates!N$5, 3)</f>
        <v>0</v>
      </c>
      <c r="O7" s="5">
        <f>averageResponseTime(Dates!O$4,Dates!O$5, 3)</f>
        <v>0</v>
      </c>
      <c r="P7" s="5">
        <f>averageResponseTime(Dates!P$4,Dates!P$5, 3)</f>
        <v>0</v>
      </c>
      <c r="Q7" s="5">
        <f>averageResponseTime(Dates!Q$4,Dates!Q$5, 3)</f>
        <v>0</v>
      </c>
      <c r="R7" s="5">
        <f>averageResponseTime(Dates!R$4,Dates!R$5, 3)</f>
        <v>0</v>
      </c>
      <c r="S7" s="5">
        <f>averageResponseTime(Dates!S$4,Dates!S$5, 3)</f>
        <v>0</v>
      </c>
      <c r="T7" s="5">
        <f>averageResponseTime(Dates!T$4,Dates!T$5, 3)</f>
        <v>0</v>
      </c>
      <c r="U7" s="5">
        <f>averageResponseTime(Dates!C$4,Dates!T$5, 3)</f>
        <v>0</v>
      </c>
    </row>
    <row r="8" spans="1:22" x14ac:dyDescent="0.3">
      <c r="A8" s="6"/>
      <c r="B8" s="7" t="s">
        <v>53</v>
      </c>
      <c r="C8" s="5">
        <f>averageInProgressTime(Dates!C$4,Dates!C$5, 1)</f>
        <v>0</v>
      </c>
      <c r="D8" s="5">
        <f>averageInProgressTime(Dates!D$4,Dates!D$5, 1)</f>
        <v>0</v>
      </c>
      <c r="E8" s="5">
        <f>averageInProgressTime(Dates!E$4,Dates!E$5, 1)</f>
        <v>0</v>
      </c>
      <c r="F8" s="5">
        <f>averageInProgressTime(Dates!F$4,Dates!F$5, 1)</f>
        <v>0</v>
      </c>
      <c r="G8" s="5">
        <f>averageInProgressTime(Dates!G$4,Dates!G$5, 1)</f>
        <v>0</v>
      </c>
      <c r="H8" s="5">
        <f>averageInProgressTime(Dates!H$4,Dates!H$5, 1)</f>
        <v>0</v>
      </c>
      <c r="I8" s="5">
        <f>averageInProgressTime(Dates!I$4,Dates!I$5, 1)</f>
        <v>0</v>
      </c>
      <c r="J8" s="5">
        <f>averageInProgressTime(Dates!J$4,Dates!J$5, 1)</f>
        <v>0</v>
      </c>
      <c r="K8" s="5">
        <f>averageInProgressTime(Dates!K$4,Dates!K$5, 1)</f>
        <v>0</v>
      </c>
      <c r="L8" s="5">
        <f>averageInProgressTime(Dates!L$4,Dates!L$5, 1)</f>
        <v>0</v>
      </c>
      <c r="M8" s="5">
        <f>averageInProgressTime(Dates!M$4,Dates!M$5, 1)</f>
        <v>0</v>
      </c>
      <c r="N8" s="5">
        <f>averageInProgressTime(Dates!N$4,Dates!N$5, 1)</f>
        <v>0</v>
      </c>
      <c r="O8" s="5">
        <f>averageInProgressTime(Dates!O$4,Dates!O$5, 1)</f>
        <v>0</v>
      </c>
      <c r="P8" s="5">
        <f>averageInProgressTime(Dates!P$4,Dates!P$5, 1)</f>
        <v>0</v>
      </c>
      <c r="Q8" s="5">
        <f>averageInProgressTime(Dates!Q$4,Dates!Q$5, 1)</f>
        <v>0</v>
      </c>
      <c r="R8" s="5">
        <f>averageInProgressTime(Dates!R$4,Dates!R$5, 1)</f>
        <v>0</v>
      </c>
      <c r="S8" s="5">
        <f>averageInProgressTime(Dates!S$4,Dates!S$5, 1)</f>
        <v>0</v>
      </c>
      <c r="T8" s="5">
        <f>averageInProgressTime(Dates!T$4,Dates!T$5, 1)</f>
        <v>0</v>
      </c>
      <c r="U8" s="5">
        <f>averageInProgressTime(Dates!C$4,Dates!T$5, 1)</f>
        <v>0</v>
      </c>
    </row>
    <row r="9" spans="1:22" x14ac:dyDescent="0.3">
      <c r="A9" s="6"/>
      <c r="B9" s="7" t="s">
        <v>54</v>
      </c>
      <c r="C9" s="5">
        <f>averageInProgressTime(Dates!C$4,Dates!C$5, 2)</f>
        <v>0</v>
      </c>
      <c r="D9" s="5">
        <f>averageInProgressTime(Dates!D$4,Dates!D$5, 2)</f>
        <v>0</v>
      </c>
      <c r="E9" s="5">
        <f>averageInProgressTime(Dates!E$4,Dates!E$5, 2)</f>
        <v>0</v>
      </c>
      <c r="F9" s="5">
        <f>averageInProgressTime(Dates!F$4,Dates!F$5, 2)</f>
        <v>0</v>
      </c>
      <c r="G9" s="5">
        <f>averageInProgressTime(Dates!G$4,Dates!G$5, 2)</f>
        <v>0</v>
      </c>
      <c r="H9" s="5">
        <f>averageInProgressTime(Dates!H$4,Dates!H$5, 2)</f>
        <v>0</v>
      </c>
      <c r="I9" s="5">
        <f>averageInProgressTime(Dates!I$4,Dates!I$5, 2)</f>
        <v>0</v>
      </c>
      <c r="J9" s="5">
        <f>averageInProgressTime(Dates!J$4,Dates!J$5, 2)</f>
        <v>0</v>
      </c>
      <c r="K9" s="5">
        <f>averageInProgressTime(Dates!K$4,Dates!K$5, 2)</f>
        <v>0</v>
      </c>
      <c r="L9" s="5">
        <f>averageInProgressTime(Dates!L$4,Dates!L$5, 2)</f>
        <v>0</v>
      </c>
      <c r="M9" s="5">
        <f>averageInProgressTime(Dates!M$4,Dates!M$5, 2)</f>
        <v>0</v>
      </c>
      <c r="N9" s="5">
        <f>averageInProgressTime(Dates!N$4,Dates!N$5, 2)</f>
        <v>0</v>
      </c>
      <c r="O9" s="5">
        <f>averageInProgressTime(Dates!O$4,Dates!O$5, 2)</f>
        <v>0</v>
      </c>
      <c r="P9" s="5">
        <f>averageInProgressTime(Dates!P$4,Dates!P$5, 2)</f>
        <v>0</v>
      </c>
      <c r="Q9" s="5">
        <f>averageInProgressTime(Dates!Q$4,Dates!Q$5, 2)</f>
        <v>0</v>
      </c>
      <c r="R9" s="5">
        <f>averageInProgressTime(Dates!R$4,Dates!R$5, 2)</f>
        <v>0</v>
      </c>
      <c r="S9" s="5">
        <f>averageInProgressTime(Dates!S$4,Dates!S$5, 2)</f>
        <v>0</v>
      </c>
      <c r="T9" s="5">
        <f>averageInProgressTime(Dates!T$4,Dates!T$5, 2)</f>
        <v>0</v>
      </c>
      <c r="U9" s="5">
        <f>averageInProgressTime(Dates!C$4,Dates!T$5, 2)</f>
        <v>0</v>
      </c>
    </row>
    <row r="10" spans="1:22" x14ac:dyDescent="0.3">
      <c r="A10" s="6"/>
      <c r="B10" s="7" t="s">
        <v>55</v>
      </c>
      <c r="C10" s="5">
        <f>averageInProgressTime(Dates!C$4,Dates!C$5, 3)</f>
        <v>0</v>
      </c>
      <c r="D10" s="5">
        <f>averageInProgressTime(Dates!D$4,Dates!D$5, 3)</f>
        <v>0</v>
      </c>
      <c r="E10" s="5">
        <f>averageInProgressTime(Dates!E$4,Dates!E$5, 3)</f>
        <v>0</v>
      </c>
      <c r="F10" s="5">
        <f>averageInProgressTime(Dates!F$4,Dates!F$5, 3)</f>
        <v>0</v>
      </c>
      <c r="G10" s="5">
        <f>averageInProgressTime(Dates!G$4,Dates!G$5, 3)</f>
        <v>0</v>
      </c>
      <c r="H10" s="5">
        <f>averageInProgressTime(Dates!H$4,Dates!H$5, 3)</f>
        <v>0</v>
      </c>
      <c r="I10" s="5">
        <f>averageInProgressTime(Dates!I$4,Dates!I$5, 3)</f>
        <v>0</v>
      </c>
      <c r="J10" s="5">
        <f>averageInProgressTime(Dates!J$4,Dates!J$5, 3)</f>
        <v>0</v>
      </c>
      <c r="K10" s="5">
        <f>averageInProgressTime(Dates!K$4,Dates!K$5, 3)</f>
        <v>0</v>
      </c>
      <c r="L10" s="5">
        <f>averageInProgressTime(Dates!L$4,Dates!L$5, 3)</f>
        <v>0</v>
      </c>
      <c r="M10" s="5">
        <f>averageInProgressTime(Dates!M$4,Dates!M$5, 3)</f>
        <v>0</v>
      </c>
      <c r="N10" s="5">
        <f>averageInProgressTime(Dates!N$4,Dates!N$5, 3)</f>
        <v>0</v>
      </c>
      <c r="O10" s="5">
        <f>averageInProgressTime(Dates!O$4,Dates!O$5, 3)</f>
        <v>0</v>
      </c>
      <c r="P10" s="5">
        <f>averageInProgressTime(Dates!P$4,Dates!P$5, 3)</f>
        <v>0</v>
      </c>
      <c r="Q10" s="5">
        <f>averageInProgressTime(Dates!Q$4,Dates!Q$5, 3)</f>
        <v>0</v>
      </c>
      <c r="R10" s="5">
        <f>averageInProgressTime(Dates!R$4,Dates!R$5, 3)</f>
        <v>0</v>
      </c>
      <c r="S10" s="5">
        <f>averageInProgressTime(Dates!S$4,Dates!S$5, 3)</f>
        <v>0</v>
      </c>
      <c r="T10" s="5">
        <f>averageInProgressTime(Dates!T$4,Dates!T$5, 3)</f>
        <v>0</v>
      </c>
      <c r="U10" s="5">
        <f>averageInProgressTime(Dates!C$4,Dates!T$5, 3)</f>
        <v>0</v>
      </c>
    </row>
    <row r="11" spans="1:22" x14ac:dyDescent="0.3">
      <c r="A11" s="6"/>
      <c r="B11" s="7" t="s">
        <v>42</v>
      </c>
      <c r="C11">
        <f>totalNumberOfJobsCompleted(Dates!C$4,Dates!C$5)</f>
        <v>0</v>
      </c>
      <c r="D11">
        <f>totalNumberOfJobsCompleted(Dates!D$4,Dates!D$5)</f>
        <v>0</v>
      </c>
      <c r="E11">
        <f>totalNumberOfJobsCompleted(Dates!E$4,Dates!E$5)</f>
        <v>0</v>
      </c>
      <c r="F11">
        <f>totalNumberOfJobsCompleted(Dates!F$4,Dates!F$5)</f>
        <v>0</v>
      </c>
      <c r="G11">
        <f>totalNumberOfJobsCompleted(Dates!G$4,Dates!G$5)</f>
        <v>0</v>
      </c>
      <c r="H11">
        <f>totalNumberOfJobsCompleted(Dates!H$4,Dates!H$5)</f>
        <v>0</v>
      </c>
      <c r="I11">
        <f>totalNumberOfJobsCompleted(Dates!I$4,Dates!I$5)</f>
        <v>0</v>
      </c>
      <c r="J11">
        <f>totalNumberOfJobsCompleted(Dates!J$4,Dates!J$5)</f>
        <v>0</v>
      </c>
      <c r="K11">
        <f>totalNumberOfJobsCompleted(Dates!K$4,Dates!K$5)</f>
        <v>0</v>
      </c>
      <c r="L11">
        <f>totalNumberOfJobsCompleted(Dates!L$4,Dates!L$5)</f>
        <v>0</v>
      </c>
      <c r="M11">
        <f>totalNumberOfJobsCompleted(Dates!M$4,Dates!M$5)</f>
        <v>0</v>
      </c>
      <c r="N11">
        <f>totalNumberOfJobsCompleted(Dates!N$4,Dates!N$5)</f>
        <v>0</v>
      </c>
      <c r="O11">
        <f>totalNumberOfJobsCompleted(Dates!O$4,Dates!O$5)</f>
        <v>0</v>
      </c>
      <c r="P11">
        <f>totalNumberOfJobsCompleted(Dates!P$4,Dates!P$5)</f>
        <v>0</v>
      </c>
      <c r="Q11">
        <f>totalNumberOfJobsCompleted(Dates!Q$4,Dates!Q$5)</f>
        <v>0</v>
      </c>
      <c r="R11">
        <f>totalNumberOfJobsCompleted(Dates!R$4,Dates!R$5)</f>
        <v>0</v>
      </c>
      <c r="S11">
        <f>totalNumberOfJobsCompleted(Dates!S$4,Dates!S$5)</f>
        <v>0</v>
      </c>
      <c r="T11">
        <f>totalNumberOfJobsCompleted(Dates!T$4,Dates!T$5)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pendingJobs(Dates!C$5)</f>
        <v>0</v>
      </c>
      <c r="D12">
        <f>pendingJobs(Dates!D$5)</f>
        <v>0</v>
      </c>
      <c r="E12">
        <f>pendingJobs(Dates!E$5)</f>
        <v>0</v>
      </c>
      <c r="F12">
        <f>pendingJobs(Dates!F$5)</f>
        <v>0</v>
      </c>
      <c r="G12">
        <f>pendingJobs(Dates!G$5)</f>
        <v>0</v>
      </c>
      <c r="H12">
        <f>pendingJobs(Dates!H$5)</f>
        <v>0</v>
      </c>
      <c r="I12">
        <f>pendingJobs(Dates!I$5)</f>
        <v>0</v>
      </c>
      <c r="J12">
        <f>pendingJobs(Dates!J$5)</f>
        <v>0</v>
      </c>
      <c r="K12">
        <f>pendingJobs(Dates!K$5)</f>
        <v>0</v>
      </c>
      <c r="L12">
        <f>pendingJobs(Dates!L$5)</f>
        <v>0</v>
      </c>
      <c r="M12">
        <f>pendingJobs(Dates!M$5)</f>
        <v>0</v>
      </c>
      <c r="N12">
        <f>pendingJobs(Dates!N$5)</f>
        <v>0</v>
      </c>
      <c r="O12">
        <f>pendingJobs(Dates!O$5)</f>
        <v>0</v>
      </c>
      <c r="P12">
        <f>pendingJobs(Dates!P$5)</f>
        <v>0</v>
      </c>
      <c r="Q12">
        <f>pendingJobs(Dates!Q$5)</f>
        <v>0</v>
      </c>
      <c r="R12">
        <f>pendingJobs(Dates!R$5)</f>
        <v>0</v>
      </c>
      <c r="S12">
        <f>pendingJobs(Dates!S$5)</f>
        <v>0</v>
      </c>
      <c r="T12">
        <f>pendingJobs(Dates!T$5)</f>
        <v>0</v>
      </c>
      <c r="U12" s="5"/>
    </row>
    <row r="13" spans="1:22" x14ac:dyDescent="0.3">
      <c r="A13" s="6"/>
      <c r="B13" s="7" t="s">
        <v>48</v>
      </c>
      <c r="C13">
        <f>cancelledJobs(Dates!$C$4,Dates!C$5)</f>
        <v>0</v>
      </c>
      <c r="D13">
        <f>cancelledJobs(Dates!$C$4,Dates!D$5)</f>
        <v>0</v>
      </c>
      <c r="E13">
        <f>cancelledJobs(Dates!$C$4,Dates!E$5)</f>
        <v>0</v>
      </c>
      <c r="F13">
        <f>cancelledJobs(Dates!$C$4,Dates!F$5)</f>
        <v>0</v>
      </c>
      <c r="G13">
        <f>cancelledJobs(Dates!$C$4,Dates!G$5)</f>
        <v>0</v>
      </c>
      <c r="H13">
        <f>cancelledJobs(Dates!$C$4,Dates!H$5)</f>
        <v>0</v>
      </c>
      <c r="I13">
        <f>cancelledJobs(Dates!$C$4,Dates!I$5)</f>
        <v>0</v>
      </c>
      <c r="J13">
        <f>cancelledJobs(Dates!$C$4,Dates!J$5)</f>
        <v>0</v>
      </c>
      <c r="K13">
        <f>cancelledJobs(Dates!$C$4,Dates!K$5)</f>
        <v>0</v>
      </c>
      <c r="L13">
        <f>cancelledJobs(Dates!$C$4,Dates!L$5)</f>
        <v>0</v>
      </c>
      <c r="M13">
        <f>cancelledJobs(Dates!$C$4,Dates!M$5)</f>
        <v>0</v>
      </c>
      <c r="N13">
        <f>cancelledJobs(Dates!$C$4,Dates!N$5)</f>
        <v>0</v>
      </c>
      <c r="O13">
        <f>cancelledJobs(Dates!$C$4,Dates!O$5)</f>
        <v>0</v>
      </c>
      <c r="P13">
        <f>cancelledJobs(Dates!$C$4,Dates!P$5)</f>
        <v>0</v>
      </c>
      <c r="Q13">
        <f>cancelledJobs(Dates!$C$4,Dates!Q$5)</f>
        <v>0</v>
      </c>
      <c r="R13">
        <f>cancelledJobs(Dates!$C$4,Dates!R$5)</f>
        <v>0</v>
      </c>
      <c r="S13">
        <f>cancelledJobs(Dates!$C$4,Dates!S$5)</f>
        <v>0</v>
      </c>
      <c r="T13">
        <f>cancelledJobs(Dates!$C$4,Dates!T$5)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81"/>
  <sheetViews>
    <sheetView topLeftCell="B1" zoomScale="70" zoomScaleNormal="70" workbookViewId="0">
      <selection activeCell="C2" sqref="C2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averageCompletionTime(Dates!C$6,Dates!C$7, 1)</f>
        <v>0</v>
      </c>
      <c r="D2" s="5">
        <f>averageCompletionTime(Dates!D$6,Dates!D$7, 1)</f>
        <v>0</v>
      </c>
      <c r="E2" s="5">
        <f>averageCompletionTime(Dates!E$6,Dates!E$7, 1)</f>
        <v>0</v>
      </c>
      <c r="F2" s="5">
        <f>averageCompletionTime(Dates!F$6,Dates!F$7, 1)</f>
        <v>0</v>
      </c>
      <c r="G2" s="5">
        <f>averageCompletionTime(Dates!G$6,Dates!G$7, 1)</f>
        <v>0</v>
      </c>
      <c r="H2" s="5">
        <f>averageCompletionTime(Dates!H$6,Dates!H$7, 1)</f>
        <v>0</v>
      </c>
      <c r="I2" s="5">
        <f>averageCompletionTime(Dates!I$6,Dates!I$7, 1)</f>
        <v>0</v>
      </c>
      <c r="J2" s="5">
        <f>averageCompletionTime(Dates!J$6,Dates!J$7, 1)</f>
        <v>0</v>
      </c>
      <c r="K2" s="5">
        <f>averageCompletionTime(Dates!K$6,Dates!K$7, 1)</f>
        <v>0</v>
      </c>
      <c r="L2" s="5">
        <f>averageCompletionTime(Dates!L$6,Dates!L$7, 1)</f>
        <v>0</v>
      </c>
      <c r="M2" s="5">
        <f>averageCompletionTime(Dates!M$6,Dates!M$7, 1)</f>
        <v>0</v>
      </c>
      <c r="N2" s="5">
        <f>averageCompletionTime(Dates!N$6,Dates!N$7, 1)</f>
        <v>0</v>
      </c>
      <c r="O2" s="5">
        <f>averageCompletionTime(Dates!O$6,Dates!O$7, 1)</f>
        <v>0</v>
      </c>
      <c r="P2" s="5">
        <f>averageCompletionTime(Dates!P$6,Dates!P$7, 1)</f>
        <v>0</v>
      </c>
      <c r="Q2" s="5">
        <f>averageCompletionTime(Dates!Q$6,Dates!Q$7, 1)</f>
        <v>0</v>
      </c>
      <c r="R2" s="5">
        <f>averageCompletionTime(Dates!R$6,Dates!R$7, 1)</f>
        <v>0</v>
      </c>
      <c r="S2" s="5">
        <f>averageCompletionTime(Dates!S$6,Dates!S$7, 1)</f>
        <v>0</v>
      </c>
      <c r="T2" s="5">
        <f>averageCompletionTime(Dates!T$6,Dates!T$7, 1)</f>
        <v>0</v>
      </c>
      <c r="U2" s="5">
        <f>averageCompletionTime(Dates!C$6,Dates!T$7, 1)</f>
        <v>0</v>
      </c>
    </row>
    <row r="3" spans="1:22" x14ac:dyDescent="0.3">
      <c r="A3" s="6"/>
      <c r="B3" s="8" t="s">
        <v>49</v>
      </c>
      <c r="C3" s="5">
        <f>averageCompletionTime(Dates!C$6,Dates!C$7, 2)</f>
        <v>0</v>
      </c>
      <c r="D3" s="5">
        <f>averageCompletionTime(Dates!D$6,Dates!D$7, 2)</f>
        <v>0</v>
      </c>
      <c r="E3" s="5">
        <f>averageCompletionTime(Dates!E$6,Dates!E$7, 2)</f>
        <v>0</v>
      </c>
      <c r="F3" s="5">
        <f>averageCompletionTime(Dates!F$6,Dates!F$7, 2)</f>
        <v>0</v>
      </c>
      <c r="G3" s="5">
        <f>averageCompletionTime(Dates!G$6,Dates!G$7, 2)</f>
        <v>0</v>
      </c>
      <c r="H3" s="5">
        <f>averageCompletionTime(Dates!H$6,Dates!H$7, 2)</f>
        <v>0</v>
      </c>
      <c r="I3" s="5">
        <f>averageCompletionTime(Dates!I$6,Dates!I$7, 2)</f>
        <v>0</v>
      </c>
      <c r="J3" s="5">
        <f>averageCompletionTime(Dates!J$6,Dates!J$7, 2)</f>
        <v>0</v>
      </c>
      <c r="K3" s="5">
        <f>averageCompletionTime(Dates!K$6,Dates!K$7, 2)</f>
        <v>0</v>
      </c>
      <c r="L3" s="5">
        <f>averageCompletionTime(Dates!L$6,Dates!L$7, 2)</f>
        <v>0</v>
      </c>
      <c r="M3" s="5">
        <f>averageCompletionTime(Dates!M$6,Dates!M$7, 2)</f>
        <v>0</v>
      </c>
      <c r="N3" s="5">
        <f>averageCompletionTime(Dates!N$6,Dates!N$7, 2)</f>
        <v>0</v>
      </c>
      <c r="O3" s="5">
        <f>averageCompletionTime(Dates!O$6,Dates!O$7, 2)</f>
        <v>0</v>
      </c>
      <c r="P3" s="5">
        <f>averageCompletionTime(Dates!P$6,Dates!P$7, 2)</f>
        <v>0</v>
      </c>
      <c r="Q3" s="5">
        <f>averageCompletionTime(Dates!Q$6,Dates!Q$7, 2)</f>
        <v>0</v>
      </c>
      <c r="R3" s="5">
        <f>averageCompletionTime(Dates!R$6,Dates!R$7, 2)</f>
        <v>0</v>
      </c>
      <c r="S3" s="5">
        <f>averageCompletionTime(Dates!S$6,Dates!S$7, 2)</f>
        <v>0</v>
      </c>
      <c r="T3" s="5">
        <f>averageCompletionTime(Dates!T$6,Dates!T$7, 2)</f>
        <v>0</v>
      </c>
      <c r="U3" s="5">
        <f>averageCompletionTime(Dates!C$6,Dates!T$7, 2)</f>
        <v>0</v>
      </c>
      <c r="V3" s="5"/>
    </row>
    <row r="4" spans="1:22" x14ac:dyDescent="0.3">
      <c r="A4" s="6"/>
      <c r="B4" s="7" t="s">
        <v>50</v>
      </c>
      <c r="C4" s="5">
        <f>averageCompletionTime(Dates!C$6,Dates!C$7, 3)</f>
        <v>0</v>
      </c>
      <c r="D4" s="5">
        <f>averageCompletionTime(Dates!D$6,Dates!D$7, 3)</f>
        <v>0</v>
      </c>
      <c r="E4" s="5">
        <f>averageCompletionTime(Dates!E$6,Dates!E$7, 3)</f>
        <v>0</v>
      </c>
      <c r="F4" s="5">
        <f>averageCompletionTime(Dates!F$6,Dates!F$7, 3)</f>
        <v>0</v>
      </c>
      <c r="G4" s="5">
        <f>averageCompletionTime(Dates!G$6,Dates!G$7, 3)</f>
        <v>0</v>
      </c>
      <c r="H4" s="5">
        <f>averageCompletionTime(Dates!H$6,Dates!H$7, 3)</f>
        <v>0</v>
      </c>
      <c r="I4" s="5">
        <f>averageCompletionTime(Dates!I$6,Dates!I$7, 3)</f>
        <v>0</v>
      </c>
      <c r="J4" s="5">
        <f>averageCompletionTime(Dates!J$6,Dates!J$7, 3)</f>
        <v>0</v>
      </c>
      <c r="K4" s="5">
        <f>averageCompletionTime(Dates!K$6,Dates!K$7, 3)</f>
        <v>0</v>
      </c>
      <c r="L4" s="5">
        <f>averageCompletionTime(Dates!L$6,Dates!L$7, 3)</f>
        <v>0</v>
      </c>
      <c r="M4" s="5">
        <f>averageCompletionTime(Dates!M$6,Dates!M$7, 3)</f>
        <v>0</v>
      </c>
      <c r="N4" s="5">
        <f>averageCompletionTime(Dates!N$6,Dates!N$7, 3)</f>
        <v>0</v>
      </c>
      <c r="O4" s="5">
        <f>averageCompletionTime(Dates!O$6,Dates!O$7, 3)</f>
        <v>0</v>
      </c>
      <c r="P4" s="5">
        <f>averageCompletionTime(Dates!P$6,Dates!P$7, 3)</f>
        <v>0</v>
      </c>
      <c r="Q4" s="5">
        <f>averageCompletionTime(Dates!Q$6,Dates!Q$7, 3)</f>
        <v>0</v>
      </c>
      <c r="R4" s="5">
        <f>averageCompletionTime(Dates!R$6,Dates!R$7, 3)</f>
        <v>0</v>
      </c>
      <c r="S4" s="5">
        <f>averageCompletionTime(Dates!S$6,Dates!S$7, 3)</f>
        <v>0</v>
      </c>
      <c r="T4" s="5">
        <f>averageCompletionTime(Dates!T$6,Dates!T$7, 3)</f>
        <v>0</v>
      </c>
      <c r="U4" s="5">
        <f>averageCompletionTime(Dates!C$6,Dates!T$7, 3)</f>
        <v>0</v>
      </c>
    </row>
    <row r="5" spans="1:22" x14ac:dyDescent="0.3">
      <c r="A5" s="6"/>
      <c r="B5" s="7" t="s">
        <v>11</v>
      </c>
      <c r="C5" s="5">
        <f>averageResponseTime(Dates!C$6,Dates!C$7, 1)</f>
        <v>0</v>
      </c>
      <c r="D5" s="5">
        <f>averageResponseTime(Dates!D$6,Dates!D$7, 1)</f>
        <v>0</v>
      </c>
      <c r="E5" s="5">
        <f>averageResponseTime(Dates!E$6,Dates!E$7, 1)</f>
        <v>0</v>
      </c>
      <c r="F5" s="5">
        <f>averageResponseTime(Dates!F$6,Dates!F$7, 1)</f>
        <v>0</v>
      </c>
      <c r="G5" s="5">
        <f>averageResponseTime(Dates!G$6,Dates!G$7, 1)</f>
        <v>0</v>
      </c>
      <c r="H5" s="5">
        <f>averageResponseTime(Dates!H$6,Dates!H$7, 1)</f>
        <v>0</v>
      </c>
      <c r="I5" s="5">
        <f>averageResponseTime(Dates!I$6,Dates!I$7, 1)</f>
        <v>0</v>
      </c>
      <c r="J5" s="5">
        <f>averageResponseTime(Dates!J$6,Dates!J$7, 1)</f>
        <v>0</v>
      </c>
      <c r="K5" s="5">
        <f>averageResponseTime(Dates!K$6,Dates!K$7, 1)</f>
        <v>0</v>
      </c>
      <c r="L5" s="5">
        <f>averageResponseTime(Dates!L$6,Dates!L$7, 1)</f>
        <v>0</v>
      </c>
      <c r="M5" s="5">
        <f>averageResponseTime(Dates!M$6,Dates!M$7, 1)</f>
        <v>0</v>
      </c>
      <c r="N5" s="5">
        <f>averageResponseTime(Dates!N$6,Dates!N$7, 1)</f>
        <v>0</v>
      </c>
      <c r="O5" s="5">
        <f>averageResponseTime(Dates!O$6,Dates!O$7, 1)</f>
        <v>0</v>
      </c>
      <c r="P5" s="5">
        <f>averageResponseTime(Dates!P$6,Dates!P$7, 1)</f>
        <v>0</v>
      </c>
      <c r="Q5" s="5">
        <f>averageResponseTime(Dates!Q$6,Dates!Q$7, 1)</f>
        <v>0</v>
      </c>
      <c r="R5" s="5">
        <f>averageResponseTime(Dates!R$6,Dates!R$7, 1)</f>
        <v>0</v>
      </c>
      <c r="S5" s="5">
        <f>averageResponseTime(Dates!S$6,Dates!S$7, 1)</f>
        <v>0</v>
      </c>
      <c r="T5" s="5">
        <f>averageResponseTime(Dates!T$6,Dates!T$7, 1)</f>
        <v>0</v>
      </c>
      <c r="U5" s="5">
        <f>averageResponseTime(Dates!C$6,Dates!T$7, 1)</f>
        <v>0</v>
      </c>
    </row>
    <row r="6" spans="1:22" x14ac:dyDescent="0.3">
      <c r="A6" s="6"/>
      <c r="B6" s="7" t="s">
        <v>51</v>
      </c>
      <c r="C6" s="5">
        <f>averageResponseTime(Dates!C$6,Dates!C$7, 2)</f>
        <v>0</v>
      </c>
      <c r="D6" s="5">
        <f>averageResponseTime(Dates!D$6,Dates!D$7, 2)</f>
        <v>0</v>
      </c>
      <c r="E6" s="5">
        <f>averageResponseTime(Dates!E$6,Dates!E$7, 2)</f>
        <v>0</v>
      </c>
      <c r="F6" s="5">
        <f>averageResponseTime(Dates!F$6,Dates!F$7, 2)</f>
        <v>0</v>
      </c>
      <c r="G6" s="5">
        <f>averageResponseTime(Dates!G$6,Dates!G$7, 2)</f>
        <v>0</v>
      </c>
      <c r="H6" s="5">
        <f>averageResponseTime(Dates!H$6,Dates!H$7, 2)</f>
        <v>0</v>
      </c>
      <c r="I6" s="5">
        <f>averageResponseTime(Dates!I$6,Dates!I$7, 2)</f>
        <v>0</v>
      </c>
      <c r="J6" s="5">
        <f>averageResponseTime(Dates!J$6,Dates!J$7, 2)</f>
        <v>0</v>
      </c>
      <c r="K6" s="5">
        <f>averageResponseTime(Dates!K$6,Dates!K$7, 2)</f>
        <v>0</v>
      </c>
      <c r="L6" s="5">
        <f>averageResponseTime(Dates!L$6,Dates!L$7, 2)</f>
        <v>0</v>
      </c>
      <c r="M6" s="5">
        <f>averageResponseTime(Dates!M$6,Dates!M$7, 2)</f>
        <v>0</v>
      </c>
      <c r="N6" s="5">
        <f>averageResponseTime(Dates!N$6,Dates!N$7, 2)</f>
        <v>0</v>
      </c>
      <c r="O6" s="5">
        <f>averageResponseTime(Dates!O$6,Dates!O$7, 2)</f>
        <v>0</v>
      </c>
      <c r="P6" s="5">
        <f>averageResponseTime(Dates!P$6,Dates!P$7, 2)</f>
        <v>0</v>
      </c>
      <c r="Q6" s="5">
        <f>averageResponseTime(Dates!Q$6,Dates!Q$7, 2)</f>
        <v>0</v>
      </c>
      <c r="R6" s="5">
        <f>averageResponseTime(Dates!R$6,Dates!R$7, 2)</f>
        <v>0</v>
      </c>
      <c r="S6" s="5">
        <f>averageResponseTime(Dates!S$6,Dates!S$7, 2)</f>
        <v>0</v>
      </c>
      <c r="T6" s="5">
        <f>averageResponseTime(Dates!T$6,Dates!T$7, 2)</f>
        <v>0</v>
      </c>
      <c r="U6" s="5">
        <f>averageResponseTime(Dates!C$6,Dates!T$7, 2)</f>
        <v>0</v>
      </c>
    </row>
    <row r="7" spans="1:22" x14ac:dyDescent="0.3">
      <c r="A7" s="6"/>
      <c r="B7" s="7" t="s">
        <v>52</v>
      </c>
      <c r="C7" s="5">
        <f>averageResponseTime(Dates!C$6,Dates!C$7, 3)</f>
        <v>0</v>
      </c>
      <c r="D7" s="5">
        <f>averageResponseTime(Dates!D$6,Dates!D$7, 3)</f>
        <v>0</v>
      </c>
      <c r="E7" s="5">
        <f>averageResponseTime(Dates!E$6,Dates!E$7, 3)</f>
        <v>0</v>
      </c>
      <c r="F7" s="5">
        <f>averageResponseTime(Dates!F$6,Dates!F$7, 3)</f>
        <v>0</v>
      </c>
      <c r="G7" s="5">
        <f>averageResponseTime(Dates!G$6,Dates!G$7, 3)</f>
        <v>0</v>
      </c>
      <c r="H7" s="5">
        <f>averageResponseTime(Dates!H$6,Dates!H$7, 3)</f>
        <v>0</v>
      </c>
      <c r="I7" s="5">
        <f>averageResponseTime(Dates!I$6,Dates!I$7, 3)</f>
        <v>0</v>
      </c>
      <c r="J7" s="5">
        <f>averageResponseTime(Dates!J$6,Dates!J$7, 3)</f>
        <v>0</v>
      </c>
      <c r="K7" s="5">
        <f>averageResponseTime(Dates!K$6,Dates!K$7, 3)</f>
        <v>0</v>
      </c>
      <c r="L7" s="5">
        <f>averageResponseTime(Dates!L$6,Dates!L$7, 3)</f>
        <v>0</v>
      </c>
      <c r="M7" s="5">
        <f>averageResponseTime(Dates!M$6,Dates!M$7, 3)</f>
        <v>0</v>
      </c>
      <c r="N7" s="5">
        <f>averageResponseTime(Dates!N$6,Dates!N$7, 3)</f>
        <v>0</v>
      </c>
      <c r="O7" s="5">
        <f>averageResponseTime(Dates!O$6,Dates!O$7, 3)</f>
        <v>0</v>
      </c>
      <c r="P7" s="5">
        <f>averageResponseTime(Dates!P$6,Dates!P$7, 3)</f>
        <v>0</v>
      </c>
      <c r="Q7" s="5">
        <f>averageResponseTime(Dates!Q$6,Dates!Q$7, 3)</f>
        <v>0</v>
      </c>
      <c r="R7" s="5">
        <f>averageResponseTime(Dates!R$6,Dates!R$7, 3)</f>
        <v>0</v>
      </c>
      <c r="S7" s="5">
        <f>averageResponseTime(Dates!S$6,Dates!S$7, 3)</f>
        <v>0</v>
      </c>
      <c r="T7" s="5">
        <f>averageResponseTime(Dates!T$6,Dates!T$7, 3)</f>
        <v>0</v>
      </c>
      <c r="U7" s="5">
        <f>averageResponseTime(Dates!C$6,Dates!T$7, 3)</f>
        <v>0</v>
      </c>
    </row>
    <row r="8" spans="1:22" x14ac:dyDescent="0.3">
      <c r="A8" s="6"/>
      <c r="B8" s="7" t="s">
        <v>53</v>
      </c>
      <c r="C8" s="5">
        <f>averageInProgressTime(Dates!C$6,Dates!C$7, 1)</f>
        <v>0</v>
      </c>
      <c r="D8" s="5">
        <f>averageInProgressTime(Dates!D$6,Dates!D$7, 1)</f>
        <v>0</v>
      </c>
      <c r="E8" s="5">
        <f>averageInProgressTime(Dates!E$6,Dates!E$7, 1)</f>
        <v>0</v>
      </c>
      <c r="F8" s="5">
        <f>averageInProgressTime(Dates!F$6,Dates!F$7, 1)</f>
        <v>0</v>
      </c>
      <c r="G8" s="5">
        <f>averageInProgressTime(Dates!G$6,Dates!G$7, 1)</f>
        <v>0</v>
      </c>
      <c r="H8" s="5">
        <f>averageInProgressTime(Dates!H$6,Dates!H$7, 1)</f>
        <v>0</v>
      </c>
      <c r="I8" s="5">
        <f>averageInProgressTime(Dates!I$6,Dates!I$7, 1)</f>
        <v>0</v>
      </c>
      <c r="J8" s="5">
        <f>averageInProgressTime(Dates!J$6,Dates!J$7, 1)</f>
        <v>0</v>
      </c>
      <c r="K8" s="5">
        <f>averageInProgressTime(Dates!K$6,Dates!K$7, 1)</f>
        <v>0</v>
      </c>
      <c r="L8" s="5">
        <f>averageInProgressTime(Dates!L$6,Dates!L$7, 1)</f>
        <v>0</v>
      </c>
      <c r="M8" s="5">
        <f>averageInProgressTime(Dates!M$6,Dates!M$7, 1)</f>
        <v>0</v>
      </c>
      <c r="N8" s="5">
        <f>averageInProgressTime(Dates!N$6,Dates!N$7, 1)</f>
        <v>0</v>
      </c>
      <c r="O8" s="5">
        <f>averageInProgressTime(Dates!O$6,Dates!O$7, 1)</f>
        <v>0</v>
      </c>
      <c r="P8" s="5">
        <f>averageInProgressTime(Dates!P$6,Dates!P$7, 1)</f>
        <v>0</v>
      </c>
      <c r="Q8" s="5">
        <f>averageInProgressTime(Dates!Q$6,Dates!Q$7, 1)</f>
        <v>0</v>
      </c>
      <c r="R8" s="5">
        <f>averageInProgressTime(Dates!R$6,Dates!R$7, 1)</f>
        <v>0</v>
      </c>
      <c r="S8" s="5">
        <f>averageInProgressTime(Dates!S$6,Dates!S$7, 1)</f>
        <v>0</v>
      </c>
      <c r="T8" s="5">
        <f>averageInProgressTime(Dates!T$6,Dates!T$7, 1)</f>
        <v>0</v>
      </c>
      <c r="U8" s="5">
        <f>averageInProgressTime(Dates!C$6,Dates!T$7, 1)</f>
        <v>0</v>
      </c>
    </row>
    <row r="9" spans="1:22" x14ac:dyDescent="0.3">
      <c r="A9" s="6"/>
      <c r="B9" s="7" t="s">
        <v>54</v>
      </c>
      <c r="C9" s="5">
        <f>averageInProgressTime(Dates!C$6,Dates!C$7, 2)</f>
        <v>0</v>
      </c>
      <c r="D9" s="5">
        <f>averageInProgressTime(Dates!D$6,Dates!D$7, 2)</f>
        <v>0</v>
      </c>
      <c r="E9" s="5">
        <f>averageInProgressTime(Dates!E$6,Dates!E$7, 2)</f>
        <v>0</v>
      </c>
      <c r="F9" s="5">
        <f>averageInProgressTime(Dates!F$6,Dates!F$7, 2)</f>
        <v>0</v>
      </c>
      <c r="G9" s="5">
        <f>averageInProgressTime(Dates!G$6,Dates!G$7, 2)</f>
        <v>0</v>
      </c>
      <c r="H9" s="5">
        <f>averageInProgressTime(Dates!H$6,Dates!H$7, 2)</f>
        <v>0</v>
      </c>
      <c r="I9" s="5">
        <f>averageInProgressTime(Dates!I$6,Dates!I$7, 2)</f>
        <v>0</v>
      </c>
      <c r="J9" s="5">
        <f>averageInProgressTime(Dates!J$6,Dates!J$7, 2)</f>
        <v>0</v>
      </c>
      <c r="K9" s="5">
        <f>averageInProgressTime(Dates!K$6,Dates!K$7, 2)</f>
        <v>0</v>
      </c>
      <c r="L9" s="5">
        <f>averageInProgressTime(Dates!L$6,Dates!L$7, 2)</f>
        <v>0</v>
      </c>
      <c r="M9" s="5">
        <f>averageInProgressTime(Dates!M$6,Dates!M$7, 2)</f>
        <v>0</v>
      </c>
      <c r="N9" s="5">
        <f>averageInProgressTime(Dates!N$6,Dates!N$7, 2)</f>
        <v>0</v>
      </c>
      <c r="O9" s="5">
        <f>averageInProgressTime(Dates!O$6,Dates!O$7, 2)</f>
        <v>0</v>
      </c>
      <c r="P9" s="5">
        <f>averageInProgressTime(Dates!P$6,Dates!P$7, 2)</f>
        <v>0</v>
      </c>
      <c r="Q9" s="5">
        <f>averageInProgressTime(Dates!Q$6,Dates!Q$7, 2)</f>
        <v>0</v>
      </c>
      <c r="R9" s="5">
        <f>averageInProgressTime(Dates!R$6,Dates!R$7, 2)</f>
        <v>0</v>
      </c>
      <c r="S9" s="5">
        <f>averageInProgressTime(Dates!S$6,Dates!S$7, 2)</f>
        <v>0</v>
      </c>
      <c r="T9" s="5">
        <f>averageInProgressTime(Dates!T$6,Dates!T$7, 2)</f>
        <v>0</v>
      </c>
      <c r="U9" s="5">
        <f>averageInProgressTime(Dates!C$6,Dates!T$7, 2)</f>
        <v>0</v>
      </c>
    </row>
    <row r="10" spans="1:22" x14ac:dyDescent="0.3">
      <c r="A10" s="6"/>
      <c r="B10" s="7" t="s">
        <v>55</v>
      </c>
      <c r="C10" s="5">
        <f>averageInProgressTime(Dates!C$6,Dates!C$7, 3)</f>
        <v>0</v>
      </c>
      <c r="D10" s="5">
        <f>averageInProgressTime(Dates!D$6,Dates!D$7, 3)</f>
        <v>0</v>
      </c>
      <c r="E10" s="5">
        <f>averageInProgressTime(Dates!E$6,Dates!E$7, 3)</f>
        <v>0</v>
      </c>
      <c r="F10" s="5">
        <f>averageInProgressTime(Dates!F$6,Dates!F$7, 3)</f>
        <v>0</v>
      </c>
      <c r="G10" s="5">
        <f>averageInProgressTime(Dates!G$6,Dates!G$7, 3)</f>
        <v>0</v>
      </c>
      <c r="H10" s="5">
        <f>averageInProgressTime(Dates!H$6,Dates!H$7, 3)</f>
        <v>0</v>
      </c>
      <c r="I10" s="5">
        <f>averageInProgressTime(Dates!I$6,Dates!I$7, 3)</f>
        <v>0</v>
      </c>
      <c r="J10" s="5">
        <f>averageInProgressTime(Dates!J$6,Dates!J$7, 3)</f>
        <v>0</v>
      </c>
      <c r="K10" s="5">
        <f>averageInProgressTime(Dates!K$6,Dates!K$7, 3)</f>
        <v>0</v>
      </c>
      <c r="L10" s="5">
        <f>averageInProgressTime(Dates!L$6,Dates!L$7, 3)</f>
        <v>0</v>
      </c>
      <c r="M10" s="5">
        <f>averageInProgressTime(Dates!M$6,Dates!M$7, 3)</f>
        <v>0</v>
      </c>
      <c r="N10" s="5">
        <f>averageInProgressTime(Dates!N$6,Dates!N$7, 3)</f>
        <v>0</v>
      </c>
      <c r="O10" s="5">
        <f>averageInProgressTime(Dates!O$6,Dates!O$7, 3)</f>
        <v>0</v>
      </c>
      <c r="P10" s="5">
        <f>averageInProgressTime(Dates!P$6,Dates!P$7, 3)</f>
        <v>0</v>
      </c>
      <c r="Q10" s="5">
        <f>averageInProgressTime(Dates!Q$6,Dates!Q$7, 3)</f>
        <v>0</v>
      </c>
      <c r="R10" s="5">
        <f>averageInProgressTime(Dates!R$6,Dates!R$7, 3)</f>
        <v>0</v>
      </c>
      <c r="S10" s="5">
        <f>averageInProgressTime(Dates!S$6,Dates!S$7, 3)</f>
        <v>0</v>
      </c>
      <c r="T10" s="5">
        <f>averageInProgressTime(Dates!T$6,Dates!T$7, 3)</f>
        <v>0</v>
      </c>
      <c r="U10" s="5">
        <f>averageInProgressTime(Dates!C$6,Dates!T$7, 3)</f>
        <v>0</v>
      </c>
    </row>
    <row r="11" spans="1:22" x14ac:dyDescent="0.3">
      <c r="A11" s="6"/>
      <c r="B11" s="7" t="s">
        <v>42</v>
      </c>
      <c r="C11">
        <f>totalNumberOfJobsCompleted(Dates!C$6,Dates!C$7)</f>
        <v>0</v>
      </c>
      <c r="D11">
        <f>totalNumberOfJobsCompleted(Dates!D$6,Dates!D$7)</f>
        <v>0</v>
      </c>
      <c r="E11">
        <f>totalNumberOfJobsCompleted(Dates!E$6,Dates!E$7)</f>
        <v>0</v>
      </c>
      <c r="F11">
        <f>totalNumberOfJobsCompleted(Dates!F$6,Dates!F$7)</f>
        <v>0</v>
      </c>
      <c r="G11">
        <f>totalNumberOfJobsCompleted(Dates!G$6,Dates!G$7)</f>
        <v>0</v>
      </c>
      <c r="H11">
        <f>totalNumberOfJobsCompleted(Dates!H$6,Dates!H$7)</f>
        <v>0</v>
      </c>
      <c r="I11">
        <f>totalNumberOfJobsCompleted(Dates!I$6,Dates!I$7)</f>
        <v>0</v>
      </c>
      <c r="J11">
        <f>totalNumberOfJobsCompleted(Dates!J$6,Dates!J$7)</f>
        <v>0</v>
      </c>
      <c r="K11">
        <f>totalNumberOfJobsCompleted(Dates!K$6,Dates!K$7)</f>
        <v>0</v>
      </c>
      <c r="L11">
        <f>totalNumberOfJobsCompleted(Dates!L$6,Dates!L$7)</f>
        <v>0</v>
      </c>
      <c r="M11">
        <f>totalNumberOfJobsCompleted(Dates!M$6,Dates!M$7)</f>
        <v>0</v>
      </c>
      <c r="N11">
        <f>totalNumberOfJobsCompleted(Dates!N$6,Dates!N$7)</f>
        <v>0</v>
      </c>
      <c r="O11">
        <f>totalNumberOfJobsCompleted(Dates!O$6,Dates!O$7)</f>
        <v>0</v>
      </c>
      <c r="P11">
        <f>totalNumberOfJobsCompleted(Dates!P$6,Dates!P$7)</f>
        <v>0</v>
      </c>
      <c r="Q11">
        <f>totalNumberOfJobsCompleted(Dates!Q$6,Dates!Q$7)</f>
        <v>0</v>
      </c>
      <c r="R11">
        <f>totalNumberOfJobsCompleted(Dates!R$6,Dates!R$7)</f>
        <v>0</v>
      </c>
      <c r="S11">
        <f>totalNumberOfJobsCompleted(Dates!S$6,Dates!S$7)</f>
        <v>0</v>
      </c>
      <c r="T11">
        <f>totalNumberOfJobsCompleted(Dates!T$6,Dates!T$7)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pendingJobs(Dates!C$7)</f>
        <v>0</v>
      </c>
      <c r="D12">
        <f>pendingJobs(Dates!D$7)</f>
        <v>0</v>
      </c>
      <c r="E12">
        <f>pendingJobs(Dates!E$7)</f>
        <v>0</v>
      </c>
      <c r="F12">
        <f>pendingJobs(Dates!F$7)</f>
        <v>0</v>
      </c>
      <c r="G12">
        <f>pendingJobs(Dates!G$7)</f>
        <v>0</v>
      </c>
      <c r="H12">
        <f>pendingJobs(Dates!H$7)</f>
        <v>0</v>
      </c>
      <c r="I12">
        <f>pendingJobs(Dates!I$7)</f>
        <v>0</v>
      </c>
      <c r="J12">
        <f>pendingJobs(Dates!J$7)</f>
        <v>0</v>
      </c>
      <c r="K12">
        <f>pendingJobs(Dates!K$7)</f>
        <v>0</v>
      </c>
      <c r="L12">
        <f>pendingJobs(Dates!L$7)</f>
        <v>0</v>
      </c>
      <c r="M12">
        <f>pendingJobs(Dates!M$7)</f>
        <v>0</v>
      </c>
      <c r="N12">
        <f>pendingJobs(Dates!N$7)</f>
        <v>0</v>
      </c>
      <c r="O12">
        <f>pendingJobs(Dates!O$7)</f>
        <v>0</v>
      </c>
      <c r="P12">
        <f>pendingJobs(Dates!P$7)</f>
        <v>0</v>
      </c>
      <c r="Q12">
        <f>pendingJobs(Dates!Q$7)</f>
        <v>0</v>
      </c>
      <c r="R12">
        <f>pendingJobs(Dates!R$7)</f>
        <v>0</v>
      </c>
      <c r="S12">
        <f>pendingJobs(Dates!S$7)</f>
        <v>0</v>
      </c>
      <c r="T12">
        <f>pendingJobs(Dates!T$7)</f>
        <v>0</v>
      </c>
      <c r="U12" s="5"/>
    </row>
    <row r="13" spans="1:22" x14ac:dyDescent="0.3">
      <c r="A13" s="6"/>
      <c r="B13" s="7" t="s">
        <v>48</v>
      </c>
      <c r="C13">
        <f>cancelledJobs(Dates!$C$6,Dates!C$7)</f>
        <v>0</v>
      </c>
      <c r="D13">
        <f>cancelledJobs(Dates!$C$6,Dates!D$7)</f>
        <v>0</v>
      </c>
      <c r="E13">
        <f>cancelledJobs(Dates!$C$6,Dates!E$7)</f>
        <v>0</v>
      </c>
      <c r="F13">
        <f>cancelledJobs(Dates!$C$6,Dates!F$7)</f>
        <v>0</v>
      </c>
      <c r="G13">
        <f>cancelledJobs(Dates!$C$6,Dates!G$7)</f>
        <v>0</v>
      </c>
      <c r="H13">
        <f>cancelledJobs(Dates!$C$6,Dates!H$7)</f>
        <v>0</v>
      </c>
      <c r="I13">
        <f>cancelledJobs(Dates!$C$6,Dates!I$7)</f>
        <v>0</v>
      </c>
      <c r="J13">
        <f>cancelledJobs(Dates!$C$6,Dates!J$7)</f>
        <v>0</v>
      </c>
      <c r="K13">
        <f>cancelledJobs(Dates!$C$6,Dates!K$7)</f>
        <v>0</v>
      </c>
      <c r="L13">
        <f>cancelledJobs(Dates!$C$6,Dates!L$7)</f>
        <v>0</v>
      </c>
      <c r="M13">
        <f>cancelledJobs(Dates!$C$6,Dates!M$7)</f>
        <v>0</v>
      </c>
      <c r="N13">
        <f>cancelledJobs(Dates!$C$6,Dates!N$7)</f>
        <v>0</v>
      </c>
      <c r="O13">
        <f>cancelledJobs(Dates!$C$6,Dates!O$7)</f>
        <v>0</v>
      </c>
      <c r="P13">
        <f>cancelledJobs(Dates!$C$6,Dates!P$7)</f>
        <v>0</v>
      </c>
      <c r="Q13">
        <f>cancelledJobs(Dates!$C$6,Dates!Q$7)</f>
        <v>0</v>
      </c>
      <c r="R13">
        <f>cancelledJobs(Dates!$C$6,Dates!R$7)</f>
        <v>0</v>
      </c>
      <c r="S13">
        <f>cancelledJobs(Dates!$C$6,Dates!S$7)</f>
        <v>0</v>
      </c>
      <c r="T13">
        <f>cancelledJobs(Dates!$C$6,Dates!T$7)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81"/>
  <sheetViews>
    <sheetView topLeftCell="B1" zoomScale="70" zoomScaleNormal="70" workbookViewId="0">
      <selection activeCell="C2" sqref="C2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averageCompletionTime(Dates!C$8,Dates!C$9, 1)</f>
        <v>0</v>
      </c>
      <c r="D2" s="5">
        <f>averageCompletionTime(Dates!D$8,Dates!D$9, 1)</f>
        <v>0</v>
      </c>
      <c r="E2" s="5">
        <f>averageCompletionTime(Dates!E$8,Dates!E$9, 1)</f>
        <v>0</v>
      </c>
      <c r="F2" s="5">
        <f>averageCompletionTime(Dates!F$8,Dates!F$9, 1)</f>
        <v>0</v>
      </c>
      <c r="G2" s="5">
        <f>averageCompletionTime(Dates!G$8,Dates!G$9, 1)</f>
        <v>0</v>
      </c>
      <c r="H2" s="5">
        <f>averageCompletionTime(Dates!H$8,Dates!H$9, 1)</f>
        <v>0</v>
      </c>
      <c r="I2" s="5">
        <f>averageCompletionTime(Dates!I$8,Dates!I$9, 1)</f>
        <v>0</v>
      </c>
      <c r="J2" s="5">
        <f>averageCompletionTime(Dates!J$8,Dates!J$9, 1)</f>
        <v>0</v>
      </c>
      <c r="K2" s="5">
        <f>averageCompletionTime(Dates!K$8,Dates!K$9, 1)</f>
        <v>0</v>
      </c>
      <c r="L2" s="5">
        <f>averageCompletionTime(Dates!L$8,Dates!L$9, 1)</f>
        <v>0</v>
      </c>
      <c r="M2" s="5">
        <f>averageCompletionTime(Dates!M$8,Dates!M$9, 1)</f>
        <v>0</v>
      </c>
      <c r="N2" s="5">
        <f>averageCompletionTime(Dates!N$8,Dates!N$9, 1)</f>
        <v>0</v>
      </c>
      <c r="O2" s="5">
        <f>averageCompletionTime(Dates!O$8,Dates!O$9, 1)</f>
        <v>0</v>
      </c>
      <c r="P2" s="5">
        <f>averageCompletionTime(Dates!P$8,Dates!P$9, 1)</f>
        <v>0</v>
      </c>
      <c r="Q2" s="5">
        <f>averageCompletionTime(Dates!Q$8,Dates!Q$9, 1)</f>
        <v>0</v>
      </c>
      <c r="R2" s="5">
        <f>averageCompletionTime(Dates!R$8,Dates!R$9, 1)</f>
        <v>0</v>
      </c>
      <c r="S2" s="5">
        <f>averageCompletionTime(Dates!S$8,Dates!S$9, 1)</f>
        <v>0</v>
      </c>
      <c r="T2" s="5">
        <f>averageCompletionTime(Dates!T$8,Dates!T$9, 1)</f>
        <v>0</v>
      </c>
      <c r="U2" s="5">
        <f>averageCompletionTime(Dates!C$8,Dates!T$9, 1)</f>
        <v>0</v>
      </c>
    </row>
    <row r="3" spans="1:22" x14ac:dyDescent="0.3">
      <c r="A3" s="6"/>
      <c r="B3" s="8" t="s">
        <v>49</v>
      </c>
      <c r="C3" s="5">
        <f>averageCompletionTime(Dates!C$8,Dates!C$9, 2)</f>
        <v>0</v>
      </c>
      <c r="D3" s="5">
        <f>averageCompletionTime(Dates!D$8,Dates!D$9, 2)</f>
        <v>0</v>
      </c>
      <c r="E3" s="5">
        <f>averageCompletionTime(Dates!E$8,Dates!E$9, 2)</f>
        <v>0</v>
      </c>
      <c r="F3" s="5">
        <f>averageCompletionTime(Dates!F$8,Dates!F$9, 2)</f>
        <v>0</v>
      </c>
      <c r="G3" s="5">
        <f>averageCompletionTime(Dates!G$8,Dates!G$9, 2)</f>
        <v>0</v>
      </c>
      <c r="H3" s="5">
        <f>averageCompletionTime(Dates!H$8,Dates!H$9, 2)</f>
        <v>0</v>
      </c>
      <c r="I3" s="5">
        <f>averageCompletionTime(Dates!I$8,Dates!I$9, 2)</f>
        <v>0</v>
      </c>
      <c r="J3" s="5">
        <f>averageCompletionTime(Dates!J$8,Dates!J$9, 2)</f>
        <v>0</v>
      </c>
      <c r="K3" s="5">
        <f>averageCompletionTime(Dates!K$8,Dates!K$9, 2)</f>
        <v>0</v>
      </c>
      <c r="L3" s="5">
        <f>averageCompletionTime(Dates!L$8,Dates!L$9, 2)</f>
        <v>0</v>
      </c>
      <c r="M3" s="5">
        <f>averageCompletionTime(Dates!M$8,Dates!M$9, 2)</f>
        <v>0</v>
      </c>
      <c r="N3" s="5">
        <f>averageCompletionTime(Dates!N$8,Dates!N$9, 2)</f>
        <v>0</v>
      </c>
      <c r="O3" s="5">
        <f>averageCompletionTime(Dates!O$8,Dates!O$9, 2)</f>
        <v>0</v>
      </c>
      <c r="P3" s="5">
        <f>averageCompletionTime(Dates!P$8,Dates!P$9, 2)</f>
        <v>0</v>
      </c>
      <c r="Q3" s="5">
        <f>averageCompletionTime(Dates!Q$8,Dates!Q$9, 2)</f>
        <v>0</v>
      </c>
      <c r="R3" s="5">
        <f>averageCompletionTime(Dates!R$8,Dates!R$9, 2)</f>
        <v>0</v>
      </c>
      <c r="S3" s="5">
        <f>averageCompletionTime(Dates!S$8,Dates!S$9, 2)</f>
        <v>0</v>
      </c>
      <c r="T3" s="5">
        <f>averageCompletionTime(Dates!T$8,Dates!T$9, 2)</f>
        <v>0</v>
      </c>
      <c r="U3" s="5">
        <f>averageCompletionTime(Dates!C$8,Dates!T$9, 2)</f>
        <v>0</v>
      </c>
      <c r="V3" s="5"/>
    </row>
    <row r="4" spans="1:22" x14ac:dyDescent="0.3">
      <c r="A4" s="6"/>
      <c r="B4" s="7" t="s">
        <v>50</v>
      </c>
      <c r="C4" s="5">
        <f>averageCompletionTime(Dates!C$8,Dates!C$9, 3)</f>
        <v>0</v>
      </c>
      <c r="D4" s="5">
        <f>averageCompletionTime(Dates!D$8,Dates!D$9, 3)</f>
        <v>0</v>
      </c>
      <c r="E4" s="5">
        <f>averageCompletionTime(Dates!E$8,Dates!E$9, 3)</f>
        <v>0</v>
      </c>
      <c r="F4" s="5">
        <f>averageCompletionTime(Dates!F$8,Dates!F$9, 3)</f>
        <v>0</v>
      </c>
      <c r="G4" s="5">
        <f>averageCompletionTime(Dates!G$8,Dates!G$9, 3)</f>
        <v>0</v>
      </c>
      <c r="H4" s="5">
        <f>averageCompletionTime(Dates!H$8,Dates!H$9, 3)</f>
        <v>0</v>
      </c>
      <c r="I4" s="5">
        <f>averageCompletionTime(Dates!I$8,Dates!I$9, 3)</f>
        <v>0</v>
      </c>
      <c r="J4" s="5">
        <f>averageCompletionTime(Dates!J$8,Dates!J$9, 3)</f>
        <v>0</v>
      </c>
      <c r="K4" s="5">
        <f>averageCompletionTime(Dates!K$8,Dates!K$9, 3)</f>
        <v>0</v>
      </c>
      <c r="L4" s="5">
        <f>averageCompletionTime(Dates!L$8,Dates!L$9, 3)</f>
        <v>0</v>
      </c>
      <c r="M4" s="5">
        <f>averageCompletionTime(Dates!M$8,Dates!M$9, 3)</f>
        <v>0</v>
      </c>
      <c r="N4" s="5">
        <f>averageCompletionTime(Dates!N$8,Dates!N$9, 3)</f>
        <v>0</v>
      </c>
      <c r="O4" s="5">
        <f>averageCompletionTime(Dates!O$8,Dates!O$9, 3)</f>
        <v>0</v>
      </c>
      <c r="P4" s="5">
        <f>averageCompletionTime(Dates!P$8,Dates!P$9, 3)</f>
        <v>0</v>
      </c>
      <c r="Q4" s="5">
        <f>averageCompletionTime(Dates!Q$8,Dates!Q$9, 3)</f>
        <v>0</v>
      </c>
      <c r="R4" s="5">
        <f>averageCompletionTime(Dates!R$8,Dates!R$9, 3)</f>
        <v>0</v>
      </c>
      <c r="S4" s="5">
        <f>averageCompletionTime(Dates!S$8,Dates!S$9, 3)</f>
        <v>0</v>
      </c>
      <c r="T4" s="5">
        <f>averageCompletionTime(Dates!T$8,Dates!T$9, 3)</f>
        <v>0</v>
      </c>
      <c r="U4" s="5">
        <f>averageCompletionTime(Dates!C$8,Dates!T$9, 3)</f>
        <v>0</v>
      </c>
    </row>
    <row r="5" spans="1:22" x14ac:dyDescent="0.3">
      <c r="A5" s="6"/>
      <c r="B5" s="7" t="s">
        <v>11</v>
      </c>
      <c r="C5" s="5">
        <f>averageResponseTime(Dates!C$8,Dates!C$9, 1)</f>
        <v>0</v>
      </c>
      <c r="D5" s="5">
        <f>averageResponseTime(Dates!D$8,Dates!D$9, 1)</f>
        <v>0</v>
      </c>
      <c r="E5" s="5">
        <f>averageResponseTime(Dates!E$8,Dates!E$9, 1)</f>
        <v>0</v>
      </c>
      <c r="F5" s="5">
        <f>averageResponseTime(Dates!F$8,Dates!F$9, 1)</f>
        <v>0</v>
      </c>
      <c r="G5" s="5">
        <f>averageResponseTime(Dates!G$8,Dates!G$9, 1)</f>
        <v>0</v>
      </c>
      <c r="H5" s="5">
        <f>averageResponseTime(Dates!H$8,Dates!H$9, 1)</f>
        <v>0</v>
      </c>
      <c r="I5" s="5">
        <f>averageResponseTime(Dates!I$8,Dates!I$9, 1)</f>
        <v>0</v>
      </c>
      <c r="J5" s="5">
        <f>averageResponseTime(Dates!J$8,Dates!J$9, 1)</f>
        <v>0</v>
      </c>
      <c r="K5" s="5">
        <f>averageResponseTime(Dates!K$8,Dates!K$9, 1)</f>
        <v>0</v>
      </c>
      <c r="L5" s="5">
        <f>averageResponseTime(Dates!L$8,Dates!L$9, 1)</f>
        <v>0</v>
      </c>
      <c r="M5" s="5">
        <f>averageResponseTime(Dates!M$8,Dates!M$9, 1)</f>
        <v>0</v>
      </c>
      <c r="N5" s="5">
        <f>averageResponseTime(Dates!N$8,Dates!N$9, 1)</f>
        <v>0</v>
      </c>
      <c r="O5" s="5">
        <f>averageResponseTime(Dates!O$8,Dates!O$9, 1)</f>
        <v>0</v>
      </c>
      <c r="P5" s="5">
        <f>averageResponseTime(Dates!P$8,Dates!P$9, 1)</f>
        <v>0</v>
      </c>
      <c r="Q5" s="5">
        <f>averageResponseTime(Dates!Q$8,Dates!Q$9, 1)</f>
        <v>0</v>
      </c>
      <c r="R5" s="5">
        <f>averageResponseTime(Dates!R$8,Dates!R$9, 1)</f>
        <v>0</v>
      </c>
      <c r="S5" s="5">
        <f>averageResponseTime(Dates!S$8,Dates!S$9, 1)</f>
        <v>0</v>
      </c>
      <c r="T5" s="5">
        <f>averageResponseTime(Dates!T$8,Dates!T$9, 1)</f>
        <v>0</v>
      </c>
      <c r="U5" s="5">
        <f>averageResponseTime(Dates!C$8,Dates!T$9, 1)</f>
        <v>0</v>
      </c>
    </row>
    <row r="6" spans="1:22" x14ac:dyDescent="0.3">
      <c r="A6" s="6"/>
      <c r="B6" s="7" t="s">
        <v>51</v>
      </c>
      <c r="C6" s="5">
        <f>averageResponseTime(Dates!C$8,Dates!C$9, 2)</f>
        <v>0</v>
      </c>
      <c r="D6" s="5">
        <f>averageResponseTime(Dates!D$8,Dates!D$9, 2)</f>
        <v>0</v>
      </c>
      <c r="E6" s="5">
        <f>averageResponseTime(Dates!E$8,Dates!E$9, 2)</f>
        <v>0</v>
      </c>
      <c r="F6" s="5">
        <f>averageResponseTime(Dates!F$8,Dates!F$9, 2)</f>
        <v>0</v>
      </c>
      <c r="G6" s="5">
        <f>averageResponseTime(Dates!G$8,Dates!G$9, 2)</f>
        <v>0</v>
      </c>
      <c r="H6" s="5">
        <f>averageResponseTime(Dates!H$8,Dates!H$9, 2)</f>
        <v>0</v>
      </c>
      <c r="I6" s="5">
        <f>averageResponseTime(Dates!I$8,Dates!I$9, 2)</f>
        <v>0</v>
      </c>
      <c r="J6" s="5">
        <f>averageResponseTime(Dates!J$8,Dates!J$9, 2)</f>
        <v>0</v>
      </c>
      <c r="K6" s="5">
        <f>averageResponseTime(Dates!K$8,Dates!K$9, 2)</f>
        <v>0</v>
      </c>
      <c r="L6" s="5">
        <f>averageResponseTime(Dates!L$8,Dates!L$9, 2)</f>
        <v>0</v>
      </c>
      <c r="M6" s="5">
        <f>averageResponseTime(Dates!M$8,Dates!M$9, 2)</f>
        <v>0</v>
      </c>
      <c r="N6" s="5">
        <f>averageResponseTime(Dates!N$8,Dates!N$9, 2)</f>
        <v>0</v>
      </c>
      <c r="O6" s="5">
        <f>averageResponseTime(Dates!O$8,Dates!O$9, 2)</f>
        <v>0</v>
      </c>
      <c r="P6" s="5">
        <f>averageResponseTime(Dates!P$8,Dates!P$9, 2)</f>
        <v>0</v>
      </c>
      <c r="Q6" s="5">
        <f>averageResponseTime(Dates!Q$8,Dates!Q$9, 2)</f>
        <v>0</v>
      </c>
      <c r="R6" s="5">
        <f>averageResponseTime(Dates!R$8,Dates!R$9, 2)</f>
        <v>0</v>
      </c>
      <c r="S6" s="5">
        <f>averageResponseTime(Dates!S$8,Dates!S$9, 2)</f>
        <v>0</v>
      </c>
      <c r="T6" s="5">
        <f>averageResponseTime(Dates!T$8,Dates!T$9, 2)</f>
        <v>0</v>
      </c>
      <c r="U6" s="5">
        <f>averageResponseTime(Dates!C$8,Dates!T$9, 2)</f>
        <v>0</v>
      </c>
    </row>
    <row r="7" spans="1:22" x14ac:dyDescent="0.3">
      <c r="A7" s="6"/>
      <c r="B7" s="7" t="s">
        <v>52</v>
      </c>
      <c r="C7" s="5">
        <f>averageResponseTime(Dates!C$8,Dates!C$9, 3)</f>
        <v>0</v>
      </c>
      <c r="D7" s="5">
        <f>averageResponseTime(Dates!D$8,Dates!D$9, 3)</f>
        <v>0</v>
      </c>
      <c r="E7" s="5">
        <f>averageResponseTime(Dates!E$8,Dates!E$9, 3)</f>
        <v>0</v>
      </c>
      <c r="F7" s="5">
        <f>averageResponseTime(Dates!F$8,Dates!F$9, 3)</f>
        <v>0</v>
      </c>
      <c r="G7" s="5">
        <f>averageResponseTime(Dates!G$8,Dates!G$9, 3)</f>
        <v>0</v>
      </c>
      <c r="H7" s="5">
        <f>averageResponseTime(Dates!H$8,Dates!H$9, 3)</f>
        <v>0</v>
      </c>
      <c r="I7" s="5">
        <f>averageResponseTime(Dates!I$8,Dates!I$9, 3)</f>
        <v>0</v>
      </c>
      <c r="J7" s="5">
        <f>averageResponseTime(Dates!J$8,Dates!J$9, 3)</f>
        <v>0</v>
      </c>
      <c r="K7" s="5">
        <f>averageResponseTime(Dates!K$8,Dates!K$9, 3)</f>
        <v>0</v>
      </c>
      <c r="L7" s="5">
        <f>averageResponseTime(Dates!L$8,Dates!L$9, 3)</f>
        <v>0</v>
      </c>
      <c r="M7" s="5">
        <f>averageResponseTime(Dates!M$8,Dates!M$9, 3)</f>
        <v>0</v>
      </c>
      <c r="N7" s="5">
        <f>averageResponseTime(Dates!N$8,Dates!N$9, 3)</f>
        <v>0</v>
      </c>
      <c r="O7" s="5">
        <f>averageResponseTime(Dates!O$8,Dates!O$9, 3)</f>
        <v>0</v>
      </c>
      <c r="P7" s="5">
        <f>averageResponseTime(Dates!P$8,Dates!P$9, 3)</f>
        <v>0</v>
      </c>
      <c r="Q7" s="5">
        <f>averageResponseTime(Dates!Q$8,Dates!Q$9, 3)</f>
        <v>0</v>
      </c>
      <c r="R7" s="5">
        <f>averageResponseTime(Dates!R$8,Dates!R$9, 3)</f>
        <v>0</v>
      </c>
      <c r="S7" s="5">
        <f>averageResponseTime(Dates!S$8,Dates!S$9, 3)</f>
        <v>0</v>
      </c>
      <c r="T7" s="5">
        <f>averageResponseTime(Dates!T$8,Dates!T$9, 3)</f>
        <v>0</v>
      </c>
      <c r="U7" s="5">
        <f>averageResponseTime(Dates!C$8,Dates!T$9, 3)</f>
        <v>0</v>
      </c>
    </row>
    <row r="8" spans="1:22" x14ac:dyDescent="0.3">
      <c r="A8" s="6"/>
      <c r="B8" s="7" t="s">
        <v>53</v>
      </c>
      <c r="C8" s="5">
        <f>averageInProgressTime(Dates!C$8,Dates!C$9, 1)</f>
        <v>0</v>
      </c>
      <c r="D8" s="5">
        <f>averageInProgressTime(Dates!D$8,Dates!D$9, 1)</f>
        <v>0</v>
      </c>
      <c r="E8" s="5">
        <f>averageInProgressTime(Dates!E$8,Dates!E$9, 1)</f>
        <v>0</v>
      </c>
      <c r="F8" s="5">
        <f>averageInProgressTime(Dates!F$8,Dates!F$9, 1)</f>
        <v>0</v>
      </c>
      <c r="G8" s="5">
        <f>averageInProgressTime(Dates!G$8,Dates!G$9, 1)</f>
        <v>0</v>
      </c>
      <c r="H8" s="5">
        <f>averageInProgressTime(Dates!H$8,Dates!H$9, 1)</f>
        <v>0</v>
      </c>
      <c r="I8" s="5">
        <f>averageInProgressTime(Dates!I$8,Dates!I$9, 1)</f>
        <v>0</v>
      </c>
      <c r="J8" s="5">
        <f>averageInProgressTime(Dates!J$8,Dates!J$9, 1)</f>
        <v>0</v>
      </c>
      <c r="K8" s="5">
        <f>averageInProgressTime(Dates!K$8,Dates!K$9, 1)</f>
        <v>0</v>
      </c>
      <c r="L8" s="5">
        <f>averageInProgressTime(Dates!L$8,Dates!L$9, 1)</f>
        <v>0</v>
      </c>
      <c r="M8" s="5">
        <f>averageInProgressTime(Dates!M$8,Dates!M$9, 1)</f>
        <v>0</v>
      </c>
      <c r="N8" s="5">
        <f>averageInProgressTime(Dates!N$8,Dates!N$9, 1)</f>
        <v>0</v>
      </c>
      <c r="O8" s="5">
        <f>averageInProgressTime(Dates!O$8,Dates!O$9, 1)</f>
        <v>0</v>
      </c>
      <c r="P8" s="5">
        <f>averageInProgressTime(Dates!P$8,Dates!P$9, 1)</f>
        <v>0</v>
      </c>
      <c r="Q8" s="5">
        <f>averageInProgressTime(Dates!Q$8,Dates!Q$9, 1)</f>
        <v>0</v>
      </c>
      <c r="R8" s="5">
        <f>averageInProgressTime(Dates!R$8,Dates!R$9, 1)</f>
        <v>0</v>
      </c>
      <c r="S8" s="5">
        <f>averageInProgressTime(Dates!S$8,Dates!S$9, 1)</f>
        <v>0</v>
      </c>
      <c r="T8" s="5">
        <f>averageInProgressTime(Dates!T$8,Dates!T$9, 1)</f>
        <v>0</v>
      </c>
      <c r="U8" s="5">
        <f>averageInProgressTime(Dates!C$8,Dates!T$9, 1)</f>
        <v>0</v>
      </c>
    </row>
    <row r="9" spans="1:22" x14ac:dyDescent="0.3">
      <c r="A9" s="6"/>
      <c r="B9" s="7" t="s">
        <v>54</v>
      </c>
      <c r="C9" s="5">
        <f>averageInProgressTime(Dates!C$8,Dates!C$9, 2)</f>
        <v>0</v>
      </c>
      <c r="D9" s="5">
        <f>averageInProgressTime(Dates!D$8,Dates!D$9, 2)</f>
        <v>0</v>
      </c>
      <c r="E9" s="5">
        <f>averageInProgressTime(Dates!E$8,Dates!E$9, 2)</f>
        <v>0</v>
      </c>
      <c r="F9" s="5">
        <f>averageInProgressTime(Dates!F$8,Dates!F$9, 2)</f>
        <v>0</v>
      </c>
      <c r="G9" s="5">
        <f>averageInProgressTime(Dates!G$8,Dates!G$9, 2)</f>
        <v>0</v>
      </c>
      <c r="H9" s="5">
        <f>averageInProgressTime(Dates!H$8,Dates!H$9, 2)</f>
        <v>0</v>
      </c>
      <c r="I9" s="5">
        <f>averageInProgressTime(Dates!I$8,Dates!I$9, 2)</f>
        <v>0</v>
      </c>
      <c r="J9" s="5">
        <f>averageInProgressTime(Dates!J$8,Dates!J$9, 2)</f>
        <v>0</v>
      </c>
      <c r="K9" s="5">
        <f>averageInProgressTime(Dates!K$8,Dates!K$9, 2)</f>
        <v>0</v>
      </c>
      <c r="L9" s="5">
        <f>averageInProgressTime(Dates!L$8,Dates!L$9, 2)</f>
        <v>0</v>
      </c>
      <c r="M9" s="5">
        <f>averageInProgressTime(Dates!M$8,Dates!M$9, 2)</f>
        <v>0</v>
      </c>
      <c r="N9" s="5">
        <f>averageInProgressTime(Dates!N$8,Dates!N$9, 2)</f>
        <v>0</v>
      </c>
      <c r="O9" s="5">
        <f>averageInProgressTime(Dates!O$8,Dates!O$9, 2)</f>
        <v>0</v>
      </c>
      <c r="P9" s="5">
        <f>averageInProgressTime(Dates!P$8,Dates!P$9, 2)</f>
        <v>0</v>
      </c>
      <c r="Q9" s="5">
        <f>averageInProgressTime(Dates!Q$8,Dates!Q$9, 2)</f>
        <v>0</v>
      </c>
      <c r="R9" s="5">
        <f>averageInProgressTime(Dates!R$8,Dates!R$9, 2)</f>
        <v>0</v>
      </c>
      <c r="S9" s="5">
        <f>averageInProgressTime(Dates!S$8,Dates!S$9, 2)</f>
        <v>0</v>
      </c>
      <c r="T9" s="5">
        <f>averageInProgressTime(Dates!T$8,Dates!T$9, 2)</f>
        <v>0</v>
      </c>
      <c r="U9" s="5">
        <f>averageInProgressTime(Dates!C$8,Dates!T$9, 2)</f>
        <v>0</v>
      </c>
    </row>
    <row r="10" spans="1:22" x14ac:dyDescent="0.3">
      <c r="A10" s="6"/>
      <c r="B10" s="7" t="s">
        <v>55</v>
      </c>
      <c r="C10" s="5">
        <f>averageInProgressTime(Dates!C$8,Dates!C$9, 3)</f>
        <v>0</v>
      </c>
      <c r="D10" s="5">
        <f>averageInProgressTime(Dates!D$8,Dates!D$9, 3)</f>
        <v>0</v>
      </c>
      <c r="E10" s="5">
        <f>averageInProgressTime(Dates!E$8,Dates!E$9, 3)</f>
        <v>0</v>
      </c>
      <c r="F10" s="5">
        <f>averageInProgressTime(Dates!F$8,Dates!F$9, 3)</f>
        <v>0</v>
      </c>
      <c r="G10" s="5">
        <f>averageInProgressTime(Dates!G$8,Dates!G$9, 3)</f>
        <v>0</v>
      </c>
      <c r="H10" s="5">
        <f>averageInProgressTime(Dates!H$8,Dates!H$9, 3)</f>
        <v>0</v>
      </c>
      <c r="I10" s="5">
        <f>averageInProgressTime(Dates!I$8,Dates!I$9, 3)</f>
        <v>0</v>
      </c>
      <c r="J10" s="5">
        <f>averageInProgressTime(Dates!J$8,Dates!J$9, 3)</f>
        <v>0</v>
      </c>
      <c r="K10" s="5">
        <f>averageInProgressTime(Dates!K$8,Dates!K$9, 3)</f>
        <v>0</v>
      </c>
      <c r="L10" s="5">
        <f>averageInProgressTime(Dates!L$8,Dates!L$9, 3)</f>
        <v>0</v>
      </c>
      <c r="M10" s="5">
        <f>averageInProgressTime(Dates!M$8,Dates!M$9, 3)</f>
        <v>0</v>
      </c>
      <c r="N10" s="5">
        <f>averageInProgressTime(Dates!N$8,Dates!N$9, 3)</f>
        <v>0</v>
      </c>
      <c r="O10" s="5">
        <f>averageInProgressTime(Dates!O$8,Dates!O$9, 3)</f>
        <v>0</v>
      </c>
      <c r="P10" s="5">
        <f>averageInProgressTime(Dates!P$8,Dates!P$9, 3)</f>
        <v>0</v>
      </c>
      <c r="Q10" s="5">
        <f>averageInProgressTime(Dates!Q$8,Dates!Q$9, 3)</f>
        <v>0</v>
      </c>
      <c r="R10" s="5">
        <f>averageInProgressTime(Dates!R$8,Dates!R$9, 3)</f>
        <v>0</v>
      </c>
      <c r="S10" s="5">
        <f>averageInProgressTime(Dates!S$8,Dates!S$9, 3)</f>
        <v>0</v>
      </c>
      <c r="T10" s="5">
        <f>averageInProgressTime(Dates!T$8,Dates!T$9, 3)</f>
        <v>0</v>
      </c>
      <c r="U10" s="5">
        <f>averageInProgressTime(Dates!C$8,Dates!T$9, 3)</f>
        <v>0</v>
      </c>
    </row>
    <row r="11" spans="1:22" x14ac:dyDescent="0.3">
      <c r="A11" s="6"/>
      <c r="B11" s="7" t="s">
        <v>42</v>
      </c>
      <c r="C11">
        <f>totalNumberOfJobsCompleted(Dates!C$8,Dates!C$9)</f>
        <v>0</v>
      </c>
      <c r="D11">
        <f>totalNumberOfJobsCompleted(Dates!D$8,Dates!D$9)</f>
        <v>0</v>
      </c>
      <c r="E11">
        <f>totalNumberOfJobsCompleted(Dates!E$8,Dates!E$9)</f>
        <v>0</v>
      </c>
      <c r="F11">
        <f>totalNumberOfJobsCompleted(Dates!F$8,Dates!F$9)</f>
        <v>0</v>
      </c>
      <c r="G11">
        <f>totalNumberOfJobsCompleted(Dates!G$8,Dates!G$9)</f>
        <v>0</v>
      </c>
      <c r="H11">
        <f>totalNumberOfJobsCompleted(Dates!H$8,Dates!H$9)</f>
        <v>0</v>
      </c>
      <c r="I11">
        <f>totalNumberOfJobsCompleted(Dates!I$8,Dates!I$9)</f>
        <v>0</v>
      </c>
      <c r="J11">
        <f>totalNumberOfJobsCompleted(Dates!J$8,Dates!J$9)</f>
        <v>0</v>
      </c>
      <c r="K11">
        <f>totalNumberOfJobsCompleted(Dates!K$8,Dates!K$9)</f>
        <v>0</v>
      </c>
      <c r="L11">
        <f>totalNumberOfJobsCompleted(Dates!L$8,Dates!L$9)</f>
        <v>0</v>
      </c>
      <c r="M11">
        <f>totalNumberOfJobsCompleted(Dates!M$8,Dates!M$9)</f>
        <v>0</v>
      </c>
      <c r="N11">
        <f>totalNumberOfJobsCompleted(Dates!N$8,Dates!N$9)</f>
        <v>0</v>
      </c>
      <c r="O11">
        <f>totalNumberOfJobsCompleted(Dates!O$8,Dates!O$9)</f>
        <v>0</v>
      </c>
      <c r="P11">
        <f>totalNumberOfJobsCompleted(Dates!P$8,Dates!P$9)</f>
        <v>0</v>
      </c>
      <c r="Q11">
        <f>totalNumberOfJobsCompleted(Dates!Q$8,Dates!Q$9)</f>
        <v>0</v>
      </c>
      <c r="R11">
        <f>totalNumberOfJobsCompleted(Dates!R$8,Dates!R$9)</f>
        <v>0</v>
      </c>
      <c r="S11">
        <f>totalNumberOfJobsCompleted(Dates!S$8,Dates!S$9)</f>
        <v>0</v>
      </c>
      <c r="T11">
        <f>totalNumberOfJobsCompleted(Dates!T$8,Dates!T$9)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pendingJobs(Dates!C$9)</f>
        <v>0</v>
      </c>
      <c r="D12">
        <f>pendingJobs(Dates!D$9)</f>
        <v>0</v>
      </c>
      <c r="E12">
        <f>pendingJobs(Dates!E$9)</f>
        <v>0</v>
      </c>
      <c r="F12">
        <f>pendingJobs(Dates!F$9)</f>
        <v>0</v>
      </c>
      <c r="G12">
        <f>pendingJobs(Dates!G$9)</f>
        <v>0</v>
      </c>
      <c r="H12">
        <f>pendingJobs(Dates!H$9)</f>
        <v>0</v>
      </c>
      <c r="I12">
        <f>pendingJobs(Dates!I$9)</f>
        <v>0</v>
      </c>
      <c r="J12">
        <f>pendingJobs(Dates!J$9)</f>
        <v>0</v>
      </c>
      <c r="K12">
        <f>pendingJobs(Dates!K$9)</f>
        <v>0</v>
      </c>
      <c r="L12">
        <f>pendingJobs(Dates!L$9)</f>
        <v>0</v>
      </c>
      <c r="M12">
        <f>pendingJobs(Dates!M$9)</f>
        <v>0</v>
      </c>
      <c r="N12">
        <f>pendingJobs(Dates!N$9)</f>
        <v>0</v>
      </c>
      <c r="O12">
        <f>pendingJobs(Dates!O$9)</f>
        <v>0</v>
      </c>
      <c r="P12">
        <f>pendingJobs(Dates!P$9)</f>
        <v>0</v>
      </c>
      <c r="Q12">
        <f>pendingJobs(Dates!Q$9)</f>
        <v>0</v>
      </c>
      <c r="R12">
        <f>pendingJobs(Dates!R$9)</f>
        <v>0</v>
      </c>
      <c r="S12">
        <f>pendingJobs(Dates!S$9)</f>
        <v>0</v>
      </c>
      <c r="T12">
        <f>pendingJobs(Dates!T$9)</f>
        <v>0</v>
      </c>
      <c r="U12" s="5"/>
    </row>
    <row r="13" spans="1:22" x14ac:dyDescent="0.3">
      <c r="A13" s="6"/>
      <c r="B13" s="7" t="s">
        <v>48</v>
      </c>
      <c r="C13">
        <f>cancelledJobs(Dates!$C$8,Dates!C$9)</f>
        <v>0</v>
      </c>
      <c r="D13">
        <f>cancelledJobs(Dates!$C$8,Dates!D$9)</f>
        <v>0</v>
      </c>
      <c r="E13">
        <f>cancelledJobs(Dates!$C$8,Dates!E$9)</f>
        <v>0</v>
      </c>
      <c r="F13">
        <f>cancelledJobs(Dates!$C$8,Dates!F$9)</f>
        <v>0</v>
      </c>
      <c r="G13">
        <f>cancelledJobs(Dates!$C$8,Dates!G$9)</f>
        <v>0</v>
      </c>
      <c r="H13">
        <f>cancelledJobs(Dates!$C$8,Dates!H$9)</f>
        <v>0</v>
      </c>
      <c r="I13">
        <f>cancelledJobs(Dates!$C$8,Dates!I$9)</f>
        <v>0</v>
      </c>
      <c r="J13">
        <f>cancelledJobs(Dates!$C$8,Dates!J$9)</f>
        <v>0</v>
      </c>
      <c r="K13">
        <f>cancelledJobs(Dates!$C$8,Dates!K$9)</f>
        <v>0</v>
      </c>
      <c r="L13">
        <f>cancelledJobs(Dates!$C$8,Dates!L$9)</f>
        <v>0</v>
      </c>
      <c r="M13">
        <f>cancelledJobs(Dates!$C$8,Dates!M$9)</f>
        <v>0</v>
      </c>
      <c r="N13">
        <f>cancelledJobs(Dates!$C$8,Dates!N$9)</f>
        <v>0</v>
      </c>
      <c r="O13">
        <f>cancelledJobs(Dates!$C$8,Dates!O$9)</f>
        <v>0</v>
      </c>
      <c r="P13">
        <f>cancelledJobs(Dates!$C$8,Dates!P$9)</f>
        <v>0</v>
      </c>
      <c r="Q13">
        <f>cancelledJobs(Dates!$C$8,Dates!Q$9)</f>
        <v>0</v>
      </c>
      <c r="R13">
        <f>cancelledJobs(Dates!$C$8,Dates!R$9)</f>
        <v>0</v>
      </c>
      <c r="S13">
        <f>cancelledJobs(Dates!$C$8,Dates!S$9)</f>
        <v>0</v>
      </c>
      <c r="T13">
        <f>cancelledJobs(Dates!$C$8,Dates!T$9)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81"/>
  <sheetViews>
    <sheetView topLeftCell="B1" zoomScale="70" zoomScaleNormal="70" workbookViewId="0">
      <selection activeCell="D2" sqref="D2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averageCompletionTime(Dates!C$10,Dates!C$11, 1)</f>
        <v>0</v>
      </c>
      <c r="D2" s="5">
        <f>averageCompletionTime(Dates!D$10,Dates!D$11, 1)</f>
        <v>0</v>
      </c>
      <c r="E2" s="5">
        <f>averageCompletionTime(Dates!E$10,Dates!E$11, 1)</f>
        <v>0</v>
      </c>
      <c r="F2" s="5">
        <f>averageCompletionTime(Dates!F$10,Dates!F$11, 1)</f>
        <v>0</v>
      </c>
      <c r="G2" s="5">
        <f>averageCompletionTime(Dates!G$10,Dates!G$11, 1)</f>
        <v>0</v>
      </c>
      <c r="H2" s="5">
        <f>averageCompletionTime(Dates!H$10,Dates!H$11, 1)</f>
        <v>0</v>
      </c>
      <c r="I2" s="5">
        <f>averageCompletionTime(Dates!I$10,Dates!I$11, 1)</f>
        <v>0</v>
      </c>
      <c r="J2" s="5">
        <f>averageCompletionTime(Dates!J$10,Dates!J$11, 1)</f>
        <v>0</v>
      </c>
      <c r="K2" s="5">
        <f>averageCompletionTime(Dates!K$10,Dates!K$11, 1)</f>
        <v>0</v>
      </c>
      <c r="L2" s="5">
        <f>averageCompletionTime(Dates!L$10,Dates!L$11, 1)</f>
        <v>0</v>
      </c>
      <c r="M2" s="5">
        <f>averageCompletionTime(Dates!M$10,Dates!M$11, 1)</f>
        <v>0</v>
      </c>
      <c r="N2" s="5">
        <f>averageCompletionTime(Dates!N$10,Dates!N$11, 1)</f>
        <v>0</v>
      </c>
      <c r="O2" s="5">
        <f>averageCompletionTime(Dates!O$10,Dates!O$11, 1)</f>
        <v>0</v>
      </c>
      <c r="P2" s="5">
        <f>averageCompletionTime(Dates!P$10,Dates!P$11, 1)</f>
        <v>0</v>
      </c>
      <c r="Q2" s="5">
        <f>averageCompletionTime(Dates!Q$10,Dates!Q$11, 1)</f>
        <v>0</v>
      </c>
      <c r="R2" s="5">
        <f>averageCompletionTime(Dates!R$10,Dates!R$11, 1)</f>
        <v>0</v>
      </c>
      <c r="S2" s="5">
        <f>averageCompletionTime(Dates!S$10,Dates!S$11, 1)</f>
        <v>0</v>
      </c>
      <c r="T2" s="5">
        <f>averageCompletionTime(Dates!T$10,Dates!T$11, 1)</f>
        <v>0</v>
      </c>
      <c r="U2" s="5">
        <f>averageCompletionTime(Dates!C$10,Dates!T$11, 1)</f>
        <v>0</v>
      </c>
    </row>
    <row r="3" spans="1:22" x14ac:dyDescent="0.3">
      <c r="A3" s="6"/>
      <c r="B3" s="8" t="s">
        <v>49</v>
      </c>
      <c r="C3" s="5">
        <f>averageCompletionTime(Dates!C$10,Dates!C$11, 2)</f>
        <v>0</v>
      </c>
      <c r="D3" s="5">
        <f>averageCompletionTime(Dates!D$10,Dates!D$11, 2)</f>
        <v>0</v>
      </c>
      <c r="E3" s="5">
        <f>averageCompletionTime(Dates!E$10,Dates!E$11, 2)</f>
        <v>0</v>
      </c>
      <c r="F3" s="5">
        <f>averageCompletionTime(Dates!F$10,Dates!F$11, 2)</f>
        <v>0</v>
      </c>
      <c r="G3" s="5">
        <f>averageCompletionTime(Dates!G$10,Dates!G$11, 2)</f>
        <v>0</v>
      </c>
      <c r="H3" s="5">
        <f>averageCompletionTime(Dates!H$10,Dates!H$11, 2)</f>
        <v>0</v>
      </c>
      <c r="I3" s="5">
        <f>averageCompletionTime(Dates!I$10,Dates!I$11, 2)</f>
        <v>0</v>
      </c>
      <c r="J3" s="5">
        <f>averageCompletionTime(Dates!J$10,Dates!J$11, 2)</f>
        <v>0</v>
      </c>
      <c r="K3" s="5">
        <f>averageCompletionTime(Dates!K$10,Dates!K$11, 2)</f>
        <v>0</v>
      </c>
      <c r="L3" s="5">
        <f>averageCompletionTime(Dates!L$10,Dates!L$11, 2)</f>
        <v>0</v>
      </c>
      <c r="M3" s="5">
        <f>averageCompletionTime(Dates!M$10,Dates!M$11, 2)</f>
        <v>0</v>
      </c>
      <c r="N3" s="5">
        <f>averageCompletionTime(Dates!N$10,Dates!N$11, 2)</f>
        <v>0</v>
      </c>
      <c r="O3" s="5">
        <f>averageCompletionTime(Dates!O$10,Dates!O$11, 2)</f>
        <v>0</v>
      </c>
      <c r="P3" s="5">
        <f>averageCompletionTime(Dates!P$10,Dates!P$11, 2)</f>
        <v>0</v>
      </c>
      <c r="Q3" s="5">
        <f>averageCompletionTime(Dates!Q$10,Dates!Q$11, 2)</f>
        <v>0</v>
      </c>
      <c r="R3" s="5">
        <f>averageCompletionTime(Dates!R$10,Dates!R$11, 2)</f>
        <v>0</v>
      </c>
      <c r="S3" s="5">
        <f>averageCompletionTime(Dates!S$10,Dates!S$11, 2)</f>
        <v>0</v>
      </c>
      <c r="T3" s="5">
        <f>averageCompletionTime(Dates!T$10,Dates!T$11, 2)</f>
        <v>0</v>
      </c>
      <c r="U3" s="5">
        <f>averageCompletionTime(Dates!C$10,Dates!T$11, 2)</f>
        <v>0</v>
      </c>
      <c r="V3" s="5"/>
    </row>
    <row r="4" spans="1:22" x14ac:dyDescent="0.3">
      <c r="A4" s="6"/>
      <c r="B4" s="7" t="s">
        <v>50</v>
      </c>
      <c r="C4" s="5">
        <f>averageCompletionTime(Dates!C$10,Dates!C$11, 3)</f>
        <v>0</v>
      </c>
      <c r="D4" s="5">
        <f>averageCompletionTime(Dates!D$10,Dates!D$11, 3)</f>
        <v>0</v>
      </c>
      <c r="E4" s="5">
        <f>averageCompletionTime(Dates!E$10,Dates!E$11, 3)</f>
        <v>0</v>
      </c>
      <c r="F4" s="5">
        <f>averageCompletionTime(Dates!F$10,Dates!F$11, 3)</f>
        <v>0</v>
      </c>
      <c r="G4" s="5">
        <f>averageCompletionTime(Dates!G$10,Dates!G$11, 3)</f>
        <v>0</v>
      </c>
      <c r="H4" s="5">
        <f>averageCompletionTime(Dates!H$10,Dates!H$11, 3)</f>
        <v>0</v>
      </c>
      <c r="I4" s="5">
        <f>averageCompletionTime(Dates!I$10,Dates!I$11, 3)</f>
        <v>0</v>
      </c>
      <c r="J4" s="5">
        <f>averageCompletionTime(Dates!J$10,Dates!J$11, 3)</f>
        <v>0</v>
      </c>
      <c r="K4" s="5">
        <f>averageCompletionTime(Dates!K$10,Dates!K$11, 3)</f>
        <v>0</v>
      </c>
      <c r="L4" s="5">
        <f>averageCompletionTime(Dates!L$10,Dates!L$11, 3)</f>
        <v>0</v>
      </c>
      <c r="M4" s="5">
        <f>averageCompletionTime(Dates!M$10,Dates!M$11, 3)</f>
        <v>0</v>
      </c>
      <c r="N4" s="5">
        <f>averageCompletionTime(Dates!N$10,Dates!N$11, 3)</f>
        <v>0</v>
      </c>
      <c r="O4" s="5">
        <f>averageCompletionTime(Dates!O$10,Dates!O$11, 3)</f>
        <v>0</v>
      </c>
      <c r="P4" s="5">
        <f>averageCompletionTime(Dates!P$10,Dates!P$11, 3)</f>
        <v>0</v>
      </c>
      <c r="Q4" s="5">
        <f>averageCompletionTime(Dates!Q$10,Dates!Q$11, 3)</f>
        <v>0</v>
      </c>
      <c r="R4" s="5">
        <f>averageCompletionTime(Dates!R$10,Dates!R$11, 3)</f>
        <v>0</v>
      </c>
      <c r="S4" s="5">
        <f>averageCompletionTime(Dates!S$10,Dates!S$11, 3)</f>
        <v>0</v>
      </c>
      <c r="T4" s="5">
        <f>averageCompletionTime(Dates!T$10,Dates!T$11, 3)</f>
        <v>0</v>
      </c>
      <c r="U4" s="5">
        <f>averageCompletionTime(Dates!C$10,Dates!T$11, 3)</f>
        <v>0</v>
      </c>
    </row>
    <row r="5" spans="1:22" x14ac:dyDescent="0.3">
      <c r="A5" s="6"/>
      <c r="B5" s="7" t="s">
        <v>11</v>
      </c>
      <c r="C5" s="5">
        <f>averageResponseTime(Dates!C$10,Dates!C$11, 1)</f>
        <v>0</v>
      </c>
      <c r="D5" s="5">
        <f>averageResponseTime(Dates!D$10,Dates!D$11, 1)</f>
        <v>0</v>
      </c>
      <c r="E5" s="5">
        <f>averageResponseTime(Dates!E$10,Dates!E$11, 1)</f>
        <v>0</v>
      </c>
      <c r="F5" s="5">
        <f>averageResponseTime(Dates!F$10,Dates!F$11, 1)</f>
        <v>0</v>
      </c>
      <c r="G5" s="5">
        <f>averageResponseTime(Dates!G$10,Dates!G$11, 1)</f>
        <v>0</v>
      </c>
      <c r="H5" s="5">
        <f>averageResponseTime(Dates!H$10,Dates!H$11, 1)</f>
        <v>0</v>
      </c>
      <c r="I5" s="5">
        <f>averageResponseTime(Dates!I$10,Dates!I$11, 1)</f>
        <v>0</v>
      </c>
      <c r="J5" s="5">
        <f>averageResponseTime(Dates!J$10,Dates!J$11, 1)</f>
        <v>0</v>
      </c>
      <c r="K5" s="5">
        <f>averageResponseTime(Dates!K$10,Dates!K$11, 1)</f>
        <v>0</v>
      </c>
      <c r="L5" s="5">
        <f>averageResponseTime(Dates!L$10,Dates!L$11, 1)</f>
        <v>0</v>
      </c>
      <c r="M5" s="5">
        <f>averageResponseTime(Dates!M$10,Dates!M$11, 1)</f>
        <v>0</v>
      </c>
      <c r="N5" s="5">
        <f>averageResponseTime(Dates!N$10,Dates!N$11, 1)</f>
        <v>0</v>
      </c>
      <c r="O5" s="5">
        <f>averageResponseTime(Dates!O$10,Dates!O$11, 1)</f>
        <v>0</v>
      </c>
      <c r="P5" s="5">
        <f>averageResponseTime(Dates!P$10,Dates!P$11, 1)</f>
        <v>0</v>
      </c>
      <c r="Q5" s="5">
        <f>averageResponseTime(Dates!Q$10,Dates!Q$11, 1)</f>
        <v>0</v>
      </c>
      <c r="R5" s="5">
        <f>averageResponseTime(Dates!R$10,Dates!R$11, 1)</f>
        <v>0</v>
      </c>
      <c r="S5" s="5">
        <f>averageResponseTime(Dates!S$10,Dates!S$11, 1)</f>
        <v>0</v>
      </c>
      <c r="T5" s="5">
        <f>averageResponseTime(Dates!T$10,Dates!T$11, 1)</f>
        <v>0</v>
      </c>
      <c r="U5" s="5">
        <f>averageResponseTime(Dates!C$10,Dates!T$11, 1)</f>
        <v>0</v>
      </c>
    </row>
    <row r="6" spans="1:22" x14ac:dyDescent="0.3">
      <c r="A6" s="6"/>
      <c r="B6" s="7" t="s">
        <v>51</v>
      </c>
      <c r="C6" s="5">
        <f>averageResponseTime(Dates!C$10,Dates!C$11, 2)</f>
        <v>0</v>
      </c>
      <c r="D6" s="5">
        <f>averageResponseTime(Dates!D$10,Dates!D$11, 2)</f>
        <v>0</v>
      </c>
      <c r="E6" s="5">
        <f>averageResponseTime(Dates!E$10,Dates!E$11, 2)</f>
        <v>0</v>
      </c>
      <c r="F6" s="5">
        <f>averageResponseTime(Dates!F$10,Dates!F$11, 2)</f>
        <v>0</v>
      </c>
      <c r="G6" s="5">
        <f>averageResponseTime(Dates!G$10,Dates!G$11, 2)</f>
        <v>0</v>
      </c>
      <c r="H6" s="5">
        <f>averageResponseTime(Dates!H$10,Dates!H$11, 2)</f>
        <v>0</v>
      </c>
      <c r="I6" s="5">
        <f>averageResponseTime(Dates!I$10,Dates!I$11, 2)</f>
        <v>0</v>
      </c>
      <c r="J6" s="5">
        <f>averageResponseTime(Dates!J$10,Dates!J$11, 2)</f>
        <v>0</v>
      </c>
      <c r="K6" s="5">
        <f>averageResponseTime(Dates!K$10,Dates!K$11, 2)</f>
        <v>0</v>
      </c>
      <c r="L6" s="5">
        <f>averageResponseTime(Dates!L$10,Dates!L$11, 2)</f>
        <v>0</v>
      </c>
      <c r="M6" s="5">
        <f>averageResponseTime(Dates!M$10,Dates!M$11, 2)</f>
        <v>0</v>
      </c>
      <c r="N6" s="5">
        <f>averageResponseTime(Dates!N$10,Dates!N$11, 2)</f>
        <v>0</v>
      </c>
      <c r="O6" s="5">
        <f>averageResponseTime(Dates!O$10,Dates!O$11, 2)</f>
        <v>0</v>
      </c>
      <c r="P6" s="5">
        <f>averageResponseTime(Dates!P$10,Dates!P$11, 2)</f>
        <v>0</v>
      </c>
      <c r="Q6" s="5">
        <f>averageResponseTime(Dates!Q$10,Dates!Q$11, 2)</f>
        <v>0</v>
      </c>
      <c r="R6" s="5">
        <f>averageResponseTime(Dates!R$10,Dates!R$11, 2)</f>
        <v>0</v>
      </c>
      <c r="S6" s="5">
        <f>averageResponseTime(Dates!S$10,Dates!S$11, 2)</f>
        <v>0</v>
      </c>
      <c r="T6" s="5">
        <f>averageResponseTime(Dates!T$10,Dates!T$11, 2)</f>
        <v>0</v>
      </c>
      <c r="U6" s="5">
        <f>averageResponseTime(Dates!C$10,Dates!T$11, 2)</f>
        <v>0</v>
      </c>
    </row>
    <row r="7" spans="1:22" x14ac:dyDescent="0.3">
      <c r="A7" s="6"/>
      <c r="B7" s="7" t="s">
        <v>52</v>
      </c>
      <c r="C7" s="5">
        <f>averageResponseTime(Dates!C$10,Dates!C$11, 3)</f>
        <v>0</v>
      </c>
      <c r="D7" s="5">
        <f>averageResponseTime(Dates!D$10,Dates!D$11, 3)</f>
        <v>0</v>
      </c>
      <c r="E7" s="5">
        <f>averageResponseTime(Dates!E$10,Dates!E$11, 3)</f>
        <v>0</v>
      </c>
      <c r="F7" s="5">
        <f>averageResponseTime(Dates!F$10,Dates!F$11, 3)</f>
        <v>0</v>
      </c>
      <c r="G7" s="5">
        <f>averageResponseTime(Dates!G$10,Dates!G$11, 3)</f>
        <v>0</v>
      </c>
      <c r="H7" s="5">
        <f>averageResponseTime(Dates!H$10,Dates!H$11, 3)</f>
        <v>0</v>
      </c>
      <c r="I7" s="5">
        <f>averageResponseTime(Dates!I$10,Dates!I$11, 3)</f>
        <v>0</v>
      </c>
      <c r="J7" s="5">
        <f>averageResponseTime(Dates!J$10,Dates!J$11, 3)</f>
        <v>0</v>
      </c>
      <c r="K7" s="5">
        <f>averageResponseTime(Dates!K$10,Dates!K$11, 3)</f>
        <v>0</v>
      </c>
      <c r="L7" s="5">
        <f>averageResponseTime(Dates!L$10,Dates!L$11, 3)</f>
        <v>0</v>
      </c>
      <c r="M7" s="5">
        <f>averageResponseTime(Dates!M$10,Dates!M$11, 3)</f>
        <v>0</v>
      </c>
      <c r="N7" s="5">
        <f>averageResponseTime(Dates!N$10,Dates!N$11, 3)</f>
        <v>0</v>
      </c>
      <c r="O7" s="5">
        <f>averageResponseTime(Dates!O$10,Dates!O$11, 3)</f>
        <v>0</v>
      </c>
      <c r="P7" s="5">
        <f>averageResponseTime(Dates!P$10,Dates!P$11, 3)</f>
        <v>0</v>
      </c>
      <c r="Q7" s="5">
        <f>averageResponseTime(Dates!Q$10,Dates!Q$11, 3)</f>
        <v>0</v>
      </c>
      <c r="R7" s="5">
        <f>averageResponseTime(Dates!R$10,Dates!R$11, 3)</f>
        <v>0</v>
      </c>
      <c r="S7" s="5">
        <f>averageResponseTime(Dates!S$10,Dates!S$11, 3)</f>
        <v>0</v>
      </c>
      <c r="T7" s="5">
        <f>averageResponseTime(Dates!T$10,Dates!T$11, 3)</f>
        <v>0</v>
      </c>
      <c r="U7" s="5">
        <f>averageResponseTime(Dates!C$10,Dates!T$11, 3)</f>
        <v>0</v>
      </c>
    </row>
    <row r="8" spans="1:22" x14ac:dyDescent="0.3">
      <c r="A8" s="6"/>
      <c r="B8" s="7" t="s">
        <v>53</v>
      </c>
      <c r="C8" s="5">
        <f>averageInProgressTime(Dates!C$10,Dates!C$11, 1)</f>
        <v>0</v>
      </c>
      <c r="D8" s="5">
        <f>averageInProgressTime(Dates!D$10,Dates!D$11, 1)</f>
        <v>0</v>
      </c>
      <c r="E8" s="5">
        <f>averageInProgressTime(Dates!E$10,Dates!E$11, 1)</f>
        <v>0</v>
      </c>
      <c r="F8" s="5">
        <f>averageInProgressTime(Dates!F$10,Dates!F$11, 1)</f>
        <v>0</v>
      </c>
      <c r="G8" s="5">
        <f>averageInProgressTime(Dates!G$10,Dates!G$11, 1)</f>
        <v>0</v>
      </c>
      <c r="H8" s="5">
        <f>averageInProgressTime(Dates!H$10,Dates!H$11, 1)</f>
        <v>0</v>
      </c>
      <c r="I8" s="5">
        <f>averageInProgressTime(Dates!I$10,Dates!I$11, 1)</f>
        <v>0</v>
      </c>
      <c r="J8" s="5">
        <f>averageInProgressTime(Dates!J$10,Dates!J$11, 1)</f>
        <v>0</v>
      </c>
      <c r="K8" s="5">
        <f>averageInProgressTime(Dates!K$10,Dates!K$11, 1)</f>
        <v>0</v>
      </c>
      <c r="L8" s="5">
        <f>averageInProgressTime(Dates!L$10,Dates!L$11, 1)</f>
        <v>0</v>
      </c>
      <c r="M8" s="5">
        <f>averageInProgressTime(Dates!M$10,Dates!M$11, 1)</f>
        <v>0</v>
      </c>
      <c r="N8" s="5">
        <f>averageInProgressTime(Dates!N$10,Dates!N$11, 1)</f>
        <v>0</v>
      </c>
      <c r="O8" s="5">
        <f>averageInProgressTime(Dates!O$10,Dates!O$11, 1)</f>
        <v>0</v>
      </c>
      <c r="P8" s="5">
        <f>averageInProgressTime(Dates!P$10,Dates!P$11, 1)</f>
        <v>0</v>
      </c>
      <c r="Q8" s="5">
        <f>averageInProgressTime(Dates!Q$10,Dates!Q$11, 1)</f>
        <v>0</v>
      </c>
      <c r="R8" s="5">
        <f>averageInProgressTime(Dates!R$10,Dates!R$11, 1)</f>
        <v>0</v>
      </c>
      <c r="S8" s="5">
        <f>averageInProgressTime(Dates!S$10,Dates!S$11, 1)</f>
        <v>0</v>
      </c>
      <c r="T8" s="5">
        <f>averageInProgressTime(Dates!T$10,Dates!T$11, 1)</f>
        <v>0</v>
      </c>
      <c r="U8" s="5">
        <f>averageInProgressTime(Dates!C$10,Dates!T$11, 1)</f>
        <v>0</v>
      </c>
    </row>
    <row r="9" spans="1:22" x14ac:dyDescent="0.3">
      <c r="A9" s="6"/>
      <c r="B9" s="7" t="s">
        <v>54</v>
      </c>
      <c r="C9" s="5">
        <f>averageInProgressTime(Dates!C$10,Dates!C$11, 2)</f>
        <v>0</v>
      </c>
      <c r="D9" s="5">
        <f>averageInProgressTime(Dates!D$10,Dates!D$11, 2)</f>
        <v>0</v>
      </c>
      <c r="E9" s="5">
        <f>averageInProgressTime(Dates!E$10,Dates!E$11, 2)</f>
        <v>0</v>
      </c>
      <c r="F9" s="5">
        <f>averageInProgressTime(Dates!F$10,Dates!F$11, 2)</f>
        <v>0</v>
      </c>
      <c r="G9" s="5">
        <f>averageInProgressTime(Dates!G$10,Dates!G$11, 2)</f>
        <v>0</v>
      </c>
      <c r="H9" s="5">
        <f>averageInProgressTime(Dates!H$10,Dates!H$11, 2)</f>
        <v>0</v>
      </c>
      <c r="I9" s="5">
        <f>averageInProgressTime(Dates!I$10,Dates!I$11, 2)</f>
        <v>0</v>
      </c>
      <c r="J9" s="5">
        <f>averageInProgressTime(Dates!J$10,Dates!J$11, 2)</f>
        <v>0</v>
      </c>
      <c r="K9" s="5">
        <f>averageInProgressTime(Dates!K$10,Dates!K$11, 2)</f>
        <v>0</v>
      </c>
      <c r="L9" s="5">
        <f>averageInProgressTime(Dates!L$10,Dates!L$11, 2)</f>
        <v>0</v>
      </c>
      <c r="M9" s="5">
        <f>averageInProgressTime(Dates!M$10,Dates!M$11, 2)</f>
        <v>0</v>
      </c>
      <c r="N9" s="5">
        <f>averageInProgressTime(Dates!N$10,Dates!N$11, 2)</f>
        <v>0</v>
      </c>
      <c r="O9" s="5">
        <f>averageInProgressTime(Dates!O$10,Dates!O$11, 2)</f>
        <v>0</v>
      </c>
      <c r="P9" s="5">
        <f>averageInProgressTime(Dates!P$10,Dates!P$11, 2)</f>
        <v>0</v>
      </c>
      <c r="Q9" s="5">
        <f>averageInProgressTime(Dates!Q$10,Dates!Q$11, 2)</f>
        <v>0</v>
      </c>
      <c r="R9" s="5">
        <f>averageInProgressTime(Dates!R$10,Dates!R$11, 2)</f>
        <v>0</v>
      </c>
      <c r="S9" s="5">
        <f>averageInProgressTime(Dates!S$10,Dates!S$11, 2)</f>
        <v>0</v>
      </c>
      <c r="T9" s="5">
        <f>averageInProgressTime(Dates!T$10,Dates!T$11, 2)</f>
        <v>0</v>
      </c>
      <c r="U9" s="5">
        <f>averageInProgressTime(Dates!C$10,Dates!T$11, 2)</f>
        <v>0</v>
      </c>
    </row>
    <row r="10" spans="1:22" x14ac:dyDescent="0.3">
      <c r="A10" s="6"/>
      <c r="B10" s="7" t="s">
        <v>55</v>
      </c>
      <c r="C10" s="5">
        <f>averageInProgressTime(Dates!C$10,Dates!C$11, 3)</f>
        <v>0</v>
      </c>
      <c r="D10" s="5">
        <f>averageInProgressTime(Dates!D$10,Dates!D$11, 3)</f>
        <v>0</v>
      </c>
      <c r="E10" s="5">
        <f>averageInProgressTime(Dates!E$10,Dates!E$11, 3)</f>
        <v>0</v>
      </c>
      <c r="F10" s="5">
        <f>averageInProgressTime(Dates!F$10,Dates!F$11, 3)</f>
        <v>0</v>
      </c>
      <c r="G10" s="5">
        <f>averageInProgressTime(Dates!G$10,Dates!G$11, 3)</f>
        <v>0</v>
      </c>
      <c r="H10" s="5">
        <f>averageInProgressTime(Dates!H$10,Dates!H$11, 3)</f>
        <v>0</v>
      </c>
      <c r="I10" s="5">
        <f>averageInProgressTime(Dates!I$10,Dates!I$11, 3)</f>
        <v>0</v>
      </c>
      <c r="J10" s="5">
        <f>averageInProgressTime(Dates!J$10,Dates!J$11, 3)</f>
        <v>0</v>
      </c>
      <c r="K10" s="5">
        <f>averageInProgressTime(Dates!K$10,Dates!K$11, 3)</f>
        <v>0</v>
      </c>
      <c r="L10" s="5">
        <f>averageInProgressTime(Dates!L$10,Dates!L$11, 3)</f>
        <v>0</v>
      </c>
      <c r="M10" s="5">
        <f>averageInProgressTime(Dates!M$10,Dates!M$11, 3)</f>
        <v>0</v>
      </c>
      <c r="N10" s="5">
        <f>averageInProgressTime(Dates!N$10,Dates!N$11, 3)</f>
        <v>0</v>
      </c>
      <c r="O10" s="5">
        <f>averageInProgressTime(Dates!O$10,Dates!O$11, 3)</f>
        <v>0</v>
      </c>
      <c r="P10" s="5">
        <f>averageInProgressTime(Dates!P$10,Dates!P$11, 3)</f>
        <v>0</v>
      </c>
      <c r="Q10" s="5">
        <f>averageInProgressTime(Dates!Q$10,Dates!Q$11, 3)</f>
        <v>0</v>
      </c>
      <c r="R10" s="5">
        <f>averageInProgressTime(Dates!R$10,Dates!R$11, 3)</f>
        <v>0</v>
      </c>
      <c r="S10" s="5">
        <f>averageInProgressTime(Dates!S$10,Dates!S$11, 3)</f>
        <v>0</v>
      </c>
      <c r="T10" s="5">
        <f>averageInProgressTime(Dates!T$10,Dates!T$11, 3)</f>
        <v>0</v>
      </c>
      <c r="U10" s="5">
        <f>averageInProgressTime(Dates!C$10,Dates!T$11, 3)</f>
        <v>0</v>
      </c>
    </row>
    <row r="11" spans="1:22" x14ac:dyDescent="0.3">
      <c r="A11" s="6"/>
      <c r="B11" s="7" t="s">
        <v>42</v>
      </c>
      <c r="C11">
        <f>totalNumberOfJobsCompleted(Dates!C$10,Dates!C$11)</f>
        <v>0</v>
      </c>
      <c r="D11">
        <f>totalNumberOfJobsCompleted(Dates!D$10,Dates!D$11)</f>
        <v>0</v>
      </c>
      <c r="E11">
        <f>totalNumberOfJobsCompleted(Dates!E$10,Dates!E$11)</f>
        <v>0</v>
      </c>
      <c r="F11">
        <f>totalNumberOfJobsCompleted(Dates!F$10,Dates!F$11)</f>
        <v>0</v>
      </c>
      <c r="G11">
        <f>totalNumberOfJobsCompleted(Dates!G$10,Dates!G$11)</f>
        <v>0</v>
      </c>
      <c r="H11">
        <f>totalNumberOfJobsCompleted(Dates!H$10,Dates!H$11)</f>
        <v>0</v>
      </c>
      <c r="I11">
        <f>totalNumberOfJobsCompleted(Dates!I$10,Dates!I$11)</f>
        <v>0</v>
      </c>
      <c r="J11">
        <f>totalNumberOfJobsCompleted(Dates!J$10,Dates!J$11)</f>
        <v>0</v>
      </c>
      <c r="K11">
        <f>totalNumberOfJobsCompleted(Dates!K$10,Dates!K$11)</f>
        <v>0</v>
      </c>
      <c r="L11">
        <f>totalNumberOfJobsCompleted(Dates!L$10,Dates!L$11)</f>
        <v>0</v>
      </c>
      <c r="M11">
        <f>totalNumberOfJobsCompleted(Dates!M$10,Dates!M$11)</f>
        <v>0</v>
      </c>
      <c r="N11">
        <f>totalNumberOfJobsCompleted(Dates!N$10,Dates!N$11)</f>
        <v>0</v>
      </c>
      <c r="O11">
        <f>totalNumberOfJobsCompleted(Dates!O$10,Dates!O$11)</f>
        <v>0</v>
      </c>
      <c r="P11">
        <f>totalNumberOfJobsCompleted(Dates!P$10,Dates!P$11)</f>
        <v>0</v>
      </c>
      <c r="Q11">
        <f>totalNumberOfJobsCompleted(Dates!Q$10,Dates!Q$11)</f>
        <v>0</v>
      </c>
      <c r="R11">
        <f>totalNumberOfJobsCompleted(Dates!R$10,Dates!R$11)</f>
        <v>0</v>
      </c>
      <c r="S11">
        <f>totalNumberOfJobsCompleted(Dates!S$10,Dates!S$11)</f>
        <v>0</v>
      </c>
      <c r="T11">
        <f>totalNumberOfJobsCompleted(Dates!T$10,Dates!T$11)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pendingJobs(Dates!C$11)</f>
        <v>0</v>
      </c>
      <c r="D12">
        <f>pendingJobs(Dates!D$11)</f>
        <v>0</v>
      </c>
      <c r="E12">
        <f>pendingJobs(Dates!E$11)</f>
        <v>0</v>
      </c>
      <c r="F12">
        <f>pendingJobs(Dates!F$11)</f>
        <v>0</v>
      </c>
      <c r="G12">
        <f>pendingJobs(Dates!G$11)</f>
        <v>0</v>
      </c>
      <c r="H12">
        <f>pendingJobs(Dates!H$11)</f>
        <v>0</v>
      </c>
      <c r="I12">
        <f>pendingJobs(Dates!I$11)</f>
        <v>0</v>
      </c>
      <c r="J12">
        <f>pendingJobs(Dates!J$11)</f>
        <v>0</v>
      </c>
      <c r="K12">
        <f>pendingJobs(Dates!K$11)</f>
        <v>0</v>
      </c>
      <c r="L12">
        <f>pendingJobs(Dates!L$11)</f>
        <v>0</v>
      </c>
      <c r="M12">
        <f>pendingJobs(Dates!M$11)</f>
        <v>0</v>
      </c>
      <c r="N12">
        <f>pendingJobs(Dates!N$11)</f>
        <v>0</v>
      </c>
      <c r="O12">
        <f>pendingJobs(Dates!O$11)</f>
        <v>0</v>
      </c>
      <c r="P12">
        <f>pendingJobs(Dates!P$11)</f>
        <v>0</v>
      </c>
      <c r="Q12">
        <f>pendingJobs(Dates!Q$11)</f>
        <v>0</v>
      </c>
      <c r="R12">
        <f>pendingJobs(Dates!R$11)</f>
        <v>0</v>
      </c>
      <c r="S12">
        <f>pendingJobs(Dates!S$11)</f>
        <v>0</v>
      </c>
      <c r="T12">
        <f>pendingJobs(Dates!T$11)</f>
        <v>0</v>
      </c>
      <c r="U12" s="5"/>
    </row>
    <row r="13" spans="1:22" x14ac:dyDescent="0.3">
      <c r="A13" s="6"/>
      <c r="B13" s="7" t="s">
        <v>48</v>
      </c>
      <c r="C13">
        <f>cancelledJobs(Dates!$C$10,Dates!C$11)</f>
        <v>0</v>
      </c>
      <c r="D13">
        <f>cancelledJobs(Dates!$C$10,Dates!D$11)</f>
        <v>0</v>
      </c>
      <c r="E13">
        <f>cancelledJobs(Dates!$C$10,Dates!E$11)</f>
        <v>0</v>
      </c>
      <c r="F13">
        <f>cancelledJobs(Dates!$C$10,Dates!F$11)</f>
        <v>0</v>
      </c>
      <c r="G13">
        <f>cancelledJobs(Dates!$C$10,Dates!G$11)</f>
        <v>0</v>
      </c>
      <c r="H13">
        <f>cancelledJobs(Dates!$C$10,Dates!H$11)</f>
        <v>0</v>
      </c>
      <c r="I13">
        <f>cancelledJobs(Dates!$C$10,Dates!I$11)</f>
        <v>0</v>
      </c>
      <c r="J13">
        <f>cancelledJobs(Dates!$C$10,Dates!J$11)</f>
        <v>0</v>
      </c>
      <c r="K13">
        <f>cancelledJobs(Dates!$C$10,Dates!K$11)</f>
        <v>0</v>
      </c>
      <c r="L13">
        <f>cancelledJobs(Dates!$C$10,Dates!L$11)</f>
        <v>0</v>
      </c>
      <c r="M13">
        <f>cancelledJobs(Dates!$C$10,Dates!M$11)</f>
        <v>0</v>
      </c>
      <c r="N13">
        <f>cancelledJobs(Dates!$C$10,Dates!N$11)</f>
        <v>0</v>
      </c>
      <c r="O13">
        <f>cancelledJobs(Dates!$C$10,Dates!O$11)</f>
        <v>0</v>
      </c>
      <c r="P13">
        <f>cancelledJobs(Dates!$C$10,Dates!P$11)</f>
        <v>0</v>
      </c>
      <c r="Q13">
        <f>cancelledJobs(Dates!$C$10,Dates!Q$11)</f>
        <v>0</v>
      </c>
      <c r="R13">
        <f>cancelledJobs(Dates!$C$10,Dates!R$11)</f>
        <v>0</v>
      </c>
      <c r="S13">
        <f>cancelledJobs(Dates!$C$10,Dates!S$11)</f>
        <v>0</v>
      </c>
      <c r="T13">
        <f>cancelledJobs(Dates!$C$10,Dates!T$11)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81"/>
  <sheetViews>
    <sheetView topLeftCell="B1" zoomScale="70" zoomScaleNormal="70" workbookViewId="0">
      <selection activeCell="C2" sqref="C2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averageCompletionTime(Dates!C$12,Dates!C$13, 1)</f>
        <v>0</v>
      </c>
      <c r="D2" s="5">
        <f>averageCompletionTime(Dates!D$12,Dates!D$13, 1)</f>
        <v>0</v>
      </c>
      <c r="E2" s="5">
        <f>averageCompletionTime(Dates!E$12,Dates!E$13, 1)</f>
        <v>0</v>
      </c>
      <c r="F2" s="5">
        <f>averageCompletionTime(Dates!F$12,Dates!F$13, 1)</f>
        <v>0</v>
      </c>
      <c r="G2" s="5">
        <f>averageCompletionTime(Dates!G$12,Dates!G$13, 1)</f>
        <v>0</v>
      </c>
      <c r="H2" s="5">
        <f>averageCompletionTime(Dates!H$12,Dates!H$13, 1)</f>
        <v>0</v>
      </c>
      <c r="I2" s="5">
        <f>averageCompletionTime(Dates!I$12,Dates!I$13, 1)</f>
        <v>0</v>
      </c>
      <c r="J2" s="5">
        <f>averageCompletionTime(Dates!J$12,Dates!J$13, 1)</f>
        <v>0</v>
      </c>
      <c r="K2" s="5">
        <f>averageCompletionTime(Dates!K$12,Dates!K$13, 1)</f>
        <v>0</v>
      </c>
      <c r="L2" s="5">
        <f>averageCompletionTime(Dates!L$12,Dates!L$13, 1)</f>
        <v>0</v>
      </c>
      <c r="M2" s="5">
        <f>averageCompletionTime(Dates!M$12,Dates!M$13, 1)</f>
        <v>0</v>
      </c>
      <c r="N2" s="5">
        <f>averageCompletionTime(Dates!N$12,Dates!N$13, 1)</f>
        <v>0</v>
      </c>
      <c r="O2" s="5">
        <f>averageCompletionTime(Dates!O$12,Dates!O$13, 1)</f>
        <v>0</v>
      </c>
      <c r="P2" s="5">
        <f>averageCompletionTime(Dates!P$12,Dates!P$13, 1)</f>
        <v>0</v>
      </c>
      <c r="Q2" s="5">
        <f>averageCompletionTime(Dates!Q$12,Dates!Q$13, 1)</f>
        <v>0</v>
      </c>
      <c r="R2" s="5">
        <f>averageCompletionTime(Dates!R$12,Dates!R$13, 1)</f>
        <v>0</v>
      </c>
      <c r="S2" s="5">
        <f>averageCompletionTime(Dates!S$12,Dates!S$13, 1)</f>
        <v>0</v>
      </c>
      <c r="T2" s="5">
        <f>averageCompletionTime(Dates!T$12,Dates!T$13, 1)</f>
        <v>0</v>
      </c>
      <c r="U2" s="5">
        <f>averageCompletionTime(Dates!C$12,Dates!T$13, 1)</f>
        <v>0</v>
      </c>
    </row>
    <row r="3" spans="1:22" x14ac:dyDescent="0.3">
      <c r="A3" s="6"/>
      <c r="B3" s="8" t="s">
        <v>49</v>
      </c>
      <c r="C3" s="5">
        <f>averageCompletionTime(Dates!C$12,Dates!C$13, 2)</f>
        <v>0</v>
      </c>
      <c r="D3" s="5">
        <f>averageCompletionTime(Dates!D$12,Dates!D$13, 2)</f>
        <v>0</v>
      </c>
      <c r="E3" s="5">
        <f>averageCompletionTime(Dates!E$12,Dates!E$13, 2)</f>
        <v>0</v>
      </c>
      <c r="F3" s="5">
        <f>averageCompletionTime(Dates!F$12,Dates!F$13, 2)</f>
        <v>0</v>
      </c>
      <c r="G3" s="5">
        <f>averageCompletionTime(Dates!G$12,Dates!G$13, 2)</f>
        <v>0</v>
      </c>
      <c r="H3" s="5">
        <f>averageCompletionTime(Dates!H$12,Dates!H$13, 2)</f>
        <v>0</v>
      </c>
      <c r="I3" s="5">
        <f>averageCompletionTime(Dates!I$12,Dates!I$13, 2)</f>
        <v>0</v>
      </c>
      <c r="J3" s="5">
        <f>averageCompletionTime(Dates!J$12,Dates!J$13, 2)</f>
        <v>0</v>
      </c>
      <c r="K3" s="5">
        <f>averageCompletionTime(Dates!K$12,Dates!K$13, 2)</f>
        <v>0</v>
      </c>
      <c r="L3" s="5">
        <f>averageCompletionTime(Dates!L$12,Dates!L$13, 2)</f>
        <v>0</v>
      </c>
      <c r="M3" s="5">
        <f>averageCompletionTime(Dates!M$12,Dates!M$13, 2)</f>
        <v>0</v>
      </c>
      <c r="N3" s="5">
        <f>averageCompletionTime(Dates!N$12,Dates!N$13, 2)</f>
        <v>0</v>
      </c>
      <c r="O3" s="5">
        <f>averageCompletionTime(Dates!O$12,Dates!O$13, 2)</f>
        <v>0</v>
      </c>
      <c r="P3" s="5">
        <f>averageCompletionTime(Dates!P$12,Dates!P$13, 2)</f>
        <v>0</v>
      </c>
      <c r="Q3" s="5">
        <f>averageCompletionTime(Dates!Q$12,Dates!Q$13, 2)</f>
        <v>0</v>
      </c>
      <c r="R3" s="5">
        <f>averageCompletionTime(Dates!R$12,Dates!R$13, 2)</f>
        <v>0</v>
      </c>
      <c r="S3" s="5">
        <f>averageCompletionTime(Dates!S$12,Dates!S$13, 2)</f>
        <v>0</v>
      </c>
      <c r="T3" s="5">
        <f>averageCompletionTime(Dates!T$12,Dates!T$13, 2)</f>
        <v>0</v>
      </c>
      <c r="U3" s="5">
        <f>averageCompletionTime(Dates!C$12,Dates!T$13, 2)</f>
        <v>0</v>
      </c>
      <c r="V3" s="5"/>
    </row>
    <row r="4" spans="1:22" x14ac:dyDescent="0.3">
      <c r="A4" s="6"/>
      <c r="B4" s="7" t="s">
        <v>50</v>
      </c>
      <c r="C4" s="5">
        <f>averageCompletionTime(Dates!C$12,Dates!C$13, 3)</f>
        <v>0</v>
      </c>
      <c r="D4" s="5">
        <f>averageCompletionTime(Dates!D$12,Dates!D$13, 3)</f>
        <v>0</v>
      </c>
      <c r="E4" s="5">
        <f>averageCompletionTime(Dates!E$12,Dates!E$13, 3)</f>
        <v>0</v>
      </c>
      <c r="F4" s="5">
        <f>averageCompletionTime(Dates!F$12,Dates!F$13, 3)</f>
        <v>0</v>
      </c>
      <c r="G4" s="5">
        <f>averageCompletionTime(Dates!G$12,Dates!G$13, 3)</f>
        <v>0</v>
      </c>
      <c r="H4" s="5">
        <f>averageCompletionTime(Dates!H$12,Dates!H$13, 3)</f>
        <v>0</v>
      </c>
      <c r="I4" s="5">
        <f>averageCompletionTime(Dates!I$12,Dates!I$13, 3)</f>
        <v>0</v>
      </c>
      <c r="J4" s="5">
        <f>averageCompletionTime(Dates!J$12,Dates!J$13, 3)</f>
        <v>0</v>
      </c>
      <c r="K4" s="5">
        <f>averageCompletionTime(Dates!K$12,Dates!K$13, 3)</f>
        <v>0</v>
      </c>
      <c r="L4" s="5">
        <f>averageCompletionTime(Dates!L$12,Dates!L$13, 3)</f>
        <v>0</v>
      </c>
      <c r="M4" s="5">
        <f>averageCompletionTime(Dates!M$12,Dates!M$13, 3)</f>
        <v>0</v>
      </c>
      <c r="N4" s="5">
        <f>averageCompletionTime(Dates!N$12,Dates!N$13, 3)</f>
        <v>0</v>
      </c>
      <c r="O4" s="5">
        <f>averageCompletionTime(Dates!O$12,Dates!O$13, 3)</f>
        <v>0</v>
      </c>
      <c r="P4" s="5">
        <f>averageCompletionTime(Dates!P$12,Dates!P$13, 3)</f>
        <v>0</v>
      </c>
      <c r="Q4" s="5">
        <f>averageCompletionTime(Dates!Q$12,Dates!Q$13, 3)</f>
        <v>0</v>
      </c>
      <c r="R4" s="5">
        <f>averageCompletionTime(Dates!R$12,Dates!R$13, 3)</f>
        <v>0</v>
      </c>
      <c r="S4" s="5">
        <f>averageCompletionTime(Dates!S$12,Dates!S$13, 3)</f>
        <v>0</v>
      </c>
      <c r="T4" s="5">
        <f>averageCompletionTime(Dates!T$12,Dates!T$13, 3)</f>
        <v>0</v>
      </c>
      <c r="U4" s="5">
        <f>averageCompletionTime(Dates!C$12,Dates!T$13, 3)</f>
        <v>0</v>
      </c>
    </row>
    <row r="5" spans="1:22" x14ac:dyDescent="0.3">
      <c r="A5" s="6"/>
      <c r="B5" s="7" t="s">
        <v>11</v>
      </c>
      <c r="C5" s="5">
        <f>averageResponseTime(Dates!C$12,Dates!C$13, 1)</f>
        <v>0</v>
      </c>
      <c r="D5" s="5">
        <f>averageResponseTime(Dates!D$12,Dates!D$13, 1)</f>
        <v>0</v>
      </c>
      <c r="E5" s="5">
        <f>averageResponseTime(Dates!E$12,Dates!E$13, 1)</f>
        <v>0</v>
      </c>
      <c r="F5" s="5">
        <f>averageResponseTime(Dates!F$12,Dates!F$13, 1)</f>
        <v>0</v>
      </c>
      <c r="G5" s="5">
        <f>averageResponseTime(Dates!G$12,Dates!G$13, 1)</f>
        <v>0</v>
      </c>
      <c r="H5" s="5">
        <f>averageResponseTime(Dates!H$12,Dates!H$13, 1)</f>
        <v>0</v>
      </c>
      <c r="I5" s="5">
        <f>averageResponseTime(Dates!I$12,Dates!I$13, 1)</f>
        <v>0</v>
      </c>
      <c r="J5" s="5">
        <f>averageResponseTime(Dates!J$12,Dates!J$13, 1)</f>
        <v>0</v>
      </c>
      <c r="K5" s="5">
        <f>averageResponseTime(Dates!K$12,Dates!K$13, 1)</f>
        <v>0</v>
      </c>
      <c r="L5" s="5">
        <f>averageResponseTime(Dates!L$12,Dates!L$13, 1)</f>
        <v>0</v>
      </c>
      <c r="M5" s="5">
        <f>averageResponseTime(Dates!M$12,Dates!M$13, 1)</f>
        <v>0</v>
      </c>
      <c r="N5" s="5">
        <f>averageResponseTime(Dates!N$12,Dates!N$13, 1)</f>
        <v>0</v>
      </c>
      <c r="O5" s="5">
        <f>averageResponseTime(Dates!O$12,Dates!O$13, 1)</f>
        <v>0</v>
      </c>
      <c r="P5" s="5">
        <f>averageResponseTime(Dates!P$12,Dates!P$13, 1)</f>
        <v>0</v>
      </c>
      <c r="Q5" s="5">
        <f>averageResponseTime(Dates!Q$12,Dates!Q$13, 1)</f>
        <v>0</v>
      </c>
      <c r="R5" s="5">
        <f>averageResponseTime(Dates!R$12,Dates!R$13, 1)</f>
        <v>0</v>
      </c>
      <c r="S5" s="5">
        <f>averageResponseTime(Dates!S$12,Dates!S$13, 1)</f>
        <v>0</v>
      </c>
      <c r="T5" s="5">
        <f>averageResponseTime(Dates!T$12,Dates!T$13, 1)</f>
        <v>0</v>
      </c>
      <c r="U5" s="5">
        <f>averageResponseTime(Dates!C$12,Dates!T$13, 1)</f>
        <v>0</v>
      </c>
    </row>
    <row r="6" spans="1:22" x14ac:dyDescent="0.3">
      <c r="A6" s="6"/>
      <c r="B6" s="7" t="s">
        <v>51</v>
      </c>
      <c r="C6" s="5">
        <f>averageResponseTime(Dates!C$12,Dates!C$13, 2)</f>
        <v>0</v>
      </c>
      <c r="D6" s="5">
        <f>averageResponseTime(Dates!D$12,Dates!D$13, 2)</f>
        <v>0</v>
      </c>
      <c r="E6" s="5">
        <f>averageResponseTime(Dates!E$12,Dates!E$13, 2)</f>
        <v>0</v>
      </c>
      <c r="F6" s="5">
        <f>averageResponseTime(Dates!F$12,Dates!F$13, 2)</f>
        <v>0</v>
      </c>
      <c r="G6" s="5">
        <f>averageResponseTime(Dates!G$12,Dates!G$13, 2)</f>
        <v>0</v>
      </c>
      <c r="H6" s="5">
        <f>averageResponseTime(Dates!H$12,Dates!H$13, 2)</f>
        <v>0</v>
      </c>
      <c r="I6" s="5">
        <f>averageResponseTime(Dates!I$12,Dates!I$13, 2)</f>
        <v>0</v>
      </c>
      <c r="J6" s="5">
        <f>averageResponseTime(Dates!J$12,Dates!J$13, 2)</f>
        <v>0</v>
      </c>
      <c r="K6" s="5">
        <f>averageResponseTime(Dates!K$12,Dates!K$13, 2)</f>
        <v>0</v>
      </c>
      <c r="L6" s="5">
        <f>averageResponseTime(Dates!L$12,Dates!L$13, 2)</f>
        <v>0</v>
      </c>
      <c r="M6" s="5">
        <f>averageResponseTime(Dates!M$12,Dates!M$13, 2)</f>
        <v>0</v>
      </c>
      <c r="N6" s="5">
        <f>averageResponseTime(Dates!N$12,Dates!N$13, 2)</f>
        <v>0</v>
      </c>
      <c r="O6" s="5">
        <f>averageResponseTime(Dates!O$12,Dates!O$13, 2)</f>
        <v>0</v>
      </c>
      <c r="P6" s="5">
        <f>averageResponseTime(Dates!P$12,Dates!P$13, 2)</f>
        <v>0</v>
      </c>
      <c r="Q6" s="5">
        <f>averageResponseTime(Dates!Q$12,Dates!Q$13, 2)</f>
        <v>0</v>
      </c>
      <c r="R6" s="5">
        <f>averageResponseTime(Dates!R$12,Dates!R$13, 2)</f>
        <v>0</v>
      </c>
      <c r="S6" s="5">
        <f>averageResponseTime(Dates!S$12,Dates!S$13, 2)</f>
        <v>0</v>
      </c>
      <c r="T6" s="5">
        <f>averageResponseTime(Dates!T$12,Dates!T$13, 2)</f>
        <v>0</v>
      </c>
      <c r="U6" s="5">
        <f>averageResponseTime(Dates!C$12,Dates!T$13, 2)</f>
        <v>0</v>
      </c>
    </row>
    <row r="7" spans="1:22" x14ac:dyDescent="0.3">
      <c r="A7" s="6"/>
      <c r="B7" s="7" t="s">
        <v>52</v>
      </c>
      <c r="C7" s="5">
        <f>averageResponseTime(Dates!C$12,Dates!C$13, 3)</f>
        <v>0</v>
      </c>
      <c r="D7" s="5">
        <f>averageResponseTime(Dates!D$12,Dates!D$13, 3)</f>
        <v>0</v>
      </c>
      <c r="E7" s="5">
        <f>averageResponseTime(Dates!E$12,Dates!E$13, 3)</f>
        <v>0</v>
      </c>
      <c r="F7" s="5">
        <f>averageResponseTime(Dates!F$12,Dates!F$13, 3)</f>
        <v>0</v>
      </c>
      <c r="G7" s="5">
        <f>averageResponseTime(Dates!G$12,Dates!G$13, 3)</f>
        <v>0</v>
      </c>
      <c r="H7" s="5">
        <f>averageResponseTime(Dates!H$12,Dates!H$13, 3)</f>
        <v>0</v>
      </c>
      <c r="I7" s="5">
        <f>averageResponseTime(Dates!I$12,Dates!I$13, 3)</f>
        <v>0</v>
      </c>
      <c r="J7" s="5">
        <f>averageResponseTime(Dates!J$12,Dates!J$13, 3)</f>
        <v>0</v>
      </c>
      <c r="K7" s="5">
        <f>averageResponseTime(Dates!K$12,Dates!K$13, 3)</f>
        <v>0</v>
      </c>
      <c r="L7" s="5">
        <f>averageResponseTime(Dates!L$12,Dates!L$13, 3)</f>
        <v>0</v>
      </c>
      <c r="M7" s="5">
        <f>averageResponseTime(Dates!M$12,Dates!M$13, 3)</f>
        <v>0</v>
      </c>
      <c r="N7" s="5">
        <f>averageResponseTime(Dates!N$12,Dates!N$13, 3)</f>
        <v>0</v>
      </c>
      <c r="O7" s="5">
        <f>averageResponseTime(Dates!O$12,Dates!O$13, 3)</f>
        <v>0</v>
      </c>
      <c r="P7" s="5">
        <f>averageResponseTime(Dates!P$12,Dates!P$13, 3)</f>
        <v>0</v>
      </c>
      <c r="Q7" s="5">
        <f>averageResponseTime(Dates!Q$12,Dates!Q$13, 3)</f>
        <v>0</v>
      </c>
      <c r="R7" s="5">
        <f>averageResponseTime(Dates!R$12,Dates!R$13, 3)</f>
        <v>0</v>
      </c>
      <c r="S7" s="5">
        <f>averageResponseTime(Dates!S$12,Dates!S$13, 3)</f>
        <v>0</v>
      </c>
      <c r="T7" s="5">
        <f>averageResponseTime(Dates!T$12,Dates!T$13, 3)</f>
        <v>0</v>
      </c>
      <c r="U7" s="5">
        <f>averageResponseTime(Dates!C$12,Dates!T$13, 3)</f>
        <v>0</v>
      </c>
    </row>
    <row r="8" spans="1:22" x14ac:dyDescent="0.3">
      <c r="A8" s="6"/>
      <c r="B8" s="7" t="s">
        <v>53</v>
      </c>
      <c r="C8" s="5">
        <f>averageInProgressTime(Dates!C$12,Dates!C$13, 1)</f>
        <v>0</v>
      </c>
      <c r="D8" s="5">
        <f>averageInProgressTime(Dates!D$12,Dates!D$13, 1)</f>
        <v>0</v>
      </c>
      <c r="E8" s="5">
        <f>averageInProgressTime(Dates!E$12,Dates!E$13, 1)</f>
        <v>0</v>
      </c>
      <c r="F8" s="5">
        <f>averageInProgressTime(Dates!F$12,Dates!F$13, 1)</f>
        <v>0</v>
      </c>
      <c r="G8" s="5">
        <f>averageInProgressTime(Dates!G$12,Dates!G$13, 1)</f>
        <v>0</v>
      </c>
      <c r="H8" s="5">
        <f>averageInProgressTime(Dates!H$12,Dates!H$13, 1)</f>
        <v>0</v>
      </c>
      <c r="I8" s="5">
        <f>averageInProgressTime(Dates!I$12,Dates!I$13, 1)</f>
        <v>0</v>
      </c>
      <c r="J8" s="5">
        <f>averageInProgressTime(Dates!J$12,Dates!J$13, 1)</f>
        <v>0</v>
      </c>
      <c r="K8" s="5">
        <f>averageInProgressTime(Dates!K$12,Dates!K$13, 1)</f>
        <v>0</v>
      </c>
      <c r="L8" s="5">
        <f>averageInProgressTime(Dates!L$12,Dates!L$13, 1)</f>
        <v>0</v>
      </c>
      <c r="M8" s="5">
        <f>averageInProgressTime(Dates!M$12,Dates!M$13, 1)</f>
        <v>0</v>
      </c>
      <c r="N8" s="5">
        <f>averageInProgressTime(Dates!N$12,Dates!N$13, 1)</f>
        <v>0</v>
      </c>
      <c r="O8" s="5">
        <f>averageInProgressTime(Dates!O$12,Dates!O$13, 1)</f>
        <v>0</v>
      </c>
      <c r="P8" s="5">
        <f>averageInProgressTime(Dates!P$12,Dates!P$13, 1)</f>
        <v>0</v>
      </c>
      <c r="Q8" s="5">
        <f>averageInProgressTime(Dates!Q$12,Dates!Q$13, 1)</f>
        <v>0</v>
      </c>
      <c r="R8" s="5">
        <f>averageInProgressTime(Dates!R$12,Dates!R$13, 1)</f>
        <v>0</v>
      </c>
      <c r="S8" s="5">
        <f>averageInProgressTime(Dates!S$12,Dates!S$13, 1)</f>
        <v>0</v>
      </c>
      <c r="T8" s="5">
        <f>averageInProgressTime(Dates!T$12,Dates!T$13, 1)</f>
        <v>0</v>
      </c>
      <c r="U8" s="5">
        <f>averageInProgressTime(Dates!C$12,Dates!T$13, 1)</f>
        <v>0</v>
      </c>
    </row>
    <row r="9" spans="1:22" x14ac:dyDescent="0.3">
      <c r="A9" s="6"/>
      <c r="B9" s="7" t="s">
        <v>54</v>
      </c>
      <c r="C9" s="5">
        <f>averageInProgressTime(Dates!C$12,Dates!C$13, 2)</f>
        <v>0</v>
      </c>
      <c r="D9" s="5">
        <f>averageInProgressTime(Dates!D$12,Dates!D$13, 2)</f>
        <v>0</v>
      </c>
      <c r="E9" s="5">
        <f>averageInProgressTime(Dates!E$12,Dates!E$13, 2)</f>
        <v>0</v>
      </c>
      <c r="F9" s="5">
        <f>averageInProgressTime(Dates!F$12,Dates!F$13, 2)</f>
        <v>0</v>
      </c>
      <c r="G9" s="5">
        <f>averageInProgressTime(Dates!G$12,Dates!G$13, 2)</f>
        <v>0</v>
      </c>
      <c r="H9" s="5">
        <f>averageInProgressTime(Dates!H$12,Dates!H$13, 2)</f>
        <v>0</v>
      </c>
      <c r="I9" s="5">
        <f>averageInProgressTime(Dates!I$12,Dates!I$13, 2)</f>
        <v>0</v>
      </c>
      <c r="J9" s="5">
        <f>averageInProgressTime(Dates!J$12,Dates!J$13, 2)</f>
        <v>0</v>
      </c>
      <c r="K9" s="5">
        <f>averageInProgressTime(Dates!K$12,Dates!K$13, 2)</f>
        <v>0</v>
      </c>
      <c r="L9" s="5">
        <f>averageInProgressTime(Dates!L$12,Dates!L$13, 2)</f>
        <v>0</v>
      </c>
      <c r="M9" s="5">
        <f>averageInProgressTime(Dates!M$12,Dates!M$13, 2)</f>
        <v>0</v>
      </c>
      <c r="N9" s="5">
        <f>averageInProgressTime(Dates!N$12,Dates!N$13, 2)</f>
        <v>0</v>
      </c>
      <c r="O9" s="5">
        <f>averageInProgressTime(Dates!O$12,Dates!O$13, 2)</f>
        <v>0</v>
      </c>
      <c r="P9" s="5">
        <f>averageInProgressTime(Dates!P$12,Dates!P$13, 2)</f>
        <v>0</v>
      </c>
      <c r="Q9" s="5">
        <f>averageInProgressTime(Dates!Q$12,Dates!Q$13, 2)</f>
        <v>0</v>
      </c>
      <c r="R9" s="5">
        <f>averageInProgressTime(Dates!R$12,Dates!R$13, 2)</f>
        <v>0</v>
      </c>
      <c r="S9" s="5">
        <f>averageInProgressTime(Dates!S$12,Dates!S$13, 2)</f>
        <v>0</v>
      </c>
      <c r="T9" s="5">
        <f>averageInProgressTime(Dates!T$12,Dates!T$13, 2)</f>
        <v>0</v>
      </c>
      <c r="U9" s="5">
        <f>averageInProgressTime(Dates!C$12,Dates!T$13, 2)</f>
        <v>0</v>
      </c>
    </row>
    <row r="10" spans="1:22" x14ac:dyDescent="0.3">
      <c r="A10" s="6"/>
      <c r="B10" s="7" t="s">
        <v>55</v>
      </c>
      <c r="C10" s="5">
        <f>averageInProgressTime(Dates!C$12,Dates!C$13, 3)</f>
        <v>0</v>
      </c>
      <c r="D10" s="5">
        <f>averageInProgressTime(Dates!D$12,Dates!D$13, 3)</f>
        <v>0</v>
      </c>
      <c r="E10" s="5">
        <f>averageInProgressTime(Dates!E$12,Dates!E$13, 3)</f>
        <v>0</v>
      </c>
      <c r="F10" s="5">
        <f>averageInProgressTime(Dates!F$12,Dates!F$13, 3)</f>
        <v>0</v>
      </c>
      <c r="G10" s="5">
        <f>averageInProgressTime(Dates!G$12,Dates!G$13, 3)</f>
        <v>0</v>
      </c>
      <c r="H10" s="5">
        <f>averageInProgressTime(Dates!H$12,Dates!H$13, 3)</f>
        <v>0</v>
      </c>
      <c r="I10" s="5">
        <f>averageInProgressTime(Dates!I$12,Dates!I$13, 3)</f>
        <v>0</v>
      </c>
      <c r="J10" s="5">
        <f>averageInProgressTime(Dates!J$12,Dates!J$13, 3)</f>
        <v>0</v>
      </c>
      <c r="K10" s="5">
        <f>averageInProgressTime(Dates!K$12,Dates!K$13, 3)</f>
        <v>0</v>
      </c>
      <c r="L10" s="5">
        <f>averageInProgressTime(Dates!L$12,Dates!L$13, 3)</f>
        <v>0</v>
      </c>
      <c r="M10" s="5">
        <f>averageInProgressTime(Dates!M$12,Dates!M$13, 3)</f>
        <v>0</v>
      </c>
      <c r="N10" s="5">
        <f>averageInProgressTime(Dates!N$12,Dates!N$13, 3)</f>
        <v>0</v>
      </c>
      <c r="O10" s="5">
        <f>averageInProgressTime(Dates!O$12,Dates!O$13, 3)</f>
        <v>0</v>
      </c>
      <c r="P10" s="5">
        <f>averageInProgressTime(Dates!P$12,Dates!P$13, 3)</f>
        <v>0</v>
      </c>
      <c r="Q10" s="5">
        <f>averageInProgressTime(Dates!Q$12,Dates!Q$13, 3)</f>
        <v>0</v>
      </c>
      <c r="R10" s="5">
        <f>averageInProgressTime(Dates!R$12,Dates!R$13, 3)</f>
        <v>0</v>
      </c>
      <c r="S10" s="5">
        <f>averageInProgressTime(Dates!S$12,Dates!S$13, 3)</f>
        <v>0</v>
      </c>
      <c r="T10" s="5">
        <f>averageInProgressTime(Dates!T$12,Dates!T$13, 3)</f>
        <v>0</v>
      </c>
      <c r="U10" s="5">
        <f>averageInProgressTime(Dates!C$12,Dates!T$13, 3)</f>
        <v>0</v>
      </c>
    </row>
    <row r="11" spans="1:22" x14ac:dyDescent="0.3">
      <c r="A11" s="6"/>
      <c r="B11" s="7" t="s">
        <v>42</v>
      </c>
      <c r="C11">
        <f>totalNumberOfJobsCompleted(Dates!C$12,Dates!C$13)</f>
        <v>0</v>
      </c>
      <c r="D11">
        <f>totalNumberOfJobsCompleted(Dates!D$12,Dates!D$13)</f>
        <v>0</v>
      </c>
      <c r="E11">
        <f>totalNumberOfJobsCompleted(Dates!E$12,Dates!E$13)</f>
        <v>0</v>
      </c>
      <c r="F11">
        <f>totalNumberOfJobsCompleted(Dates!F$12,Dates!F$13)</f>
        <v>0</v>
      </c>
      <c r="G11">
        <f>totalNumberOfJobsCompleted(Dates!G$12,Dates!G$13)</f>
        <v>0</v>
      </c>
      <c r="H11">
        <f>totalNumberOfJobsCompleted(Dates!H$12,Dates!H$13)</f>
        <v>0</v>
      </c>
      <c r="I11">
        <f>totalNumberOfJobsCompleted(Dates!I$12,Dates!I$13)</f>
        <v>0</v>
      </c>
      <c r="J11">
        <f>totalNumberOfJobsCompleted(Dates!J$12,Dates!J$13)</f>
        <v>0</v>
      </c>
      <c r="K11">
        <f>totalNumberOfJobsCompleted(Dates!K$12,Dates!K$13)</f>
        <v>0</v>
      </c>
      <c r="L11">
        <f>totalNumberOfJobsCompleted(Dates!L$12,Dates!L$13)</f>
        <v>0</v>
      </c>
      <c r="M11">
        <f>totalNumberOfJobsCompleted(Dates!M$12,Dates!M$13)</f>
        <v>0</v>
      </c>
      <c r="N11">
        <f>totalNumberOfJobsCompleted(Dates!N$12,Dates!N$13)</f>
        <v>0</v>
      </c>
      <c r="O11">
        <f>totalNumberOfJobsCompleted(Dates!O$12,Dates!O$13)</f>
        <v>0</v>
      </c>
      <c r="P11">
        <f>totalNumberOfJobsCompleted(Dates!P$12,Dates!P$13)</f>
        <v>0</v>
      </c>
      <c r="Q11">
        <f>totalNumberOfJobsCompleted(Dates!Q$12,Dates!Q$13)</f>
        <v>0</v>
      </c>
      <c r="R11">
        <f>totalNumberOfJobsCompleted(Dates!R$12,Dates!R$13)</f>
        <v>0</v>
      </c>
      <c r="S11">
        <f>totalNumberOfJobsCompleted(Dates!S$12,Dates!S$13)</f>
        <v>0</v>
      </c>
      <c r="T11">
        <f>totalNumberOfJobsCompleted(Dates!T$12,Dates!T$13)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pendingJobs(Dates!C$13)</f>
        <v>0</v>
      </c>
      <c r="D12">
        <f>pendingJobs(Dates!D$13)</f>
        <v>0</v>
      </c>
      <c r="E12">
        <f>pendingJobs(Dates!E$13)</f>
        <v>0</v>
      </c>
      <c r="F12">
        <f>pendingJobs(Dates!F$13)</f>
        <v>0</v>
      </c>
      <c r="G12">
        <f>pendingJobs(Dates!G$13)</f>
        <v>0</v>
      </c>
      <c r="H12">
        <f>pendingJobs(Dates!H$13)</f>
        <v>0</v>
      </c>
      <c r="I12">
        <f>pendingJobs(Dates!I$13)</f>
        <v>0</v>
      </c>
      <c r="J12">
        <f>pendingJobs(Dates!J$13)</f>
        <v>0</v>
      </c>
      <c r="K12">
        <f>pendingJobs(Dates!K$13)</f>
        <v>0</v>
      </c>
      <c r="L12">
        <f>pendingJobs(Dates!L$13)</f>
        <v>0</v>
      </c>
      <c r="M12">
        <f>pendingJobs(Dates!M$13)</f>
        <v>0</v>
      </c>
      <c r="N12">
        <f>pendingJobs(Dates!N$13)</f>
        <v>0</v>
      </c>
      <c r="O12">
        <f>pendingJobs(Dates!O$13)</f>
        <v>0</v>
      </c>
      <c r="P12">
        <f>pendingJobs(Dates!P$13)</f>
        <v>0</v>
      </c>
      <c r="Q12">
        <f>pendingJobs(Dates!Q$13)</f>
        <v>0</v>
      </c>
      <c r="R12">
        <f>pendingJobs(Dates!R$13)</f>
        <v>0</v>
      </c>
      <c r="S12">
        <f>pendingJobs(Dates!S$13)</f>
        <v>0</v>
      </c>
      <c r="T12">
        <f>pendingJobs(Dates!T$13)</f>
        <v>0</v>
      </c>
      <c r="U12" s="5"/>
    </row>
    <row r="13" spans="1:22" x14ac:dyDescent="0.3">
      <c r="A13" s="6"/>
      <c r="B13" s="7" t="s">
        <v>48</v>
      </c>
      <c r="C13">
        <f>cancelledJobs(Dates!$C$12,Dates!C$13)</f>
        <v>0</v>
      </c>
      <c r="D13">
        <f>cancelledJobs(Dates!$C$12,Dates!D$13)</f>
        <v>0</v>
      </c>
      <c r="E13">
        <f>cancelledJobs(Dates!$C$12,Dates!E$13)</f>
        <v>0</v>
      </c>
      <c r="F13">
        <f>cancelledJobs(Dates!$C$12,Dates!F$13)</f>
        <v>0</v>
      </c>
      <c r="G13">
        <f>cancelledJobs(Dates!$C$12,Dates!G$13)</f>
        <v>0</v>
      </c>
      <c r="H13">
        <f>cancelledJobs(Dates!$C$12,Dates!H$13)</f>
        <v>0</v>
      </c>
      <c r="I13">
        <f>cancelledJobs(Dates!$C$12,Dates!I$13)</f>
        <v>0</v>
      </c>
      <c r="J13">
        <f>cancelledJobs(Dates!$C$12,Dates!J$13)</f>
        <v>0</v>
      </c>
      <c r="K13">
        <f>cancelledJobs(Dates!$C$12,Dates!K$13)</f>
        <v>0</v>
      </c>
      <c r="L13">
        <f>cancelledJobs(Dates!$C$12,Dates!L$13)</f>
        <v>0</v>
      </c>
      <c r="M13">
        <f>cancelledJobs(Dates!$C$12,Dates!M$13)</f>
        <v>0</v>
      </c>
      <c r="N13">
        <f>cancelledJobs(Dates!$C$12,Dates!N$13)</f>
        <v>0</v>
      </c>
      <c r="O13">
        <f>cancelledJobs(Dates!$C$12,Dates!O$13)</f>
        <v>0</v>
      </c>
      <c r="P13">
        <f>cancelledJobs(Dates!$C$12,Dates!P$13)</f>
        <v>0</v>
      </c>
      <c r="Q13">
        <f>cancelledJobs(Dates!$C$12,Dates!Q$13)</f>
        <v>0</v>
      </c>
      <c r="R13">
        <f>cancelledJobs(Dates!$C$12,Dates!R$13)</f>
        <v>0</v>
      </c>
      <c r="S13">
        <f>cancelledJobs(Dates!$C$12,Dates!S$13)</f>
        <v>0</v>
      </c>
      <c r="T13">
        <f>cancelledJobs(Dates!$C$12,Dates!T$13)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81"/>
  <sheetViews>
    <sheetView topLeftCell="B1" zoomScale="70" zoomScaleNormal="70" workbookViewId="0">
      <selection activeCell="J21" sqref="J21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averageCompletionTime(Dates!C$14,Dates!C$15, 1)</f>
        <v>0</v>
      </c>
      <c r="D2" s="5">
        <f>averageCompletionTime(Dates!D$14,Dates!D$15, 1)</f>
        <v>0</v>
      </c>
      <c r="E2" s="5">
        <f>averageCompletionTime(Dates!E$14,Dates!E$15, 1)</f>
        <v>0</v>
      </c>
      <c r="F2" s="5">
        <f>averageCompletionTime(Dates!F$14,Dates!F$15, 1)</f>
        <v>0</v>
      </c>
      <c r="G2" s="5">
        <f>averageCompletionTime(Dates!G$14,Dates!G$15, 1)</f>
        <v>0</v>
      </c>
      <c r="H2" s="5">
        <f>averageCompletionTime(Dates!H$14,Dates!H$15, 1)</f>
        <v>0</v>
      </c>
      <c r="I2" s="5">
        <f>averageCompletionTime(Dates!I$14,Dates!I$15, 1)</f>
        <v>0</v>
      </c>
      <c r="J2" s="5">
        <f>averageCompletionTime(Dates!J$14,Dates!J$15, 1)</f>
        <v>0</v>
      </c>
      <c r="K2" s="5">
        <f>averageCompletionTime(Dates!K$14,Dates!K$15, 1)</f>
        <v>0</v>
      </c>
      <c r="L2" s="5">
        <f>averageCompletionTime(Dates!L$14,Dates!L$15, 1)</f>
        <v>0</v>
      </c>
      <c r="M2" s="5">
        <f>averageCompletionTime(Dates!M$14,Dates!M$15, 1)</f>
        <v>0</v>
      </c>
      <c r="N2" s="5">
        <f>averageCompletionTime(Dates!N$14,Dates!N$15, 1)</f>
        <v>0</v>
      </c>
      <c r="O2" s="5">
        <f>averageCompletionTime(Dates!O$14,Dates!O$15, 1)</f>
        <v>0</v>
      </c>
      <c r="P2" s="5">
        <f>averageCompletionTime(Dates!P$14,Dates!P$15, 1)</f>
        <v>0</v>
      </c>
      <c r="Q2" s="5">
        <f>averageCompletionTime(Dates!Q$14,Dates!Q$15, 1)</f>
        <v>0</v>
      </c>
      <c r="R2" s="5">
        <f>averageCompletionTime(Dates!R$14,Dates!R$15, 1)</f>
        <v>0</v>
      </c>
      <c r="S2" s="5">
        <f>averageCompletionTime(Dates!S$14,Dates!S$15, 1)</f>
        <v>0</v>
      </c>
      <c r="T2" s="5">
        <f>averageCompletionTime(Dates!T$14,Dates!T$15, 1)</f>
        <v>0</v>
      </c>
      <c r="U2" s="5">
        <f>averageCompletionTime(Dates!C$14,Dates!T$15, 1)</f>
        <v>0</v>
      </c>
    </row>
    <row r="3" spans="1:22" x14ac:dyDescent="0.3">
      <c r="A3" s="6"/>
      <c r="B3" s="8" t="s">
        <v>49</v>
      </c>
      <c r="C3" s="5">
        <f>averageCompletionTime(Dates!C$14,Dates!C$15, 2)</f>
        <v>0</v>
      </c>
      <c r="D3" s="5">
        <f>averageCompletionTime(Dates!D$14,Dates!D$15, 2)</f>
        <v>0</v>
      </c>
      <c r="E3" s="5">
        <f>averageCompletionTime(Dates!E$14,Dates!E$15, 2)</f>
        <v>0</v>
      </c>
      <c r="F3" s="5">
        <f>averageCompletionTime(Dates!F$14,Dates!F$15, 2)</f>
        <v>0</v>
      </c>
      <c r="G3" s="5">
        <f>averageCompletionTime(Dates!G$14,Dates!G$15, 2)</f>
        <v>0</v>
      </c>
      <c r="H3" s="5">
        <f>averageCompletionTime(Dates!H$14,Dates!H$15, 2)</f>
        <v>0</v>
      </c>
      <c r="I3" s="5">
        <f>averageCompletionTime(Dates!I$14,Dates!I$15, 2)</f>
        <v>0</v>
      </c>
      <c r="J3" s="5">
        <f>averageCompletionTime(Dates!J$14,Dates!J$15, 2)</f>
        <v>0</v>
      </c>
      <c r="K3" s="5">
        <f>averageCompletionTime(Dates!K$14,Dates!K$15, 2)</f>
        <v>0</v>
      </c>
      <c r="L3" s="5">
        <f>averageCompletionTime(Dates!L$14,Dates!L$15, 2)</f>
        <v>0</v>
      </c>
      <c r="M3" s="5">
        <f>averageCompletionTime(Dates!M$14,Dates!M$15, 2)</f>
        <v>0</v>
      </c>
      <c r="N3" s="5">
        <f>averageCompletionTime(Dates!N$14,Dates!N$15, 2)</f>
        <v>0</v>
      </c>
      <c r="O3" s="5">
        <f>averageCompletionTime(Dates!O$14,Dates!O$15, 2)</f>
        <v>0</v>
      </c>
      <c r="P3" s="5">
        <f>averageCompletionTime(Dates!P$14,Dates!P$15, 2)</f>
        <v>0</v>
      </c>
      <c r="Q3" s="5">
        <f>averageCompletionTime(Dates!Q$14,Dates!Q$15, 2)</f>
        <v>0</v>
      </c>
      <c r="R3" s="5">
        <f>averageCompletionTime(Dates!R$14,Dates!R$15, 2)</f>
        <v>0</v>
      </c>
      <c r="S3" s="5">
        <f>averageCompletionTime(Dates!S$14,Dates!S$15, 2)</f>
        <v>0</v>
      </c>
      <c r="T3" s="5">
        <f>averageCompletionTime(Dates!T$14,Dates!T$15, 2)</f>
        <v>0</v>
      </c>
      <c r="U3" s="5">
        <f>averageCompletionTime(Dates!C$14,Dates!T$15, 2)</f>
        <v>0</v>
      </c>
      <c r="V3" s="5"/>
    </row>
    <row r="4" spans="1:22" x14ac:dyDescent="0.3">
      <c r="A4" s="6"/>
      <c r="B4" s="7" t="s">
        <v>50</v>
      </c>
      <c r="C4" s="5">
        <f>averageCompletionTime(Dates!C$14,Dates!C$15, 3)</f>
        <v>0</v>
      </c>
      <c r="D4" s="5">
        <f>averageCompletionTime(Dates!D$14,Dates!D$15, 3)</f>
        <v>0</v>
      </c>
      <c r="E4" s="5">
        <f>averageCompletionTime(Dates!E$14,Dates!E$15, 3)</f>
        <v>0</v>
      </c>
      <c r="F4" s="5">
        <f>averageCompletionTime(Dates!F$14,Dates!F$15, 3)</f>
        <v>0</v>
      </c>
      <c r="G4" s="5">
        <f>averageCompletionTime(Dates!G$14,Dates!G$15, 3)</f>
        <v>0</v>
      </c>
      <c r="H4" s="5">
        <f>averageCompletionTime(Dates!H$14,Dates!H$15, 3)</f>
        <v>0</v>
      </c>
      <c r="I4" s="5">
        <f>averageCompletionTime(Dates!I$14,Dates!I$15, 3)</f>
        <v>0</v>
      </c>
      <c r="J4" s="5">
        <f>averageCompletionTime(Dates!J$14,Dates!J$15, 3)</f>
        <v>0</v>
      </c>
      <c r="K4" s="5">
        <f>averageCompletionTime(Dates!K$14,Dates!K$15, 3)</f>
        <v>0</v>
      </c>
      <c r="L4" s="5">
        <f>averageCompletionTime(Dates!L$14,Dates!L$15, 3)</f>
        <v>0</v>
      </c>
      <c r="M4" s="5">
        <f>averageCompletionTime(Dates!M$14,Dates!M$15, 3)</f>
        <v>0</v>
      </c>
      <c r="N4" s="5">
        <f>averageCompletionTime(Dates!N$14,Dates!N$15, 3)</f>
        <v>0</v>
      </c>
      <c r="O4" s="5">
        <f>averageCompletionTime(Dates!O$14,Dates!O$15, 3)</f>
        <v>0</v>
      </c>
      <c r="P4" s="5">
        <f>averageCompletionTime(Dates!P$14,Dates!P$15, 3)</f>
        <v>0</v>
      </c>
      <c r="Q4" s="5">
        <f>averageCompletionTime(Dates!Q$14,Dates!Q$15, 3)</f>
        <v>0</v>
      </c>
      <c r="R4" s="5">
        <f>averageCompletionTime(Dates!R$14,Dates!R$15, 3)</f>
        <v>0</v>
      </c>
      <c r="S4" s="5">
        <f>averageCompletionTime(Dates!S$14,Dates!S$15, 3)</f>
        <v>0</v>
      </c>
      <c r="T4" s="5">
        <f>averageCompletionTime(Dates!T$14,Dates!T$15, 3)</f>
        <v>0</v>
      </c>
      <c r="U4" s="5">
        <f>averageCompletionTime(Dates!C$14,Dates!T$15, 3)</f>
        <v>0</v>
      </c>
    </row>
    <row r="5" spans="1:22" x14ac:dyDescent="0.3">
      <c r="A5" s="6"/>
      <c r="B5" s="7" t="s">
        <v>11</v>
      </c>
      <c r="C5" s="5">
        <f>averageResponseTime(Dates!C$14,Dates!C$15, 1)</f>
        <v>0</v>
      </c>
      <c r="D5" s="5">
        <f>averageResponseTime(Dates!D$14,Dates!D$15, 1)</f>
        <v>0</v>
      </c>
      <c r="E5" s="5">
        <f>averageResponseTime(Dates!E$14,Dates!E$15, 1)</f>
        <v>0</v>
      </c>
      <c r="F5" s="5">
        <f>averageResponseTime(Dates!F$14,Dates!F$15, 1)</f>
        <v>0</v>
      </c>
      <c r="G5" s="5">
        <f>averageResponseTime(Dates!G$14,Dates!G$15, 1)</f>
        <v>0</v>
      </c>
      <c r="H5" s="5">
        <f>averageResponseTime(Dates!H$14,Dates!H$15, 1)</f>
        <v>0</v>
      </c>
      <c r="I5" s="5">
        <f>averageResponseTime(Dates!I$14,Dates!I$15, 1)</f>
        <v>0</v>
      </c>
      <c r="J5" s="5">
        <f>averageResponseTime(Dates!J$14,Dates!J$15, 1)</f>
        <v>0</v>
      </c>
      <c r="K5" s="5">
        <f>averageResponseTime(Dates!K$14,Dates!K$15, 1)</f>
        <v>0</v>
      </c>
      <c r="L5" s="5">
        <f>averageResponseTime(Dates!L$14,Dates!L$15, 1)</f>
        <v>0</v>
      </c>
      <c r="M5" s="5">
        <f>averageResponseTime(Dates!M$14,Dates!M$15, 1)</f>
        <v>0</v>
      </c>
      <c r="N5" s="5">
        <f>averageResponseTime(Dates!N$14,Dates!N$15, 1)</f>
        <v>0</v>
      </c>
      <c r="O5" s="5">
        <f>averageResponseTime(Dates!O$14,Dates!O$15, 1)</f>
        <v>0</v>
      </c>
      <c r="P5" s="5">
        <f>averageResponseTime(Dates!P$14,Dates!P$15, 1)</f>
        <v>0</v>
      </c>
      <c r="Q5" s="5">
        <f>averageResponseTime(Dates!Q$14,Dates!Q$15, 1)</f>
        <v>0</v>
      </c>
      <c r="R5" s="5">
        <f>averageResponseTime(Dates!R$14,Dates!R$15, 1)</f>
        <v>0</v>
      </c>
      <c r="S5" s="5">
        <f>averageResponseTime(Dates!S$14,Dates!S$15, 1)</f>
        <v>0</v>
      </c>
      <c r="T5" s="5">
        <f>averageResponseTime(Dates!T$14,Dates!T$15, 1)</f>
        <v>0</v>
      </c>
      <c r="U5" s="5">
        <f>averageResponseTime(Dates!C$14,Dates!T$15, 1)</f>
        <v>0</v>
      </c>
    </row>
    <row r="6" spans="1:22" x14ac:dyDescent="0.3">
      <c r="A6" s="6"/>
      <c r="B6" s="7" t="s">
        <v>51</v>
      </c>
      <c r="C6" s="5">
        <f>averageResponseTime(Dates!C$14,Dates!C$15, 2)</f>
        <v>0</v>
      </c>
      <c r="D6" s="5">
        <f>averageResponseTime(Dates!D$14,Dates!D$15, 2)</f>
        <v>0</v>
      </c>
      <c r="E6" s="5">
        <f>averageResponseTime(Dates!E$14,Dates!E$15, 2)</f>
        <v>0</v>
      </c>
      <c r="F6" s="5">
        <f>averageResponseTime(Dates!F$14,Dates!F$15, 2)</f>
        <v>0</v>
      </c>
      <c r="G6" s="5">
        <f>averageResponseTime(Dates!G$14,Dates!G$15, 2)</f>
        <v>0</v>
      </c>
      <c r="H6" s="5">
        <f>averageResponseTime(Dates!H$14,Dates!H$15, 2)</f>
        <v>0</v>
      </c>
      <c r="I6" s="5">
        <f>averageResponseTime(Dates!I$14,Dates!I$15, 2)</f>
        <v>0</v>
      </c>
      <c r="J6" s="5">
        <f>averageResponseTime(Dates!J$14,Dates!J$15, 2)</f>
        <v>0</v>
      </c>
      <c r="K6" s="5">
        <f>averageResponseTime(Dates!K$14,Dates!K$15, 2)</f>
        <v>0</v>
      </c>
      <c r="L6" s="5">
        <f>averageResponseTime(Dates!L$14,Dates!L$15, 2)</f>
        <v>0</v>
      </c>
      <c r="M6" s="5">
        <f>averageResponseTime(Dates!M$14,Dates!M$15, 2)</f>
        <v>0</v>
      </c>
      <c r="N6" s="5">
        <f>averageResponseTime(Dates!N$14,Dates!N$15, 2)</f>
        <v>0</v>
      </c>
      <c r="O6" s="5">
        <f>averageResponseTime(Dates!O$14,Dates!O$15, 2)</f>
        <v>0</v>
      </c>
      <c r="P6" s="5">
        <f>averageResponseTime(Dates!P$14,Dates!P$15, 2)</f>
        <v>0</v>
      </c>
      <c r="Q6" s="5">
        <f>averageResponseTime(Dates!Q$14,Dates!Q$15, 2)</f>
        <v>0</v>
      </c>
      <c r="R6" s="5">
        <f>averageResponseTime(Dates!R$14,Dates!R$15, 2)</f>
        <v>0</v>
      </c>
      <c r="S6" s="5">
        <f>averageResponseTime(Dates!S$14,Dates!S$15, 2)</f>
        <v>0</v>
      </c>
      <c r="T6" s="5">
        <f>averageResponseTime(Dates!T$14,Dates!T$15, 2)</f>
        <v>0</v>
      </c>
      <c r="U6" s="5">
        <f>averageResponseTime(Dates!C$14,Dates!T$15, 2)</f>
        <v>0</v>
      </c>
    </row>
    <row r="7" spans="1:22" x14ac:dyDescent="0.3">
      <c r="A7" s="6"/>
      <c r="B7" s="7" t="s">
        <v>52</v>
      </c>
      <c r="C7" s="5">
        <f>averageResponseTime(Dates!C$14,Dates!C$15, 3)</f>
        <v>0</v>
      </c>
      <c r="D7" s="5">
        <f>averageResponseTime(Dates!D$14,Dates!D$15, 3)</f>
        <v>0</v>
      </c>
      <c r="E7" s="5">
        <f>averageResponseTime(Dates!E$14,Dates!E$15, 3)</f>
        <v>0</v>
      </c>
      <c r="F7" s="5">
        <f>averageResponseTime(Dates!F$14,Dates!F$15, 3)</f>
        <v>0</v>
      </c>
      <c r="G7" s="5">
        <f>averageResponseTime(Dates!G$14,Dates!G$15, 3)</f>
        <v>0</v>
      </c>
      <c r="H7" s="5">
        <f>averageResponseTime(Dates!H$14,Dates!H$15, 3)</f>
        <v>0</v>
      </c>
      <c r="I7" s="5">
        <f>averageResponseTime(Dates!I$14,Dates!I$15, 3)</f>
        <v>0</v>
      </c>
      <c r="J7" s="5">
        <f>averageResponseTime(Dates!J$14,Dates!J$15, 3)</f>
        <v>0</v>
      </c>
      <c r="K7" s="5">
        <f>averageResponseTime(Dates!K$14,Dates!K$15, 3)</f>
        <v>0</v>
      </c>
      <c r="L7" s="5">
        <f>averageResponseTime(Dates!L$14,Dates!L$15, 3)</f>
        <v>0</v>
      </c>
      <c r="M7" s="5">
        <f>averageResponseTime(Dates!M$14,Dates!M$15, 3)</f>
        <v>0</v>
      </c>
      <c r="N7" s="5">
        <f>averageResponseTime(Dates!N$14,Dates!N$15, 3)</f>
        <v>0</v>
      </c>
      <c r="O7" s="5">
        <f>averageResponseTime(Dates!O$14,Dates!O$15, 3)</f>
        <v>0</v>
      </c>
      <c r="P7" s="5">
        <f>averageResponseTime(Dates!P$14,Dates!P$15, 3)</f>
        <v>0</v>
      </c>
      <c r="Q7" s="5">
        <f>averageResponseTime(Dates!Q$14,Dates!Q$15, 3)</f>
        <v>0</v>
      </c>
      <c r="R7" s="5">
        <f>averageResponseTime(Dates!R$14,Dates!R$15, 3)</f>
        <v>0</v>
      </c>
      <c r="S7" s="5">
        <f>averageResponseTime(Dates!S$14,Dates!S$15, 3)</f>
        <v>0</v>
      </c>
      <c r="T7" s="5">
        <f>averageResponseTime(Dates!T$14,Dates!T$15, 3)</f>
        <v>0</v>
      </c>
      <c r="U7" s="5">
        <f>averageResponseTime(Dates!C$14,Dates!T$15, 3)</f>
        <v>0</v>
      </c>
    </row>
    <row r="8" spans="1:22" x14ac:dyDescent="0.3">
      <c r="A8" s="6"/>
      <c r="B8" s="7" t="s">
        <v>53</v>
      </c>
      <c r="C8" s="5">
        <f>averageInProgressTime(Dates!C$14,Dates!C$15, 1)</f>
        <v>0</v>
      </c>
      <c r="D8" s="5">
        <f>averageInProgressTime(Dates!D$14,Dates!D$15, 1)</f>
        <v>0</v>
      </c>
      <c r="E8" s="5">
        <f>averageInProgressTime(Dates!E$14,Dates!E$15, 1)</f>
        <v>0</v>
      </c>
      <c r="F8" s="5">
        <f>averageInProgressTime(Dates!F$14,Dates!F$15, 1)</f>
        <v>0</v>
      </c>
      <c r="G8" s="5">
        <f>averageInProgressTime(Dates!G$14,Dates!G$15, 1)</f>
        <v>0</v>
      </c>
      <c r="H8" s="5">
        <f>averageInProgressTime(Dates!H$14,Dates!H$15, 1)</f>
        <v>0</v>
      </c>
      <c r="I8" s="5">
        <f>averageInProgressTime(Dates!I$14,Dates!I$15, 1)</f>
        <v>0</v>
      </c>
      <c r="J8" s="5">
        <f>averageInProgressTime(Dates!J$14,Dates!J$15, 1)</f>
        <v>0</v>
      </c>
      <c r="K8" s="5">
        <f>averageInProgressTime(Dates!K$14,Dates!K$15, 1)</f>
        <v>0</v>
      </c>
      <c r="L8" s="5">
        <f>averageInProgressTime(Dates!L$14,Dates!L$15, 1)</f>
        <v>0</v>
      </c>
      <c r="M8" s="5">
        <f>averageInProgressTime(Dates!M$14,Dates!M$15, 1)</f>
        <v>0</v>
      </c>
      <c r="N8" s="5">
        <f>averageInProgressTime(Dates!N$14,Dates!N$15, 1)</f>
        <v>0</v>
      </c>
      <c r="O8" s="5">
        <f>averageInProgressTime(Dates!O$14,Dates!O$15, 1)</f>
        <v>0</v>
      </c>
      <c r="P8" s="5">
        <f>averageInProgressTime(Dates!P$14,Dates!P$15, 1)</f>
        <v>0</v>
      </c>
      <c r="Q8" s="5">
        <f>averageInProgressTime(Dates!Q$14,Dates!Q$15, 1)</f>
        <v>0</v>
      </c>
      <c r="R8" s="5">
        <f>averageInProgressTime(Dates!R$14,Dates!R$15, 1)</f>
        <v>0</v>
      </c>
      <c r="S8" s="5">
        <f>averageInProgressTime(Dates!S$14,Dates!S$15, 1)</f>
        <v>0</v>
      </c>
      <c r="T8" s="5">
        <f>averageInProgressTime(Dates!T$14,Dates!T$15, 1)</f>
        <v>0</v>
      </c>
      <c r="U8" s="5">
        <f>averageInProgressTime(Dates!C$14,Dates!T$15, 1)</f>
        <v>0</v>
      </c>
    </row>
    <row r="9" spans="1:22" x14ac:dyDescent="0.3">
      <c r="A9" s="6"/>
      <c r="B9" s="7" t="s">
        <v>54</v>
      </c>
      <c r="C9" s="5">
        <f>averageInProgressTime(Dates!C$14,Dates!C$15, 2)</f>
        <v>0</v>
      </c>
      <c r="D9" s="5">
        <f>averageInProgressTime(Dates!D$14,Dates!D$15, 2)</f>
        <v>0</v>
      </c>
      <c r="E9" s="5">
        <f>averageInProgressTime(Dates!E$14,Dates!E$15, 2)</f>
        <v>0</v>
      </c>
      <c r="F9" s="5">
        <f>averageInProgressTime(Dates!F$14,Dates!F$15, 2)</f>
        <v>0</v>
      </c>
      <c r="G9" s="5">
        <f>averageInProgressTime(Dates!G$14,Dates!G$15, 2)</f>
        <v>0</v>
      </c>
      <c r="H9" s="5">
        <f>averageInProgressTime(Dates!H$14,Dates!H$15, 2)</f>
        <v>0</v>
      </c>
      <c r="I9" s="5">
        <f>averageInProgressTime(Dates!I$14,Dates!I$15, 2)</f>
        <v>0</v>
      </c>
      <c r="J9" s="5">
        <f>averageInProgressTime(Dates!J$14,Dates!J$15, 2)</f>
        <v>0</v>
      </c>
      <c r="K9" s="5">
        <f>averageInProgressTime(Dates!K$14,Dates!K$15, 2)</f>
        <v>0</v>
      </c>
      <c r="L9" s="5">
        <f>averageInProgressTime(Dates!L$14,Dates!L$15, 2)</f>
        <v>0</v>
      </c>
      <c r="M9" s="5">
        <f>averageInProgressTime(Dates!M$14,Dates!M$15, 2)</f>
        <v>0</v>
      </c>
      <c r="N9" s="5">
        <f>averageInProgressTime(Dates!N$14,Dates!N$15, 2)</f>
        <v>0</v>
      </c>
      <c r="O9" s="5">
        <f>averageInProgressTime(Dates!O$14,Dates!O$15, 2)</f>
        <v>0</v>
      </c>
      <c r="P9" s="5">
        <f>averageInProgressTime(Dates!P$14,Dates!P$15, 2)</f>
        <v>0</v>
      </c>
      <c r="Q9" s="5">
        <f>averageInProgressTime(Dates!Q$14,Dates!Q$15, 2)</f>
        <v>0</v>
      </c>
      <c r="R9" s="5">
        <f>averageInProgressTime(Dates!R$14,Dates!R$15, 2)</f>
        <v>0</v>
      </c>
      <c r="S9" s="5">
        <f>averageInProgressTime(Dates!S$14,Dates!S$15, 2)</f>
        <v>0</v>
      </c>
      <c r="T9" s="5">
        <f>averageInProgressTime(Dates!T$14,Dates!T$15, 2)</f>
        <v>0</v>
      </c>
      <c r="U9" s="5">
        <f>averageInProgressTime(Dates!C$14,Dates!T$15, 2)</f>
        <v>0</v>
      </c>
    </row>
    <row r="10" spans="1:22" x14ac:dyDescent="0.3">
      <c r="A10" s="6"/>
      <c r="B10" s="7" t="s">
        <v>55</v>
      </c>
      <c r="C10" s="5">
        <f>averageInProgressTime(Dates!C$14,Dates!C$15, 3)</f>
        <v>0</v>
      </c>
      <c r="D10" s="5">
        <f>averageInProgressTime(Dates!D$14,Dates!D$15, 3)</f>
        <v>0</v>
      </c>
      <c r="E10" s="5">
        <f>averageInProgressTime(Dates!E$14,Dates!E$15, 3)</f>
        <v>0</v>
      </c>
      <c r="F10" s="5">
        <f>averageInProgressTime(Dates!F$14,Dates!F$15, 3)</f>
        <v>0</v>
      </c>
      <c r="G10" s="5">
        <f>averageInProgressTime(Dates!G$14,Dates!G$15, 3)</f>
        <v>0</v>
      </c>
      <c r="H10" s="5">
        <f>averageInProgressTime(Dates!H$14,Dates!H$15, 3)</f>
        <v>0</v>
      </c>
      <c r="I10" s="5">
        <f>averageInProgressTime(Dates!I$14,Dates!I$15, 3)</f>
        <v>0</v>
      </c>
      <c r="J10" s="5">
        <f>averageInProgressTime(Dates!J$14,Dates!J$15, 3)</f>
        <v>0</v>
      </c>
      <c r="K10" s="5">
        <f>averageInProgressTime(Dates!K$14,Dates!K$15, 3)</f>
        <v>0</v>
      </c>
      <c r="L10" s="5">
        <f>averageInProgressTime(Dates!L$14,Dates!L$15, 3)</f>
        <v>0</v>
      </c>
      <c r="M10" s="5">
        <f>averageInProgressTime(Dates!M$14,Dates!M$15, 3)</f>
        <v>0</v>
      </c>
      <c r="N10" s="5">
        <f>averageInProgressTime(Dates!N$14,Dates!N$15, 3)</f>
        <v>0</v>
      </c>
      <c r="O10" s="5">
        <f>averageInProgressTime(Dates!O$14,Dates!O$15, 3)</f>
        <v>0</v>
      </c>
      <c r="P10" s="5">
        <f>averageInProgressTime(Dates!P$14,Dates!P$15, 3)</f>
        <v>0</v>
      </c>
      <c r="Q10" s="5">
        <f>averageInProgressTime(Dates!Q$14,Dates!Q$15, 3)</f>
        <v>0</v>
      </c>
      <c r="R10" s="5">
        <f>averageInProgressTime(Dates!R$14,Dates!R$15, 3)</f>
        <v>0</v>
      </c>
      <c r="S10" s="5">
        <f>averageInProgressTime(Dates!S$14,Dates!S$15, 3)</f>
        <v>0</v>
      </c>
      <c r="T10" s="5">
        <f>averageInProgressTime(Dates!T$14,Dates!T$15, 3)</f>
        <v>0</v>
      </c>
      <c r="U10" s="5">
        <f>averageInProgressTime(Dates!C$14,Dates!T$15, 3)</f>
        <v>0</v>
      </c>
    </row>
    <row r="11" spans="1:22" x14ac:dyDescent="0.3">
      <c r="A11" s="6"/>
      <c r="B11" s="7" t="s">
        <v>42</v>
      </c>
      <c r="C11">
        <f>totalNumberOfJobsCompleted(Dates!C$14,Dates!C$15)</f>
        <v>0</v>
      </c>
      <c r="D11">
        <f>totalNumberOfJobsCompleted(Dates!D$14,Dates!D$15)</f>
        <v>0</v>
      </c>
      <c r="E11">
        <f>totalNumberOfJobsCompleted(Dates!E$14,Dates!E$15)</f>
        <v>0</v>
      </c>
      <c r="F11">
        <f>totalNumberOfJobsCompleted(Dates!F$14,Dates!F$15)</f>
        <v>0</v>
      </c>
      <c r="G11">
        <f>totalNumberOfJobsCompleted(Dates!G$14,Dates!G$15)</f>
        <v>0</v>
      </c>
      <c r="H11">
        <f>totalNumberOfJobsCompleted(Dates!H$14,Dates!H$15)</f>
        <v>0</v>
      </c>
      <c r="I11">
        <f>totalNumberOfJobsCompleted(Dates!I$14,Dates!I$15)</f>
        <v>0</v>
      </c>
      <c r="J11">
        <f>totalNumberOfJobsCompleted(Dates!J$14,Dates!J$15)</f>
        <v>0</v>
      </c>
      <c r="K11">
        <f>totalNumberOfJobsCompleted(Dates!K$14,Dates!K$15)</f>
        <v>0</v>
      </c>
      <c r="L11">
        <f>totalNumberOfJobsCompleted(Dates!L$14,Dates!L$15)</f>
        <v>0</v>
      </c>
      <c r="M11">
        <f>totalNumberOfJobsCompleted(Dates!M$14,Dates!M$15)</f>
        <v>0</v>
      </c>
      <c r="N11">
        <f>totalNumberOfJobsCompleted(Dates!N$14,Dates!N$15)</f>
        <v>0</v>
      </c>
      <c r="O11">
        <f>totalNumberOfJobsCompleted(Dates!O$14,Dates!O$15)</f>
        <v>0</v>
      </c>
      <c r="P11">
        <f>totalNumberOfJobsCompleted(Dates!P$14,Dates!P$15)</f>
        <v>0</v>
      </c>
      <c r="Q11">
        <f>totalNumberOfJobsCompleted(Dates!Q$14,Dates!Q$15)</f>
        <v>0</v>
      </c>
      <c r="R11">
        <f>totalNumberOfJobsCompleted(Dates!R$14,Dates!R$15)</f>
        <v>0</v>
      </c>
      <c r="S11">
        <f>totalNumberOfJobsCompleted(Dates!S$14,Dates!S$15)</f>
        <v>0</v>
      </c>
      <c r="T11">
        <f>totalNumberOfJobsCompleted(Dates!T$14,Dates!T$15)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pendingJobs(Dates!C$15)</f>
        <v>0</v>
      </c>
      <c r="D12">
        <f>pendingJobs(Dates!D$15)</f>
        <v>0</v>
      </c>
      <c r="E12">
        <f>pendingJobs(Dates!E$15)</f>
        <v>0</v>
      </c>
      <c r="F12">
        <f>pendingJobs(Dates!F$15)</f>
        <v>0</v>
      </c>
      <c r="G12">
        <f>pendingJobs(Dates!G$15)</f>
        <v>0</v>
      </c>
      <c r="H12">
        <f>pendingJobs(Dates!H$15)</f>
        <v>0</v>
      </c>
      <c r="I12">
        <f>pendingJobs(Dates!I$15)</f>
        <v>0</v>
      </c>
      <c r="J12">
        <f>pendingJobs(Dates!J$15)</f>
        <v>0</v>
      </c>
      <c r="K12">
        <f>pendingJobs(Dates!K$15)</f>
        <v>0</v>
      </c>
      <c r="L12">
        <f>pendingJobs(Dates!L$15)</f>
        <v>0</v>
      </c>
      <c r="M12">
        <f>pendingJobs(Dates!M$15)</f>
        <v>0</v>
      </c>
      <c r="N12">
        <f>pendingJobs(Dates!N$15)</f>
        <v>0</v>
      </c>
      <c r="O12">
        <f>pendingJobs(Dates!O$15)</f>
        <v>0</v>
      </c>
      <c r="P12">
        <f>pendingJobs(Dates!P$15)</f>
        <v>0</v>
      </c>
      <c r="Q12">
        <f>pendingJobs(Dates!Q$15)</f>
        <v>0</v>
      </c>
      <c r="R12">
        <f>pendingJobs(Dates!R$15)</f>
        <v>0</v>
      </c>
      <c r="S12">
        <f>pendingJobs(Dates!S$15)</f>
        <v>0</v>
      </c>
      <c r="T12">
        <f>pendingJobs(Dates!T$15)</f>
        <v>0</v>
      </c>
      <c r="U12" s="5"/>
    </row>
    <row r="13" spans="1:22" x14ac:dyDescent="0.3">
      <c r="A13" s="6"/>
      <c r="B13" s="7" t="s">
        <v>48</v>
      </c>
      <c r="C13">
        <f>cancelledJobs(Dates!$C$14,Dates!C$15)</f>
        <v>0</v>
      </c>
      <c r="D13">
        <f>cancelledJobs(Dates!$C$14,Dates!D$15)</f>
        <v>0</v>
      </c>
      <c r="E13">
        <f>cancelledJobs(Dates!$C$14,Dates!E$15)</f>
        <v>0</v>
      </c>
      <c r="F13">
        <f>cancelledJobs(Dates!$C$14,Dates!F$15)</f>
        <v>0</v>
      </c>
      <c r="G13">
        <f>cancelledJobs(Dates!$C$14,Dates!G$15)</f>
        <v>0</v>
      </c>
      <c r="H13">
        <f>cancelledJobs(Dates!$C$14,Dates!H$15)</f>
        <v>0</v>
      </c>
      <c r="I13">
        <f>cancelledJobs(Dates!$C$14,Dates!I$15)</f>
        <v>0</v>
      </c>
      <c r="J13">
        <f>cancelledJobs(Dates!$C$14,Dates!J$15)</f>
        <v>0</v>
      </c>
      <c r="K13">
        <f>cancelledJobs(Dates!$C$14,Dates!K$15)</f>
        <v>0</v>
      </c>
      <c r="L13">
        <f>cancelledJobs(Dates!$C$14,Dates!L$15)</f>
        <v>0</v>
      </c>
      <c r="M13">
        <f>cancelledJobs(Dates!$C$14,Dates!M$15)</f>
        <v>0</v>
      </c>
      <c r="N13">
        <f>cancelledJobs(Dates!$C$14,Dates!N$15)</f>
        <v>0</v>
      </c>
      <c r="O13">
        <f>cancelledJobs(Dates!$C$14,Dates!O$15)</f>
        <v>0</v>
      </c>
      <c r="P13">
        <f>cancelledJobs(Dates!$C$14,Dates!P$15)</f>
        <v>0</v>
      </c>
      <c r="Q13">
        <f>cancelledJobs(Dates!$C$14,Dates!Q$15)</f>
        <v>0</v>
      </c>
      <c r="R13">
        <f>cancelledJobs(Dates!$C$14,Dates!R$15)</f>
        <v>0</v>
      </c>
      <c r="S13">
        <f>cancelledJobs(Dates!$C$14,Dates!S$15)</f>
        <v>0</v>
      </c>
      <c r="T13">
        <f>cancelledJobs(Dates!$C$14,Dates!T$15)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81"/>
  <sheetViews>
    <sheetView topLeftCell="B1" zoomScale="70" zoomScaleNormal="70" workbookViewId="0">
      <selection activeCell="C2" sqref="C2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averageCompletionTime(Dates!C$16,Dates!C$17, 1)</f>
        <v>0</v>
      </c>
      <c r="D2" s="5">
        <f>averageCompletionTime(Dates!D$16,Dates!D$17, 1)</f>
        <v>0</v>
      </c>
      <c r="E2" s="5">
        <f>averageCompletionTime(Dates!E$16,Dates!E$17, 1)</f>
        <v>0</v>
      </c>
      <c r="F2" s="5">
        <f>averageCompletionTime(Dates!F$16,Dates!F$17, 1)</f>
        <v>0</v>
      </c>
      <c r="G2" s="5">
        <f>averageCompletionTime(Dates!G$16,Dates!G$17, 1)</f>
        <v>0</v>
      </c>
      <c r="H2" s="5">
        <f>averageCompletionTime(Dates!H$16,Dates!H$17, 1)</f>
        <v>0</v>
      </c>
      <c r="I2" s="5">
        <f>averageCompletionTime(Dates!I$16,Dates!I$17, 1)</f>
        <v>0</v>
      </c>
      <c r="J2" s="5">
        <f>averageCompletionTime(Dates!J$16,Dates!J$17, 1)</f>
        <v>0</v>
      </c>
      <c r="K2" s="5">
        <f>averageCompletionTime(Dates!K$16,Dates!K$17, 1)</f>
        <v>0</v>
      </c>
      <c r="L2" s="5">
        <f>averageCompletionTime(Dates!L$16,Dates!L$17, 1)</f>
        <v>0</v>
      </c>
      <c r="M2" s="5">
        <f>averageCompletionTime(Dates!M$16,Dates!M$17, 1)</f>
        <v>0</v>
      </c>
      <c r="N2" s="5">
        <f>averageCompletionTime(Dates!N$16,Dates!N$17, 1)</f>
        <v>0</v>
      </c>
      <c r="O2" s="5">
        <f>averageCompletionTime(Dates!O$16,Dates!O$17, 1)</f>
        <v>0</v>
      </c>
      <c r="P2" s="5">
        <f>averageCompletionTime(Dates!P$16,Dates!P$17, 1)</f>
        <v>0</v>
      </c>
      <c r="Q2" s="5">
        <f>averageCompletionTime(Dates!Q$16,Dates!Q$17, 1)</f>
        <v>0</v>
      </c>
      <c r="R2" s="5">
        <f>averageCompletionTime(Dates!R$16,Dates!R$17, 1)</f>
        <v>0</v>
      </c>
      <c r="S2" s="5">
        <f>averageCompletionTime(Dates!S$16,Dates!S$17, 1)</f>
        <v>0</v>
      </c>
      <c r="T2" s="5">
        <f>averageCompletionTime(Dates!T$16,Dates!T$17, 1)</f>
        <v>0</v>
      </c>
      <c r="U2" s="5">
        <f>averageCompletionTime(Dates!C$16,Dates!T$17, 1)</f>
        <v>0</v>
      </c>
    </row>
    <row r="3" spans="1:22" x14ac:dyDescent="0.3">
      <c r="A3" s="6"/>
      <c r="B3" s="8" t="s">
        <v>49</v>
      </c>
      <c r="C3" s="5">
        <f>averageCompletionTime(Dates!C$16,Dates!C$17, 2)</f>
        <v>0</v>
      </c>
      <c r="D3" s="5">
        <f>averageCompletionTime(Dates!D$16,Dates!D$17, 2)</f>
        <v>0</v>
      </c>
      <c r="E3" s="5">
        <f>averageCompletionTime(Dates!E$16,Dates!E$17, 2)</f>
        <v>0</v>
      </c>
      <c r="F3" s="5">
        <f>averageCompletionTime(Dates!F$16,Dates!F$17, 2)</f>
        <v>0</v>
      </c>
      <c r="G3" s="5">
        <f>averageCompletionTime(Dates!G$16,Dates!G$17, 2)</f>
        <v>0</v>
      </c>
      <c r="H3" s="5">
        <f>averageCompletionTime(Dates!H$16,Dates!H$17, 2)</f>
        <v>0</v>
      </c>
      <c r="I3" s="5">
        <f>averageCompletionTime(Dates!I$16,Dates!I$17, 2)</f>
        <v>0</v>
      </c>
      <c r="J3" s="5">
        <f>averageCompletionTime(Dates!J$16,Dates!J$17, 2)</f>
        <v>0</v>
      </c>
      <c r="K3" s="5">
        <f>averageCompletionTime(Dates!K$16,Dates!K$17, 2)</f>
        <v>0</v>
      </c>
      <c r="L3" s="5">
        <f>averageCompletionTime(Dates!L$16,Dates!L$17, 2)</f>
        <v>0</v>
      </c>
      <c r="M3" s="5">
        <f>averageCompletionTime(Dates!M$16,Dates!M$17, 2)</f>
        <v>0</v>
      </c>
      <c r="N3" s="5">
        <f>averageCompletionTime(Dates!N$16,Dates!N$17, 2)</f>
        <v>0</v>
      </c>
      <c r="O3" s="5">
        <f>averageCompletionTime(Dates!O$16,Dates!O$17, 2)</f>
        <v>0</v>
      </c>
      <c r="P3" s="5">
        <f>averageCompletionTime(Dates!P$16,Dates!P$17, 2)</f>
        <v>0</v>
      </c>
      <c r="Q3" s="5">
        <f>averageCompletionTime(Dates!Q$16,Dates!Q$17, 2)</f>
        <v>0</v>
      </c>
      <c r="R3" s="5">
        <f>averageCompletionTime(Dates!R$16,Dates!R$17, 2)</f>
        <v>0</v>
      </c>
      <c r="S3" s="5">
        <f>averageCompletionTime(Dates!S$16,Dates!S$17, 2)</f>
        <v>0</v>
      </c>
      <c r="T3" s="5">
        <f>averageCompletionTime(Dates!T$16,Dates!T$17, 2)</f>
        <v>0</v>
      </c>
      <c r="U3" s="5">
        <f>averageCompletionTime(Dates!C$16,Dates!T$17, 2)</f>
        <v>0</v>
      </c>
      <c r="V3" s="5"/>
    </row>
    <row r="4" spans="1:22" x14ac:dyDescent="0.3">
      <c r="A4" s="6"/>
      <c r="B4" s="7" t="s">
        <v>50</v>
      </c>
      <c r="C4" s="5">
        <f>averageCompletionTime(Dates!C$16,Dates!C$17, 3)</f>
        <v>0</v>
      </c>
      <c r="D4" s="5">
        <f>averageCompletionTime(Dates!D$16,Dates!D$17, 3)</f>
        <v>0</v>
      </c>
      <c r="E4" s="5">
        <f>averageCompletionTime(Dates!E$16,Dates!E$17, 3)</f>
        <v>0</v>
      </c>
      <c r="F4" s="5">
        <f>averageCompletionTime(Dates!F$16,Dates!F$17, 3)</f>
        <v>0</v>
      </c>
      <c r="G4" s="5">
        <f>averageCompletionTime(Dates!G$16,Dates!G$17, 3)</f>
        <v>0</v>
      </c>
      <c r="H4" s="5">
        <f>averageCompletionTime(Dates!H$16,Dates!H$17, 3)</f>
        <v>0</v>
      </c>
      <c r="I4" s="5">
        <f>averageCompletionTime(Dates!I$16,Dates!I$17, 3)</f>
        <v>0</v>
      </c>
      <c r="J4" s="5">
        <f>averageCompletionTime(Dates!J$16,Dates!J$17, 3)</f>
        <v>0</v>
      </c>
      <c r="K4" s="5">
        <f>averageCompletionTime(Dates!K$16,Dates!K$17, 3)</f>
        <v>0</v>
      </c>
      <c r="L4" s="5">
        <f>averageCompletionTime(Dates!L$16,Dates!L$17, 3)</f>
        <v>0</v>
      </c>
      <c r="M4" s="5">
        <f>averageCompletionTime(Dates!M$16,Dates!M$17, 3)</f>
        <v>0</v>
      </c>
      <c r="N4" s="5">
        <f>averageCompletionTime(Dates!N$16,Dates!N$17, 3)</f>
        <v>0</v>
      </c>
      <c r="O4" s="5">
        <f>averageCompletionTime(Dates!O$16,Dates!O$17, 3)</f>
        <v>0</v>
      </c>
      <c r="P4" s="5">
        <f>averageCompletionTime(Dates!P$16,Dates!P$17, 3)</f>
        <v>0</v>
      </c>
      <c r="Q4" s="5">
        <f>averageCompletionTime(Dates!Q$16,Dates!Q$17, 3)</f>
        <v>0</v>
      </c>
      <c r="R4" s="5">
        <f>averageCompletionTime(Dates!R$16,Dates!R$17, 3)</f>
        <v>0</v>
      </c>
      <c r="S4" s="5">
        <f>averageCompletionTime(Dates!S$16,Dates!S$17, 3)</f>
        <v>0</v>
      </c>
      <c r="T4" s="5">
        <f>averageCompletionTime(Dates!T$16,Dates!T$17, 3)</f>
        <v>0</v>
      </c>
      <c r="U4" s="5">
        <f>averageCompletionTime(Dates!C$16,Dates!T$17, 3)</f>
        <v>0</v>
      </c>
    </row>
    <row r="5" spans="1:22" x14ac:dyDescent="0.3">
      <c r="A5" s="6"/>
      <c r="B5" s="7" t="s">
        <v>11</v>
      </c>
      <c r="C5" s="5">
        <f>averageResponseTime(Dates!C$16,Dates!C$17, 1)</f>
        <v>0</v>
      </c>
      <c r="D5" s="5">
        <f>averageResponseTime(Dates!D$16,Dates!D$17, 1)</f>
        <v>0</v>
      </c>
      <c r="E5" s="5">
        <f>averageResponseTime(Dates!E$16,Dates!E$17, 1)</f>
        <v>0</v>
      </c>
      <c r="F5" s="5">
        <f>averageResponseTime(Dates!F$16,Dates!F$17, 1)</f>
        <v>0</v>
      </c>
      <c r="G5" s="5">
        <f>averageResponseTime(Dates!G$16,Dates!G$17, 1)</f>
        <v>0</v>
      </c>
      <c r="H5" s="5">
        <f>averageResponseTime(Dates!H$16,Dates!H$17, 1)</f>
        <v>0</v>
      </c>
      <c r="I5" s="5">
        <f>averageResponseTime(Dates!I$16,Dates!I$17, 1)</f>
        <v>0</v>
      </c>
      <c r="J5" s="5">
        <f>averageResponseTime(Dates!J$16,Dates!J$17, 1)</f>
        <v>0</v>
      </c>
      <c r="K5" s="5">
        <f>averageResponseTime(Dates!K$16,Dates!K$17, 1)</f>
        <v>0</v>
      </c>
      <c r="L5" s="5">
        <f>averageResponseTime(Dates!L$16,Dates!L$17, 1)</f>
        <v>0</v>
      </c>
      <c r="M5" s="5">
        <f>averageResponseTime(Dates!M$16,Dates!M$17, 1)</f>
        <v>0</v>
      </c>
      <c r="N5" s="5">
        <f>averageResponseTime(Dates!N$16,Dates!N$17, 1)</f>
        <v>0</v>
      </c>
      <c r="O5" s="5">
        <f>averageResponseTime(Dates!O$16,Dates!O$17, 1)</f>
        <v>0</v>
      </c>
      <c r="P5" s="5">
        <f>averageResponseTime(Dates!P$16,Dates!P$17, 1)</f>
        <v>0</v>
      </c>
      <c r="Q5" s="5">
        <f>averageResponseTime(Dates!Q$16,Dates!Q$17, 1)</f>
        <v>0</v>
      </c>
      <c r="R5" s="5">
        <f>averageResponseTime(Dates!R$16,Dates!R$17, 1)</f>
        <v>0</v>
      </c>
      <c r="S5" s="5">
        <f>averageResponseTime(Dates!S$16,Dates!S$17, 1)</f>
        <v>0</v>
      </c>
      <c r="T5" s="5">
        <f>averageResponseTime(Dates!T$16,Dates!T$17, 1)</f>
        <v>0</v>
      </c>
      <c r="U5" s="5">
        <f>averageResponseTime(Dates!C$16,Dates!T$17, 1)</f>
        <v>0</v>
      </c>
    </row>
    <row r="6" spans="1:22" x14ac:dyDescent="0.3">
      <c r="A6" s="6"/>
      <c r="B6" s="7" t="s">
        <v>51</v>
      </c>
      <c r="C6" s="5">
        <f>averageResponseTime(Dates!C$16,Dates!C$17, 2)</f>
        <v>0</v>
      </c>
      <c r="D6" s="5">
        <f>averageResponseTime(Dates!D$16,Dates!D$17, 2)</f>
        <v>0</v>
      </c>
      <c r="E6" s="5">
        <f>averageResponseTime(Dates!E$16,Dates!E$17, 2)</f>
        <v>0</v>
      </c>
      <c r="F6" s="5">
        <f>averageResponseTime(Dates!F$16,Dates!F$17, 2)</f>
        <v>0</v>
      </c>
      <c r="G6" s="5">
        <f>averageResponseTime(Dates!G$16,Dates!G$17, 2)</f>
        <v>0</v>
      </c>
      <c r="H6" s="5">
        <f>averageResponseTime(Dates!H$16,Dates!H$17, 2)</f>
        <v>0</v>
      </c>
      <c r="I6" s="5">
        <f>averageResponseTime(Dates!I$16,Dates!I$17, 2)</f>
        <v>0</v>
      </c>
      <c r="J6" s="5">
        <f>averageResponseTime(Dates!J$16,Dates!J$17, 2)</f>
        <v>0</v>
      </c>
      <c r="K6" s="5">
        <f>averageResponseTime(Dates!K$16,Dates!K$17, 2)</f>
        <v>0</v>
      </c>
      <c r="L6" s="5">
        <f>averageResponseTime(Dates!L$16,Dates!L$17, 2)</f>
        <v>0</v>
      </c>
      <c r="M6" s="5">
        <f>averageResponseTime(Dates!M$16,Dates!M$17, 2)</f>
        <v>0</v>
      </c>
      <c r="N6" s="5">
        <f>averageResponseTime(Dates!N$16,Dates!N$17, 2)</f>
        <v>0</v>
      </c>
      <c r="O6" s="5">
        <f>averageResponseTime(Dates!O$16,Dates!O$17, 2)</f>
        <v>0</v>
      </c>
      <c r="P6" s="5">
        <f>averageResponseTime(Dates!P$16,Dates!P$17, 2)</f>
        <v>0</v>
      </c>
      <c r="Q6" s="5">
        <f>averageResponseTime(Dates!Q$16,Dates!Q$17, 2)</f>
        <v>0</v>
      </c>
      <c r="R6" s="5">
        <f>averageResponseTime(Dates!R$16,Dates!R$17, 2)</f>
        <v>0</v>
      </c>
      <c r="S6" s="5">
        <f>averageResponseTime(Dates!S$16,Dates!S$17, 2)</f>
        <v>0</v>
      </c>
      <c r="T6" s="5">
        <f>averageResponseTime(Dates!T$16,Dates!T$17, 2)</f>
        <v>0</v>
      </c>
      <c r="U6" s="5">
        <f>averageResponseTime(Dates!C$16,Dates!T$17, 2)</f>
        <v>0</v>
      </c>
    </row>
    <row r="7" spans="1:22" x14ac:dyDescent="0.3">
      <c r="A7" s="6"/>
      <c r="B7" s="7" t="s">
        <v>52</v>
      </c>
      <c r="C7" s="5">
        <f>averageResponseTime(Dates!C$16,Dates!C$17, 3)</f>
        <v>0</v>
      </c>
      <c r="D7" s="5">
        <f>averageResponseTime(Dates!D$16,Dates!D$17, 3)</f>
        <v>0</v>
      </c>
      <c r="E7" s="5">
        <f>averageResponseTime(Dates!E$16,Dates!E$17, 3)</f>
        <v>0</v>
      </c>
      <c r="F7" s="5">
        <f>averageResponseTime(Dates!F$16,Dates!F$17, 3)</f>
        <v>0</v>
      </c>
      <c r="G7" s="5">
        <f>averageResponseTime(Dates!G$16,Dates!G$17, 3)</f>
        <v>0</v>
      </c>
      <c r="H7" s="5">
        <f>averageResponseTime(Dates!H$16,Dates!H$17, 3)</f>
        <v>0</v>
      </c>
      <c r="I7" s="5">
        <f>averageResponseTime(Dates!I$16,Dates!I$17, 3)</f>
        <v>0</v>
      </c>
      <c r="J7" s="5">
        <f>averageResponseTime(Dates!J$16,Dates!J$17, 3)</f>
        <v>0</v>
      </c>
      <c r="K7" s="5">
        <f>averageResponseTime(Dates!K$16,Dates!K$17, 3)</f>
        <v>0</v>
      </c>
      <c r="L7" s="5">
        <f>averageResponseTime(Dates!L$16,Dates!L$17, 3)</f>
        <v>0</v>
      </c>
      <c r="M7" s="5">
        <f>averageResponseTime(Dates!M$16,Dates!M$17, 3)</f>
        <v>0</v>
      </c>
      <c r="N7" s="5">
        <f>averageResponseTime(Dates!N$16,Dates!N$17, 3)</f>
        <v>0</v>
      </c>
      <c r="O7" s="5">
        <f>averageResponseTime(Dates!O$16,Dates!O$17, 3)</f>
        <v>0</v>
      </c>
      <c r="P7" s="5">
        <f>averageResponseTime(Dates!P$16,Dates!P$17, 3)</f>
        <v>0</v>
      </c>
      <c r="Q7" s="5">
        <f>averageResponseTime(Dates!Q$16,Dates!Q$17, 3)</f>
        <v>0</v>
      </c>
      <c r="R7" s="5">
        <f>averageResponseTime(Dates!R$16,Dates!R$17, 3)</f>
        <v>0</v>
      </c>
      <c r="S7" s="5">
        <f>averageResponseTime(Dates!S$16,Dates!S$17, 3)</f>
        <v>0</v>
      </c>
      <c r="T7" s="5">
        <f>averageResponseTime(Dates!T$16,Dates!T$17, 3)</f>
        <v>0</v>
      </c>
      <c r="U7" s="5">
        <f>averageResponseTime(Dates!C$16,Dates!T$17, 3)</f>
        <v>0</v>
      </c>
    </row>
    <row r="8" spans="1:22" x14ac:dyDescent="0.3">
      <c r="A8" s="6"/>
      <c r="B8" s="7" t="s">
        <v>53</v>
      </c>
      <c r="C8" s="5">
        <f>averageInProgressTime(Dates!C$16,Dates!C$17, 1)</f>
        <v>0</v>
      </c>
      <c r="D8" s="5">
        <f>averageInProgressTime(Dates!D$16,Dates!D$17, 1)</f>
        <v>0</v>
      </c>
      <c r="E8" s="5">
        <f>averageInProgressTime(Dates!E$16,Dates!E$17, 1)</f>
        <v>0</v>
      </c>
      <c r="F8" s="5">
        <f>averageInProgressTime(Dates!F$16,Dates!F$17, 1)</f>
        <v>0</v>
      </c>
      <c r="G8" s="5">
        <f>averageInProgressTime(Dates!G$16,Dates!G$17, 1)</f>
        <v>0</v>
      </c>
      <c r="H8" s="5">
        <f>averageInProgressTime(Dates!H$16,Dates!H$17, 1)</f>
        <v>0</v>
      </c>
      <c r="I8" s="5">
        <f>averageInProgressTime(Dates!I$16,Dates!I$17, 1)</f>
        <v>0</v>
      </c>
      <c r="J8" s="5">
        <f>averageInProgressTime(Dates!J$16,Dates!J$17, 1)</f>
        <v>0</v>
      </c>
      <c r="K8" s="5">
        <f>averageInProgressTime(Dates!K$16,Dates!K$17, 1)</f>
        <v>0</v>
      </c>
      <c r="L8" s="5">
        <f>averageInProgressTime(Dates!L$16,Dates!L$17, 1)</f>
        <v>0</v>
      </c>
      <c r="M8" s="5">
        <f>averageInProgressTime(Dates!M$16,Dates!M$17, 1)</f>
        <v>0</v>
      </c>
      <c r="N8" s="5">
        <f>averageInProgressTime(Dates!N$16,Dates!N$17, 1)</f>
        <v>0</v>
      </c>
      <c r="O8" s="5">
        <f>averageInProgressTime(Dates!O$16,Dates!O$17, 1)</f>
        <v>0</v>
      </c>
      <c r="P8" s="5">
        <f>averageInProgressTime(Dates!P$16,Dates!P$17, 1)</f>
        <v>0</v>
      </c>
      <c r="Q8" s="5">
        <f>averageInProgressTime(Dates!Q$16,Dates!Q$17, 1)</f>
        <v>0</v>
      </c>
      <c r="R8" s="5">
        <f>averageInProgressTime(Dates!R$16,Dates!R$17, 1)</f>
        <v>0</v>
      </c>
      <c r="S8" s="5">
        <f>averageInProgressTime(Dates!S$16,Dates!S$17, 1)</f>
        <v>0</v>
      </c>
      <c r="T8" s="5">
        <f>averageInProgressTime(Dates!T$16,Dates!T$17, 1)</f>
        <v>0</v>
      </c>
      <c r="U8" s="5">
        <f>averageInProgressTime(Dates!C$16,Dates!T$17, 1)</f>
        <v>0</v>
      </c>
    </row>
    <row r="9" spans="1:22" x14ac:dyDescent="0.3">
      <c r="A9" s="6"/>
      <c r="B9" s="7" t="s">
        <v>54</v>
      </c>
      <c r="C9" s="5">
        <f>averageInProgressTime(Dates!C$16,Dates!C$17, 2)</f>
        <v>0</v>
      </c>
      <c r="D9" s="5">
        <f>averageInProgressTime(Dates!D$16,Dates!D$17, 2)</f>
        <v>0</v>
      </c>
      <c r="E9" s="5">
        <f>averageInProgressTime(Dates!E$16,Dates!E$17, 2)</f>
        <v>0</v>
      </c>
      <c r="F9" s="5">
        <f>averageInProgressTime(Dates!F$16,Dates!F$17, 2)</f>
        <v>0</v>
      </c>
      <c r="G9" s="5">
        <f>averageInProgressTime(Dates!G$16,Dates!G$17, 2)</f>
        <v>0</v>
      </c>
      <c r="H9" s="5">
        <f>averageInProgressTime(Dates!H$16,Dates!H$17, 2)</f>
        <v>0</v>
      </c>
      <c r="I9" s="5">
        <f>averageInProgressTime(Dates!I$16,Dates!I$17, 2)</f>
        <v>0</v>
      </c>
      <c r="J9" s="5">
        <f>averageInProgressTime(Dates!J$16,Dates!J$17, 2)</f>
        <v>0</v>
      </c>
      <c r="K9" s="5">
        <f>averageInProgressTime(Dates!K$16,Dates!K$17, 2)</f>
        <v>0</v>
      </c>
      <c r="L9" s="5">
        <f>averageInProgressTime(Dates!L$16,Dates!L$17, 2)</f>
        <v>0</v>
      </c>
      <c r="M9" s="5">
        <f>averageInProgressTime(Dates!M$16,Dates!M$17, 2)</f>
        <v>0</v>
      </c>
      <c r="N9" s="5">
        <f>averageInProgressTime(Dates!N$16,Dates!N$17, 2)</f>
        <v>0</v>
      </c>
      <c r="O9" s="5">
        <f>averageInProgressTime(Dates!O$16,Dates!O$17, 2)</f>
        <v>0</v>
      </c>
      <c r="P9" s="5">
        <f>averageInProgressTime(Dates!P$16,Dates!P$17, 2)</f>
        <v>0</v>
      </c>
      <c r="Q9" s="5">
        <f>averageInProgressTime(Dates!Q$16,Dates!Q$17, 2)</f>
        <v>0</v>
      </c>
      <c r="R9" s="5">
        <f>averageInProgressTime(Dates!R$16,Dates!R$17, 2)</f>
        <v>0</v>
      </c>
      <c r="S9" s="5">
        <f>averageInProgressTime(Dates!S$16,Dates!S$17, 2)</f>
        <v>0</v>
      </c>
      <c r="T9" s="5">
        <f>averageInProgressTime(Dates!T$16,Dates!T$17, 2)</f>
        <v>0</v>
      </c>
      <c r="U9" s="5">
        <f>averageInProgressTime(Dates!C$16,Dates!T$17, 2)</f>
        <v>0</v>
      </c>
    </row>
    <row r="10" spans="1:22" x14ac:dyDescent="0.3">
      <c r="A10" s="6"/>
      <c r="B10" s="7" t="s">
        <v>55</v>
      </c>
      <c r="C10" s="5">
        <f>averageInProgressTime(Dates!C$16,Dates!C$17, 3)</f>
        <v>0</v>
      </c>
      <c r="D10" s="5">
        <f>averageInProgressTime(Dates!D$16,Dates!D$17, 3)</f>
        <v>0</v>
      </c>
      <c r="E10" s="5">
        <f>averageInProgressTime(Dates!E$16,Dates!E$17, 3)</f>
        <v>0</v>
      </c>
      <c r="F10" s="5">
        <f>averageInProgressTime(Dates!F$16,Dates!F$17, 3)</f>
        <v>0</v>
      </c>
      <c r="G10" s="5">
        <f>averageInProgressTime(Dates!G$16,Dates!G$17, 3)</f>
        <v>0</v>
      </c>
      <c r="H10" s="5">
        <f>averageInProgressTime(Dates!H$16,Dates!H$17, 3)</f>
        <v>0</v>
      </c>
      <c r="I10" s="5">
        <f>averageInProgressTime(Dates!I$16,Dates!I$17, 3)</f>
        <v>0</v>
      </c>
      <c r="J10" s="5">
        <f>averageInProgressTime(Dates!J$16,Dates!J$17, 3)</f>
        <v>0</v>
      </c>
      <c r="K10" s="5">
        <f>averageInProgressTime(Dates!K$16,Dates!K$17, 3)</f>
        <v>0</v>
      </c>
      <c r="L10" s="5">
        <f>averageInProgressTime(Dates!L$16,Dates!L$17, 3)</f>
        <v>0</v>
      </c>
      <c r="M10" s="5">
        <f>averageInProgressTime(Dates!M$16,Dates!M$17, 3)</f>
        <v>0</v>
      </c>
      <c r="N10" s="5">
        <f>averageInProgressTime(Dates!N$16,Dates!N$17, 3)</f>
        <v>0</v>
      </c>
      <c r="O10" s="5">
        <f>averageInProgressTime(Dates!O$16,Dates!O$17, 3)</f>
        <v>0</v>
      </c>
      <c r="P10" s="5">
        <f>averageInProgressTime(Dates!P$16,Dates!P$17, 3)</f>
        <v>0</v>
      </c>
      <c r="Q10" s="5">
        <f>averageInProgressTime(Dates!Q$16,Dates!Q$17, 3)</f>
        <v>0</v>
      </c>
      <c r="R10" s="5">
        <f>averageInProgressTime(Dates!R$16,Dates!R$17, 3)</f>
        <v>0</v>
      </c>
      <c r="S10" s="5">
        <f>averageInProgressTime(Dates!S$16,Dates!S$17, 3)</f>
        <v>0</v>
      </c>
      <c r="T10" s="5">
        <f>averageInProgressTime(Dates!T$16,Dates!T$17, 3)</f>
        <v>0</v>
      </c>
      <c r="U10" s="5">
        <f>averageInProgressTime(Dates!C$16,Dates!T$17, 3)</f>
        <v>0</v>
      </c>
    </row>
    <row r="11" spans="1:22" x14ac:dyDescent="0.3">
      <c r="A11" s="6"/>
      <c r="B11" s="7" t="s">
        <v>42</v>
      </c>
      <c r="C11">
        <f>totalNumberOfJobsCompleted(Dates!C$16,Dates!C$17)</f>
        <v>0</v>
      </c>
      <c r="D11">
        <f>totalNumberOfJobsCompleted(Dates!D$16,Dates!D$17)</f>
        <v>0</v>
      </c>
      <c r="E11">
        <f>totalNumberOfJobsCompleted(Dates!E$16,Dates!E$17)</f>
        <v>0</v>
      </c>
      <c r="F11">
        <f>totalNumberOfJobsCompleted(Dates!F$16,Dates!F$17)</f>
        <v>0</v>
      </c>
      <c r="G11">
        <f>totalNumberOfJobsCompleted(Dates!G$16,Dates!G$17)</f>
        <v>0</v>
      </c>
      <c r="H11">
        <f>totalNumberOfJobsCompleted(Dates!H$16,Dates!H$17)</f>
        <v>0</v>
      </c>
      <c r="I11">
        <f>totalNumberOfJobsCompleted(Dates!I$16,Dates!I$17)</f>
        <v>0</v>
      </c>
      <c r="J11">
        <f>totalNumberOfJobsCompleted(Dates!J$16,Dates!J$17)</f>
        <v>0</v>
      </c>
      <c r="K11">
        <f>totalNumberOfJobsCompleted(Dates!K$16,Dates!K$17)</f>
        <v>0</v>
      </c>
      <c r="L11">
        <f>totalNumberOfJobsCompleted(Dates!L$16,Dates!L$17)</f>
        <v>0</v>
      </c>
      <c r="M11">
        <f>totalNumberOfJobsCompleted(Dates!M$16,Dates!M$17)</f>
        <v>0</v>
      </c>
      <c r="N11">
        <f>totalNumberOfJobsCompleted(Dates!N$16,Dates!N$17)</f>
        <v>0</v>
      </c>
      <c r="O11">
        <f>totalNumberOfJobsCompleted(Dates!O$16,Dates!O$17)</f>
        <v>0</v>
      </c>
      <c r="P11">
        <f>totalNumberOfJobsCompleted(Dates!P$16,Dates!P$17)</f>
        <v>0</v>
      </c>
      <c r="Q11">
        <f>totalNumberOfJobsCompleted(Dates!Q$16,Dates!Q$17)</f>
        <v>0</v>
      </c>
      <c r="R11">
        <f>totalNumberOfJobsCompleted(Dates!R$16,Dates!R$17)</f>
        <v>0</v>
      </c>
      <c r="S11">
        <f>totalNumberOfJobsCompleted(Dates!S$16,Dates!S$17)</f>
        <v>0</v>
      </c>
      <c r="T11">
        <f>totalNumberOfJobsCompleted(Dates!T$16,Dates!T$17)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pendingJobs(Dates!C$17)</f>
        <v>0</v>
      </c>
      <c r="D12">
        <f>pendingJobs(Dates!D$17)</f>
        <v>0</v>
      </c>
      <c r="E12">
        <f>pendingJobs(Dates!E$17)</f>
        <v>0</v>
      </c>
      <c r="F12">
        <f>pendingJobs(Dates!F$17)</f>
        <v>0</v>
      </c>
      <c r="G12">
        <f>pendingJobs(Dates!G$17)</f>
        <v>0</v>
      </c>
      <c r="H12">
        <f>pendingJobs(Dates!H$17)</f>
        <v>0</v>
      </c>
      <c r="I12">
        <f>pendingJobs(Dates!I$17)</f>
        <v>0</v>
      </c>
      <c r="J12">
        <f>pendingJobs(Dates!J$17)</f>
        <v>0</v>
      </c>
      <c r="K12">
        <f>pendingJobs(Dates!K$17)</f>
        <v>0</v>
      </c>
      <c r="L12">
        <f>pendingJobs(Dates!L$17)</f>
        <v>0</v>
      </c>
      <c r="M12">
        <f>pendingJobs(Dates!M$17)</f>
        <v>0</v>
      </c>
      <c r="N12">
        <f>pendingJobs(Dates!N$17)</f>
        <v>0</v>
      </c>
      <c r="O12">
        <f>pendingJobs(Dates!O$17)</f>
        <v>0</v>
      </c>
      <c r="P12">
        <f>pendingJobs(Dates!P$17)</f>
        <v>0</v>
      </c>
      <c r="Q12">
        <f>pendingJobs(Dates!Q$17)</f>
        <v>0</v>
      </c>
      <c r="R12">
        <f>pendingJobs(Dates!R$17)</f>
        <v>0</v>
      </c>
      <c r="S12">
        <f>pendingJobs(Dates!S$17)</f>
        <v>0</v>
      </c>
      <c r="T12">
        <f>pendingJobs(Dates!T$17)</f>
        <v>0</v>
      </c>
      <c r="U12" s="5"/>
    </row>
    <row r="13" spans="1:22" x14ac:dyDescent="0.3">
      <c r="A13" s="6"/>
      <c r="B13" s="7" t="s">
        <v>48</v>
      </c>
      <c r="C13">
        <f>cancelledJobs(Dates!$C$16,Dates!C$17)</f>
        <v>0</v>
      </c>
      <c r="D13">
        <f>cancelledJobs(Dates!$C$16,Dates!D$17)</f>
        <v>0</v>
      </c>
      <c r="E13">
        <f>cancelledJobs(Dates!$C$16,Dates!E$17)</f>
        <v>0</v>
      </c>
      <c r="F13">
        <f>cancelledJobs(Dates!$C$16,Dates!F$17)</f>
        <v>0</v>
      </c>
      <c r="G13">
        <f>cancelledJobs(Dates!$C$16,Dates!G$17)</f>
        <v>0</v>
      </c>
      <c r="H13">
        <f>cancelledJobs(Dates!$C$16,Dates!H$17)</f>
        <v>0</v>
      </c>
      <c r="I13">
        <f>cancelledJobs(Dates!$C$16,Dates!I$17)</f>
        <v>0</v>
      </c>
      <c r="J13">
        <f>cancelledJobs(Dates!$C$16,Dates!J$17)</f>
        <v>0</v>
      </c>
      <c r="K13">
        <f>cancelledJobs(Dates!$C$16,Dates!K$17)</f>
        <v>0</v>
      </c>
      <c r="L13">
        <f>cancelledJobs(Dates!$C$16,Dates!L$17)</f>
        <v>0</v>
      </c>
      <c r="M13">
        <f>cancelledJobs(Dates!$C$16,Dates!M$17)</f>
        <v>0</v>
      </c>
      <c r="N13">
        <f>cancelledJobs(Dates!$C$16,Dates!N$17)</f>
        <v>0</v>
      </c>
      <c r="O13">
        <f>cancelledJobs(Dates!$C$16,Dates!O$17)</f>
        <v>0</v>
      </c>
      <c r="P13">
        <f>cancelledJobs(Dates!$C$16,Dates!P$17)</f>
        <v>0</v>
      </c>
      <c r="Q13">
        <f>cancelledJobs(Dates!$C$16,Dates!Q$17)</f>
        <v>0</v>
      </c>
      <c r="R13">
        <f>cancelledJobs(Dates!$C$16,Dates!R$17)</f>
        <v>0</v>
      </c>
      <c r="S13">
        <f>cancelledJobs(Dates!$C$16,Dates!S$17)</f>
        <v>0</v>
      </c>
      <c r="T13">
        <f>cancelledJobs(Dates!$C$16,Dates!T$17)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S6"/>
  <sheetViews>
    <sheetView tabSelected="1" topLeftCell="A127" zoomScale="70" zoomScaleNormal="70" workbookViewId="0">
      <selection activeCell="A143" sqref="A143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10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S6"/>
  <sheetViews>
    <sheetView zoomScale="70" zoomScaleNormal="70" workbookViewId="0">
      <selection activeCell="X16" sqref="X1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44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1:S6"/>
  <sheetViews>
    <sheetView zoomScale="70" zoomScaleNormal="70" workbookViewId="0">
      <selection activeCell="X17" sqref="X17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45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S6"/>
  <sheetViews>
    <sheetView zoomScale="60" zoomScaleNormal="60" workbookViewId="0">
      <selection activeCell="Z13" sqref="Z13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46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1:S6"/>
  <sheetViews>
    <sheetView zoomScale="70" zoomScaleNormal="70" workbookViewId="0">
      <selection activeCell="B6" sqref="B6:S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47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B1:S6"/>
  <sheetViews>
    <sheetView zoomScale="60" zoomScaleNormal="60" workbookViewId="0">
      <selection activeCell="B6" sqref="B6:S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59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S6"/>
  <sheetViews>
    <sheetView zoomScale="60" zoomScaleNormal="60" workbookViewId="0">
      <selection activeCell="AA171" sqref="AA171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60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Sheet1</vt:lpstr>
      <vt:lpstr>Dates</vt:lpstr>
      <vt:lpstr>Day1</vt:lpstr>
      <vt:lpstr>Day2</vt:lpstr>
      <vt:lpstr>Day3</vt:lpstr>
      <vt:lpstr>Day4</vt:lpstr>
      <vt:lpstr>Day5</vt:lpstr>
      <vt:lpstr>Day6</vt:lpstr>
      <vt:lpstr>Day7</vt:lpstr>
      <vt:lpstr>Dashboard D1</vt:lpstr>
      <vt:lpstr>Dashboard D2</vt:lpstr>
      <vt:lpstr>Dashboard D3</vt:lpstr>
      <vt:lpstr>Dashboard D4</vt:lpstr>
      <vt:lpstr>Dashboard D5</vt:lpstr>
      <vt:lpstr>Dashboard D6</vt:lpstr>
      <vt:lpstr>Dashboard D7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Vitaliy Kondratiev</dc:creator>
  <cp:lastModifiedBy>Vitaliy Kondratiev</cp:lastModifiedBy>
  <dcterms:created xsi:type="dcterms:W3CDTF">2014-02-27T05:08:09Z</dcterms:created>
  <dcterms:modified xsi:type="dcterms:W3CDTF">2014-04-14T23:16:57Z</dcterms:modified>
</cp:coreProperties>
</file>